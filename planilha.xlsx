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17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11599" documentId="8_{AF585B22-221D-4780-BB9C-493D365A6A02}" xr6:coauthVersionLast="47" xr6:coauthVersionMax="47" xr10:uidLastSave="{946B8FC8-9F15-403D-A761-49439C619F9B}"/>
  <bookViews>
    <workbookView xWindow="-110" yWindow="-110" windowWidth="25820" windowHeight="15500" tabRatio="500" firstSheet="4" activeTab="3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M623" i="4" l="1"/>
  <c r="M624" i="4"/>
  <c r="G640" i="3"/>
  <c r="O595" i="6"/>
  <c r="G466" i="3"/>
  <c r="G412" i="4"/>
  <c r="G413" i="4"/>
  <c r="G414" i="4"/>
  <c r="F405" i="3"/>
  <c r="G313" i="3"/>
  <c r="G314" i="3"/>
  <c r="G315" i="3"/>
  <c r="G316" i="3"/>
  <c r="G317" i="3"/>
  <c r="G318" i="3"/>
  <c r="G319" i="3"/>
  <c r="G320" i="3"/>
  <c r="G321" i="3"/>
  <c r="G322" i="3"/>
  <c r="G323" i="3"/>
  <c r="G312" i="3"/>
  <c r="F284" i="5"/>
  <c r="F270" i="4"/>
  <c r="G181" i="5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5" i="3"/>
  <c r="G464" i="3"/>
  <c r="G463" i="3"/>
  <c r="G462" i="3"/>
  <c r="G461" i="3"/>
  <c r="G473" i="3" s="1"/>
  <c r="F459" i="3"/>
  <c r="G458" i="3"/>
  <c r="G457" i="3"/>
  <c r="G456" i="3"/>
  <c r="G455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98" i="5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F25" i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G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<sst xmlns="http://schemas.openxmlformats.org/spreadsheetml/2006/main" count="10007" uniqueCount="391">
  <si>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</si>
  <si>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</si>
  <si>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</si>
  <si>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</si>
  <si>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</si>
  <si>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</si>
  <si>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</si>
  <si>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</si>
  <si>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</si>
  <si>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</si>
  <si>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</si>
  <si>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</si>
  <si>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</si>
  <si>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</si>
  <si>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</si>
  <si>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</si>
  <si>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</si>
  <si>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</si>
  <si>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</si>
  <si>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</si>
  <si>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</si>
  <si>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</si>
  <si>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</si>
  <si>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</si>
  <si>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</si>
  <si>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</si>
  <si>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</si>
  <si>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</si>
  <si>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</si>
  <si>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</si>
  <si>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</si>
  <si>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</si>
  <si>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</si>
  <si>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</si>
  <si>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</si>
  <si>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</si>
  <si>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</si>
  <si>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</si>
  <si>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</si>
  <si>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</si>
  <si>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</si>
  <si>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</si>
  <si>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</si>
  <si>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</si>
  <si>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</si>
  <si>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</si>
  <si>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</si>
  <si>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</si>
  <si>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</si>
  <si>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</si>
  <si>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</si>
  <si>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</si>
  <si>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</si>
  <si>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</si>
  <si>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</si>
  <si>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</si>
  <si>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</si>
  <si>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</si>
  <si>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</si>
  <si>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</si>
  <si>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</si>
  <si>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</si>
  <si>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</si>
  <si>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</si>
  <si>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</si>
  <si>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</si>
  <si>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</si>
  <si>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</si>
  <si>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</si>
  <si>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</si>
  <si>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</si>
  <si>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</si>
  <si>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</si>
  <si>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</si>
  <si>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</si>
  <si>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</si>
  <si>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</si>
  <si>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</si>
  <si>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</si>
  <si>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</si>
  <si>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</si>
  <si>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</si>
  <si>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</si>
  <si>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</si>
  <si>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</si>
  <si>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</si>
  <si>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</si>
  <si>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</si>
  <si>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</si>
  <si>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</si>
  <si>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</si>
  <si>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</si>
  <si>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Colocado borracha na sapata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</si>
  <si>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</si>
  <si>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</si>
  <si>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</si>
  <si>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</si>
  <si>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</si>
  <si>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Sanar vazamento na bica</t>
  </si>
  <si>
    <t>tc2 desarmou</t>
  </si>
  <si>
    <t>Correia desalinhada / patinando</t>
  </si>
  <si>
    <t>arrebentou a orelha do martelo</t>
  </si>
  <si>
    <t>Obstrução da correia transportadora</t>
  </si>
  <si>
    <t>Centrífuga (RD) 05 L3</t>
  </si>
  <si>
    <t>serviço de solda na tubulação da àgua</t>
  </si>
  <si>
    <t>Finalização na solda do encanamento</t>
  </si>
  <si>
    <t>Correia rasgada / danificada</t>
  </si>
  <si>
    <t>troca  de pino</t>
  </si>
  <si>
    <t>Obstrução no moinho de bola</t>
  </si>
  <si>
    <t>Centrífuga (RD) 06 L3 bola</t>
  </si>
  <si>
    <t>Iluminação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</si>
  <si>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</si>
  <si>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</si>
  <si>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</si>
  <si>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</si>
  <si>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</si>
  <si>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</si>
  <si>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</si>
  <si>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</si>
  <si>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</si>
  <si>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</si>
  <si>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</si>
  <si>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</si>
  <si>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</si>
  <si>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</si>
  <si>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</si>
  <si>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</si>
  <si>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</si>
  <si>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</si>
  <si>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</si>
  <si>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</si>
  <si>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</si>
  <si>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</si>
  <si>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</si>
  <si>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</si>
  <si>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</si>
  <si>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</si>
  <si>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</si>
  <si>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</si>
  <si>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</si>
  <si>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</si>
  <si>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</si>
  <si>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</si>
  <si>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</si>
  <si>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</si>
  <si>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</si>
  <si>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</si>
  <si>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</si>
  <si>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</si>
  <si>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</si>
  <si>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</si>
  <si>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</si>
  <si>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</si>
  <si>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</si>
  <si>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</si>
  <si>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</si>
  <si>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</si>
  <si>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</si>
  <si>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</si>
  <si>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</si>
  <si>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</si>
  <si>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</si>
  <si>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</si>
  <si>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</si>
  <si>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</si>
  <si>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bomba dágua suja (10"x8")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</si>
  <si>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</si>
  <si>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</si>
  <si>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</si>
  <si>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</si>
  <si>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</si>
  <si>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</si>
  <si>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</si>
  <si>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</si>
  <si>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</si>
  <si>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</si>
  <si>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</si>
  <si>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</si>
  <si>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</si>
  <si>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</si>
  <si>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</si>
  <si>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</si>
  <si>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</si>
  <si>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</si>
  <si>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</si>
  <si>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</si>
  <si>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</si>
  <si>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</si>
  <si>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</si>
  <si>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</si>
  <si>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</si>
  <si>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</si>
  <si>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</si>
  <si>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forramento de moinho</t>
  </si>
  <si>
    <t>Acoplamento solto</t>
  </si>
  <si>
    <t>material acumulado na bica</t>
  </si>
  <si>
    <t>Parafuso do acoplamento solto</t>
  </si>
  <si>
    <t>Orelha do martelo quebrou</t>
  </si>
  <si>
    <t>Borracha da correia alimentadora fora do lugar</t>
  </si>
  <si>
    <t>Limpeza na TC2</t>
  </si>
  <si>
    <t>emenda da tc 02</t>
  </si>
  <si>
    <t>Material caindo com alimentação desligada</t>
  </si>
  <si>
    <t>Recolocação de parafuso</t>
  </si>
  <si>
    <t>material muito molhado esta preso na caixa do britador</t>
  </si>
  <si>
    <t>Revisão geral</t>
  </si>
  <si>
    <t>Ajuste na bica</t>
  </si>
  <si>
    <t>troca da graxeta da bomba</t>
  </si>
  <si>
    <t xml:space="preserve">manutencao no eixo do moinho </t>
  </si>
  <si>
    <t>FAZE REPARO NA CORREIA DA MOEGA</t>
  </si>
  <si>
    <t>colocar os rolete da tc 03</t>
  </si>
  <si>
    <t>Recolocação de rolete</t>
  </si>
  <si>
    <t>Troca do copo da RD7 do bola 1</t>
  </si>
  <si>
    <t xml:space="preserve">troca da bomba centrífuga (10"x8") </t>
  </si>
  <si>
    <t>Inspeção de rolamento</t>
  </si>
  <si>
    <t>Inspeção de mancal</t>
  </si>
  <si>
    <t>disco esta pegando na tampa</t>
  </si>
  <si>
    <t>caixa do ciclone</t>
  </si>
  <si>
    <t>Manutenção no rolo da alimentação</t>
  </si>
  <si>
    <t>Manutenção na correia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</si>
  <si>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</si>
  <si>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</si>
  <si>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</si>
  <si>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</si>
  <si>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</si>
  <si>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</si>
  <si>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</si>
  <si>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</si>
  <si>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</si>
  <si>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</si>
  <si>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</si>
  <si>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</si>
  <si>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</si>
  <si>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</si>
  <si>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</si>
  <si>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</si>
  <si>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</si>
  <si>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</si>
  <si>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</si>
  <si>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</si>
  <si>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</si>
  <si>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</si>
  <si>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quebrou os pinos da facas,troca de facas</t>
  </si>
  <si>
    <t>e 5s na britagem</t>
  </si>
  <si>
    <t>TROCA DE 2 PINOS QUEBRADO</t>
  </si>
  <si>
    <t>CARREGANDO COM CAMINHÃO</t>
  </si>
  <si>
    <t>NA TC2</t>
  </si>
  <si>
    <t>na tc 3</t>
  </si>
  <si>
    <t>carregando com caminhão</t>
  </si>
  <si>
    <t>troca de balata</t>
  </si>
  <si>
    <t>reaperto, engraxamento, revisão</t>
  </si>
  <si>
    <t>aperto de parafuso</t>
  </si>
  <si>
    <t>desobstrução do britador</t>
  </si>
  <si>
    <t>5;26</t>
  </si>
  <si>
    <t>obstrucao na tc 3</t>
  </si>
  <si>
    <t>troca de pino</t>
  </si>
  <si>
    <t>jogado 4 caminhões basculantes</t>
  </si>
  <si>
    <t>inspeção nos mancais</t>
  </si>
  <si>
    <t>PC 17</t>
  </si>
  <si>
    <t>troca de facas, engraxamento dos mancais,, troca de balata</t>
  </si>
  <si>
    <t>teve que a fasta o roto um pouco prolado</t>
  </si>
  <si>
    <t>ajuste no rolamento do rotor do britador, 5s, feito tampa do chute do britador, colocado rolete na TC1</t>
  </si>
  <si>
    <t>ajuste na bucha do mancal  do britado</t>
  </si>
  <si>
    <t>engraxamento dos mancais, troca de parafuso dos mancais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</si>
  <si>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</si>
  <si>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</si>
  <si>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</si>
  <si>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</si>
  <si>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</si>
  <si>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</si>
  <si>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</si>
  <si>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</si>
  <si>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</si>
  <si>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</si>
  <si>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balata solta</t>
  </si>
  <si>
    <t>02:00 PC19 furou pneu, caminhão basculante jogando e escavadeira empurrando o material</t>
  </si>
  <si>
    <t>arrebetou balata,troca de martelo moinho 1</t>
  </si>
  <si>
    <t>manuteçao programada ,serviço de solda na tubulaçao da agua das alimentçoes</t>
  </si>
  <si>
    <t>troca de martelo moinho 2</t>
  </si>
  <si>
    <t>22:00 alimentação baixa, pouco material britado</t>
  </si>
  <si>
    <t>01:30 rolamento do moinho 2 estourou, operando apenas moinho 1</t>
  </si>
  <si>
    <t>manutenção no rolamento mm2, caindo material na manutenção</t>
  </si>
  <si>
    <t>manutenção no rolamento mm2</t>
  </si>
  <si>
    <t>troca de martelo mm1</t>
  </si>
  <si>
    <t xml:space="preserve">Sanar vazamento </t>
  </si>
  <si>
    <t>engraxamento dos rolamento do moinhos e troca de martelo</t>
  </si>
  <si>
    <t>um sevico de solda na bica  e troca de martelo do moiho 02</t>
  </si>
  <si>
    <t>e troca de grelhas no moinho 02 e teve que coloca outra balata  e troca de martelo</t>
  </si>
  <si>
    <t>VAZAMENTO NO MOINHO</t>
  </si>
  <si>
    <t>tava com material</t>
  </si>
  <si>
    <t>troca de balata ,manutenção na balata</t>
  </si>
  <si>
    <t>troca do redutor do alimentador da linha 1</t>
  </si>
  <si>
    <t>moinho de bola 1 jogando material pra fora, troca de martelo</t>
  </si>
  <si>
    <t>solda no eixo</t>
  </si>
  <si>
    <t>solda no eixo,moinho moendo grosso</t>
  </si>
  <si>
    <t>desobstrução da bica, sendo colocado passarela</t>
  </si>
  <si>
    <t>instalação de passarela</t>
  </si>
  <si>
    <t xml:space="preserve">A obstrução foi devido a falha na bomba d'agua </t>
  </si>
  <si>
    <t>deso</t>
  </si>
  <si>
    <t>obstrução no moinho 2</t>
  </si>
  <si>
    <t>troca de martelo</t>
  </si>
  <si>
    <t>borracha da bica caiu no moinho 1</t>
  </si>
  <si>
    <t>solda na grelha, troca de martelo 1 e 2</t>
  </si>
  <si>
    <t>troca de martelo moinho 1</t>
  </si>
  <si>
    <t>e troca de martelo 1e2</t>
  </si>
  <si>
    <t>troca de martelo moinho 2 e solda na grelha</t>
  </si>
  <si>
    <t xml:space="preserve">obstrução no moinho 1 </t>
  </si>
  <si>
    <t>solda para sanar vazamento</t>
  </si>
  <si>
    <t>e troca de martelo mm1</t>
  </si>
  <si>
    <t xml:space="preserve">16:41, centrífuga do bola1 </t>
  </si>
  <si>
    <t>troca de martelos mm1 e 2,aperto dos parafusos do revestimento</t>
  </si>
  <si>
    <t>pc19</t>
  </si>
  <si>
    <t>troca de martelo ,grelha</t>
  </si>
  <si>
    <t>solda na caixa de recebimeto do hidrociclone</t>
  </si>
  <si>
    <t>solda na grelha</t>
  </si>
  <si>
    <t>adicionado mais 1 grelha</t>
  </si>
  <si>
    <t>solda na tampa do moinho</t>
  </si>
  <si>
    <t>troca de grelha e martelo, manutenção bomba de rejeito</t>
  </si>
  <si>
    <t>material processado Blend rabo de bica com baixo teor</t>
  </si>
  <si>
    <t>material processando blend  rabo de bica com alto teor</t>
  </si>
  <si>
    <t>foramento de moinho</t>
  </si>
  <si>
    <t>17;51</t>
  </si>
  <si>
    <t>reposição de grelha</t>
  </si>
  <si>
    <t>00:020:00</t>
  </si>
  <si>
    <t>martelo pegando no revestimento</t>
  </si>
  <si>
    <t>TROCA DE GRELHA</t>
  </si>
  <si>
    <t>blend com material da goiana</t>
  </si>
  <si>
    <t>troca de 2 grelha e solda na grelha</t>
  </si>
  <si>
    <t>(02 grelhas adicionadas/trocadas)</t>
  </si>
  <si>
    <t>SERVIÇO DE SOLDA NAS GRELHAS</t>
  </si>
  <si>
    <t>e troca de martelo</t>
  </si>
  <si>
    <t>troca de 3 grelhas</t>
  </si>
  <si>
    <t>5;44</t>
  </si>
  <si>
    <t xml:space="preserve">troca de balata, solda na grelha </t>
  </si>
  <si>
    <t>troca de martelo, troca de motor</t>
  </si>
  <si>
    <t>troca de martelo moinho 3</t>
  </si>
  <si>
    <t>um sevico de solda nas grelhas</t>
  </si>
  <si>
    <t>coloca grelha no moinho moendo grosso</t>
  </si>
  <si>
    <t>arrebentou as balata e quebrou as grelhas e teve troca de martelo</t>
  </si>
  <si>
    <t>solda na tampa do mancal</t>
  </si>
  <si>
    <t>nos martelo</t>
  </si>
  <si>
    <t xml:space="preserve">troca de grelha e martelo </t>
  </si>
  <si>
    <t>troca de grelha,martelo e serviço de solda</t>
  </si>
  <si>
    <t>serviço de solda na grelha</t>
  </si>
  <si>
    <t>solda na caixa de recebimento do hidrociclone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</si>
  <si>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</si>
  <si>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</si>
  <si>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</si>
  <si>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</si>
  <si>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</si>
  <si>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</si>
  <si>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</si>
  <si>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</si>
  <si>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</si>
  <si>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</si>
  <si>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</si>
  <si>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</si>
  <si>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</si>
  <si>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</si>
  <si>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</si>
  <si>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</si>
  <si>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</si>
  <si>
    <t>furo na turbulaçâo,colocar graxeta na bomba de polpa 03</t>
  </si>
  <si>
    <t>moinho 4 com novo martelo;para teste</t>
  </si>
  <si>
    <t xml:space="preserve">forramento do moinho </t>
  </si>
  <si>
    <t>martelo novo</t>
  </si>
  <si>
    <t>solda na bica</t>
  </si>
  <si>
    <t>18;08</t>
  </si>
  <si>
    <t>moinho vibrando, aperto de parafuso do mancal</t>
  </si>
  <si>
    <t>engraxamento dos rolamento dos moinhos</t>
  </si>
  <si>
    <t>CORREIA DA MOEGA ESTA RASGADA TEVE TROCA DE MARTELO DO MOINHO 5</t>
  </si>
  <si>
    <t>22;01</t>
  </si>
  <si>
    <t>moinho moedo grosso,solda no eixo</t>
  </si>
  <si>
    <t>21;27</t>
  </si>
  <si>
    <t>moinho de martelo 4 sendo trocado rolamento</t>
  </si>
  <si>
    <t>tensionamento da correia</t>
  </si>
  <si>
    <t>reparo na bica</t>
  </si>
  <si>
    <t>adicionado 5 grelhas</t>
  </si>
  <si>
    <t>desobstrução do moinho de bola 4, troca de martelo moinho 4</t>
  </si>
  <si>
    <t>troca de martelo 4</t>
  </si>
  <si>
    <t>reajute nas grelhas correia da moega esta rasgada</t>
  </si>
  <si>
    <t xml:space="preserve">manutenção no acoplamento do moinho de bola 3, solda na chapa da alimentação </t>
  </si>
  <si>
    <t>mm4 e mm5 trocado martelo</t>
  </si>
  <si>
    <t>ajuste para limpar caixa e trocar a bomba de pola 3</t>
  </si>
  <si>
    <t>solda no anel de vedação do mancal</t>
  </si>
  <si>
    <t>troca de rolamento mm5</t>
  </si>
  <si>
    <t>correia esta patinando</t>
  </si>
  <si>
    <t>colocado borracha para sanar vazamento nos moinhos, troca de revestimento</t>
  </si>
  <si>
    <t>solda na grelha mm 4</t>
  </si>
  <si>
    <t>alimentaçâo parada para colar adesivo identificação da moega</t>
  </si>
  <si>
    <t>troca de martelo mm 4 e mm5</t>
  </si>
  <si>
    <t>correia rasgada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</si>
</sst>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4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  <font>
      <sz val="9"/>
      <color rgb="FF000000"/>
      <name val="Arial"/>
      <charset val="1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10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</borders>
  <cellStyleXfs count="1">
    <xf numFmtId="0" fontId="0" fillId="0" borderId="0"/>
  </cellStyleXfs>
  <cellXfs count="112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3" fontId="10" fillId="3" borderId="2" xfId="0" applyNumberFormat="1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1" fillId="13" borderId="9" xfId="0" applyFont="1" applyFill="1" applyBorder="1" applyAlignment="1" applyProtection="1">
      <alignment horizontal="center" vertical="center"/>
      <protection locked="0"/>
    </xf>
    <xf numFmtId="165" fontId="11" fillId="8" borderId="1" xfId="0" applyNumberFormat="1" applyFont="1" applyFill="1" applyBorder="1" applyAlignment="1">
      <alignment horizontal="center" vertical="center"/>
    </xf>
    <xf numFmtId="0" fontId="11" fillId="13" borderId="7" xfId="0" applyFont="1" applyFill="1" applyBorder="1" applyAlignment="1" applyProtection="1">
      <alignment horizontal="center" vertical="center"/>
      <protection locked="0"/>
    </xf>
    <xf numFmtId="0" fontId="11" fillId="13" borderId="6" xfId="0" applyFont="1" applyFill="1" applyBorder="1" applyAlignment="1" applyProtection="1">
      <alignment horizontal="center" vertical="center"/>
      <protection locked="0"/>
    </xf>
    <xf numFmtId="3" fontId="10" fillId="2" borderId="2" xfId="0" applyNumberFormat="1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  <xf numFmtId="166" fontId="20" fillId="13" borderId="2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8" activePane="bottomLeft" state="frozen"/>
      <selection pane="bottomLeft" activeCell="G33" sqref="G33"/>
    </sheetView>
  </sheetViews>
  <sheetFormatPr defaultColWidth="8.5703125" defaultRowHeight="14.45"/>
  <cols>
    <col min="1" max="1" width="17.5703125" customWidth="1"/>
    <col min="2" max="2" width="21" style="70" customWidth="1"/>
    <col min="3" max="3" width="19.5703125" customWidth="1"/>
    <col min="4" max="4" width="23.5703125" customWidth="1"/>
    <col min="5" max="5" width="26" customWidth="1"/>
    <col min="6" max="6" width="26.42578125" customWidth="1"/>
    <col min="7" max="7" width="32" customWidth="1"/>
  </cols>
  <sheetData>
    <row r="1" spans="1:7" ht="31.5" customHeight="1">
      <c r="A1" s="105" t="s">
        <v>0</v>
      </c>
      <c r="B1" s="105"/>
      <c r="C1" s="105"/>
      <c r="D1" s="105"/>
      <c r="E1" s="105"/>
      <c r="F1" s="105"/>
      <c r="G1" s="105"/>
    </row>
    <row r="2" spans="1:7" ht="24.75" customHeight="1">
      <c r="A2" s="106"/>
      <c r="B2" s="106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1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2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3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2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3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2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3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2">
        <v>46210</v>
      </c>
      <c r="C10" s="8">
        <f>IFERROR(Britador!O190,"")</f>
        <v>4302240</v>
      </c>
      <c r="D10" s="8">
        <f>IFERROR('Linha 1'!O190,"")</f>
        <v>0</v>
      </c>
      <c r="E10" s="8">
        <f>IFERROR('Linha 2'!O190,"")</f>
        <v>938160</v>
      </c>
      <c r="F10" s="8">
        <f>IFERROR('Linha 3'!O190,"")</f>
        <v>1473950</v>
      </c>
      <c r="G10" s="9">
        <f t="shared" si="0"/>
        <v>2412110</v>
      </c>
    </row>
    <row r="11" spans="1:7" ht="15.75" customHeight="1">
      <c r="A11" s="10">
        <v>8</v>
      </c>
      <c r="B11" s="73">
        <v>46211</v>
      </c>
      <c r="C11" s="11">
        <f>IFERROR(Britador!O217,"")</f>
        <v>3908370</v>
      </c>
      <c r="D11" s="11">
        <f>IFERROR('Linha 1'!O217,"")</f>
        <v>648410</v>
      </c>
      <c r="E11" s="11">
        <f>IFERROR('Linha 2'!O217,"")</f>
        <v>793270</v>
      </c>
      <c r="F11" s="11">
        <f>IFERROR('Linha 3'!O217,"")</f>
        <v>1735070</v>
      </c>
      <c r="G11" s="12">
        <f t="shared" si="0"/>
        <v>3176750</v>
      </c>
    </row>
    <row r="12" spans="1:7" ht="15.75" customHeight="1">
      <c r="A12" s="7">
        <v>9</v>
      </c>
      <c r="B12" s="72">
        <v>46212</v>
      </c>
      <c r="C12" s="8">
        <f>IFERROR(Britador!O244,"")</f>
        <v>2981650</v>
      </c>
      <c r="D12" s="8">
        <f>IFERROR('Linha 1'!O244,"")</f>
        <v>1331170</v>
      </c>
      <c r="E12" s="8">
        <f>IFERROR('Linha 2'!O244,"")</f>
        <v>1045450</v>
      </c>
      <c r="F12" s="8">
        <f>IFERROR('Linha 3'!O244,"")</f>
        <v>1569570</v>
      </c>
      <c r="G12" s="9">
        <f t="shared" si="0"/>
        <v>3946190</v>
      </c>
    </row>
    <row r="13" spans="1:7" ht="15.75" customHeight="1">
      <c r="A13" s="10">
        <v>10</v>
      </c>
      <c r="B13" s="73">
        <v>46213</v>
      </c>
      <c r="C13" s="11">
        <f>IFERROR(Britador!O271,"")</f>
        <v>3252750</v>
      </c>
      <c r="D13" s="11">
        <f>IFERROR('Linha 1'!O271,"")</f>
        <v>1256650</v>
      </c>
      <c r="E13" s="11">
        <f>IFERROR('Linha 2'!O271,"")</f>
        <v>939780</v>
      </c>
      <c r="F13" s="11">
        <f>IFERROR('Linha 3'!O271,"")</f>
        <v>2082930</v>
      </c>
      <c r="G13" s="12">
        <f t="shared" si="0"/>
        <v>4279360</v>
      </c>
    </row>
    <row r="14" spans="1:7" ht="15.75" customHeight="1">
      <c r="A14" s="7">
        <v>11</v>
      </c>
      <c r="B14" s="72">
        <v>46214</v>
      </c>
      <c r="C14" s="8">
        <f>IFERROR(Britador!O298,"")</f>
        <v>4291460</v>
      </c>
      <c r="D14" s="8">
        <f>IFERROR('Linha 1'!O298,"")</f>
        <v>1385120</v>
      </c>
      <c r="E14" s="8">
        <f>IFERROR('Linha 2'!O298,"")</f>
        <v>791700</v>
      </c>
      <c r="F14" s="8">
        <f>IFERROR('Linha 3'!O298,"")</f>
        <v>1836090</v>
      </c>
      <c r="G14" s="9">
        <f t="shared" si="0"/>
        <v>4012910</v>
      </c>
    </row>
    <row r="15" spans="1:7" ht="15.75" customHeight="1">
      <c r="A15" s="10">
        <v>12</v>
      </c>
      <c r="B15" s="73">
        <v>46215</v>
      </c>
      <c r="C15" s="11">
        <f>IFERROR(Britador!O325,"")</f>
        <v>2895688</v>
      </c>
      <c r="D15" s="11">
        <f>IFERROR('Linha 1'!O325,"")</f>
        <v>1129970</v>
      </c>
      <c r="E15" s="11">
        <f>IFERROR('Linha 2'!O325,"")</f>
        <v>982760</v>
      </c>
      <c r="F15" s="11">
        <f>IFERROR('Linha 3'!O325,"")</f>
        <v>1209300</v>
      </c>
      <c r="G15" s="12">
        <f t="shared" si="0"/>
        <v>3322030</v>
      </c>
    </row>
    <row r="16" spans="1:7" ht="15.75" customHeight="1">
      <c r="A16" s="7">
        <v>13</v>
      </c>
      <c r="B16" s="72">
        <v>46216</v>
      </c>
      <c r="C16" s="8">
        <f>IFERROR(Britador!O352,"")</f>
        <v>2226874</v>
      </c>
      <c r="D16" s="8">
        <f>IFERROR('Linha 1'!O352,"")</f>
        <v>1435420</v>
      </c>
      <c r="E16" s="8">
        <f>IFERROR('Linha 2'!O352,"")</f>
        <v>605940</v>
      </c>
      <c r="F16" s="8">
        <f>IFERROR('Linha 3'!O352,"")</f>
        <v>1476140</v>
      </c>
      <c r="G16" s="9">
        <f t="shared" si="0"/>
        <v>3517500</v>
      </c>
    </row>
    <row r="17" spans="1:7" ht="15.75" customHeight="1">
      <c r="A17" s="10">
        <v>14</v>
      </c>
      <c r="B17" s="73">
        <v>46217</v>
      </c>
      <c r="C17" s="11">
        <f>IFERROR(Britador!O379,"")</f>
        <v>3152920</v>
      </c>
      <c r="D17" s="11">
        <f>IFERROR('Linha 1'!O379,"")</f>
        <v>1320530</v>
      </c>
      <c r="E17" s="11">
        <f>IFERROR('Linha 2'!O379,"")</f>
        <v>502440</v>
      </c>
      <c r="F17" s="11">
        <f>IFERROR('Linha 3'!O379,"")</f>
        <v>1302680</v>
      </c>
      <c r="G17" s="12">
        <f t="shared" si="0"/>
        <v>3125650</v>
      </c>
    </row>
    <row r="18" spans="1:7" ht="15.75" customHeight="1">
      <c r="A18" s="7">
        <v>15</v>
      </c>
      <c r="B18" s="72">
        <v>46218</v>
      </c>
      <c r="C18" s="8">
        <f>IFERROR(Britador!O406,"")</f>
        <v>2778340</v>
      </c>
      <c r="D18" s="8">
        <f>IFERROR('Linha 1'!O406,"")</f>
        <v>834390</v>
      </c>
      <c r="E18" s="8">
        <f>IFERROR('Linha 2'!O406,"")</f>
        <v>907390</v>
      </c>
      <c r="F18" s="8">
        <f>IFERROR('Linha 3'!O406,"")</f>
        <v>1523700</v>
      </c>
      <c r="G18" s="9">
        <f>IFERROR(D18+E18+F18,"")</f>
        <v>3265480</v>
      </c>
    </row>
    <row r="19" spans="1:7" ht="15.75" customHeight="1">
      <c r="A19" s="10">
        <v>16</v>
      </c>
      <c r="B19" s="73">
        <v>46219</v>
      </c>
      <c r="C19" s="11">
        <f>IFERROR(Britador!O433,"")</f>
        <v>3402600</v>
      </c>
      <c r="D19" s="11">
        <f>IFERROR('Linha 1'!O433,"")</f>
        <v>1184540</v>
      </c>
      <c r="E19" s="11">
        <f>IFERROR('Linha 2'!O433,"")</f>
        <v>438150</v>
      </c>
      <c r="F19" s="11">
        <f>IFERROR('Linha 3'!O433,"")</f>
        <v>1096740</v>
      </c>
      <c r="G19" s="12">
        <f t="shared" si="0"/>
        <v>2719430</v>
      </c>
    </row>
    <row r="20" spans="1:7" ht="15.75" customHeight="1">
      <c r="A20" s="7">
        <v>17</v>
      </c>
      <c r="B20" s="72">
        <v>46220</v>
      </c>
      <c r="C20" s="8">
        <f>IFERROR(Britador!O460,"")</f>
        <v>3916480</v>
      </c>
      <c r="D20" s="8">
        <f>IFERROR('Linha 1'!O460,"")</f>
        <v>1480620</v>
      </c>
      <c r="E20" s="8">
        <f>IFERROR('Linha 2'!O460,"")</f>
        <v>601310</v>
      </c>
      <c r="F20" s="8">
        <f>IFERROR('Linha 3'!O460,"")</f>
        <v>1493700</v>
      </c>
      <c r="G20" s="9">
        <f t="shared" si="0"/>
        <v>3575630</v>
      </c>
    </row>
    <row r="21" spans="1:7" ht="15.75" customHeight="1">
      <c r="A21" s="10">
        <v>18</v>
      </c>
      <c r="B21" s="73">
        <v>46221</v>
      </c>
      <c r="C21" s="11">
        <f>IFERROR(Britador!O487,"")</f>
        <v>4344880</v>
      </c>
      <c r="D21" s="11">
        <f>IFERROR('Linha 1'!O487,"")</f>
        <v>1840440</v>
      </c>
      <c r="E21" s="11">
        <f>IFERROR('Linha 2'!O487,"")</f>
        <v>570490</v>
      </c>
      <c r="F21" s="11">
        <f>IFERROR('Linha 3'!O487,"")</f>
        <v>1895030</v>
      </c>
      <c r="G21" s="12">
        <f t="shared" si="0"/>
        <v>4305960</v>
      </c>
    </row>
    <row r="22" spans="1:7" ht="15.75" customHeight="1">
      <c r="A22" s="7">
        <v>19</v>
      </c>
      <c r="B22" s="72">
        <v>46222</v>
      </c>
      <c r="C22" s="8">
        <f>IFERROR(Britador!O514,"")</f>
        <v>3397119</v>
      </c>
      <c r="D22" s="8">
        <f>IFERROR('Linha 1'!O514,"")</f>
        <v>1307150</v>
      </c>
      <c r="E22" s="8">
        <f>IFERROR('Linha 2'!O514,"")</f>
        <v>593040</v>
      </c>
      <c r="F22" s="8">
        <f>IFERROR('Linha 3'!O514,"")</f>
        <v>1447870</v>
      </c>
      <c r="G22" s="9">
        <f t="shared" si="0"/>
        <v>3348060</v>
      </c>
    </row>
    <row r="23" spans="1:7" ht="15.75" customHeight="1">
      <c r="A23" s="10">
        <v>20</v>
      </c>
      <c r="B23" s="73">
        <v>46223</v>
      </c>
      <c r="C23" s="11">
        <f>IFERROR(Britador!O541,"")</f>
        <v>2402710</v>
      </c>
      <c r="D23" s="11">
        <f>IFERROR('Linha 1'!O541,"")</f>
        <v>1375020</v>
      </c>
      <c r="E23" s="11">
        <f>IFERROR('Linha 2'!O541,"")</f>
        <v>429840</v>
      </c>
      <c r="F23" s="11">
        <f>IFERROR('Linha 3'!O541,"")</f>
        <v>766880</v>
      </c>
      <c r="G23" s="12">
        <f t="shared" si="0"/>
        <v>2571740</v>
      </c>
    </row>
    <row r="24" spans="1:7" ht="15.75" customHeight="1">
      <c r="A24" s="7">
        <v>21</v>
      </c>
      <c r="B24" s="72">
        <v>46224</v>
      </c>
      <c r="C24" s="8">
        <f>IFERROR(Britador!O568,"")</f>
        <v>2208200</v>
      </c>
      <c r="D24" s="8">
        <f>IFERROR('Linha 1'!O568,"")</f>
        <v>1725890</v>
      </c>
      <c r="E24" s="8">
        <f>IFERROR('Linha 2'!O568,"")</f>
        <v>487780</v>
      </c>
      <c r="F24" s="8">
        <f>IFERROR('Linha 3'!O568,"")</f>
        <v>1083200</v>
      </c>
      <c r="G24" s="9">
        <f t="shared" si="0"/>
        <v>3296870</v>
      </c>
    </row>
    <row r="25" spans="1:7" ht="15.75" customHeight="1">
      <c r="A25" s="10">
        <v>22</v>
      </c>
      <c r="B25" s="73">
        <v>46225</v>
      </c>
      <c r="C25" s="11">
        <f>IFERROR(Britador!O595,"")</f>
        <v>2666800</v>
      </c>
      <c r="D25" s="11">
        <f>IFERROR('Linha 1'!O595,"")</f>
        <v>1610900</v>
      </c>
      <c r="E25" s="11">
        <f>IFERROR('Linha 2'!O595,"")</f>
        <v>647530</v>
      </c>
      <c r="F25" s="11">
        <f>IFERROR('Linha 3'!O595,"")</f>
        <v>572580</v>
      </c>
      <c r="G25" s="12">
        <f t="shared" si="0"/>
        <v>2831010</v>
      </c>
    </row>
    <row r="26" spans="1:7" ht="15.75" customHeight="1">
      <c r="A26" s="7">
        <v>23</v>
      </c>
      <c r="B26" s="72">
        <v>46226</v>
      </c>
      <c r="C26" s="8">
        <f>IFERROR(Britador!O622,"")</f>
        <v>3728847</v>
      </c>
      <c r="D26" s="8">
        <f>IFERROR('Linha 1'!O622,"")</f>
        <v>1111290</v>
      </c>
      <c r="E26" s="8">
        <f>IFERROR('Linha 2'!O622,"")</f>
        <v>1109480</v>
      </c>
      <c r="F26" s="8">
        <f>IFERROR('Linha 3'!O622,"")</f>
        <v>1100720</v>
      </c>
      <c r="G26" s="9">
        <f t="shared" si="0"/>
        <v>3321490</v>
      </c>
    </row>
    <row r="27" spans="1:7" ht="15.75" customHeight="1">
      <c r="A27" s="10">
        <v>24</v>
      </c>
      <c r="B27" s="73">
        <v>46227</v>
      </c>
      <c r="C27" s="11">
        <f>IFERROR(Britador!O649,"")</f>
        <v>4167800</v>
      </c>
      <c r="D27" s="11">
        <f>IFERROR('Linha 1'!O649,"")</f>
        <v>1265250</v>
      </c>
      <c r="E27" s="11">
        <f>IFERROR('Linha 2'!O649,"")</f>
        <v>978870</v>
      </c>
      <c r="F27" s="11">
        <f>IFERROR('Linha 3'!O649,"")</f>
        <v>645270</v>
      </c>
      <c r="G27" s="12">
        <f t="shared" si="0"/>
        <v>2889390</v>
      </c>
    </row>
    <row r="28" spans="1:7" ht="15.75" customHeight="1">
      <c r="A28" s="7">
        <v>25</v>
      </c>
      <c r="B28" s="72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3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2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3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2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3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3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107" t="s">
        <v>9</v>
      </c>
      <c r="B35" s="107"/>
      <c r="C35" s="13">
        <f>IFERROR(SUM(C4:C34),"")</f>
        <v>75156798</v>
      </c>
      <c r="D35" s="13">
        <f>IFERROR(SUM(D4:D34),"")</f>
        <v>29481690</v>
      </c>
      <c r="E35" s="13">
        <f>IFERROR(SUM(E4:E34),"")</f>
        <v>17063770</v>
      </c>
      <c r="F35" s="13">
        <f>IFERROR(SUM(F4:F34),"")</f>
        <v>31043010</v>
      </c>
      <c r="G35" s="13">
        <f>IFERROR(SUM(G4:G34),"")</f>
        <v>77588470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D1" zoomScale="85" zoomScaleNormal="85" workbookViewId="0">
      <selection activeCell="K74" sqref="K74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108" t="s">
        <v>10</v>
      </c>
      <c r="B1" s="108"/>
      <c r="C1" s="108"/>
      <c r="D1" s="108"/>
      <c r="E1" s="108"/>
      <c r="F1" s="108"/>
      <c r="G1" s="108"/>
      <c r="H1" s="109"/>
      <c r="I1" s="110" t="s">
        <v>11</v>
      </c>
      <c r="J1" s="110"/>
      <c r="K1" s="110"/>
      <c r="L1" s="110"/>
      <c r="M1" s="110"/>
    </row>
    <row r="2" spans="1:13" ht="4.5" customHeight="1">
      <c r="H2" s="109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109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109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109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109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109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109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109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109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109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109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109"/>
      <c r="I13" s="17"/>
      <c r="J13" s="17" t="s">
        <v>81</v>
      </c>
      <c r="K13" s="17" t="s">
        <v>82</v>
      </c>
      <c r="L13" s="17" t="s">
        <v>83</v>
      </c>
      <c r="M13" s="17" t="s">
        <v>84</v>
      </c>
    </row>
    <row r="14" spans="1:13" ht="15.75" customHeight="1">
      <c r="A14" s="16"/>
      <c r="C14" s="16"/>
      <c r="E14" s="16"/>
      <c r="G14" s="16" t="s">
        <v>85</v>
      </c>
      <c r="H14" s="109"/>
      <c r="I14" s="16" t="s">
        <v>86</v>
      </c>
      <c r="J14" s="16" t="s">
        <v>87</v>
      </c>
      <c r="K14" s="16" t="s">
        <v>88</v>
      </c>
      <c r="L14" s="16" t="s">
        <v>89</v>
      </c>
      <c r="M14" s="16" t="s">
        <v>90</v>
      </c>
    </row>
    <row r="15" spans="1:13" ht="15.75" customHeight="1">
      <c r="A15" s="17"/>
      <c r="C15" s="17"/>
      <c r="E15" s="17"/>
      <c r="G15" s="17" t="s">
        <v>91</v>
      </c>
      <c r="H15" s="109"/>
      <c r="I15" s="17" t="s">
        <v>92</v>
      </c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109"/>
      <c r="I16" s="16" t="s">
        <v>98</v>
      </c>
      <c r="J16" s="16" t="s">
        <v>99</v>
      </c>
      <c r="K16" s="16" t="s">
        <v>100</v>
      </c>
      <c r="L16" s="16" t="s">
        <v>101</v>
      </c>
      <c r="M16" s="16" t="s">
        <v>102</v>
      </c>
    </row>
    <row r="17" spans="1:13" ht="15.75" customHeight="1">
      <c r="A17" s="17"/>
      <c r="C17" s="17"/>
      <c r="E17" s="17"/>
      <c r="G17" s="17" t="s">
        <v>103</v>
      </c>
      <c r="H17" s="109"/>
      <c r="I17" s="17" t="s">
        <v>104</v>
      </c>
      <c r="J17" s="17" t="s">
        <v>105</v>
      </c>
      <c r="K17" s="17" t="s">
        <v>106</v>
      </c>
      <c r="L17" s="17" t="s">
        <v>107</v>
      </c>
      <c r="M17" s="17" t="s">
        <v>108</v>
      </c>
    </row>
    <row r="18" spans="1:13" ht="15.75" customHeight="1">
      <c r="A18" s="16"/>
      <c r="C18" s="16"/>
      <c r="E18" s="16"/>
      <c r="G18" s="16" t="s">
        <v>109</v>
      </c>
      <c r="H18" s="109"/>
      <c r="I18" s="16"/>
      <c r="J18" s="16" t="s">
        <v>110</v>
      </c>
      <c r="K18" s="16" t="s">
        <v>111</v>
      </c>
      <c r="L18" s="16" t="s">
        <v>112</v>
      </c>
      <c r="M18" s="16" t="s">
        <v>113</v>
      </c>
    </row>
    <row r="19" spans="1:13" ht="15.75" customHeight="1">
      <c r="A19" s="17"/>
      <c r="C19" s="17"/>
      <c r="E19" s="17"/>
      <c r="G19" s="17" t="s">
        <v>114</v>
      </c>
      <c r="H19" s="109"/>
      <c r="I19" s="17"/>
      <c r="J19" s="17"/>
      <c r="K19" s="17" t="s">
        <v>115</v>
      </c>
      <c r="L19" s="17"/>
      <c r="M19" s="17" t="s">
        <v>116</v>
      </c>
    </row>
    <row r="20" spans="1:13" ht="15.75" customHeight="1">
      <c r="A20" s="16"/>
      <c r="C20" s="16"/>
      <c r="E20" s="16"/>
      <c r="G20" s="16" t="s">
        <v>117</v>
      </c>
      <c r="H20" s="109"/>
      <c r="I20" s="16"/>
      <c r="J20" s="16"/>
      <c r="K20" s="16" t="s">
        <v>118</v>
      </c>
      <c r="L20" s="16"/>
      <c r="M20" s="16" t="s">
        <v>119</v>
      </c>
    </row>
    <row r="21" spans="1:13" ht="15.75" customHeight="1">
      <c r="A21" s="17"/>
      <c r="C21" s="17"/>
      <c r="E21" s="17"/>
      <c r="G21" s="17" t="s">
        <v>120</v>
      </c>
      <c r="H21" s="109"/>
      <c r="I21" s="17"/>
      <c r="J21" s="17"/>
      <c r="K21" s="17" t="s">
        <v>121</v>
      </c>
      <c r="L21" s="17"/>
      <c r="M21" s="17" t="s">
        <v>122</v>
      </c>
    </row>
    <row r="22" spans="1:13" ht="15.75" customHeight="1">
      <c r="A22" s="16"/>
      <c r="C22" s="16"/>
      <c r="E22" s="16"/>
      <c r="G22" s="16" t="s">
        <v>123</v>
      </c>
      <c r="H22" s="109"/>
      <c r="I22" s="16"/>
      <c r="J22" s="16"/>
      <c r="K22" s="16" t="s">
        <v>124</v>
      </c>
      <c r="L22" s="16"/>
      <c r="M22" s="16" t="s">
        <v>125</v>
      </c>
    </row>
    <row r="23" spans="1:13" ht="15.75" customHeight="1">
      <c r="A23" s="17"/>
      <c r="C23" s="17"/>
      <c r="E23" s="17"/>
      <c r="G23" s="17" t="s">
        <v>126</v>
      </c>
      <c r="H23" s="109"/>
      <c r="I23" s="17"/>
      <c r="J23" s="17"/>
      <c r="K23" s="17" t="s">
        <v>127</v>
      </c>
      <c r="L23" s="17"/>
      <c r="M23" s="17" t="s">
        <v>128</v>
      </c>
    </row>
    <row r="24" spans="1:13" ht="15.75" customHeight="1">
      <c r="A24" s="16"/>
      <c r="C24" s="16"/>
      <c r="E24" s="16"/>
      <c r="G24" s="16" t="s">
        <v>129</v>
      </c>
      <c r="H24" s="109"/>
      <c r="I24" s="16"/>
      <c r="J24" s="16"/>
      <c r="K24" s="16" t="s">
        <v>130</v>
      </c>
      <c r="L24" s="16"/>
      <c r="M24" s="16" t="s">
        <v>131</v>
      </c>
    </row>
    <row r="25" spans="1:13" ht="15.75" customHeight="1">
      <c r="A25" s="17"/>
      <c r="C25" s="17"/>
      <c r="E25" s="17"/>
      <c r="G25" s="17" t="s">
        <v>132</v>
      </c>
      <c r="H25" s="109"/>
      <c r="I25" s="17"/>
      <c r="J25" s="17"/>
      <c r="K25" s="17" t="s">
        <v>133</v>
      </c>
      <c r="L25" s="17"/>
      <c r="M25" s="17" t="s">
        <v>134</v>
      </c>
    </row>
    <row r="26" spans="1:13" ht="15.75" customHeight="1">
      <c r="A26" s="16"/>
      <c r="C26" s="16"/>
      <c r="E26" s="16"/>
      <c r="G26" s="16" t="s">
        <v>135</v>
      </c>
      <c r="H26" s="109"/>
      <c r="I26" s="16"/>
      <c r="J26" s="16"/>
      <c r="K26" s="16" t="s">
        <v>136</v>
      </c>
      <c r="L26" s="16"/>
      <c r="M26" s="16"/>
    </row>
    <row r="27" spans="1:13" ht="15.75" customHeight="1">
      <c r="A27" s="17"/>
      <c r="C27" s="17"/>
      <c r="E27" s="17"/>
      <c r="G27" s="17" t="s">
        <v>137</v>
      </c>
      <c r="H27" s="109"/>
      <c r="I27" s="17"/>
      <c r="J27" s="17"/>
      <c r="K27" s="17" t="s">
        <v>128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138</v>
      </c>
      <c r="H28" s="109"/>
      <c r="I28" s="16"/>
      <c r="J28" s="16"/>
      <c r="K28" s="16" t="s">
        <v>131</v>
      </c>
      <c r="L28" s="16"/>
      <c r="M28" s="16" t="s">
        <v>139</v>
      </c>
    </row>
    <row r="29" spans="1:13" ht="15.75" customHeight="1">
      <c r="A29" s="17"/>
      <c r="C29" s="17"/>
      <c r="E29" s="17"/>
      <c r="G29" s="17" t="s">
        <v>140</v>
      </c>
      <c r="H29" s="109"/>
      <c r="I29" s="17"/>
      <c r="J29" s="17"/>
      <c r="K29" s="17" t="s">
        <v>141</v>
      </c>
      <c r="L29" s="17"/>
      <c r="M29" s="17" t="s">
        <v>142</v>
      </c>
    </row>
    <row r="30" spans="1:13" ht="15.75" customHeight="1">
      <c r="A30" s="16"/>
      <c r="C30" s="16"/>
      <c r="E30" s="16"/>
      <c r="G30" s="16" t="s">
        <v>143</v>
      </c>
      <c r="H30" s="109"/>
      <c r="I30" s="16"/>
      <c r="J30" s="16"/>
      <c r="K30" s="16" t="s">
        <v>144</v>
      </c>
      <c r="L30" s="16"/>
      <c r="M30" s="16" t="s">
        <v>145</v>
      </c>
    </row>
    <row r="31" spans="1:13" ht="15.75" customHeight="1">
      <c r="A31" s="17"/>
      <c r="C31" s="17"/>
      <c r="E31" s="17"/>
      <c r="G31" s="17" t="s">
        <v>146</v>
      </c>
      <c r="H31" s="109"/>
      <c r="I31" s="17"/>
      <c r="J31" s="17"/>
      <c r="K31" s="18" t="s">
        <v>147</v>
      </c>
      <c r="L31" s="17"/>
      <c r="M31" s="17" t="s">
        <v>148</v>
      </c>
    </row>
    <row r="32" spans="1:13" ht="15.75" customHeight="1">
      <c r="A32" s="16"/>
      <c r="C32" s="16"/>
      <c r="E32" s="16"/>
      <c r="G32" s="16" t="s">
        <v>149</v>
      </c>
      <c r="H32" s="109"/>
      <c r="I32" s="16"/>
      <c r="J32" s="16"/>
      <c r="K32" s="16" t="s">
        <v>150</v>
      </c>
      <c r="L32" s="16"/>
      <c r="M32" t="s">
        <v>151</v>
      </c>
    </row>
    <row r="33" spans="1:13" ht="15.75" customHeight="1">
      <c r="A33" s="17"/>
      <c r="C33" s="17"/>
      <c r="E33" s="17"/>
      <c r="G33" s="17" t="s">
        <v>152</v>
      </c>
      <c r="H33" s="109"/>
      <c r="I33" s="17"/>
      <c r="J33" s="17"/>
      <c r="K33" s="18" t="s">
        <v>153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154</v>
      </c>
      <c r="H34" s="109"/>
      <c r="I34" s="16"/>
      <c r="J34" s="16"/>
      <c r="K34" s="16" t="s">
        <v>79</v>
      </c>
      <c r="L34" s="16"/>
      <c r="M34" s="16" t="s">
        <v>155</v>
      </c>
    </row>
    <row r="35" spans="1:13" ht="15.75" customHeight="1">
      <c r="A35" s="17"/>
      <c r="C35" s="17"/>
      <c r="E35" s="17"/>
      <c r="G35" s="17" t="s">
        <v>156</v>
      </c>
      <c r="H35" s="109"/>
      <c r="I35" s="17"/>
      <c r="J35" s="17"/>
      <c r="K35" s="17" t="s">
        <v>157</v>
      </c>
      <c r="L35" s="17"/>
      <c r="M35" s="17" t="s">
        <v>158</v>
      </c>
    </row>
    <row r="36" spans="1:13" ht="15.75" customHeight="1">
      <c r="A36" s="16"/>
      <c r="C36" s="16"/>
      <c r="E36" s="16"/>
      <c r="G36" s="16" t="s">
        <v>159</v>
      </c>
      <c r="H36" s="109"/>
      <c r="I36" s="16"/>
      <c r="J36" s="16"/>
      <c r="K36" s="16" t="s">
        <v>160</v>
      </c>
      <c r="L36" s="16"/>
      <c r="M36" s="16" t="s">
        <v>161</v>
      </c>
    </row>
    <row r="37" spans="1:13" ht="15.75" customHeight="1">
      <c r="A37" s="17"/>
      <c r="C37" s="17"/>
      <c r="E37" s="17"/>
      <c r="G37" s="17" t="s">
        <v>162</v>
      </c>
      <c r="H37" s="109"/>
      <c r="I37" s="17"/>
      <c r="J37" s="17"/>
      <c r="K37" s="17" t="s">
        <v>163</v>
      </c>
      <c r="L37" s="17"/>
      <c r="M37" s="17" t="s">
        <v>164</v>
      </c>
    </row>
    <row r="38" spans="1:13" ht="15.75" customHeight="1">
      <c r="A38" s="16"/>
      <c r="C38" s="16"/>
      <c r="E38" s="16"/>
      <c r="G38" s="16" t="s">
        <v>165</v>
      </c>
      <c r="H38" s="109"/>
      <c r="I38" s="16"/>
      <c r="J38" s="16"/>
      <c r="K38" s="16" t="s">
        <v>166</v>
      </c>
      <c r="L38" s="16"/>
      <c r="M38" s="16" t="s">
        <v>167</v>
      </c>
    </row>
    <row r="39" spans="1:13" ht="15.75" customHeight="1">
      <c r="A39" s="17"/>
      <c r="C39" s="17"/>
      <c r="E39" s="17"/>
      <c r="G39" s="17"/>
      <c r="H39" s="109"/>
      <c r="I39" s="17"/>
      <c r="J39" s="17"/>
      <c r="K39" s="17" t="s">
        <v>168</v>
      </c>
      <c r="L39" s="17"/>
      <c r="M39" s="17" t="s">
        <v>169</v>
      </c>
    </row>
    <row r="40" spans="1:13" ht="15.75" customHeight="1">
      <c r="A40" s="16"/>
      <c r="C40" s="16"/>
      <c r="E40" s="16"/>
      <c r="G40" s="16"/>
      <c r="H40" s="109"/>
      <c r="I40" s="16"/>
      <c r="J40" s="16"/>
      <c r="K40" s="16" t="s">
        <v>170</v>
      </c>
      <c r="L40" s="16"/>
      <c r="M40" s="16" t="s">
        <v>171</v>
      </c>
    </row>
    <row r="41" spans="1:13" ht="15.75" customHeight="1">
      <c r="A41" s="17"/>
      <c r="C41" s="17"/>
      <c r="E41" s="17"/>
      <c r="G41" s="17"/>
      <c r="H41" s="109"/>
      <c r="I41" s="17"/>
      <c r="J41" s="17"/>
      <c r="K41" s="17" t="s">
        <v>172</v>
      </c>
      <c r="L41" s="17"/>
      <c r="M41" s="17" t="s">
        <v>173</v>
      </c>
    </row>
    <row r="42" spans="1:13" ht="15.75" customHeight="1">
      <c r="A42" s="16"/>
      <c r="C42" s="16"/>
      <c r="E42" s="16"/>
      <c r="G42" s="16"/>
      <c r="H42" s="109"/>
      <c r="I42" s="16"/>
      <c r="J42" s="16"/>
      <c r="K42" s="16" t="s">
        <v>174</v>
      </c>
      <c r="L42" s="16"/>
      <c r="M42" s="16" t="s">
        <v>175</v>
      </c>
    </row>
    <row r="43" spans="1:13" ht="15.75" customHeight="1">
      <c r="A43" s="17"/>
      <c r="C43" s="17"/>
      <c r="E43" s="17"/>
      <c r="G43" s="17"/>
      <c r="H43" s="109"/>
      <c r="I43" s="17"/>
      <c r="J43" s="17"/>
      <c r="K43" s="17" t="s">
        <v>176</v>
      </c>
      <c r="L43" s="17"/>
      <c r="M43" s="17" t="s">
        <v>177</v>
      </c>
    </row>
    <row r="44" spans="1:13" ht="15.75" customHeight="1">
      <c r="A44" s="16"/>
      <c r="C44" s="16"/>
      <c r="E44" s="16"/>
      <c r="G44" s="16"/>
      <c r="H44" s="109"/>
      <c r="I44" s="16"/>
      <c r="J44" s="16"/>
      <c r="K44" s="16" t="s">
        <v>178</v>
      </c>
      <c r="L44" s="16"/>
      <c r="M44" s="16" t="s">
        <v>179</v>
      </c>
    </row>
    <row r="45" spans="1:13" ht="15.75" customHeight="1">
      <c r="A45" s="17"/>
      <c r="C45" s="17"/>
      <c r="E45" s="17"/>
      <c r="G45" s="17"/>
      <c r="H45" s="109"/>
      <c r="I45" s="17"/>
      <c r="J45" s="17"/>
      <c r="K45" s="17"/>
      <c r="L45" s="17"/>
      <c r="M45" s="17" t="s">
        <v>180</v>
      </c>
    </row>
    <row r="46" spans="1:13" ht="15.75" customHeight="1">
      <c r="A46" s="16"/>
      <c r="C46" s="16"/>
      <c r="E46" s="16"/>
      <c r="G46" s="16"/>
      <c r="H46" s="109"/>
      <c r="I46" s="16"/>
      <c r="J46" s="16"/>
      <c r="K46" s="16" t="s">
        <v>181</v>
      </c>
      <c r="L46" s="16"/>
      <c r="M46" s="16" t="s">
        <v>182</v>
      </c>
    </row>
    <row r="47" spans="1:13" ht="15.75" customHeight="1">
      <c r="A47" s="17"/>
      <c r="C47" s="17"/>
      <c r="E47" s="17"/>
      <c r="G47" s="17"/>
      <c r="H47" s="109"/>
      <c r="I47" s="17"/>
      <c r="J47" s="17"/>
      <c r="K47" s="17" t="s">
        <v>183</v>
      </c>
      <c r="L47" s="17"/>
      <c r="M47" s="17" t="s">
        <v>184</v>
      </c>
    </row>
    <row r="48" spans="1:13" ht="15.75" customHeight="1">
      <c r="A48" s="16"/>
      <c r="C48" s="16"/>
      <c r="E48" s="16"/>
      <c r="G48" s="16"/>
      <c r="H48" s="109"/>
      <c r="I48" s="16"/>
      <c r="J48" s="16"/>
      <c r="K48" s="16" t="s">
        <v>185</v>
      </c>
      <c r="L48" s="16"/>
      <c r="M48" s="16" t="s">
        <v>186</v>
      </c>
    </row>
    <row r="49" spans="1:13" ht="18" customHeight="1">
      <c r="H49" s="109"/>
      <c r="I49" s="17"/>
      <c r="J49" s="17"/>
      <c r="K49" s="17" t="s">
        <v>187</v>
      </c>
      <c r="L49" s="17"/>
      <c r="M49" s="17" t="s">
        <v>188</v>
      </c>
    </row>
    <row r="50" spans="1:13" ht="21" customHeight="1">
      <c r="A50" s="19" t="s">
        <v>189</v>
      </c>
      <c r="B50" s="19"/>
      <c r="C50" s="19"/>
      <c r="D50" s="19"/>
      <c r="E50" s="19"/>
      <c r="F50" s="19"/>
      <c r="G50" s="19"/>
      <c r="H50" s="109"/>
      <c r="I50" s="16"/>
      <c r="J50" s="16"/>
      <c r="K50" s="16" t="s">
        <v>190</v>
      </c>
      <c r="L50" s="16"/>
      <c r="M50" s="16" t="s">
        <v>191</v>
      </c>
    </row>
    <row r="51" spans="1:13" ht="24" customHeight="1">
      <c r="H51" s="109"/>
      <c r="I51" s="17"/>
      <c r="J51" s="17"/>
      <c r="K51" s="17" t="s">
        <v>192</v>
      </c>
      <c r="L51" s="17"/>
      <c r="M51" s="17" t="s">
        <v>193</v>
      </c>
    </row>
    <row r="52" spans="1:13" ht="24" customHeight="1">
      <c r="H52" s="109"/>
      <c r="I52" s="16"/>
      <c r="J52" s="16"/>
      <c r="K52" s="16" t="s">
        <v>194</v>
      </c>
      <c r="L52" s="16"/>
      <c r="M52" s="16" t="s">
        <v>195</v>
      </c>
    </row>
    <row r="53" spans="1:13" ht="36" customHeight="1">
      <c r="H53" s="109"/>
      <c r="I53" s="17"/>
      <c r="J53" s="17"/>
      <c r="K53" s="17" t="s">
        <v>196</v>
      </c>
      <c r="L53" s="17"/>
      <c r="M53" s="17" t="s">
        <v>197</v>
      </c>
    </row>
    <row r="54" spans="1:13" ht="15" customHeight="1">
      <c r="H54" s="109"/>
      <c r="I54" s="16"/>
      <c r="J54" s="16"/>
      <c r="K54" s="16" t="s">
        <v>198</v>
      </c>
      <c r="L54" s="16"/>
      <c r="M54" s="16" t="s">
        <v>199</v>
      </c>
    </row>
    <row r="55" spans="1:13" ht="15" customHeight="1">
      <c r="H55" s="109"/>
      <c r="I55" s="17"/>
      <c r="J55" s="17"/>
      <c r="K55" s="17" t="s">
        <v>200</v>
      </c>
      <c r="L55" s="17"/>
      <c r="M55" s="17" t="s">
        <v>201</v>
      </c>
    </row>
    <row r="56" spans="1:13" ht="15" customHeight="1">
      <c r="H56" s="109"/>
      <c r="I56" s="16"/>
      <c r="J56" s="16"/>
      <c r="K56" s="16" t="s">
        <v>202</v>
      </c>
      <c r="L56" s="16"/>
      <c r="M56" s="16" t="s">
        <v>203</v>
      </c>
    </row>
    <row r="57" spans="1:13" ht="15" customHeight="1">
      <c r="H57" s="109"/>
      <c r="I57" s="17"/>
      <c r="J57" s="17"/>
      <c r="K57" s="17" t="s">
        <v>50</v>
      </c>
      <c r="L57" s="17"/>
      <c r="M57" s="17"/>
    </row>
    <row r="58" spans="1:13" ht="15" customHeight="1">
      <c r="H58" s="109"/>
      <c r="I58" s="16"/>
      <c r="J58" s="16"/>
      <c r="K58" s="16" t="s">
        <v>204</v>
      </c>
      <c r="L58" s="16"/>
      <c r="M58" s="16"/>
    </row>
    <row r="59" spans="1:13" ht="15" customHeight="1">
      <c r="H59" s="109"/>
      <c r="I59" s="17"/>
      <c r="J59" s="17"/>
      <c r="K59" s="17" t="s">
        <v>205</v>
      </c>
      <c r="L59" s="17"/>
      <c r="M59" s="17"/>
    </row>
    <row r="60" spans="1:13" ht="15" customHeight="1">
      <c r="H60" s="109"/>
      <c r="I60" s="16"/>
      <c r="J60" s="16"/>
      <c r="K60" s="86" t="s">
        <v>105</v>
      </c>
      <c r="L60" s="16"/>
      <c r="M60" s="16"/>
    </row>
    <row r="61" spans="1:13" ht="15" customHeight="1">
      <c r="H61" s="109"/>
      <c r="I61" s="17"/>
      <c r="J61" s="17"/>
      <c r="K61" s="17" t="s">
        <v>206</v>
      </c>
      <c r="L61" s="17"/>
      <c r="M61" s="17"/>
    </row>
    <row r="62" spans="1:13" ht="15" customHeight="1">
      <c r="H62" s="109"/>
      <c r="I62" s="16"/>
      <c r="J62" s="16"/>
      <c r="K62" s="16" t="s">
        <v>207</v>
      </c>
      <c r="L62" s="16"/>
      <c r="M62" s="16"/>
    </row>
    <row r="63" spans="1:13" ht="15" customHeight="1">
      <c r="H63" s="109"/>
      <c r="I63" s="17"/>
      <c r="J63" s="17"/>
      <c r="K63" s="17" t="s">
        <v>208</v>
      </c>
      <c r="L63" s="17"/>
      <c r="M63" s="17"/>
    </row>
    <row r="64" spans="1:13" ht="15" customHeight="1">
      <c r="H64" s="109"/>
      <c r="I64" s="16"/>
      <c r="J64" s="16"/>
      <c r="K64" s="16" t="s">
        <v>209</v>
      </c>
      <c r="L64" s="16"/>
      <c r="M64" s="16"/>
    </row>
    <row r="65" spans="8:13" ht="15" customHeight="1">
      <c r="H65" s="109"/>
      <c r="I65" s="17"/>
      <c r="J65" s="17"/>
      <c r="K65" s="17" t="s">
        <v>210</v>
      </c>
      <c r="L65" s="17"/>
      <c r="M65" s="17"/>
    </row>
    <row r="66" spans="8:13" ht="15" customHeight="1">
      <c r="H66" s="109"/>
      <c r="I66" s="16"/>
      <c r="J66" s="16"/>
      <c r="K66" s="16" t="s">
        <v>211</v>
      </c>
      <c r="L66" s="16"/>
      <c r="M66" s="16"/>
    </row>
    <row r="67" spans="8:13" ht="15" customHeight="1">
      <c r="H67" s="109"/>
      <c r="I67" s="17"/>
      <c r="J67" s="17"/>
      <c r="K67" s="17" t="s">
        <v>212</v>
      </c>
      <c r="L67" s="17"/>
      <c r="M67" s="17"/>
    </row>
    <row r="68" spans="8:13" ht="15" customHeight="1">
      <c r="H68" s="109"/>
      <c r="I68" s="16"/>
      <c r="J68" s="16"/>
      <c r="K68" s="16" t="s">
        <v>213</v>
      </c>
      <c r="L68" s="16"/>
      <c r="M68" s="16"/>
    </row>
    <row r="69" spans="8:13" ht="15" customHeight="1">
      <c r="H69" s="109"/>
      <c r="I69" s="17"/>
      <c r="J69" s="17"/>
      <c r="K69" s="17" t="s">
        <v>214</v>
      </c>
      <c r="L69" s="17"/>
      <c r="M69" s="17"/>
    </row>
    <row r="70" spans="8:13" ht="15" customHeight="1">
      <c r="H70" s="109"/>
      <c r="I70" s="16"/>
      <c r="J70" s="16"/>
      <c r="K70" s="16" t="s">
        <v>215</v>
      </c>
      <c r="L70" s="16"/>
      <c r="M70" s="16"/>
    </row>
    <row r="71" spans="8:13" ht="15" customHeight="1">
      <c r="H71" s="109"/>
      <c r="I71" s="17"/>
      <c r="J71" s="17"/>
      <c r="K71" s="17" t="s">
        <v>216</v>
      </c>
      <c r="L71" s="17"/>
      <c r="M71" s="17"/>
    </row>
    <row r="72" spans="8:13" ht="15" customHeight="1">
      <c r="H72" s="109"/>
      <c r="I72" s="16"/>
      <c r="J72" s="16"/>
      <c r="K72" s="16" t="s">
        <v>217</v>
      </c>
      <c r="L72" s="16"/>
      <c r="M72" s="16"/>
    </row>
    <row r="73" spans="8:13" ht="15" customHeight="1">
      <c r="H73" s="109"/>
      <c r="I73" s="17"/>
      <c r="J73" s="17"/>
      <c r="K73" s="17" t="s">
        <v>218</v>
      </c>
      <c r="L73" s="17"/>
      <c r="M73" s="17"/>
    </row>
    <row r="74" spans="8:13" ht="15" customHeight="1">
      <c r="H74" s="109"/>
      <c r="I74" s="16"/>
      <c r="J74" s="16"/>
      <c r="K74" s="16"/>
      <c r="L74" s="16"/>
      <c r="M74" s="16"/>
    </row>
    <row r="75" spans="8:13" ht="15" customHeight="1">
      <c r="H75" s="109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2"/>
  <sheetViews>
    <sheetView showGridLines="0" zoomScale="60" zoomScaleNormal="60" workbookViewId="0">
      <pane ySplit="1" topLeftCell="A645" activePane="bottomLeft" state="frozen"/>
      <selection pane="bottomLeft" activeCell="F656" sqref="F656"/>
    </sheetView>
  </sheetViews>
  <sheetFormatPr defaultColWidth="8.5703125" defaultRowHeight="14.45"/>
  <cols>
    <col min="1" max="1" width="13" style="70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45.710937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20" t="s">
        <v>229</v>
      </c>
      <c r="E2" s="59" t="s">
        <v>230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107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231</v>
      </c>
      <c r="O2" s="31"/>
    </row>
    <row r="3" spans="1:15" ht="15" customHeight="1">
      <c r="A3" s="69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230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142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8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230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69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230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8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230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69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230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8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230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69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230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8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230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69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230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8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230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69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230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233</v>
      </c>
      <c r="O14" s="39">
        <v>1489420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230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230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230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230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230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230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230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230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230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230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230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230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233</v>
      </c>
      <c r="O27" s="39">
        <v>1183060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236</v>
      </c>
      <c r="O28" s="43">
        <f>IFERROR(O14+O27,"")</f>
        <v>2672480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230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230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183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237</v>
      </c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230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230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230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230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230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230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230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230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230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230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233</v>
      </c>
      <c r="O41" s="39">
        <v>108620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230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230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230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230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230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230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230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230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230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230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230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230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233</v>
      </c>
      <c r="O54" s="39">
        <v>959290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236</v>
      </c>
      <c r="O55" s="43">
        <f>IFERROR(O41+O54,"")</f>
        <v>1067910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230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230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230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230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230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230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230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230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230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230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230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230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233</v>
      </c>
      <c r="O68" s="39">
        <v>1953130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230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180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230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131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238</v>
      </c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230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230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230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230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230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230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230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230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230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230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233</v>
      </c>
      <c r="O81" s="39">
        <v>878050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236</v>
      </c>
      <c r="O82" s="43">
        <f>IFERROR(O68+O81,"")</f>
        <v>2831180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166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239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 t="s">
        <v>20</v>
      </c>
      <c r="I85" s="33" t="s">
        <v>143</v>
      </c>
      <c r="J85" s="33" t="s">
        <v>128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192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230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230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233</v>
      </c>
      <c r="O95" s="39">
        <v>1704450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240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233</v>
      </c>
      <c r="O108" s="39">
        <v>1700000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236</v>
      </c>
      <c r="O109" s="43">
        <f>IFERROR(O95+O108,"")</f>
        <v>3404450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230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200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230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230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230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230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230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230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230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230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230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230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230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233</v>
      </c>
      <c r="O122" s="39">
        <v>1625420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186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188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233</v>
      </c>
      <c r="O135" s="39">
        <v>862330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236</v>
      </c>
      <c r="O136" s="43">
        <f>IFERROR(O122+O135,"")</f>
        <v>2487750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186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107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233</v>
      </c>
      <c r="O149" s="44">
        <v>1121220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163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142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230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230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230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230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230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230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230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230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230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230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233</v>
      </c>
      <c r="O162" s="44">
        <v>1546080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236</v>
      </c>
      <c r="O163" s="43">
        <f>IFERROR(O149+O162,"")</f>
        <v>2667300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230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127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230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230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230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230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230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230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230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230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230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230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230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233</v>
      </c>
      <c r="O176" s="39">
        <v>1946430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230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230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230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230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230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230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230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230</v>
      </c>
      <c r="F184" s="27">
        <v>30</v>
      </c>
      <c r="G184" s="28">
        <f t="shared" si="39"/>
        <v>150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230</v>
      </c>
      <c r="F185" s="27">
        <v>40</v>
      </c>
      <c r="G185" s="34">
        <f t="shared" si="39"/>
        <v>200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230</v>
      </c>
      <c r="F186" s="27">
        <v>16</v>
      </c>
      <c r="G186" s="28">
        <f t="shared" si="39"/>
        <v>80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30</v>
      </c>
      <c r="E187" s="62" t="s">
        <v>230</v>
      </c>
      <c r="F187" s="27">
        <v>46</v>
      </c>
      <c r="G187" s="34">
        <f t="shared" si="39"/>
        <v>230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30</v>
      </c>
      <c r="E188" s="62" t="s">
        <v>230</v>
      </c>
      <c r="F188" s="27">
        <v>10</v>
      </c>
      <c r="G188" s="28">
        <f t="shared" si="39"/>
        <v>50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387</v>
      </c>
      <c r="G189" s="36">
        <f>SUM(G177:G188)</f>
        <v>1935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233</v>
      </c>
      <c r="O189" s="39">
        <v>2355810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732</v>
      </c>
      <c r="G190" s="40">
        <f>G176+G189</f>
        <v>3660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236</v>
      </c>
      <c r="O190" s="43">
        <f>IFERROR(O176+O189,"")</f>
        <v>4302240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30</v>
      </c>
      <c r="E191" s="62" t="s">
        <v>230</v>
      </c>
      <c r="F191" s="27">
        <v>14</v>
      </c>
      <c r="G191" s="34">
        <f t="shared" ref="G191:G202" si="42">IF(F191="","",IF(E191="PC 17",F191*4.2,IF(E191="PC 19",F191*5,"")))</f>
        <v>70</v>
      </c>
      <c r="H191" s="33" t="s">
        <v>19</v>
      </c>
      <c r="I191" s="33" t="s">
        <v>23</v>
      </c>
      <c r="J191" s="33" t="s">
        <v>67</v>
      </c>
      <c r="K191" s="29">
        <v>0.5083333333333333</v>
      </c>
      <c r="L191" s="29">
        <v>0.52152777777777781</v>
      </c>
      <c r="M191" s="35">
        <f t="shared" ref="M191:M202" ca="1" si="43">IFERROR(IF(K191="","",IF(L191="",MOD(NOW()-K191,1),IF(L191&gt;=K191,L191-K191,L191+1-K191))),"")</f>
        <v>1.3194444444444509E-2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30</v>
      </c>
      <c r="E192" s="62" t="s">
        <v>230</v>
      </c>
      <c r="F192" s="27">
        <v>35</v>
      </c>
      <c r="G192" s="28">
        <f t="shared" si="42"/>
        <v>175</v>
      </c>
      <c r="H192" s="26" t="s">
        <v>17</v>
      </c>
      <c r="I192" s="26" t="s">
        <v>23</v>
      </c>
      <c r="J192" s="26" t="s">
        <v>99</v>
      </c>
      <c r="K192" s="29">
        <v>0.66041666666666665</v>
      </c>
      <c r="L192" s="29">
        <v>0.67083333333333328</v>
      </c>
      <c r="M192" s="30">
        <f t="shared" ca="1" si="43"/>
        <v>1.041666666666663E-2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30</v>
      </c>
      <c r="E193" s="62" t="s">
        <v>230</v>
      </c>
      <c r="F193" s="27">
        <v>25</v>
      </c>
      <c r="G193" s="34">
        <f t="shared" si="42"/>
        <v>125</v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30</v>
      </c>
      <c r="E194" s="62" t="s">
        <v>230</v>
      </c>
      <c r="F194" s="27">
        <v>25</v>
      </c>
      <c r="G194" s="28">
        <f t="shared" si="42"/>
        <v>125</v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30</v>
      </c>
      <c r="E195" s="62" t="s">
        <v>230</v>
      </c>
      <c r="F195" s="27">
        <v>25</v>
      </c>
      <c r="G195" s="34">
        <f t="shared" si="42"/>
        <v>125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30</v>
      </c>
      <c r="E196" s="62" t="s">
        <v>230</v>
      </c>
      <c r="F196" s="27">
        <v>21</v>
      </c>
      <c r="G196" s="28">
        <f t="shared" si="42"/>
        <v>105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30</v>
      </c>
      <c r="E197" s="62" t="s">
        <v>230</v>
      </c>
      <c r="F197" s="27">
        <v>35</v>
      </c>
      <c r="G197" s="34">
        <f t="shared" si="42"/>
        <v>175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30</v>
      </c>
      <c r="E198" s="62" t="s">
        <v>230</v>
      </c>
      <c r="F198" s="27">
        <v>35</v>
      </c>
      <c r="G198" s="28">
        <f t="shared" si="42"/>
        <v>175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30</v>
      </c>
      <c r="E199" s="62" t="s">
        <v>230</v>
      </c>
      <c r="F199" s="27">
        <v>35</v>
      </c>
      <c r="G199" s="34">
        <f t="shared" si="42"/>
        <v>175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30</v>
      </c>
      <c r="E200" s="62" t="s">
        <v>230</v>
      </c>
      <c r="F200" s="27">
        <v>30</v>
      </c>
      <c r="G200" s="28">
        <f t="shared" si="42"/>
        <v>150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30</v>
      </c>
      <c r="E201" s="62" t="s">
        <v>230</v>
      </c>
      <c r="F201" s="27">
        <v>30</v>
      </c>
      <c r="G201" s="34">
        <f t="shared" si="42"/>
        <v>150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30</v>
      </c>
      <c r="E202" s="62" t="s">
        <v>230</v>
      </c>
      <c r="F202" s="27">
        <v>20</v>
      </c>
      <c r="G202" s="28">
        <f t="shared" si="42"/>
        <v>100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330</v>
      </c>
      <c r="G203" s="36">
        <f>SUM(G191:G202)</f>
        <v>1650</v>
      </c>
      <c r="H203" s="37"/>
      <c r="I203" s="37"/>
      <c r="J203" s="37"/>
      <c r="K203" s="37"/>
      <c r="L203" s="37"/>
      <c r="M203" s="38">
        <f ca="1">IFERROR(SUM(M191:M202),"")</f>
        <v>2.3611111111111138E-2</v>
      </c>
      <c r="N203" s="36" t="s">
        <v>233</v>
      </c>
      <c r="O203" s="45">
        <v>1895110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230</v>
      </c>
      <c r="F204" s="27">
        <v>40</v>
      </c>
      <c r="G204" s="28">
        <f t="shared" ref="G204:G215" si="45">IF(F204="","",IF(E204="PC 17",F204*4.2,IF(E204="PC 19",F204*5,"")))</f>
        <v>200</v>
      </c>
      <c r="H204" s="26" t="s">
        <v>16</v>
      </c>
      <c r="I204" s="26" t="s">
        <v>23</v>
      </c>
      <c r="J204" s="26" t="s">
        <v>92</v>
      </c>
      <c r="K204" s="29">
        <v>0.95277777777777772</v>
      </c>
      <c r="L204" s="29">
        <v>0.97430555555555554</v>
      </c>
      <c r="M204" s="30">
        <f t="shared" ref="M204:M215" ca="1" si="46">IFERROR(IF(K204="","",IF(L204="",MOD(NOW()-K204,1),IF(L204&gt;=K204,L204-K204,L204+1-K204))),"")</f>
        <v>2.1527777777777812E-2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26</v>
      </c>
      <c r="G205" s="34">
        <f t="shared" si="45"/>
        <v>130</v>
      </c>
      <c r="H205" s="33" t="s">
        <v>18</v>
      </c>
      <c r="I205" s="33" t="s">
        <v>23</v>
      </c>
      <c r="J205" s="33" t="s">
        <v>153</v>
      </c>
      <c r="K205" s="29">
        <v>0.1388888888888889</v>
      </c>
      <c r="L205" s="29">
        <v>0.16041666666666668</v>
      </c>
      <c r="M205" s="35">
        <f t="shared" ca="1" si="46"/>
        <v>2.1527777777777785E-2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230</v>
      </c>
      <c r="F206" s="27">
        <v>25</v>
      </c>
      <c r="G206" s="28">
        <f t="shared" si="45"/>
        <v>125</v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230</v>
      </c>
      <c r="F207" s="27">
        <v>20</v>
      </c>
      <c r="G207" s="34">
        <f t="shared" si="45"/>
        <v>100</v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230</v>
      </c>
      <c r="F208" s="27">
        <v>35</v>
      </c>
      <c r="G208" s="28">
        <f t="shared" si="45"/>
        <v>175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230</v>
      </c>
      <c r="F209" s="27">
        <v>23</v>
      </c>
      <c r="G209" s="34">
        <f t="shared" si="45"/>
        <v>115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230</v>
      </c>
      <c r="F210" s="27">
        <v>39</v>
      </c>
      <c r="G210" s="28">
        <f t="shared" si="45"/>
        <v>195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230</v>
      </c>
      <c r="F211" s="27">
        <v>38</v>
      </c>
      <c r="G211" s="34">
        <f t="shared" si="45"/>
        <v>190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230</v>
      </c>
      <c r="F212" s="27">
        <v>17</v>
      </c>
      <c r="G212" s="28">
        <f t="shared" si="45"/>
        <v>85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230</v>
      </c>
      <c r="F213" s="27">
        <v>40</v>
      </c>
      <c r="G213" s="34">
        <f t="shared" si="45"/>
        <v>200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230</v>
      </c>
      <c r="F214" s="27">
        <v>25</v>
      </c>
      <c r="G214" s="28">
        <f t="shared" si="45"/>
        <v>125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230</v>
      </c>
      <c r="F215" s="27">
        <v>15</v>
      </c>
      <c r="G215" s="34">
        <f t="shared" si="45"/>
        <v>75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343</v>
      </c>
      <c r="G216" s="36">
        <f>SUM(G204:G215)</f>
        <v>1715</v>
      </c>
      <c r="H216" s="37"/>
      <c r="I216" s="37"/>
      <c r="J216" s="37"/>
      <c r="K216" s="37"/>
      <c r="L216" s="37"/>
      <c r="M216" s="38">
        <f ca="1">IFERROR(SUM(M204:M215),"")</f>
        <v>4.3055555555555597E-2</v>
      </c>
      <c r="N216" s="36" t="s">
        <v>233</v>
      </c>
      <c r="O216" s="45">
        <v>2013260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673</v>
      </c>
      <c r="G217" s="40">
        <f>G203+G216</f>
        <v>3365</v>
      </c>
      <c r="H217" s="41"/>
      <c r="I217" s="41"/>
      <c r="J217" s="41"/>
      <c r="K217" s="41"/>
      <c r="L217" s="41"/>
      <c r="M217" s="42">
        <f ca="1">IFERROR(M203+M216,"")</f>
        <v>6.6666666666666735E-2</v>
      </c>
      <c r="N217" s="40" t="s">
        <v>236</v>
      </c>
      <c r="O217" s="48">
        <f>IFERROR(O203+O216,"")</f>
        <v>3908370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230</v>
      </c>
      <c r="F218" s="27">
        <v>8</v>
      </c>
      <c r="G218" s="28">
        <f t="shared" ref="G218:G229" si="48">IF(F218="","",IF(E218="PC 17",F218*4.2,IF(E218="PC 19",F218*5,"")))</f>
        <v>40</v>
      </c>
      <c r="H218" s="26" t="s">
        <v>19</v>
      </c>
      <c r="I218" s="26" t="s">
        <v>23</v>
      </c>
      <c r="J218" s="26" t="s">
        <v>107</v>
      </c>
      <c r="K218" s="29">
        <v>0.41597222222222224</v>
      </c>
      <c r="L218" s="29">
        <v>0.49444444444444446</v>
      </c>
      <c r="M218" s="30">
        <f t="shared" ref="M218:M229" ca="1" si="49">IFERROR(IF(K218="","",IF(L218="",MOD(NOW()-K218,1),IF(L218&gt;=K218,L218-K218,L218+1-K218))),"")</f>
        <v>7.8472222222222221E-2</v>
      </c>
      <c r="N218" s="46" t="s">
        <v>241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230</v>
      </c>
      <c r="F219" s="27">
        <v>25</v>
      </c>
      <c r="G219" s="34">
        <f t="shared" si="48"/>
        <v>125</v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230</v>
      </c>
      <c r="F220" s="27">
        <v>25</v>
      </c>
      <c r="G220" s="28">
        <f t="shared" si="48"/>
        <v>125</v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230</v>
      </c>
      <c r="F221" s="27">
        <v>0</v>
      </c>
      <c r="G221" s="34">
        <f t="shared" si="48"/>
        <v>0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230</v>
      </c>
      <c r="F222" s="27">
        <v>0</v>
      </c>
      <c r="G222" s="28">
        <f t="shared" si="48"/>
        <v>0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230</v>
      </c>
      <c r="F223" s="27">
        <v>25</v>
      </c>
      <c r="G223" s="34">
        <f t="shared" si="48"/>
        <v>125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230</v>
      </c>
      <c r="F224" s="27">
        <v>30</v>
      </c>
      <c r="G224" s="28">
        <f t="shared" si="48"/>
        <v>150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230</v>
      </c>
      <c r="F225" s="27">
        <v>40</v>
      </c>
      <c r="G225" s="34">
        <f t="shared" si="48"/>
        <v>200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230</v>
      </c>
      <c r="F226" s="27">
        <v>25</v>
      </c>
      <c r="G226" s="28">
        <f t="shared" si="48"/>
        <v>125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230</v>
      </c>
      <c r="F227" s="27">
        <v>40</v>
      </c>
      <c r="G227" s="34">
        <f t="shared" si="48"/>
        <v>200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230</v>
      </c>
      <c r="F228" s="27">
        <v>20</v>
      </c>
      <c r="G228" s="28">
        <f t="shared" si="48"/>
        <v>100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230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238</v>
      </c>
      <c r="G230" s="36">
        <f>SUM(G218:G229)</f>
        <v>1190</v>
      </c>
      <c r="H230" s="37"/>
      <c r="I230" s="37"/>
      <c r="J230" s="37"/>
      <c r="K230" s="37"/>
      <c r="L230" s="37"/>
      <c r="M230" s="38">
        <f ca="1">IFERROR(SUM(M218:M229),"")</f>
        <v>7.8472222222222221E-2</v>
      </c>
      <c r="N230" s="36" t="s">
        <v>233</v>
      </c>
      <c r="O230" s="39">
        <v>1436170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230</v>
      </c>
      <c r="F231" s="27">
        <v>30</v>
      </c>
      <c r="G231" s="34">
        <f t="shared" ref="G231:G242" si="51">IF(F231="","",IF(E231="PC 17",F231*4.2,IF(E231="PC 19",F231*5,"")))</f>
        <v>150</v>
      </c>
      <c r="H231" s="33" t="s">
        <v>20</v>
      </c>
      <c r="I231" s="33" t="s">
        <v>23</v>
      </c>
      <c r="J231" s="33" t="s">
        <v>186</v>
      </c>
      <c r="K231" s="29">
        <v>6.5972222222222224E-2</v>
      </c>
      <c r="L231" s="29">
        <v>9.375E-2</v>
      </c>
      <c r="M231" s="35">
        <f t="shared" ref="M231:M242" ca="1" si="52">IFERROR(IF(K231="","",IF(L231="",MOD(NOW()-K231,1),IF(L231&gt;=K231,L231-K231,L231+1-K231))),"")</f>
        <v>2.7777777777777776E-2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22</v>
      </c>
      <c r="G232" s="28">
        <f t="shared" si="51"/>
        <v>110</v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230</v>
      </c>
      <c r="F233" s="27">
        <v>30</v>
      </c>
      <c r="G233" s="34">
        <f t="shared" si="51"/>
        <v>150</v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230</v>
      </c>
      <c r="F234" s="27">
        <v>27</v>
      </c>
      <c r="G234" s="28">
        <f t="shared" si="51"/>
        <v>135</v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230</v>
      </c>
      <c r="F235" s="27">
        <v>15</v>
      </c>
      <c r="G235" s="34">
        <f t="shared" si="51"/>
        <v>75</v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230</v>
      </c>
      <c r="F236" s="27">
        <v>20</v>
      </c>
      <c r="G236" s="28">
        <f t="shared" si="51"/>
        <v>100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230</v>
      </c>
      <c r="F237" s="27">
        <v>6</v>
      </c>
      <c r="G237" s="34">
        <f t="shared" si="51"/>
        <v>30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230</v>
      </c>
      <c r="F238" s="27">
        <v>20</v>
      </c>
      <c r="G238" s="28">
        <f t="shared" si="51"/>
        <v>100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30</v>
      </c>
      <c r="G239" s="34">
        <f t="shared" si="51"/>
        <v>150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230</v>
      </c>
      <c r="F240" s="27">
        <v>25</v>
      </c>
      <c r="G240" s="28">
        <f t="shared" si="51"/>
        <v>125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16</v>
      </c>
      <c r="G241" s="34">
        <f t="shared" si="51"/>
        <v>80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230</v>
      </c>
      <c r="F242" s="27">
        <v>6</v>
      </c>
      <c r="G242" s="28">
        <f t="shared" si="51"/>
        <v>30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247</v>
      </c>
      <c r="G243" s="36">
        <f>SUM(G231:G242)</f>
        <v>1235</v>
      </c>
      <c r="H243" s="37"/>
      <c r="I243" s="37"/>
      <c r="J243" s="37"/>
      <c r="K243" s="37"/>
      <c r="L243" s="37"/>
      <c r="M243" s="38">
        <f ca="1">IFERROR(SUM(M231:M242),"")</f>
        <v>2.7777777777777776E-2</v>
      </c>
      <c r="N243" s="36" t="s">
        <v>233</v>
      </c>
      <c r="O243" s="39">
        <v>1545480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485</v>
      </c>
      <c r="G244" s="40">
        <f>G230+G243</f>
        <v>2425</v>
      </c>
      <c r="H244" s="41"/>
      <c r="I244" s="41"/>
      <c r="J244" s="41"/>
      <c r="K244" s="41"/>
      <c r="L244" s="41"/>
      <c r="M244" s="42">
        <f ca="1">IFERROR(M230+M243,"")</f>
        <v>0.10625</v>
      </c>
      <c r="N244" s="40" t="s">
        <v>236</v>
      </c>
      <c r="O244" s="48">
        <f>IFERROR(O230+O243,"")</f>
        <v>2981650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230</v>
      </c>
      <c r="F245" s="27">
        <v>15</v>
      </c>
      <c r="G245" s="28">
        <f t="shared" ref="G245:G256" si="54">IF(F245="","",IF(E245="PC 17",F245*4.2,IF(E245="PC 19",F245*5,"")))</f>
        <v>75</v>
      </c>
      <c r="H245" s="33" t="s">
        <v>18</v>
      </c>
      <c r="I245" s="33" t="s">
        <v>23</v>
      </c>
      <c r="J245" s="33" t="s">
        <v>163</v>
      </c>
      <c r="K245" s="29">
        <v>0.29166666666666669</v>
      </c>
      <c r="L245" s="29">
        <v>0.3263888888888889</v>
      </c>
      <c r="M245" s="35">
        <f t="shared" ref="M245:M256" ca="1" si="55">IFERROR(IF(K245="","",IF(L245="",MOD(NOW()-K245,1),IF(L245&gt;=K245,L245-K245,L245+1-K245))),"")</f>
        <v>3.472222222222221E-2</v>
      </c>
      <c r="N245" s="46" t="s">
        <v>242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230</v>
      </c>
      <c r="F246" s="27">
        <v>20</v>
      </c>
      <c r="G246" s="34">
        <f t="shared" si="54"/>
        <v>100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230</v>
      </c>
      <c r="F247" s="27">
        <v>35</v>
      </c>
      <c r="G247" s="28">
        <f t="shared" si="54"/>
        <v>175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230</v>
      </c>
      <c r="F248" s="27">
        <v>20</v>
      </c>
      <c r="G248" s="34">
        <f t="shared" si="54"/>
        <v>100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230</v>
      </c>
      <c r="F249" s="27">
        <v>20</v>
      </c>
      <c r="G249" s="28">
        <f t="shared" si="54"/>
        <v>100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230</v>
      </c>
      <c r="F250" s="27">
        <v>15</v>
      </c>
      <c r="G250" s="34">
        <f t="shared" si="54"/>
        <v>75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230</v>
      </c>
      <c r="F251" s="27">
        <v>45</v>
      </c>
      <c r="G251" s="28">
        <f t="shared" si="54"/>
        <v>225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230</v>
      </c>
      <c r="F252" s="27">
        <v>40</v>
      </c>
      <c r="G252" s="34">
        <f t="shared" si="54"/>
        <v>200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230</v>
      </c>
      <c r="F253" s="27">
        <v>40</v>
      </c>
      <c r="G253" s="28">
        <f t="shared" si="54"/>
        <v>200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230</v>
      </c>
      <c r="F254" s="27">
        <v>35</v>
      </c>
      <c r="G254" s="34">
        <f t="shared" si="54"/>
        <v>175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230</v>
      </c>
      <c r="F255" s="27">
        <v>35</v>
      </c>
      <c r="G255" s="28">
        <f t="shared" si="54"/>
        <v>175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230</v>
      </c>
      <c r="F256" s="27">
        <v>30</v>
      </c>
      <c r="G256" s="34">
        <f t="shared" si="54"/>
        <v>150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350</v>
      </c>
      <c r="G257" s="36">
        <f>SUM(G245:G256)</f>
        <v>1750</v>
      </c>
      <c r="H257" s="37"/>
      <c r="I257" s="37"/>
      <c r="J257" s="37"/>
      <c r="K257" s="37"/>
      <c r="L257" s="37"/>
      <c r="M257" s="38">
        <f ca="1">IFERROR(SUM(M245:M256),"")</f>
        <v>3.472222222222221E-2</v>
      </c>
      <c r="N257" s="36" t="s">
        <v>233</v>
      </c>
      <c r="O257" s="39">
        <v>2070060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25</v>
      </c>
      <c r="G258" s="34">
        <f t="shared" ref="G258:G269" si="57">IF(F258="","",IF(E258="PC 17",F258*4.2,IF(E258="PC 19",F258*5,"")))</f>
        <v>125</v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230</v>
      </c>
      <c r="F259" s="27">
        <v>25</v>
      </c>
      <c r="G259" s="28">
        <f t="shared" si="57"/>
        <v>125</v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230</v>
      </c>
      <c r="F260" s="27">
        <v>14</v>
      </c>
      <c r="G260" s="34">
        <f t="shared" si="57"/>
        <v>70</v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230</v>
      </c>
      <c r="F261" s="27">
        <v>35</v>
      </c>
      <c r="G261" s="28">
        <f t="shared" si="57"/>
        <v>175</v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230</v>
      </c>
      <c r="F262" s="27">
        <v>23</v>
      </c>
      <c r="G262" s="34">
        <f t="shared" si="57"/>
        <v>115</v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230</v>
      </c>
      <c r="F263" s="27">
        <v>13</v>
      </c>
      <c r="G263" s="28">
        <f t="shared" si="57"/>
        <v>65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230</v>
      </c>
      <c r="F264" s="27">
        <v>23</v>
      </c>
      <c r="G264" s="34">
        <f t="shared" si="57"/>
        <v>115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230</v>
      </c>
      <c r="F265" s="27">
        <v>32</v>
      </c>
      <c r="G265" s="28">
        <f t="shared" si="57"/>
        <v>160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230</v>
      </c>
      <c r="F266" s="27">
        <v>14</v>
      </c>
      <c r="G266" s="34">
        <f t="shared" si="57"/>
        <v>70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230</v>
      </c>
      <c r="F267" s="27">
        <v>17</v>
      </c>
      <c r="G267" s="28">
        <f t="shared" si="57"/>
        <v>85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230</v>
      </c>
      <c r="F268" s="27">
        <v>17</v>
      </c>
      <c r="G268" s="34">
        <f t="shared" si="57"/>
        <v>85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230</v>
      </c>
      <c r="F269" s="27">
        <v>0</v>
      </c>
      <c r="G269" s="28">
        <f t="shared" si="57"/>
        <v>0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238</v>
      </c>
      <c r="G270" s="36">
        <f>SUM(G258:G269)</f>
        <v>1190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233</v>
      </c>
      <c r="O270" s="39">
        <v>1182690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588</v>
      </c>
      <c r="G271" s="40">
        <f>G257+G270</f>
        <v>2940</v>
      </c>
      <c r="H271" s="41"/>
      <c r="I271" s="41"/>
      <c r="J271" s="41"/>
      <c r="K271" s="41"/>
      <c r="L271" s="41"/>
      <c r="M271" s="42">
        <f ca="1">IFERROR(M257+M270,"")</f>
        <v>3.472222222222221E-2</v>
      </c>
      <c r="N271" s="40" t="s">
        <v>236</v>
      </c>
      <c r="O271" s="48">
        <f>IFERROR(O257+O270,"")</f>
        <v>3252750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230</v>
      </c>
      <c r="F272" s="27">
        <v>5</v>
      </c>
      <c r="G272" s="28">
        <f t="shared" ref="G272:G283" si="60">IF(F272="","",IF(E272="PC 17",F272*4.2,IF(E272="PC 19",F272*5,"")))</f>
        <v>25</v>
      </c>
      <c r="H272" s="26" t="s">
        <v>19</v>
      </c>
      <c r="I272" s="26" t="s">
        <v>23</v>
      </c>
      <c r="J272" s="26" t="s">
        <v>107</v>
      </c>
      <c r="K272" s="29">
        <v>0.76388888888888884</v>
      </c>
      <c r="L272" s="29">
        <v>0.78541666666666665</v>
      </c>
      <c r="M272" s="30">
        <f t="shared" ref="M272:M283" ca="1" si="61">IFERROR(IF(K272="","",IF(L272="",MOD(NOW()-K272,1),IF(L272&gt;=K272,L272-K272,L272+1-K272))),"")</f>
        <v>2.1527777777777812E-2</v>
      </c>
      <c r="N272" s="46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230</v>
      </c>
      <c r="F273" s="27">
        <v>22</v>
      </c>
      <c r="G273" s="34">
        <f t="shared" si="60"/>
        <v>110</v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230</v>
      </c>
      <c r="F274" s="27">
        <v>7</v>
      </c>
      <c r="G274" s="28">
        <f t="shared" si="60"/>
        <v>35</v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230</v>
      </c>
      <c r="F275" s="27">
        <v>6</v>
      </c>
      <c r="G275" s="34">
        <f t="shared" si="60"/>
        <v>30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230</v>
      </c>
      <c r="F276" s="27">
        <v>35</v>
      </c>
      <c r="G276" s="28">
        <f t="shared" si="60"/>
        <v>175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230</v>
      </c>
      <c r="F277" s="27">
        <v>26</v>
      </c>
      <c r="G277" s="34">
        <f t="shared" si="60"/>
        <v>130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230</v>
      </c>
      <c r="F278" s="27">
        <v>40</v>
      </c>
      <c r="G278" s="28">
        <f t="shared" si="60"/>
        <v>200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230</v>
      </c>
      <c r="F279" s="27">
        <v>30</v>
      </c>
      <c r="G279" s="34">
        <f t="shared" si="60"/>
        <v>150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230</v>
      </c>
      <c r="F280" s="27">
        <v>40</v>
      </c>
      <c r="G280" s="28">
        <f t="shared" si="60"/>
        <v>200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230</v>
      </c>
      <c r="F281" s="27">
        <v>40</v>
      </c>
      <c r="G281" s="34">
        <f t="shared" si="60"/>
        <v>200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230</v>
      </c>
      <c r="F282" s="27">
        <v>40</v>
      </c>
      <c r="G282" s="28">
        <f t="shared" si="60"/>
        <v>200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230</v>
      </c>
      <c r="F283" s="27">
        <v>25</v>
      </c>
      <c r="G283" s="34">
        <f t="shared" si="60"/>
        <v>125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316</v>
      </c>
      <c r="G284" s="36">
        <f>SUM(G272:G283)</f>
        <v>1580</v>
      </c>
      <c r="H284" s="37"/>
      <c r="I284" s="37"/>
      <c r="J284" s="37"/>
      <c r="K284" s="37"/>
      <c r="L284" s="37"/>
      <c r="M284" s="38">
        <f ca="1">IFERROR(SUM(M272:M283),"")</f>
        <v>2.1527777777777812E-2</v>
      </c>
      <c r="N284" s="36" t="s">
        <v>233</v>
      </c>
      <c r="O284" s="39">
        <v>2448000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230</v>
      </c>
      <c r="F285" s="27">
        <v>16</v>
      </c>
      <c r="G285" s="34">
        <f t="shared" ref="G285:G296" si="63">IF(F285="","",IF(E285="PC 17",F285*4.2,IF(E285="PC 19",F285*5,"")))</f>
        <v>80</v>
      </c>
      <c r="H285" s="33" t="s">
        <v>19</v>
      </c>
      <c r="I285" s="33" t="s">
        <v>23</v>
      </c>
      <c r="J285" s="33" t="s">
        <v>107</v>
      </c>
      <c r="K285" s="29">
        <v>0.79166666666666663</v>
      </c>
      <c r="L285" s="29">
        <v>0.81736111111111109</v>
      </c>
      <c r="M285" s="35">
        <f t="shared" ref="M285:M296" ca="1" si="64">IFERROR(IF(K285="","",IF(L285="",MOD(NOW()-K285,1),IF(L285&gt;=K285,L285-K285,L285+1-K285))),"")</f>
        <v>2.5694444444444464E-2</v>
      </c>
      <c r="N285" s="46" t="s">
        <v>243</v>
      </c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230</v>
      </c>
      <c r="F286" s="27">
        <v>24</v>
      </c>
      <c r="G286" s="28">
        <f t="shared" si="63"/>
        <v>120</v>
      </c>
      <c r="H286" s="49" t="s">
        <v>16</v>
      </c>
      <c r="I286" s="49" t="s">
        <v>23</v>
      </c>
      <c r="J286" s="49" t="s">
        <v>70</v>
      </c>
      <c r="K286" s="29">
        <v>0.25694444444444442</v>
      </c>
      <c r="L286" s="29">
        <v>0.2638888888888889</v>
      </c>
      <c r="M286" s="30">
        <f t="shared" ca="1" si="64"/>
        <v>6.9444444444444753E-3</v>
      </c>
      <c r="N286" s="46"/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230</v>
      </c>
      <c r="F287" s="27">
        <v>39</v>
      </c>
      <c r="G287" s="34">
        <f t="shared" si="63"/>
        <v>195</v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230</v>
      </c>
      <c r="F288" s="27">
        <v>31</v>
      </c>
      <c r="G288" s="28">
        <f t="shared" si="63"/>
        <v>155</v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22.4</v>
      </c>
      <c r="G289" s="34">
        <f t="shared" si="63"/>
        <v>112</v>
      </c>
      <c r="H289" s="33"/>
      <c r="I289" s="33"/>
      <c r="J289" s="33"/>
      <c r="K289" s="29"/>
      <c r="L289" s="29"/>
      <c r="M289" s="35" t="str">
        <f t="shared" ca="1" si="64"/>
        <v/>
      </c>
      <c r="N289" s="46" t="s">
        <v>244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230</v>
      </c>
      <c r="F290" s="27">
        <v>33.6</v>
      </c>
      <c r="G290" s="28">
        <f t="shared" si="63"/>
        <v>168</v>
      </c>
      <c r="H290" s="26"/>
      <c r="I290" s="26"/>
      <c r="J290" s="26"/>
      <c r="K290" s="29"/>
      <c r="L290" s="29"/>
      <c r="M290" s="30" t="str">
        <f t="shared" ca="1" si="64"/>
        <v/>
      </c>
      <c r="N290" s="46" t="s">
        <v>244</v>
      </c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230</v>
      </c>
      <c r="F291" s="27">
        <v>19.2</v>
      </c>
      <c r="G291" s="34">
        <f t="shared" si="63"/>
        <v>96</v>
      </c>
      <c r="H291" s="33"/>
      <c r="I291" s="33"/>
      <c r="J291" s="33"/>
      <c r="K291" s="29"/>
      <c r="L291" s="29"/>
      <c r="M291" s="35" t="str">
        <f t="shared" ca="1" si="64"/>
        <v/>
      </c>
      <c r="N291" s="46" t="s">
        <v>244</v>
      </c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230</v>
      </c>
      <c r="F292" s="27">
        <v>28.8</v>
      </c>
      <c r="G292" s="28">
        <f t="shared" si="63"/>
        <v>144</v>
      </c>
      <c r="H292" s="26"/>
      <c r="I292" s="26"/>
      <c r="J292" s="26"/>
      <c r="K292" s="29"/>
      <c r="L292" s="29"/>
      <c r="M292" s="30" t="str">
        <f t="shared" ca="1" si="64"/>
        <v/>
      </c>
      <c r="N292" s="46" t="s">
        <v>244</v>
      </c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230</v>
      </c>
      <c r="F293" s="27">
        <v>24</v>
      </c>
      <c r="G293" s="34">
        <f t="shared" si="63"/>
        <v>120</v>
      </c>
      <c r="H293" s="33"/>
      <c r="I293" s="33"/>
      <c r="J293" s="33"/>
      <c r="K293" s="29"/>
      <c r="L293" s="29"/>
      <c r="M293" s="35" t="str">
        <f t="shared" ca="1" si="64"/>
        <v/>
      </c>
      <c r="N293" s="46" t="s">
        <v>244</v>
      </c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230</v>
      </c>
      <c r="F294" s="27">
        <v>38.4</v>
      </c>
      <c r="G294" s="28">
        <f t="shared" si="63"/>
        <v>192</v>
      </c>
      <c r="H294" s="26"/>
      <c r="I294" s="26"/>
      <c r="J294" s="26"/>
      <c r="K294" s="29"/>
      <c r="L294" s="29"/>
      <c r="M294" s="30" t="str">
        <f t="shared" ca="1" si="64"/>
        <v/>
      </c>
      <c r="N294" s="46" t="s">
        <v>244</v>
      </c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230</v>
      </c>
      <c r="F295" s="27">
        <v>28.8</v>
      </c>
      <c r="G295" s="34">
        <f t="shared" si="63"/>
        <v>144</v>
      </c>
      <c r="H295" s="33"/>
      <c r="I295" s="33"/>
      <c r="J295" s="33"/>
      <c r="K295" s="29"/>
      <c r="L295" s="29"/>
      <c r="M295" s="35" t="str">
        <f t="shared" ca="1" si="64"/>
        <v/>
      </c>
      <c r="N295" s="46" t="s">
        <v>244</v>
      </c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230</v>
      </c>
      <c r="F296" s="27">
        <v>14.4</v>
      </c>
      <c r="G296" s="28">
        <f t="shared" si="63"/>
        <v>72</v>
      </c>
      <c r="H296" s="26"/>
      <c r="I296" s="26"/>
      <c r="J296" s="26"/>
      <c r="K296" s="29"/>
      <c r="L296" s="29"/>
      <c r="M296" s="30" t="str">
        <f t="shared" ca="1" si="64"/>
        <v/>
      </c>
      <c r="N296" s="46" t="s">
        <v>244</v>
      </c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319.59999999999997</v>
      </c>
      <c r="G297" s="36">
        <f>SUM(G285:G296)</f>
        <v>1598</v>
      </c>
      <c r="H297" s="37"/>
      <c r="I297" s="37"/>
      <c r="J297" s="37"/>
      <c r="K297" s="37"/>
      <c r="L297" s="37"/>
      <c r="M297" s="38">
        <f ca="1">IFERROR(SUM(M285:M296),"")</f>
        <v>3.2638888888888939E-2</v>
      </c>
      <c r="N297" s="36" t="s">
        <v>233</v>
      </c>
      <c r="O297" s="39">
        <v>1843460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635.59999999999991</v>
      </c>
      <c r="G298" s="40">
        <f>G284+G297</f>
        <v>3178</v>
      </c>
      <c r="H298" s="41"/>
      <c r="I298" s="41"/>
      <c r="J298" s="41"/>
      <c r="K298" s="41"/>
      <c r="L298" s="41"/>
      <c r="M298" s="42">
        <f ca="1">IFERROR(M284+M297,"")</f>
        <v>5.4166666666666752E-2</v>
      </c>
      <c r="N298" s="40" t="s">
        <v>236</v>
      </c>
      <c r="O298" s="48">
        <f>IFERROR(O284+O297,"")</f>
        <v>4291460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230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18</v>
      </c>
      <c r="I299" s="33" t="s">
        <v>23</v>
      </c>
      <c r="J299" s="33" t="s">
        <v>127</v>
      </c>
      <c r="K299" s="29">
        <v>0.35</v>
      </c>
      <c r="L299" s="29">
        <v>0.38750000000000001</v>
      </c>
      <c r="M299" s="35">
        <f t="shared" ref="M299:M310" ca="1" si="67">IFERROR(IF(K299="","",IF(L299="",MOD(NOW()-K299,1),IF(L299&gt;=K299,L299-K299,L299+1-K299))),"")</f>
        <v>3.7500000000000033E-2</v>
      </c>
      <c r="N299" s="46" t="s">
        <v>245</v>
      </c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230</v>
      </c>
      <c r="F300" s="27">
        <v>11</v>
      </c>
      <c r="G300" s="28">
        <f t="shared" si="66"/>
        <v>55</v>
      </c>
      <c r="H300" s="26" t="s">
        <v>19</v>
      </c>
      <c r="I300" s="26" t="s">
        <v>23</v>
      </c>
      <c r="J300" s="26" t="s">
        <v>112</v>
      </c>
      <c r="K300" s="29">
        <v>0.51388888888888884</v>
      </c>
      <c r="L300" s="29">
        <v>0.55625000000000002</v>
      </c>
      <c r="M300" s="30">
        <f t="shared" ca="1" si="67"/>
        <v>4.2361111111111183E-2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230</v>
      </c>
      <c r="F301" s="27">
        <v>20</v>
      </c>
      <c r="G301" s="34">
        <f t="shared" si="66"/>
        <v>100</v>
      </c>
      <c r="H301" s="33" t="s">
        <v>20</v>
      </c>
      <c r="I301" s="33" t="s">
        <v>23</v>
      </c>
      <c r="J301" s="33" t="s">
        <v>131</v>
      </c>
      <c r="K301" s="29">
        <v>0.65694444444444444</v>
      </c>
      <c r="L301" s="29">
        <v>0.66597222222222219</v>
      </c>
      <c r="M301" s="35">
        <f t="shared" ca="1" si="67"/>
        <v>9.0277777777777457E-3</v>
      </c>
      <c r="N301" s="46" t="s">
        <v>246</v>
      </c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230</v>
      </c>
      <c r="F302" s="27">
        <v>26</v>
      </c>
      <c r="G302" s="28">
        <f t="shared" si="66"/>
        <v>130</v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230</v>
      </c>
      <c r="F303" s="27">
        <v>24</v>
      </c>
      <c r="G303" s="34">
        <f t="shared" si="66"/>
        <v>120</v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230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230</v>
      </c>
      <c r="F305" s="27">
        <v>25</v>
      </c>
      <c r="G305" s="34">
        <f t="shared" si="66"/>
        <v>125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230</v>
      </c>
      <c r="F306" s="27">
        <v>19</v>
      </c>
      <c r="G306" s="28">
        <f t="shared" si="66"/>
        <v>95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230</v>
      </c>
      <c r="F307" s="27">
        <v>30</v>
      </c>
      <c r="G307" s="34">
        <f t="shared" si="66"/>
        <v>150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230</v>
      </c>
      <c r="F308" s="27">
        <v>25</v>
      </c>
      <c r="G308" s="28">
        <f t="shared" si="66"/>
        <v>125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230</v>
      </c>
      <c r="F309" s="27">
        <v>30</v>
      </c>
      <c r="G309" s="34">
        <f t="shared" si="66"/>
        <v>150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7</v>
      </c>
      <c r="G310" s="28">
        <f t="shared" si="66"/>
        <v>35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217</v>
      </c>
      <c r="G311" s="90">
        <f>SUM(G299:G310)</f>
        <v>1085</v>
      </c>
      <c r="H311" s="37"/>
      <c r="I311" s="37"/>
      <c r="J311" s="37"/>
      <c r="K311" s="37"/>
      <c r="L311" s="37"/>
      <c r="M311" s="38">
        <f ca="1">IFERROR(SUM(M299:M310),"")</f>
        <v>8.8888888888888962E-2</v>
      </c>
      <c r="N311" s="36" t="s">
        <v>233</v>
      </c>
      <c r="O311" s="39">
        <v>955688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14</v>
      </c>
      <c r="G312" s="28">
        <f t="shared" ref="G312:G323" si="69">IF(F312="","",IF(E312="PC 17",F312*4.2,IF(E312="PC 19",F312*5,"")))</f>
        <v>70</v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/>
      <c r="F313" s="27">
        <v>14.4</v>
      </c>
      <c r="G313" s="28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 t="s">
        <v>247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/>
      <c r="F314" s="27">
        <v>28.8</v>
      </c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 t="s">
        <v>247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230</v>
      </c>
      <c r="F315" s="27">
        <v>6</v>
      </c>
      <c r="G315" s="28">
        <f t="shared" si="69"/>
        <v>30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/>
      <c r="F316" s="27">
        <v>28.8</v>
      </c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 t="s">
        <v>247</v>
      </c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/>
      <c r="F317" s="27">
        <v>28.8</v>
      </c>
      <c r="G317" s="28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 t="s">
        <v>247</v>
      </c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/>
      <c r="F318" s="27">
        <v>38.4</v>
      </c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 t="s">
        <v>247</v>
      </c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230</v>
      </c>
      <c r="F319" s="27">
        <v>10</v>
      </c>
      <c r="G319" s="28">
        <f t="shared" si="69"/>
        <v>50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/>
      <c r="F320" s="27">
        <v>33.6</v>
      </c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 t="s">
        <v>247</v>
      </c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/>
      <c r="F321" s="27">
        <v>19.2</v>
      </c>
      <c r="G321" s="28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/>
      <c r="F322" s="27">
        <v>33.6</v>
      </c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/>
      <c r="F323" s="27">
        <v>5</v>
      </c>
      <c r="G323" s="28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260.59999999999997</v>
      </c>
      <c r="G324" s="36">
        <f>SUM(G312:G323)</f>
        <v>150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233</v>
      </c>
      <c r="O324" s="39">
        <v>1940000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477.59999999999997</v>
      </c>
      <c r="G325" s="40">
        <f>G311+G324</f>
        <v>1235</v>
      </c>
      <c r="H325" s="41"/>
      <c r="I325" s="41"/>
      <c r="J325" s="41"/>
      <c r="K325" s="41"/>
      <c r="L325" s="41"/>
      <c r="M325" s="42">
        <f ca="1">IFERROR(M311+M324,"")</f>
        <v>8.8888888888888962E-2</v>
      </c>
      <c r="N325" s="40" t="s">
        <v>236</v>
      </c>
      <c r="O325" s="48">
        <f>IFERROR(O311+O324,"")</f>
        <v>2895688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230</v>
      </c>
      <c r="F326" s="27">
        <v>18</v>
      </c>
      <c r="G326" s="28">
        <f t="shared" ref="G326:G337" si="72">IF(F326="","",IF(E326="PC 17",F326*4.2,IF(E326="PC 19",F326*5,"")))</f>
        <v>90</v>
      </c>
      <c r="H326" s="26" t="s">
        <v>20</v>
      </c>
      <c r="I326" s="26" t="s">
        <v>23</v>
      </c>
      <c r="J326" s="26" t="s">
        <v>131</v>
      </c>
      <c r="K326" s="29">
        <v>0.67500000000000004</v>
      </c>
      <c r="L326" s="29">
        <v>0.73819444444444449</v>
      </c>
      <c r="M326" s="30">
        <f t="shared" ref="M326:M337" ca="1" si="73">IFERROR(IF(K326="","",IF(L326="",MOD(NOW()-K326,1),IF(L326&gt;=K326,L326-K326,L326+1-K326))),"")</f>
        <v>6.3194444444444442E-2</v>
      </c>
      <c r="N326" s="46" t="s">
        <v>248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230</v>
      </c>
      <c r="F327" s="27">
        <v>60</v>
      </c>
      <c r="G327" s="34">
        <f t="shared" si="72"/>
        <v>300</v>
      </c>
      <c r="H327" s="33" t="s">
        <v>20</v>
      </c>
      <c r="I327" s="33" t="s">
        <v>23</v>
      </c>
      <c r="J327" s="33"/>
      <c r="K327" s="29">
        <v>0.75347222222222221</v>
      </c>
      <c r="L327" s="29">
        <v>0.78819444444444442</v>
      </c>
      <c r="M327" s="35">
        <f t="shared" ca="1" si="73"/>
        <v>3.472222222222221E-2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230</v>
      </c>
      <c r="F328" s="27">
        <v>38</v>
      </c>
      <c r="G328" s="28">
        <f t="shared" si="72"/>
        <v>190</v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230</v>
      </c>
      <c r="F329" s="27">
        <v>38</v>
      </c>
      <c r="G329" s="34">
        <f t="shared" si="72"/>
        <v>190</v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2"/>
        <v>75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230</v>
      </c>
      <c r="F331" s="27">
        <v>40</v>
      </c>
      <c r="G331" s="34">
        <f t="shared" si="72"/>
        <v>200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230</v>
      </c>
      <c r="F332" s="27">
        <v>25</v>
      </c>
      <c r="G332" s="28">
        <f t="shared" si="72"/>
        <v>125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230</v>
      </c>
      <c r="F333" s="27">
        <v>23</v>
      </c>
      <c r="G333" s="34">
        <f t="shared" si="72"/>
        <v>115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230</v>
      </c>
      <c r="F334" s="27">
        <v>36</v>
      </c>
      <c r="G334" s="28">
        <f t="shared" si="72"/>
        <v>180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230</v>
      </c>
      <c r="F335" s="27">
        <v>5</v>
      </c>
      <c r="G335" s="34">
        <f t="shared" si="72"/>
        <v>25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230</v>
      </c>
      <c r="F336" s="27">
        <v>7</v>
      </c>
      <c r="G336" s="28">
        <f t="shared" si="72"/>
        <v>35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230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305</v>
      </c>
      <c r="G338" s="36">
        <f>SUM(G326:G337)</f>
        <v>1525</v>
      </c>
      <c r="H338" s="37"/>
      <c r="I338" s="37"/>
      <c r="J338" s="37"/>
      <c r="K338" s="37"/>
      <c r="L338" s="37"/>
      <c r="M338" s="38">
        <f ca="1">IFERROR(SUM(M326:M337),"")</f>
        <v>9.7916666666666652E-2</v>
      </c>
      <c r="N338" s="36" t="s">
        <v>233</v>
      </c>
      <c r="O338" s="39">
        <v>1525000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230</v>
      </c>
      <c r="F339" s="27">
        <v>0</v>
      </c>
      <c r="G339" s="34">
        <f t="shared" ref="G339:G350" si="75">IF(F339="","",IF(E339="PC 17",F339*4.2,IF(E339="PC 19",F339*5,"")))</f>
        <v>0</v>
      </c>
      <c r="H339" s="33" t="s">
        <v>20</v>
      </c>
      <c r="I339" s="33" t="s">
        <v>23</v>
      </c>
      <c r="J339" s="33"/>
      <c r="K339" s="29">
        <v>0.79166666666666663</v>
      </c>
      <c r="L339" s="29">
        <v>0.87013888888888891</v>
      </c>
      <c r="M339" s="35">
        <f t="shared" ref="M339:M350" ca="1" si="76">IFERROR(IF(K339="","",IF(L339="",MOD(NOW()-K339,1),IF(L339&gt;=K339,L339-K339,L339+1-K339))),"")</f>
        <v>7.8472222222222276E-2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230</v>
      </c>
      <c r="F340" s="27">
        <v>11</v>
      </c>
      <c r="G340" s="28">
        <f t="shared" si="75"/>
        <v>55</v>
      </c>
      <c r="H340" s="26" t="s">
        <v>18</v>
      </c>
      <c r="I340" s="26" t="s">
        <v>23</v>
      </c>
      <c r="J340" s="26" t="s">
        <v>34</v>
      </c>
      <c r="K340" s="29">
        <v>0.92083333333333328</v>
      </c>
      <c r="L340" s="29">
        <v>2.7083333333333334E-2</v>
      </c>
      <c r="M340" s="30">
        <f t="shared" ca="1" si="76"/>
        <v>0.10625000000000007</v>
      </c>
      <c r="N340" s="46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230</v>
      </c>
      <c r="F341" s="27">
        <v>0</v>
      </c>
      <c r="G341" s="34">
        <f t="shared" si="75"/>
        <v>0</v>
      </c>
      <c r="H341" s="33" t="s">
        <v>18</v>
      </c>
      <c r="I341" s="33" t="s">
        <v>23</v>
      </c>
      <c r="J341" s="33" t="s">
        <v>176</v>
      </c>
      <c r="K341" s="29">
        <v>5.1388888888888887E-2</v>
      </c>
      <c r="L341" s="29">
        <v>7.7083333333333337E-2</v>
      </c>
      <c r="M341" s="35">
        <f t="shared" ca="1" si="76"/>
        <v>2.569444444444445E-2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230</v>
      </c>
      <c r="F342" s="27">
        <v>0</v>
      </c>
      <c r="G342" s="28">
        <f t="shared" si="75"/>
        <v>0</v>
      </c>
      <c r="H342" s="26" t="s">
        <v>18</v>
      </c>
      <c r="I342" s="26" t="s">
        <v>23</v>
      </c>
      <c r="J342" s="26" t="s">
        <v>176</v>
      </c>
      <c r="K342" s="29">
        <v>0.11805555555555555</v>
      </c>
      <c r="L342" s="29">
        <v>0.19444444444444445</v>
      </c>
      <c r="M342" s="30">
        <f t="shared" ca="1" si="76"/>
        <v>7.6388888888888895E-2</v>
      </c>
      <c r="N342" s="46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230</v>
      </c>
      <c r="F343" s="27">
        <v>0</v>
      </c>
      <c r="G343" s="34">
        <f t="shared" si="75"/>
        <v>0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230</v>
      </c>
      <c r="F344" s="27">
        <v>10</v>
      </c>
      <c r="G344" s="28">
        <f t="shared" si="75"/>
        <v>50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230</v>
      </c>
      <c r="F345" s="27">
        <v>22</v>
      </c>
      <c r="G345" s="34">
        <f t="shared" si="75"/>
        <v>110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230</v>
      </c>
      <c r="F346" s="27">
        <v>7</v>
      </c>
      <c r="G346" s="28">
        <f t="shared" si="75"/>
        <v>35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230</v>
      </c>
      <c r="F347" s="27">
        <v>0</v>
      </c>
      <c r="G347" s="34">
        <f t="shared" si="75"/>
        <v>0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230</v>
      </c>
      <c r="F348" s="27">
        <v>17</v>
      </c>
      <c r="G348" s="28">
        <f t="shared" si="75"/>
        <v>85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230</v>
      </c>
      <c r="F349" s="27">
        <v>35</v>
      </c>
      <c r="G349" s="34">
        <f t="shared" si="75"/>
        <v>175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230</v>
      </c>
      <c r="F350" s="27">
        <v>16</v>
      </c>
      <c r="G350" s="28">
        <f t="shared" si="75"/>
        <v>80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118</v>
      </c>
      <c r="G351" s="36">
        <f>SUM(G339:G350)</f>
        <v>590</v>
      </c>
      <c r="H351" s="37"/>
      <c r="I351" s="37"/>
      <c r="J351" s="37"/>
      <c r="K351" s="37"/>
      <c r="L351" s="37"/>
      <c r="M351" s="38">
        <f ca="1">IFERROR(SUM(M339:M350),"")</f>
        <v>0.2868055555555557</v>
      </c>
      <c r="N351" s="36" t="s">
        <v>233</v>
      </c>
      <c r="O351" s="39">
        <v>701874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423</v>
      </c>
      <c r="G352" s="40">
        <f>G338+G351</f>
        <v>2115</v>
      </c>
      <c r="H352" s="41"/>
      <c r="I352" s="41"/>
      <c r="J352" s="41"/>
      <c r="K352" s="41"/>
      <c r="L352" s="41"/>
      <c r="M352" s="42">
        <f ca="1">IFERROR(M338+M351,"")</f>
        <v>0.38472222222222235</v>
      </c>
      <c r="N352" s="40" t="s">
        <v>236</v>
      </c>
      <c r="O352" s="48">
        <f>IFERROR(O338+O351,"")</f>
        <v>2226874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230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23</v>
      </c>
      <c r="J353" s="33" t="s">
        <v>180</v>
      </c>
      <c r="K353" s="29">
        <v>0.30555555555555558</v>
      </c>
      <c r="L353" s="29">
        <v>0.375</v>
      </c>
      <c r="M353" s="35">
        <f t="shared" ref="M353:M364" ca="1" si="79">IFERROR(IF(K353="","",IF(L353="",MOD(NOW()-K353,1),IF(L353&gt;=K353,L353-K353,L353+1-K353))),"")</f>
        <v>6.944444444444442E-2</v>
      </c>
      <c r="N353" s="46" t="s">
        <v>249</v>
      </c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230</v>
      </c>
      <c r="F354" s="27">
        <v>11</v>
      </c>
      <c r="G354" s="28">
        <f t="shared" si="78"/>
        <v>55</v>
      </c>
      <c r="H354" s="26" t="s">
        <v>20</v>
      </c>
      <c r="I354" s="26" t="s">
        <v>23</v>
      </c>
      <c r="J354" s="26" t="s">
        <v>186</v>
      </c>
      <c r="K354" s="29">
        <v>0.61319444444444449</v>
      </c>
      <c r="L354" s="29">
        <v>0.63472222222222219</v>
      </c>
      <c r="M354" s="30">
        <f t="shared" ca="1" si="79"/>
        <v>2.1527777777777701E-2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230</v>
      </c>
      <c r="F355" s="27">
        <v>40</v>
      </c>
      <c r="G355" s="34">
        <f t="shared" si="78"/>
        <v>200</v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230</v>
      </c>
      <c r="F356" s="27">
        <v>30</v>
      </c>
      <c r="G356" s="28">
        <f t="shared" si="78"/>
        <v>150</v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230</v>
      </c>
      <c r="F357" s="27">
        <v>23</v>
      </c>
      <c r="G357" s="34">
        <f t="shared" si="78"/>
        <v>115</v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230</v>
      </c>
      <c r="F358" s="27">
        <v>17</v>
      </c>
      <c r="G358" s="28">
        <f t="shared" si="78"/>
        <v>85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230</v>
      </c>
      <c r="F359" s="27">
        <v>10</v>
      </c>
      <c r="G359" s="34">
        <f t="shared" si="78"/>
        <v>50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230</v>
      </c>
      <c r="F360" s="27">
        <v>32</v>
      </c>
      <c r="G360" s="28">
        <f t="shared" si="78"/>
        <v>160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230</v>
      </c>
      <c r="F361" s="27">
        <v>36</v>
      </c>
      <c r="G361" s="34">
        <f t="shared" si="78"/>
        <v>180</v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230</v>
      </c>
      <c r="F362" s="27">
        <v>40</v>
      </c>
      <c r="G362" s="28">
        <f t="shared" si="78"/>
        <v>200</v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230</v>
      </c>
      <c r="F363" s="27">
        <v>22</v>
      </c>
      <c r="G363" s="34">
        <f t="shared" si="78"/>
        <v>110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230</v>
      </c>
      <c r="F364" s="27">
        <v>14</v>
      </c>
      <c r="G364" s="28">
        <f t="shared" si="78"/>
        <v>70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275</v>
      </c>
      <c r="G365" s="36">
        <f>SUM(G353:G364)</f>
        <v>1375</v>
      </c>
      <c r="H365" s="37"/>
      <c r="I365" s="37"/>
      <c r="J365" s="37"/>
      <c r="K365" s="37"/>
      <c r="L365" s="37"/>
      <c r="M365" s="38">
        <f ca="1">IFERROR(SUM(M353:M364),"")</f>
        <v>9.0972222222222121E-2</v>
      </c>
      <c r="N365" s="36" t="s">
        <v>233</v>
      </c>
      <c r="O365" s="39">
        <v>2064210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230</v>
      </c>
      <c r="F366" s="27">
        <v>12</v>
      </c>
      <c r="G366" s="28">
        <f t="shared" ref="G366:G377" si="81">IF(F366="","",IF(E366="PC 17",F366*4.2,IF(E366="PC 19",F366*5,"")))</f>
        <v>60</v>
      </c>
      <c r="H366" s="26" t="s">
        <v>20</v>
      </c>
      <c r="I366" s="26" t="s">
        <v>23</v>
      </c>
      <c r="J366" s="26" t="s">
        <v>186</v>
      </c>
      <c r="K366" s="29">
        <v>9.3055555555555558E-2</v>
      </c>
      <c r="L366" s="29">
        <v>0.1125</v>
      </c>
      <c r="M366" s="30">
        <f t="shared" ref="M366:M377" ca="1" si="82">IFERROR(IF(K366="","",IF(L366="",MOD(NOW()-K366,1),IF(L366&gt;=K366,L366-K366,L366+1-K366))),"")</f>
        <v>1.9444444444444445E-2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230</v>
      </c>
      <c r="F367" s="27">
        <v>16</v>
      </c>
      <c r="G367" s="34">
        <f t="shared" si="81"/>
        <v>80</v>
      </c>
      <c r="H367" s="33" t="s">
        <v>20</v>
      </c>
      <c r="I367" s="33" t="s">
        <v>23</v>
      </c>
      <c r="J367" s="33" t="s">
        <v>186</v>
      </c>
      <c r="K367" s="29">
        <v>0.22291666666666668</v>
      </c>
      <c r="L367" s="29">
        <v>0.25347222222222221</v>
      </c>
      <c r="M367" s="35">
        <f t="shared" ca="1" si="82"/>
        <v>3.055555555555553E-2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230</v>
      </c>
      <c r="F368" s="27">
        <v>19</v>
      </c>
      <c r="G368" s="28">
        <f t="shared" si="81"/>
        <v>95</v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230</v>
      </c>
      <c r="F369" s="27">
        <v>14</v>
      </c>
      <c r="G369" s="34">
        <f t="shared" si="81"/>
        <v>70</v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230</v>
      </c>
      <c r="F370" s="27">
        <v>14</v>
      </c>
      <c r="G370" s="28">
        <f t="shared" si="81"/>
        <v>70</v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230</v>
      </c>
      <c r="F371" s="27">
        <v>20</v>
      </c>
      <c r="G371" s="34">
        <f t="shared" si="81"/>
        <v>100</v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230</v>
      </c>
      <c r="F372" s="27">
        <v>0</v>
      </c>
      <c r="G372" s="28">
        <f t="shared" si="81"/>
        <v>0</v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230</v>
      </c>
      <c r="F373" s="27">
        <v>11</v>
      </c>
      <c r="G373" s="34">
        <f t="shared" si="81"/>
        <v>55</v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230</v>
      </c>
      <c r="F374" s="27">
        <v>24</v>
      </c>
      <c r="G374" s="28">
        <f t="shared" si="81"/>
        <v>120</v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230</v>
      </c>
      <c r="F375" s="27">
        <v>26</v>
      </c>
      <c r="G375" s="34">
        <f t="shared" si="81"/>
        <v>130</v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230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230</v>
      </c>
      <c r="F377" s="27">
        <v>15</v>
      </c>
      <c r="G377" s="34">
        <f t="shared" si="81"/>
        <v>75</v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171</v>
      </c>
      <c r="G378" s="36">
        <f>SUM(G366:G377)</f>
        <v>855</v>
      </c>
      <c r="H378" s="37"/>
      <c r="I378" s="37"/>
      <c r="J378" s="37"/>
      <c r="K378" s="37"/>
      <c r="L378" s="37"/>
      <c r="M378" s="38">
        <f ca="1">IFERROR(SUM(M366:M377),"")</f>
        <v>4.9999999999999975E-2</v>
      </c>
      <c r="N378" s="36" t="s">
        <v>233</v>
      </c>
      <c r="O378" s="39">
        <v>1088710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446</v>
      </c>
      <c r="G379" s="40">
        <f>G365+G378</f>
        <v>2230</v>
      </c>
      <c r="H379" s="41"/>
      <c r="I379" s="41"/>
      <c r="J379" s="41"/>
      <c r="K379" s="41"/>
      <c r="L379" s="41"/>
      <c r="M379" s="42">
        <f ca="1">IFERROR(M365+M378,"")</f>
        <v>0.14097222222222211</v>
      </c>
      <c r="N379" s="40" t="s">
        <v>236</v>
      </c>
      <c r="O379" s="48">
        <f>IFERROR(O365+O378,"")</f>
        <v>3152920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230</v>
      </c>
      <c r="F380" s="27">
        <v>30</v>
      </c>
      <c r="G380" s="28">
        <f t="shared" ref="G380:G391" si="84">IF(F380="","",IF(E380="PC 17",F380*4.2,IF(E380="PC 19",F380*5,"")))</f>
        <v>150</v>
      </c>
      <c r="H380" s="26" t="s">
        <v>18</v>
      </c>
      <c r="I380" s="26" t="s">
        <v>23</v>
      </c>
      <c r="J380" s="26" t="s">
        <v>210</v>
      </c>
      <c r="K380" s="29">
        <v>0.3215277777777778</v>
      </c>
      <c r="L380" s="29">
        <v>0.32569444444444445</v>
      </c>
      <c r="M380" s="30">
        <f t="shared" ref="M380:M391" ca="1" si="85">IFERROR(IF(K380="","",IF(L380="",MOD(NOW()-K380,1),IF(L380&gt;=K380,L380-K380,L380+1-K380))),"")</f>
        <v>4.1666666666666519E-3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230</v>
      </c>
      <c r="F381" s="27">
        <v>30</v>
      </c>
      <c r="G381" s="34">
        <f t="shared" si="84"/>
        <v>150</v>
      </c>
      <c r="H381" s="33" t="s">
        <v>16</v>
      </c>
      <c r="I381" s="33" t="s">
        <v>23</v>
      </c>
      <c r="J381" s="33" t="s">
        <v>40</v>
      </c>
      <c r="K381" s="29">
        <v>0.43055555555555558</v>
      </c>
      <c r="L381" s="29">
        <v>0.44722222222222224</v>
      </c>
      <c r="M381" s="35">
        <f t="shared" ca="1" si="85"/>
        <v>1.6666666666666663E-2</v>
      </c>
      <c r="N381" s="46" t="s">
        <v>250</v>
      </c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230</v>
      </c>
      <c r="F382" s="27">
        <v>30</v>
      </c>
      <c r="G382" s="28">
        <f t="shared" si="84"/>
        <v>150</v>
      </c>
      <c r="H382" s="26" t="s">
        <v>19</v>
      </c>
      <c r="I382" s="26" t="s">
        <v>23</v>
      </c>
      <c r="J382" s="33" t="s">
        <v>67</v>
      </c>
      <c r="K382" s="29">
        <v>0.54374999999999996</v>
      </c>
      <c r="L382" s="29">
        <v>0.62361111111111112</v>
      </c>
      <c r="M382" s="30">
        <f t="shared" ca="1" si="85"/>
        <v>7.986111111111116E-2</v>
      </c>
      <c r="N382" s="46" t="s">
        <v>251</v>
      </c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230</v>
      </c>
      <c r="F383" s="27">
        <v>20</v>
      </c>
      <c r="G383" s="34">
        <f t="shared" si="84"/>
        <v>100</v>
      </c>
      <c r="H383" s="33" t="s">
        <v>17</v>
      </c>
      <c r="I383" s="33" t="s">
        <v>23</v>
      </c>
      <c r="J383" s="33" t="s">
        <v>110</v>
      </c>
      <c r="K383" s="29">
        <v>0.74652777777777779</v>
      </c>
      <c r="L383" s="29">
        <v>0.75347222222222221</v>
      </c>
      <c r="M383" s="35">
        <f t="shared" ca="1" si="85"/>
        <v>6.9444444444444198E-3</v>
      </c>
      <c r="N383" s="46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230</v>
      </c>
      <c r="F384" s="27">
        <v>47</v>
      </c>
      <c r="G384" s="28">
        <f t="shared" si="84"/>
        <v>235</v>
      </c>
      <c r="H384" s="26" t="s">
        <v>20</v>
      </c>
      <c r="I384" s="26" t="s">
        <v>23</v>
      </c>
      <c r="J384" s="26" t="s">
        <v>199</v>
      </c>
      <c r="K384" s="29">
        <v>0.75416666666666665</v>
      </c>
      <c r="L384" s="29">
        <v>0.76180555555555551</v>
      </c>
      <c r="M384" s="30">
        <f t="shared" ca="1" si="85"/>
        <v>7.6388888888888618E-3</v>
      </c>
      <c r="N384" s="46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230</v>
      </c>
      <c r="F385" s="27">
        <v>37</v>
      </c>
      <c r="G385" s="34">
        <f t="shared" si="84"/>
        <v>185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230</v>
      </c>
      <c r="F386" s="27">
        <v>0</v>
      </c>
      <c r="G386" s="28">
        <f t="shared" si="84"/>
        <v>0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230</v>
      </c>
      <c r="F387" s="27">
        <v>5</v>
      </c>
      <c r="G387" s="34">
        <f t="shared" si="84"/>
        <v>25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230</v>
      </c>
      <c r="F388" s="27">
        <v>20</v>
      </c>
      <c r="G388" s="28">
        <f t="shared" si="84"/>
        <v>100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230</v>
      </c>
      <c r="F389" s="27">
        <v>25</v>
      </c>
      <c r="G389" s="34">
        <f t="shared" si="84"/>
        <v>125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230</v>
      </c>
      <c r="F390" s="27">
        <v>16</v>
      </c>
      <c r="G390" s="28">
        <f t="shared" si="84"/>
        <v>80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230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260</v>
      </c>
      <c r="G392" s="36">
        <f>SUM(G380:G391)</f>
        <v>1300</v>
      </c>
      <c r="H392" s="37"/>
      <c r="I392" s="37"/>
      <c r="J392" s="37"/>
      <c r="K392" s="37"/>
      <c r="L392" s="37"/>
      <c r="M392" s="38">
        <f ca="1">IFERROR(SUM(M380:M391),"")</f>
        <v>0.11527777777777776</v>
      </c>
      <c r="N392" s="36" t="s">
        <v>233</v>
      </c>
      <c r="O392" s="39">
        <v>1576070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18</v>
      </c>
      <c r="I393" s="33" t="s">
        <v>23</v>
      </c>
      <c r="J393" s="33" t="s">
        <v>163</v>
      </c>
      <c r="K393" s="29">
        <v>0.90972222222222221</v>
      </c>
      <c r="L393" s="29">
        <v>0.91805555555555551</v>
      </c>
      <c r="M393" s="35">
        <f t="shared" ref="M393:M404" ca="1" si="88">IFERROR(IF(K393="","",IF(L393="",MOD(NOW()-K393,1),IF(L393&gt;=K393,L393-K393,L393+1-K393))),"")</f>
        <v>8.3333333333333037E-3</v>
      </c>
      <c r="N393" s="46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230</v>
      </c>
      <c r="F394" s="27">
        <v>16</v>
      </c>
      <c r="G394" s="28">
        <f t="shared" si="87"/>
        <v>80</v>
      </c>
      <c r="H394" s="26" t="s">
        <v>16</v>
      </c>
      <c r="I394" s="26" t="s">
        <v>23</v>
      </c>
      <c r="J394" s="26" t="s">
        <v>40</v>
      </c>
      <c r="K394" s="29">
        <v>0.12847222222222221</v>
      </c>
      <c r="L394" s="29">
        <v>0.14791666666666667</v>
      </c>
      <c r="M394" s="30">
        <f t="shared" ca="1" si="88"/>
        <v>1.9444444444444459E-2</v>
      </c>
      <c r="N394" s="46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230</v>
      </c>
      <c r="F395" s="27">
        <v>11</v>
      </c>
      <c r="G395" s="34">
        <f t="shared" si="87"/>
        <v>55</v>
      </c>
      <c r="H395" s="33" t="s">
        <v>20</v>
      </c>
      <c r="I395" s="33" t="s">
        <v>23</v>
      </c>
      <c r="J395" s="33" t="s">
        <v>131</v>
      </c>
      <c r="K395" s="29">
        <v>0.21180555555555555</v>
      </c>
      <c r="L395" s="29" t="s">
        <v>252</v>
      </c>
      <c r="M395" s="35" t="str">
        <f t="shared" ca="1" si="88"/>
        <v/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230</v>
      </c>
      <c r="F396" s="27">
        <v>40</v>
      </c>
      <c r="G396" s="28">
        <f t="shared" si="87"/>
        <v>200</v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230</v>
      </c>
      <c r="F397" s="27">
        <v>42</v>
      </c>
      <c r="G397" s="34">
        <f t="shared" si="87"/>
        <v>210</v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230</v>
      </c>
      <c r="F398" s="27">
        <v>42</v>
      </c>
      <c r="G398" s="28">
        <f t="shared" si="87"/>
        <v>210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230</v>
      </c>
      <c r="F399" s="27">
        <v>32</v>
      </c>
      <c r="G399" s="34">
        <f t="shared" si="87"/>
        <v>160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230</v>
      </c>
      <c r="F400" s="27">
        <v>40</v>
      </c>
      <c r="G400" s="28">
        <f t="shared" si="87"/>
        <v>200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230</v>
      </c>
      <c r="F401" s="27">
        <v>25</v>
      </c>
      <c r="G401" s="34">
        <f t="shared" si="87"/>
        <v>125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230</v>
      </c>
      <c r="F402" s="27">
        <v>35</v>
      </c>
      <c r="G402" s="28">
        <f t="shared" si="87"/>
        <v>175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230</v>
      </c>
      <c r="F403" s="27">
        <v>24</v>
      </c>
      <c r="G403" s="34">
        <f t="shared" si="87"/>
        <v>120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230</v>
      </c>
      <c r="F404" s="27">
        <v>16</v>
      </c>
      <c r="G404" s="28">
        <f t="shared" si="87"/>
        <v>80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348</v>
      </c>
      <c r="G405" s="36">
        <f>SUM(G393:G404)</f>
        <v>1740</v>
      </c>
      <c r="H405" s="37"/>
      <c r="I405" s="37"/>
      <c r="J405" s="37"/>
      <c r="K405" s="37"/>
      <c r="L405" s="37"/>
      <c r="M405" s="38">
        <f ca="1">IFERROR(SUM(M393:M404),"")</f>
        <v>2.7777777777777762E-2</v>
      </c>
      <c r="N405" s="36" t="s">
        <v>233</v>
      </c>
      <c r="O405" s="39">
        <v>1202270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608</v>
      </c>
      <c r="G406" s="40">
        <f>G392+G405</f>
        <v>3040</v>
      </c>
      <c r="H406" s="41"/>
      <c r="I406" s="41"/>
      <c r="J406" s="41"/>
      <c r="K406" s="41"/>
      <c r="L406" s="41"/>
      <c r="M406" s="42">
        <f ca="1">IFERROR(M392+M405,"")</f>
        <v>0.14305555555555552</v>
      </c>
      <c r="N406" s="40" t="s">
        <v>236</v>
      </c>
      <c r="O406" s="48">
        <f>IFERROR(O392+O405,"")</f>
        <v>2778340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230</v>
      </c>
      <c r="F407" s="27">
        <v>28</v>
      </c>
      <c r="G407" s="34">
        <f t="shared" ref="G407:G418" si="90">IF(F407="","",IF(E407="PC 17",F407*4.2,IF(E407="PC 19",F407*5,"")))</f>
        <v>140</v>
      </c>
      <c r="H407" s="33" t="s">
        <v>17</v>
      </c>
      <c r="I407" s="33" t="s">
        <v>23</v>
      </c>
      <c r="J407" s="33" t="s">
        <v>25</v>
      </c>
      <c r="K407" s="29">
        <v>0.47569444444444442</v>
      </c>
      <c r="L407" s="29">
        <v>0.48819444444444443</v>
      </c>
      <c r="M407" s="35">
        <f t="shared" ref="M407:M418" ca="1" si="91">IFERROR(IF(K407="","",IF(L407="",MOD(NOW()-K407,1),IF(L407&gt;=K407,L407-K407,L407+1-K407))),"")</f>
        <v>1.2500000000000011E-2</v>
      </c>
      <c r="N407" s="46" t="s">
        <v>253</v>
      </c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230</v>
      </c>
      <c r="F408" s="27">
        <v>25</v>
      </c>
      <c r="G408" s="28">
        <f t="shared" si="90"/>
        <v>125</v>
      </c>
      <c r="H408" s="26" t="s">
        <v>18</v>
      </c>
      <c r="I408" s="26" t="s">
        <v>23</v>
      </c>
      <c r="J408" s="26" t="s">
        <v>163</v>
      </c>
      <c r="K408" s="29">
        <v>0.65972222222222221</v>
      </c>
      <c r="L408" s="29">
        <v>0.66736111111111107</v>
      </c>
      <c r="M408" s="30">
        <f t="shared" ca="1" si="91"/>
        <v>7.6388888888888618E-3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230</v>
      </c>
      <c r="F409" s="27">
        <v>35</v>
      </c>
      <c r="G409" s="34">
        <f t="shared" si="90"/>
        <v>175</v>
      </c>
      <c r="H409" s="33" t="s">
        <v>20</v>
      </c>
      <c r="I409" s="33" t="s">
        <v>23</v>
      </c>
      <c r="J409" s="33" t="s">
        <v>131</v>
      </c>
      <c r="K409" s="29">
        <v>0.72013888888888888</v>
      </c>
      <c r="L409" s="29">
        <v>0.75902777777777775</v>
      </c>
      <c r="M409" s="35">
        <f t="shared" ca="1" si="91"/>
        <v>3.8888888888888862E-2</v>
      </c>
      <c r="N409" s="46" t="s">
        <v>254</v>
      </c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230</v>
      </c>
      <c r="F410" s="27">
        <v>35</v>
      </c>
      <c r="G410" s="28">
        <f t="shared" si="90"/>
        <v>175</v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230</v>
      </c>
      <c r="F411" s="27">
        <v>12</v>
      </c>
      <c r="G411" s="34">
        <f t="shared" si="90"/>
        <v>60</v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230</v>
      </c>
      <c r="F412" s="27">
        <v>30</v>
      </c>
      <c r="G412" s="28">
        <f t="shared" si="90"/>
        <v>150</v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230</v>
      </c>
      <c r="F413" s="27">
        <v>27</v>
      </c>
      <c r="G413" s="34">
        <f t="shared" si="90"/>
        <v>135</v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230</v>
      </c>
      <c r="F414" s="27">
        <v>15</v>
      </c>
      <c r="G414" s="28">
        <f t="shared" si="90"/>
        <v>75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46" t="s">
        <v>255</v>
      </c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46" t="s">
        <v>255</v>
      </c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230</v>
      </c>
      <c r="F417" s="27">
        <v>14</v>
      </c>
      <c r="G417" s="34">
        <f t="shared" si="90"/>
        <v>70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0</v>
      </c>
      <c r="G418" s="28">
        <f t="shared" si="90"/>
        <v>0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221</v>
      </c>
      <c r="G419" s="36">
        <f>SUM(G407:G418)</f>
        <v>1105</v>
      </c>
      <c r="H419" s="37"/>
      <c r="I419" s="37"/>
      <c r="J419" s="37"/>
      <c r="K419" s="37"/>
      <c r="L419" s="37"/>
      <c r="M419" s="38">
        <f ca="1">IFERROR(SUM(M407:M418),"")</f>
        <v>5.9027777777777735E-2</v>
      </c>
      <c r="N419" s="36" t="s">
        <v>233</v>
      </c>
      <c r="O419" s="39">
        <v>1600690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20</v>
      </c>
      <c r="G420" s="28">
        <f t="shared" ref="G420:G431" si="93">IF(F420="","",IF(E420="PC 17",F420*4.2,IF(E420="PC 19",F420*5,"")))</f>
        <v>100</v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230</v>
      </c>
      <c r="F421" s="27">
        <v>27</v>
      </c>
      <c r="G421" s="34">
        <f t="shared" si="93"/>
        <v>135</v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230</v>
      </c>
      <c r="F422" s="27">
        <v>46</v>
      </c>
      <c r="G422" s="28">
        <f t="shared" si="93"/>
        <v>230</v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230</v>
      </c>
      <c r="F423" s="27">
        <v>42</v>
      </c>
      <c r="G423" s="34">
        <f t="shared" si="93"/>
        <v>210</v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230</v>
      </c>
      <c r="F424" s="27">
        <v>24</v>
      </c>
      <c r="G424" s="28">
        <f t="shared" si="93"/>
        <v>120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230</v>
      </c>
      <c r="F425" s="27">
        <v>17</v>
      </c>
      <c r="G425" s="34">
        <f t="shared" si="93"/>
        <v>85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230</v>
      </c>
      <c r="F426" s="27">
        <v>30</v>
      </c>
      <c r="G426" s="28">
        <f t="shared" si="93"/>
        <v>150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230</v>
      </c>
      <c r="F427" s="27">
        <v>33</v>
      </c>
      <c r="G427" s="34">
        <f t="shared" si="93"/>
        <v>165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230</v>
      </c>
      <c r="F428" s="27">
        <v>20</v>
      </c>
      <c r="G428" s="28">
        <f t="shared" si="93"/>
        <v>100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230</v>
      </c>
      <c r="F429" s="27">
        <v>32</v>
      </c>
      <c r="G429" s="34">
        <f t="shared" si="93"/>
        <v>160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230</v>
      </c>
      <c r="F430" s="27">
        <v>26</v>
      </c>
      <c r="G430" s="28">
        <f t="shared" si="93"/>
        <v>130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230</v>
      </c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317</v>
      </c>
      <c r="G432" s="36">
        <f>SUM(G420:G431)</f>
        <v>1585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233</v>
      </c>
      <c r="O432" s="39">
        <v>1801910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538</v>
      </c>
      <c r="G433" s="40">
        <f>G419+G432</f>
        <v>2690</v>
      </c>
      <c r="H433" s="41"/>
      <c r="I433" s="41"/>
      <c r="J433" s="41"/>
      <c r="K433" s="41"/>
      <c r="L433" s="41"/>
      <c r="M433" s="42">
        <f ca="1">IFERROR(M419+M432,"")</f>
        <v>5.9027777777777735E-2</v>
      </c>
      <c r="N433" s="40" t="s">
        <v>236</v>
      </c>
      <c r="O433" s="48">
        <f>IFERROR(O419+O432,"")</f>
        <v>3402600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230</v>
      </c>
      <c r="F434" s="27">
        <v>7</v>
      </c>
      <c r="G434" s="28">
        <f t="shared" ref="G434:G445" si="96">IF(F434="","",IF(E434="PC 17",F434*4.2,IF(E434="PC 19",F434*5,"")))</f>
        <v>35</v>
      </c>
      <c r="H434" s="26" t="s">
        <v>18</v>
      </c>
      <c r="I434" s="26" t="s">
        <v>23</v>
      </c>
      <c r="J434" s="26" t="s">
        <v>214</v>
      </c>
      <c r="K434" s="29">
        <v>0.31805555555555554</v>
      </c>
      <c r="L434" s="29">
        <v>0.36805555555555558</v>
      </c>
      <c r="M434" s="30">
        <f t="shared" ref="M434:M445" ca="1" si="97">IFERROR(IF(K434="","",IF(L434="",MOD(NOW()-K434,1),IF(L434&gt;=K434,L434-K434,L434+1-K434))),"")</f>
        <v>5.0000000000000044E-2</v>
      </c>
      <c r="N434" s="46" t="s">
        <v>256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230</v>
      </c>
      <c r="F435" s="27">
        <v>0</v>
      </c>
      <c r="G435" s="28">
        <f t="shared" si="96"/>
        <v>0</v>
      </c>
      <c r="H435" s="33" t="s">
        <v>16</v>
      </c>
      <c r="I435" s="33"/>
      <c r="J435" s="33" t="s">
        <v>86</v>
      </c>
      <c r="K435" s="29">
        <v>0.58333333333333337</v>
      </c>
      <c r="L435" s="29">
        <v>0.77083333333333337</v>
      </c>
      <c r="M435" s="35">
        <f t="shared" ca="1" si="97"/>
        <v>0.1875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230</v>
      </c>
      <c r="F436" s="27">
        <v>40</v>
      </c>
      <c r="G436" s="28">
        <f t="shared" si="96"/>
        <v>200</v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230</v>
      </c>
      <c r="F437" s="27">
        <v>34</v>
      </c>
      <c r="G437" s="34">
        <f t="shared" si="96"/>
        <v>170</v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230</v>
      </c>
      <c r="F438" s="27">
        <v>30</v>
      </c>
      <c r="G438" s="28">
        <f t="shared" si="96"/>
        <v>150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230</v>
      </c>
      <c r="F439" s="27">
        <v>40</v>
      </c>
      <c r="G439" s="34">
        <f t="shared" si="96"/>
        <v>200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230</v>
      </c>
      <c r="F440" s="27">
        <v>28</v>
      </c>
      <c r="G440" s="28">
        <f t="shared" si="96"/>
        <v>140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230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230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30</v>
      </c>
      <c r="E443" s="59" t="s">
        <v>230</v>
      </c>
      <c r="F443" s="27">
        <v>0</v>
      </c>
      <c r="G443" s="34">
        <f t="shared" si="96"/>
        <v>0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30</v>
      </c>
      <c r="E444" s="59" t="s">
        <v>230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30</v>
      </c>
      <c r="E445" s="59" t="s">
        <v>230</v>
      </c>
      <c r="F445" s="27">
        <v>0</v>
      </c>
      <c r="G445" s="34">
        <f t="shared" si="96"/>
        <v>0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179</v>
      </c>
      <c r="G446" s="36">
        <f>SUM(G434:G445)</f>
        <v>895</v>
      </c>
      <c r="H446" s="37"/>
      <c r="I446" s="37"/>
      <c r="J446" s="37"/>
      <c r="K446" s="37"/>
      <c r="L446" s="37"/>
      <c r="M446" s="38">
        <f ca="1">IFERROR(SUM(M434:M445),"")</f>
        <v>0.23750000000000004</v>
      </c>
      <c r="N446" s="36" t="s">
        <v>233</v>
      </c>
      <c r="O446" s="39">
        <v>1241480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257</v>
      </c>
      <c r="F447" s="27">
        <v>25</v>
      </c>
      <c r="G447" s="34">
        <f t="shared" ref="G447:G458" si="99">IF(F447="","",IF(E447="PC 17",F447*4.2,IF(E447="PC 19",F447*5,"")))</f>
        <v>105</v>
      </c>
      <c r="H447" s="33" t="s">
        <v>18</v>
      </c>
      <c r="I447" s="33" t="s">
        <v>23</v>
      </c>
      <c r="J447" s="33" t="s">
        <v>215</v>
      </c>
      <c r="K447" s="29">
        <v>0.82638888888888884</v>
      </c>
      <c r="L447" s="29">
        <v>0.8930555555555556</v>
      </c>
      <c r="M447" s="35">
        <f t="shared" ref="M447:M458" ca="1" si="100">IFERROR(IF(K447="","",IF(L447="",MOD(NOW()-K447,1),IF(L447&gt;=K447,L447-K447,L447+1-K447))),"")</f>
        <v>6.6666666666666763E-2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257</v>
      </c>
      <c r="F448" s="27">
        <v>0</v>
      </c>
      <c r="G448" s="28">
        <f t="shared" si="99"/>
        <v>0</v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257</v>
      </c>
      <c r="F449" s="27">
        <v>13</v>
      </c>
      <c r="G449" s="34">
        <f t="shared" si="99"/>
        <v>54.6</v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257</v>
      </c>
      <c r="F450" s="27">
        <v>21</v>
      </c>
      <c r="G450" s="28">
        <f t="shared" si="99"/>
        <v>88.2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257</v>
      </c>
      <c r="F451" s="27">
        <v>9</v>
      </c>
      <c r="G451" s="34">
        <f t="shared" si="99"/>
        <v>37.800000000000004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257</v>
      </c>
      <c r="F452" s="27">
        <v>9</v>
      </c>
      <c r="G452" s="28">
        <f t="shared" si="99"/>
        <v>37.800000000000004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20" t="s">
        <v>257</v>
      </c>
      <c r="F453" s="27">
        <v>7</v>
      </c>
      <c r="G453" s="34">
        <f>IF(F453="","",IF(E454="PC 17",F453*4.2,IF(E454="PC 19",F453*5,"")))</f>
        <v>29.400000000000002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257</v>
      </c>
      <c r="F454" s="27">
        <v>20</v>
      </c>
      <c r="G454" s="28">
        <v>100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257</v>
      </c>
      <c r="F455" s="27">
        <v>25</v>
      </c>
      <c r="G455" s="34">
        <f t="shared" si="99"/>
        <v>105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257</v>
      </c>
      <c r="F456" s="27">
        <v>20</v>
      </c>
      <c r="G456" s="28">
        <f t="shared" si="99"/>
        <v>84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257</v>
      </c>
      <c r="F457" s="27">
        <v>19</v>
      </c>
      <c r="G457" s="34">
        <f t="shared" si="99"/>
        <v>79.8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257</v>
      </c>
      <c r="F458" s="27">
        <v>18</v>
      </c>
      <c r="G458" s="28">
        <f t="shared" si="99"/>
        <v>75.600000000000009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186</v>
      </c>
      <c r="G459" s="36">
        <f>SUM(G447:G458)</f>
        <v>797.19999999999993</v>
      </c>
      <c r="H459" s="37"/>
      <c r="I459" s="37"/>
      <c r="J459" s="37"/>
      <c r="K459" s="37"/>
      <c r="L459" s="37"/>
      <c r="M459" s="38">
        <f ca="1">IFERROR(SUM(M447:M458),"")</f>
        <v>6.6666666666666763E-2</v>
      </c>
      <c r="N459" s="36" t="s">
        <v>233</v>
      </c>
      <c r="O459" s="39">
        <v>2675000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365</v>
      </c>
      <c r="G460" s="40">
        <f>G446+G459</f>
        <v>1692.1999999999998</v>
      </c>
      <c r="H460" s="41"/>
      <c r="I460" s="41"/>
      <c r="J460" s="41"/>
      <c r="K460" s="41"/>
      <c r="L460" s="41"/>
      <c r="M460" s="42">
        <f ca="1">IFERROR(M446+M459,"")</f>
        <v>0.30416666666666681</v>
      </c>
      <c r="N460" s="40" t="s">
        <v>236</v>
      </c>
      <c r="O460" s="48">
        <f>IFERROR(O446+O459,"")</f>
        <v>3916480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40</v>
      </c>
      <c r="G466" s="28">
        <f>IF(F466="","",IF(E466="PC 17",F466*4.2,IF(E466="PC 19",F466*5,"")))</f>
        <v>200</v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44</v>
      </c>
      <c r="G473" s="36">
        <f>SUM(G461:G472)</f>
        <v>220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233</v>
      </c>
      <c r="O473" s="39">
        <v>2034810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10</v>
      </c>
      <c r="G475" s="34">
        <f t="shared" si="105"/>
        <v>50</v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10</v>
      </c>
      <c r="G486" s="36">
        <f>SUM(G474:G485)</f>
        <v>50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233</v>
      </c>
      <c r="O486" s="39">
        <v>2310070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54</v>
      </c>
      <c r="G487" s="40">
        <f>G473+G486</f>
        <v>270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236</v>
      </c>
      <c r="O487" s="48">
        <f>IFERROR(O473+O486,"")</f>
        <v>4344880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/>
      <c r="F488" s="27"/>
      <c r="G488" s="28" t="str">
        <f t="shared" ref="G488:G499" si="108">IF(F488="","",IF(E488="PC 17",F488*4.2,IF(E488="PC 19",F488*5,"")))</f>
        <v/>
      </c>
      <c r="H488" s="26" t="s">
        <v>18</v>
      </c>
      <c r="I488" s="26" t="s">
        <v>23</v>
      </c>
      <c r="J488" s="26" t="s">
        <v>163</v>
      </c>
      <c r="K488" s="29">
        <v>0.41319444444444442</v>
      </c>
      <c r="L488" s="29">
        <v>0.4201388888888889</v>
      </c>
      <c r="M488" s="30">
        <f t="shared" ref="M488:M499" ca="1" si="109">IFERROR(IF(K488="","",IF(L488="",MOD(NOW()-K488,1),IF(L488&gt;=K488,L488-K488,L488+1-K488))),"")</f>
        <v>6.9444444444444753E-3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/>
      <c r="F489" s="27"/>
      <c r="G489" s="34" t="str">
        <f t="shared" si="108"/>
        <v/>
      </c>
      <c r="H489" s="33" t="s">
        <v>20</v>
      </c>
      <c r="I489" s="33" t="s">
        <v>23</v>
      </c>
      <c r="J489" s="33" t="s">
        <v>186</v>
      </c>
      <c r="K489" s="29">
        <v>0.4465277777777778</v>
      </c>
      <c r="L489" s="29">
        <v>0.49027777777777776</v>
      </c>
      <c r="M489" s="35">
        <f t="shared" ca="1" si="109"/>
        <v>4.3749999999999956E-2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30</v>
      </c>
      <c r="G493" s="34">
        <f t="shared" si="108"/>
        <v>126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61</v>
      </c>
      <c r="G494" s="28">
        <f t="shared" si="108"/>
        <v>256.2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230</v>
      </c>
      <c r="F495" s="27">
        <v>35</v>
      </c>
      <c r="G495" s="34">
        <f t="shared" si="108"/>
        <v>175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230</v>
      </c>
      <c r="F496" s="27">
        <v>35</v>
      </c>
      <c r="G496" s="28">
        <f t="shared" si="108"/>
        <v>175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230</v>
      </c>
      <c r="F497" s="27">
        <v>25</v>
      </c>
      <c r="G497" s="34">
        <f t="shared" si="108"/>
        <v>125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230</v>
      </c>
      <c r="F498" s="27">
        <v>30</v>
      </c>
      <c r="G498" s="28">
        <f t="shared" si="108"/>
        <v>150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230</v>
      </c>
      <c r="F499" s="27">
        <v>15</v>
      </c>
      <c r="G499" s="34">
        <f t="shared" si="108"/>
        <v>75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231</v>
      </c>
      <c r="G500" s="36">
        <f>SUM(G488:G499)</f>
        <v>1082.2</v>
      </c>
      <c r="H500" s="37"/>
      <c r="I500" s="37"/>
      <c r="J500" s="37"/>
      <c r="K500" s="37"/>
      <c r="L500" s="37"/>
      <c r="M500" s="38">
        <f ca="1">IFERROR(SUM(M488:M499),"")</f>
        <v>5.0694444444444431E-2</v>
      </c>
      <c r="N500" s="36" t="s">
        <v>233</v>
      </c>
      <c r="O500" s="39">
        <v>2098690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230</v>
      </c>
      <c r="F501" s="27">
        <v>17</v>
      </c>
      <c r="G501" s="34">
        <f t="shared" ref="G501:G512" si="111">IF(F501="","",IF(E501="PC 17",F501*4.2,IF(E501="PC 19",F501*5,"")))</f>
        <v>85</v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26</v>
      </c>
      <c r="G502" s="28">
        <f t="shared" si="111"/>
        <v>130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230</v>
      </c>
      <c r="F503" s="27">
        <v>10</v>
      </c>
      <c r="G503" s="34">
        <f t="shared" si="111"/>
        <v>50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230</v>
      </c>
      <c r="F504" s="27">
        <v>20</v>
      </c>
      <c r="G504" s="28">
        <f t="shared" si="111"/>
        <v>100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230</v>
      </c>
      <c r="F505" s="27">
        <v>36</v>
      </c>
      <c r="G505" s="34">
        <f t="shared" si="111"/>
        <v>180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230</v>
      </c>
      <c r="F506" s="27">
        <v>20</v>
      </c>
      <c r="G506" s="28">
        <f t="shared" si="111"/>
        <v>100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230</v>
      </c>
      <c r="F507" s="27">
        <v>28</v>
      </c>
      <c r="G507" s="34">
        <f t="shared" si="111"/>
        <v>140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230</v>
      </c>
      <c r="F508" s="27">
        <v>16</v>
      </c>
      <c r="G508" s="28">
        <f t="shared" si="111"/>
        <v>80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230</v>
      </c>
      <c r="F509" s="27">
        <v>35</v>
      </c>
      <c r="G509" s="34">
        <f t="shared" si="111"/>
        <v>175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230</v>
      </c>
      <c r="F510" s="27">
        <v>10</v>
      </c>
      <c r="G510" s="28">
        <f t="shared" si="111"/>
        <v>50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230</v>
      </c>
      <c r="F511" s="27">
        <v>14</v>
      </c>
      <c r="G511" s="34">
        <f t="shared" si="111"/>
        <v>70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230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232</v>
      </c>
      <c r="G513" s="36">
        <f>SUM(G501:G512)</f>
        <v>1160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233</v>
      </c>
      <c r="O513" s="39">
        <v>1298429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463</v>
      </c>
      <c r="G514" s="40">
        <f>G500+G513</f>
        <v>2242.1999999999998</v>
      </c>
      <c r="H514" s="41"/>
      <c r="I514" s="41"/>
      <c r="J514" s="41"/>
      <c r="K514" s="41"/>
      <c r="L514" s="41"/>
      <c r="M514" s="42">
        <f ca="1">IFERROR(M500+M513,"")</f>
        <v>5.0694444444444431E-2</v>
      </c>
      <c r="N514" s="40" t="s">
        <v>236</v>
      </c>
      <c r="O514" s="48">
        <f>IFERROR(O500+O513,"")</f>
        <v>3397119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230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19</v>
      </c>
      <c r="I515" s="33" t="s">
        <v>23</v>
      </c>
      <c r="J515" s="33" t="s">
        <v>107</v>
      </c>
      <c r="K515" s="29">
        <v>0.30138888888888887</v>
      </c>
      <c r="L515" s="29">
        <v>0.38680555555555557</v>
      </c>
      <c r="M515" s="35">
        <f t="shared" ref="M515:M526" ca="1" si="115">IFERROR(IF(K515="","",IF(L515="",MOD(NOW()-K515,1),IF(L515&gt;=K515,L515-K515,L515+1-K515))),"")</f>
        <v>8.5416666666666696E-2</v>
      </c>
      <c r="N515" s="46" t="s">
        <v>258</v>
      </c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230</v>
      </c>
      <c r="F516" s="27">
        <v>0</v>
      </c>
      <c r="G516" s="28">
        <f t="shared" si="114"/>
        <v>0</v>
      </c>
      <c r="H516" s="49" t="s">
        <v>18</v>
      </c>
      <c r="I516" s="26" t="s">
        <v>23</v>
      </c>
      <c r="J516" s="49" t="s">
        <v>34</v>
      </c>
      <c r="K516" s="29">
        <v>0.68055555555555558</v>
      </c>
      <c r="L516" s="29">
        <v>0.79166666666666663</v>
      </c>
      <c r="M516" s="30">
        <f t="shared" ca="1" si="115"/>
        <v>0.11111111111111105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230</v>
      </c>
      <c r="F517" s="27">
        <v>30</v>
      </c>
      <c r="G517" s="34">
        <f t="shared" si="114"/>
        <v>150</v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230</v>
      </c>
      <c r="F518" s="27">
        <v>30</v>
      </c>
      <c r="G518" s="28">
        <f t="shared" si="114"/>
        <v>150</v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230</v>
      </c>
      <c r="F519" s="27">
        <v>27</v>
      </c>
      <c r="G519" s="34">
        <f t="shared" si="114"/>
        <v>135</v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230</v>
      </c>
      <c r="F520" s="27">
        <v>24</v>
      </c>
      <c r="G520" s="28">
        <f t="shared" si="114"/>
        <v>120</v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230</v>
      </c>
      <c r="F521" s="27">
        <v>15</v>
      </c>
      <c r="G521" s="34">
        <f t="shared" si="114"/>
        <v>75</v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230</v>
      </c>
      <c r="F522" s="27">
        <v>28</v>
      </c>
      <c r="G522" s="28">
        <f t="shared" si="114"/>
        <v>140</v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230</v>
      </c>
      <c r="F523" s="27">
        <v>15</v>
      </c>
      <c r="G523" s="34">
        <f t="shared" si="114"/>
        <v>75</v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230</v>
      </c>
      <c r="F524" s="27">
        <v>5</v>
      </c>
      <c r="G524" s="28">
        <f t="shared" si="114"/>
        <v>25</v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230</v>
      </c>
      <c r="F525" s="27">
        <v>0</v>
      </c>
      <c r="G525" s="34">
        <f t="shared" si="114"/>
        <v>0</v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230</v>
      </c>
      <c r="F526" s="27">
        <v>0</v>
      </c>
      <c r="G526" s="28">
        <f t="shared" si="114"/>
        <v>0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174</v>
      </c>
      <c r="G527" s="36">
        <f>SUM(G515:G526)</f>
        <v>870</v>
      </c>
      <c r="H527" s="37"/>
      <c r="I527" s="37"/>
      <c r="J527" s="37"/>
      <c r="K527" s="37"/>
      <c r="L527" s="37"/>
      <c r="M527" s="38">
        <f ca="1">IFERROR(SUM(M515:M526),"")</f>
        <v>0.19652777777777775</v>
      </c>
      <c r="N527" s="36" t="s">
        <v>233</v>
      </c>
      <c r="O527" s="39">
        <v>1162570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230</v>
      </c>
      <c r="F528" s="27">
        <v>12</v>
      </c>
      <c r="G528" s="28">
        <f t="shared" ref="G528:G539" si="117">IF(F528="","",IF(E528="PC 17",F528*4.2,IF(E528="PC 19",F528*5,"")))</f>
        <v>60</v>
      </c>
      <c r="H528" s="26" t="s">
        <v>18</v>
      </c>
      <c r="I528" s="26" t="s">
        <v>23</v>
      </c>
      <c r="J528" s="26" t="s">
        <v>34</v>
      </c>
      <c r="K528" s="29">
        <v>0.29166666666666669</v>
      </c>
      <c r="L528" s="29">
        <v>0.82499999999999996</v>
      </c>
      <c r="M528" s="30">
        <v>3.3333333333333333E-2</v>
      </c>
      <c r="N528" s="46"/>
      <c r="O528" s="47"/>
    </row>
    <row r="529" spans="1:15" ht="15" customHeight="1">
      <c r="A529" s="69">
        <v>46223</v>
      </c>
      <c r="B529" s="32">
        <f t="shared" ref="B529:B539" si="118">B528+TIME(0,60,0)</f>
        <v>0.87499999999999967</v>
      </c>
      <c r="C529" s="26" t="s">
        <v>45</v>
      </c>
      <c r="D529" s="59" t="s">
        <v>30</v>
      </c>
      <c r="E529" s="59" t="s">
        <v>230</v>
      </c>
      <c r="F529" s="27">
        <v>21</v>
      </c>
      <c r="G529" s="34">
        <f t="shared" si="117"/>
        <v>105</v>
      </c>
      <c r="H529" s="33" t="s">
        <v>16</v>
      </c>
      <c r="I529" s="33" t="s">
        <v>23</v>
      </c>
      <c r="J529" s="33" t="s">
        <v>32</v>
      </c>
      <c r="K529" s="29">
        <v>5.7638888888888892E-2</v>
      </c>
      <c r="L529" s="29">
        <v>0.16250000000000001</v>
      </c>
      <c r="M529" s="35">
        <f t="shared" ref="M528:M539" ca="1" si="119">IFERROR(IF(K529="","",IF(L529="",MOD(NOW()-K529,1),IF(L529&gt;=K529,L529-K529,L529+1-K529))),"")</f>
        <v>0.10486111111111111</v>
      </c>
      <c r="N529" s="46" t="s">
        <v>259</v>
      </c>
      <c r="O529" s="47"/>
    </row>
    <row r="530" spans="1:15" ht="15" customHeight="1">
      <c r="A530" s="68">
        <v>46223</v>
      </c>
      <c r="B530" s="25">
        <f t="shared" si="118"/>
        <v>0.9166666666666663</v>
      </c>
      <c r="C530" s="26" t="s">
        <v>45</v>
      </c>
      <c r="D530" s="59" t="s">
        <v>30</v>
      </c>
      <c r="E530" s="59" t="s">
        <v>230</v>
      </c>
      <c r="F530" s="27">
        <v>20</v>
      </c>
      <c r="G530" s="28">
        <f t="shared" si="117"/>
        <v>100</v>
      </c>
      <c r="H530" s="26"/>
      <c r="I530" s="26"/>
      <c r="J530" s="26"/>
      <c r="K530" s="29"/>
      <c r="L530" s="29"/>
      <c r="M530" s="30" t="str">
        <f t="shared" ca="1" si="119"/>
        <v/>
      </c>
      <c r="N530" s="46"/>
      <c r="O530" s="47"/>
    </row>
    <row r="531" spans="1:15" ht="15" customHeight="1">
      <c r="A531" s="69">
        <v>46223</v>
      </c>
      <c r="B531" s="32">
        <f t="shared" si="118"/>
        <v>0.95833333333333293</v>
      </c>
      <c r="C531" s="26" t="s">
        <v>45</v>
      </c>
      <c r="D531" s="59" t="s">
        <v>30</v>
      </c>
      <c r="E531" s="59" t="s">
        <v>230</v>
      </c>
      <c r="F531" s="27">
        <v>30</v>
      </c>
      <c r="G531" s="34">
        <f t="shared" si="117"/>
        <v>150</v>
      </c>
      <c r="H531" s="33"/>
      <c r="I531" s="33"/>
      <c r="J531" s="33"/>
      <c r="K531" s="29"/>
      <c r="L531" s="29"/>
      <c r="M531" s="35" t="str">
        <f t="shared" ca="1" si="119"/>
        <v/>
      </c>
      <c r="N531" s="46"/>
      <c r="O531" s="47"/>
    </row>
    <row r="532" spans="1:15" ht="15" customHeight="1">
      <c r="A532" s="68">
        <v>46223</v>
      </c>
      <c r="B532" s="25">
        <f t="shared" si="118"/>
        <v>0.99999999999999956</v>
      </c>
      <c r="C532" s="26" t="s">
        <v>45</v>
      </c>
      <c r="D532" s="59" t="s">
        <v>30</v>
      </c>
      <c r="E532" s="59" t="s">
        <v>230</v>
      </c>
      <c r="F532" s="27">
        <v>32</v>
      </c>
      <c r="G532" s="28">
        <f t="shared" si="117"/>
        <v>160</v>
      </c>
      <c r="H532" s="26"/>
      <c r="I532" s="26"/>
      <c r="J532" s="26"/>
      <c r="K532" s="29"/>
      <c r="L532" s="29"/>
      <c r="M532" s="30" t="str">
        <f t="shared" ca="1" si="119"/>
        <v/>
      </c>
      <c r="N532" s="46"/>
      <c r="O532" s="47"/>
    </row>
    <row r="533" spans="1:15" ht="15" customHeight="1">
      <c r="A533" s="69">
        <v>46223</v>
      </c>
      <c r="B533" s="32">
        <f t="shared" si="118"/>
        <v>1.0416666666666663</v>
      </c>
      <c r="C533" s="26" t="s">
        <v>45</v>
      </c>
      <c r="D533" s="59" t="s">
        <v>30</v>
      </c>
      <c r="E533" s="59" t="s">
        <v>230</v>
      </c>
      <c r="F533" s="27">
        <v>33</v>
      </c>
      <c r="G533" s="34">
        <f t="shared" si="117"/>
        <v>165</v>
      </c>
      <c r="H533" s="33"/>
      <c r="I533" s="33"/>
      <c r="J533" s="33"/>
      <c r="K533" s="29"/>
      <c r="L533" s="29"/>
      <c r="M533" s="35" t="str">
        <f t="shared" ca="1" si="119"/>
        <v/>
      </c>
      <c r="N533" s="46"/>
      <c r="O533" s="47"/>
    </row>
    <row r="534" spans="1:15" ht="15" customHeight="1">
      <c r="A534" s="68">
        <v>46223</v>
      </c>
      <c r="B534" s="25">
        <f t="shared" si="118"/>
        <v>1.083333333333333</v>
      </c>
      <c r="C534" s="26" t="s">
        <v>45</v>
      </c>
      <c r="D534" s="59" t="s">
        <v>30</v>
      </c>
      <c r="E534" s="59" t="s">
        <v>230</v>
      </c>
      <c r="F534" s="27">
        <v>25</v>
      </c>
      <c r="G534" s="28">
        <f t="shared" si="117"/>
        <v>125</v>
      </c>
      <c r="H534" s="26"/>
      <c r="I534" s="26"/>
      <c r="J534" s="26"/>
      <c r="K534" s="29"/>
      <c r="L534" s="29"/>
      <c r="M534" s="30" t="str">
        <f t="shared" ca="1" si="119"/>
        <v/>
      </c>
      <c r="N534" s="46"/>
      <c r="O534" s="47"/>
    </row>
    <row r="535" spans="1:15" ht="15" customHeight="1">
      <c r="A535" s="69">
        <v>46223</v>
      </c>
      <c r="B535" s="32">
        <f t="shared" si="118"/>
        <v>1.1249999999999998</v>
      </c>
      <c r="C535" s="26" t="s">
        <v>45</v>
      </c>
      <c r="D535" s="59" t="s">
        <v>30</v>
      </c>
      <c r="E535" s="59" t="s">
        <v>230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9"/>
        <v/>
      </c>
      <c r="N535" s="46"/>
      <c r="O535" s="47"/>
    </row>
    <row r="536" spans="1:15" ht="15" customHeight="1">
      <c r="A536" s="68">
        <v>46223</v>
      </c>
      <c r="B536" s="25">
        <f t="shared" si="118"/>
        <v>1.1666666666666665</v>
      </c>
      <c r="C536" s="26" t="s">
        <v>45</v>
      </c>
      <c r="D536" s="59" t="s">
        <v>30</v>
      </c>
      <c r="E536" s="59" t="s">
        <v>230</v>
      </c>
      <c r="F536" s="27">
        <v>0</v>
      </c>
      <c r="G536" s="28">
        <f t="shared" si="117"/>
        <v>0</v>
      </c>
      <c r="H536" s="26"/>
      <c r="I536" s="26"/>
      <c r="J536" s="26"/>
      <c r="K536" s="29"/>
      <c r="L536" s="29"/>
      <c r="M536" s="30" t="str">
        <f t="shared" ca="1" si="119"/>
        <v/>
      </c>
      <c r="N536" s="46"/>
      <c r="O536" s="47"/>
    </row>
    <row r="537" spans="1:15" ht="15" customHeight="1">
      <c r="A537" s="69">
        <v>46223</v>
      </c>
      <c r="B537" s="32">
        <f t="shared" si="118"/>
        <v>1.2083333333333333</v>
      </c>
      <c r="C537" s="26" t="s">
        <v>45</v>
      </c>
      <c r="D537" s="59" t="s">
        <v>30</v>
      </c>
      <c r="E537" s="59" t="s">
        <v>230</v>
      </c>
      <c r="F537" s="27">
        <v>25</v>
      </c>
      <c r="G537" s="34">
        <f t="shared" si="117"/>
        <v>125</v>
      </c>
      <c r="H537" s="33"/>
      <c r="I537" s="33"/>
      <c r="J537" s="33"/>
      <c r="K537" s="29"/>
      <c r="L537" s="29"/>
      <c r="M537" s="35" t="str">
        <f t="shared" ca="1" si="119"/>
        <v/>
      </c>
      <c r="N537" s="46"/>
      <c r="O537" s="47"/>
    </row>
    <row r="538" spans="1:15" ht="15" customHeight="1">
      <c r="A538" s="68">
        <v>46223</v>
      </c>
      <c r="B538" s="25">
        <f t="shared" si="118"/>
        <v>1.25</v>
      </c>
      <c r="C538" s="26" t="s">
        <v>45</v>
      </c>
      <c r="D538" s="59" t="s">
        <v>30</v>
      </c>
      <c r="E538" s="59" t="s">
        <v>230</v>
      </c>
      <c r="F538" s="27">
        <v>40</v>
      </c>
      <c r="G538" s="28">
        <f t="shared" si="117"/>
        <v>200</v>
      </c>
      <c r="H538" s="26"/>
      <c r="I538" s="26"/>
      <c r="J538" s="26"/>
      <c r="K538" s="29"/>
      <c r="L538" s="29"/>
      <c r="M538" s="30" t="str">
        <f t="shared" ca="1" si="119"/>
        <v/>
      </c>
      <c r="N538" s="46"/>
      <c r="O538" s="47"/>
    </row>
    <row r="539" spans="1:15" ht="15" customHeight="1">
      <c r="A539" s="69">
        <v>46223</v>
      </c>
      <c r="B539" s="32">
        <f t="shared" si="118"/>
        <v>1.2916666666666667</v>
      </c>
      <c r="C539" s="26" t="s">
        <v>45</v>
      </c>
      <c r="D539" s="59" t="s">
        <v>30</v>
      </c>
      <c r="E539" s="59" t="s">
        <v>230</v>
      </c>
      <c r="F539" s="27">
        <v>16</v>
      </c>
      <c r="G539" s="34">
        <f t="shared" si="117"/>
        <v>80</v>
      </c>
      <c r="H539" s="33"/>
      <c r="I539" s="33"/>
      <c r="J539" s="33"/>
      <c r="K539" s="29"/>
      <c r="L539" s="29"/>
      <c r="M539" s="35" t="str">
        <f t="shared" ca="1" si="119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254</v>
      </c>
      <c r="G540" s="36">
        <f>SUM(G528:G539)</f>
        <v>1270</v>
      </c>
      <c r="H540" s="37"/>
      <c r="I540" s="37"/>
      <c r="J540" s="37"/>
      <c r="K540" s="37"/>
      <c r="L540" s="37"/>
      <c r="M540" s="38">
        <f ca="1">IFERROR(SUM(M528:M539),"")</f>
        <v>0.13819444444444445</v>
      </c>
      <c r="N540" s="36" t="s">
        <v>233</v>
      </c>
      <c r="O540" s="39">
        <v>1240140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428</v>
      </c>
      <c r="G541" s="40">
        <f>G527+G540</f>
        <v>2140</v>
      </c>
      <c r="H541" s="41"/>
      <c r="I541" s="41"/>
      <c r="J541" s="41"/>
      <c r="K541" s="41"/>
      <c r="L541" s="41"/>
      <c r="M541" s="42">
        <f ca="1">IFERROR(M527+M540,"")</f>
        <v>0.3347222222222222</v>
      </c>
      <c r="N541" s="40" t="s">
        <v>236</v>
      </c>
      <c r="O541" s="48">
        <f>IFERROR(O527+O540,"")</f>
        <v>2402710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230</v>
      </c>
      <c r="F542" s="27">
        <v>5</v>
      </c>
      <c r="G542" s="28">
        <f t="shared" ref="G542:G553" si="120">IF(F542="","",IF(E542="PC 17",F542*4.2,IF(E542="PC 19",F542*5,"")))</f>
        <v>25</v>
      </c>
      <c r="H542" s="26" t="s">
        <v>18</v>
      </c>
      <c r="I542" s="26" t="s">
        <v>23</v>
      </c>
      <c r="J542" s="26" t="s">
        <v>207</v>
      </c>
      <c r="K542" s="29">
        <v>0.30208333333333331</v>
      </c>
      <c r="L542" s="29">
        <v>0.625</v>
      </c>
      <c r="M542" s="30">
        <f t="shared" ref="M542:M553" ca="1" si="121">IFERROR(IF(K542="","",IF(L542="",MOD(NOW()-K542,1),IF(L542&gt;=K542,L542-K542,L542+1-K542))),"")</f>
        <v>0.32291666666666669</v>
      </c>
      <c r="N542" s="46" t="s">
        <v>260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230</v>
      </c>
      <c r="F543" s="27">
        <v>0</v>
      </c>
      <c r="G543" s="34">
        <f t="shared" si="120"/>
        <v>0</v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230</v>
      </c>
      <c r="F544" s="27">
        <v>0</v>
      </c>
      <c r="G544" s="28">
        <f t="shared" si="120"/>
        <v>0</v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230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230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30</v>
      </c>
      <c r="E547" s="59" t="s">
        <v>230</v>
      </c>
      <c r="F547" s="27">
        <v>0</v>
      </c>
      <c r="G547" s="34">
        <f t="shared" si="120"/>
        <v>0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30</v>
      </c>
      <c r="E548" s="59" t="s">
        <v>230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30</v>
      </c>
      <c r="E549" s="59" t="s">
        <v>230</v>
      </c>
      <c r="F549" s="27">
        <v>10</v>
      </c>
      <c r="G549" s="34">
        <f t="shared" si="120"/>
        <v>50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30</v>
      </c>
      <c r="E550" s="59" t="s">
        <v>230</v>
      </c>
      <c r="F550" s="27">
        <v>30</v>
      </c>
      <c r="G550" s="28">
        <f t="shared" si="120"/>
        <v>150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30</v>
      </c>
      <c r="E551" s="59" t="s">
        <v>230</v>
      </c>
      <c r="F551" s="27">
        <v>35</v>
      </c>
      <c r="G551" s="34">
        <f t="shared" si="120"/>
        <v>175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30</v>
      </c>
      <c r="E552" s="59" t="s">
        <v>230</v>
      </c>
      <c r="F552" s="27">
        <v>30</v>
      </c>
      <c r="G552" s="28">
        <f t="shared" si="120"/>
        <v>150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30</v>
      </c>
      <c r="E553" s="59" t="s">
        <v>230</v>
      </c>
      <c r="F553" s="27">
        <v>20</v>
      </c>
      <c r="G553" s="34">
        <f t="shared" si="120"/>
        <v>100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130</v>
      </c>
      <c r="G554" s="36">
        <f>SUM(G542:G553)</f>
        <v>650</v>
      </c>
      <c r="H554" s="37"/>
      <c r="I554" s="37"/>
      <c r="J554" s="37"/>
      <c r="K554" s="37"/>
      <c r="L554" s="37"/>
      <c r="M554" s="38">
        <f ca="1">IFERROR(SUM(M542:M553),"")</f>
        <v>0.32291666666666669</v>
      </c>
      <c r="N554" s="36" t="s">
        <v>233</v>
      </c>
      <c r="O554" s="39">
        <v>726090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230</v>
      </c>
      <c r="F555" s="27">
        <v>23</v>
      </c>
      <c r="G555" s="34">
        <f t="shared" ref="G555:G566" si="123">IF(F555="","",IF(E555="PC 17",F555*4.2,IF(E555="PC 19",F555*5,"")))</f>
        <v>115</v>
      </c>
      <c r="H555" s="33" t="s">
        <v>19</v>
      </c>
      <c r="I555" s="33" t="s">
        <v>23</v>
      </c>
      <c r="J555" s="33" t="s">
        <v>67</v>
      </c>
      <c r="K555" s="29">
        <v>0.99027777777777781</v>
      </c>
      <c r="L555" s="29">
        <v>1.8749999999999999E-2</v>
      </c>
      <c r="M555" s="35">
        <f t="shared" ref="M555:M566" ca="1" si="124">IFERROR(IF(K555="","",IF(L555="",MOD(NOW()-K555,1),IF(L555&gt;=K555,L555-K555,L555+1-K555))),"")</f>
        <v>2.8472222222222232E-2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230</v>
      </c>
      <c r="F556" s="27">
        <v>30</v>
      </c>
      <c r="G556" s="28">
        <f t="shared" si="123"/>
        <v>150</v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230</v>
      </c>
      <c r="F557" s="27">
        <v>0</v>
      </c>
      <c r="G557" s="34">
        <f t="shared" si="123"/>
        <v>0</v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230</v>
      </c>
      <c r="F558" s="27">
        <v>26</v>
      </c>
      <c r="G558" s="28">
        <f t="shared" si="123"/>
        <v>130</v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230</v>
      </c>
      <c r="F559" s="27">
        <v>0</v>
      </c>
      <c r="G559" s="34">
        <f t="shared" si="123"/>
        <v>0</v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230</v>
      </c>
      <c r="F560" s="27">
        <v>24</v>
      </c>
      <c r="G560" s="28">
        <f t="shared" si="123"/>
        <v>120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230</v>
      </c>
      <c r="F561" s="27">
        <v>32</v>
      </c>
      <c r="G561" s="34">
        <f t="shared" si="123"/>
        <v>160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230</v>
      </c>
      <c r="F562" s="27">
        <v>11</v>
      </c>
      <c r="G562" s="28">
        <f t="shared" si="123"/>
        <v>55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230</v>
      </c>
      <c r="F563" s="27">
        <v>31</v>
      </c>
      <c r="G563" s="34">
        <f t="shared" si="123"/>
        <v>155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230</v>
      </c>
      <c r="F564" s="27">
        <v>20</v>
      </c>
      <c r="G564" s="28">
        <f t="shared" si="123"/>
        <v>100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230</v>
      </c>
      <c r="F565" s="27">
        <v>18</v>
      </c>
      <c r="G565" s="34">
        <f t="shared" si="123"/>
        <v>90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230</v>
      </c>
      <c r="F566" s="27">
        <v>6</v>
      </c>
      <c r="G566" s="28">
        <f t="shared" si="123"/>
        <v>30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221</v>
      </c>
      <c r="G567" s="36">
        <f>SUM(G555:G566)</f>
        <v>1105</v>
      </c>
      <c r="H567" s="37"/>
      <c r="I567" s="37"/>
      <c r="J567" s="37"/>
      <c r="K567" s="37"/>
      <c r="L567" s="37"/>
      <c r="M567" s="38">
        <f ca="1">IFERROR(SUM(M555:M566),"")</f>
        <v>2.8472222222222232E-2</v>
      </c>
      <c r="N567" s="36" t="s">
        <v>233</v>
      </c>
      <c r="O567" s="39">
        <v>1482110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351</v>
      </c>
      <c r="G568" s="40">
        <f>G554+G567</f>
        <v>1755</v>
      </c>
      <c r="H568" s="41"/>
      <c r="I568" s="41"/>
      <c r="J568" s="41"/>
      <c r="K568" s="41"/>
      <c r="L568" s="41"/>
      <c r="M568" s="42">
        <f ca="1">IFERROR(M554+M567,"")</f>
        <v>0.35138888888888892</v>
      </c>
      <c r="N568" s="40" t="s">
        <v>236</v>
      </c>
      <c r="O568" s="48">
        <f>IFERROR(O554+O567,"")</f>
        <v>2208200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/>
      <c r="F569" s="27"/>
      <c r="G569" s="34" t="str">
        <f t="shared" ref="G569:G580" si="126">IF(F569="","",IF(E569="PC 17",F569*4.2,IF(E569="PC 19",F569*5,"")))</f>
        <v/>
      </c>
      <c r="H569" s="33" t="s">
        <v>19</v>
      </c>
      <c r="I569" s="33" t="s">
        <v>23</v>
      </c>
      <c r="J569" s="33" t="s">
        <v>67</v>
      </c>
      <c r="K569" s="29">
        <v>0.33333333333333331</v>
      </c>
      <c r="L569" s="29">
        <v>0.38194444444444442</v>
      </c>
      <c r="M569" s="35">
        <f t="shared" ref="M569:M580" ca="1" si="127">IFERROR(IF(K569="","",IF(L569="",MOD(NOW()-K569,1),IF(L569&gt;=K569,L569-K569,L569+1-K569))),"")</f>
        <v>4.8611111111111105E-2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/>
      <c r="F570" s="27"/>
      <c r="G570" s="34" t="str">
        <f t="shared" si="126"/>
        <v/>
      </c>
      <c r="H570" s="26" t="s">
        <v>18</v>
      </c>
      <c r="I570" s="26" t="s">
        <v>23</v>
      </c>
      <c r="J570" s="26" t="s">
        <v>163</v>
      </c>
      <c r="K570" s="29">
        <v>0.68055555555555558</v>
      </c>
      <c r="L570" s="29">
        <v>0.69027777777777777</v>
      </c>
      <c r="M570" s="30">
        <f t="shared" ca="1" si="127"/>
        <v>9.7222222222221877E-3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230</v>
      </c>
      <c r="F575" s="27">
        <v>32</v>
      </c>
      <c r="G575" s="34">
        <f t="shared" si="126"/>
        <v>160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230</v>
      </c>
      <c r="F576" s="55">
        <v>50</v>
      </c>
      <c r="G576" s="34">
        <f t="shared" si="126"/>
        <v>250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230</v>
      </c>
      <c r="F577" s="27">
        <v>20</v>
      </c>
      <c r="G577" s="34">
        <f t="shared" si="126"/>
        <v>100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230</v>
      </c>
      <c r="F578" s="27">
        <v>30</v>
      </c>
      <c r="G578" s="34">
        <f t="shared" si="126"/>
        <v>150</v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230</v>
      </c>
      <c r="F579" s="27">
        <v>35</v>
      </c>
      <c r="G579" s="34">
        <f t="shared" si="126"/>
        <v>175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230</v>
      </c>
      <c r="F580" s="27">
        <v>19</v>
      </c>
      <c r="G580" s="34">
        <f t="shared" si="126"/>
        <v>95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186</v>
      </c>
      <c r="G581" s="36">
        <f>SUM(G569:G580)</f>
        <v>930</v>
      </c>
      <c r="H581" s="37"/>
      <c r="I581" s="37"/>
      <c r="J581" s="37"/>
      <c r="K581" s="37"/>
      <c r="L581" s="37"/>
      <c r="M581" s="38">
        <f ca="1">IFERROR(SUM(M569:M580),"")</f>
        <v>5.8333333333333293E-2</v>
      </c>
      <c r="N581" s="36" t="s">
        <v>233</v>
      </c>
      <c r="O581" s="39">
        <v>1630000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230</v>
      </c>
      <c r="F582" s="27">
        <v>20</v>
      </c>
      <c r="G582" s="28">
        <f t="shared" ref="G582:G593" si="129">IF(F582="","",IF(E582="PC 17",F582*4.2,IF(E582="PC 19",F582*5,"")))</f>
        <v>100</v>
      </c>
      <c r="H582" s="26" t="s">
        <v>20</v>
      </c>
      <c r="I582" s="26" t="s">
        <v>23</v>
      </c>
      <c r="J582" s="26" t="s">
        <v>203</v>
      </c>
      <c r="K582" s="29">
        <v>0.95833333333333337</v>
      </c>
      <c r="L582" s="29">
        <v>0.97222222222222221</v>
      </c>
      <c r="M582" s="30">
        <f t="shared" ref="M582:M593" ca="1" si="130">IFERROR(IF(K582="","",IF(L582="",MOD(NOW()-K582,1),IF(L582&gt;=K582,L582-K582,L582+1-K582))),"")</f>
        <v>1.388888888888884E-2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18</v>
      </c>
      <c r="G583" s="34">
        <f t="shared" si="129"/>
        <v>90</v>
      </c>
      <c r="H583" s="33" t="s">
        <v>20</v>
      </c>
      <c r="I583" s="33" t="s">
        <v>23</v>
      </c>
      <c r="J583" s="33" t="s">
        <v>203</v>
      </c>
      <c r="K583" s="29">
        <v>0.17916666666666667</v>
      </c>
      <c r="L583" s="29">
        <v>0.28680555555555554</v>
      </c>
      <c r="M583" s="35">
        <f t="shared" ca="1" si="130"/>
        <v>0.10763888888888887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230</v>
      </c>
      <c r="F584" s="27">
        <v>16</v>
      </c>
      <c r="G584" s="28">
        <f t="shared" si="129"/>
        <v>80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230</v>
      </c>
      <c r="F585" s="27">
        <v>13</v>
      </c>
      <c r="G585" s="34">
        <f t="shared" si="129"/>
        <v>65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230</v>
      </c>
      <c r="F586" s="27">
        <v>0</v>
      </c>
      <c r="G586" s="28">
        <f t="shared" si="129"/>
        <v>0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230</v>
      </c>
      <c r="F587" s="27">
        <v>25</v>
      </c>
      <c r="G587" s="34">
        <f t="shared" si="129"/>
        <v>125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31</v>
      </c>
      <c r="G588" s="28">
        <f t="shared" si="129"/>
        <v>130.20000000000002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230</v>
      </c>
      <c r="F589" s="27">
        <v>32</v>
      </c>
      <c r="G589" s="34">
        <f t="shared" si="129"/>
        <v>160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230</v>
      </c>
      <c r="F590" s="27">
        <v>21</v>
      </c>
      <c r="G590" s="28">
        <f t="shared" si="129"/>
        <v>105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230</v>
      </c>
      <c r="F591" s="27">
        <v>0</v>
      </c>
      <c r="G591" s="34">
        <f t="shared" si="129"/>
        <v>0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230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230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176</v>
      </c>
      <c r="G594" s="36">
        <f>SUM(G582:G593)</f>
        <v>855.2</v>
      </c>
      <c r="H594" s="37"/>
      <c r="I594" s="37"/>
      <c r="J594" s="37"/>
      <c r="K594" s="37"/>
      <c r="L594" s="37"/>
      <c r="M594" s="38">
        <f ca="1">IFERROR(SUM(M582:M593),"")</f>
        <v>0.12152777777777771</v>
      </c>
      <c r="N594" s="36" t="s">
        <v>233</v>
      </c>
      <c r="O594" s="39">
        <v>1036800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362</v>
      </c>
      <c r="G595" s="40">
        <f>G581+G594</f>
        <v>1785.2</v>
      </c>
      <c r="H595" s="41"/>
      <c r="I595" s="41"/>
      <c r="J595" s="41"/>
      <c r="K595" s="41"/>
      <c r="L595" s="41"/>
      <c r="M595" s="42">
        <f ca="1">IFERROR(M581+M594,"")</f>
        <v>0.179861111111111</v>
      </c>
      <c r="N595" s="40" t="s">
        <v>236</v>
      </c>
      <c r="O595" s="48">
        <f>IFERROR(O581+O594,"")</f>
        <v>2666800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230</v>
      </c>
      <c r="F596" s="27">
        <v>27</v>
      </c>
      <c r="G596" s="28">
        <f t="shared" ref="G596:G607" si="132">IF(F596="","",IF(E596="PC 17",F596*4.2,IF(E596="PC 19",F596*5,"")))</f>
        <v>135</v>
      </c>
      <c r="H596" s="26" t="s">
        <v>20</v>
      </c>
      <c r="I596" s="26" t="s">
        <v>23</v>
      </c>
      <c r="J596" s="33" t="s">
        <v>186</v>
      </c>
      <c r="K596" s="29">
        <v>0.55625000000000002</v>
      </c>
      <c r="L596" s="29">
        <v>0.58263888888888893</v>
      </c>
      <c r="M596" s="30">
        <f t="shared" ref="M596:M607" ca="1" si="133">IFERROR(IF(K596="","",IF(L596="",MOD(NOW()-K596,1),IF(L596&gt;=K596,L596-K596,L596+1-K596))),"")</f>
        <v>2.6388888888888906E-2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230</v>
      </c>
      <c r="F597" s="27">
        <v>30</v>
      </c>
      <c r="G597" s="34">
        <f t="shared" si="132"/>
        <v>150</v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230</v>
      </c>
      <c r="F598" s="27">
        <v>30</v>
      </c>
      <c r="G598" s="28">
        <f t="shared" si="132"/>
        <v>150</v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230</v>
      </c>
      <c r="F599" s="27">
        <v>30</v>
      </c>
      <c r="G599" s="34">
        <f t="shared" si="132"/>
        <v>150</v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230</v>
      </c>
      <c r="F600" s="27">
        <v>72</v>
      </c>
      <c r="G600" s="28">
        <f t="shared" si="132"/>
        <v>360</v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230</v>
      </c>
      <c r="F601" s="27">
        <v>30</v>
      </c>
      <c r="G601" s="34">
        <f t="shared" si="132"/>
        <v>150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230</v>
      </c>
      <c r="F602" s="27">
        <v>20</v>
      </c>
      <c r="G602" s="28">
        <f t="shared" si="132"/>
        <v>100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230</v>
      </c>
      <c r="F603" s="27">
        <v>30</v>
      </c>
      <c r="G603" s="34">
        <f t="shared" si="132"/>
        <v>150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230</v>
      </c>
      <c r="F604" s="27">
        <v>43</v>
      </c>
      <c r="G604" s="28">
        <f t="shared" si="132"/>
        <v>215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230</v>
      </c>
      <c r="F605" s="27">
        <v>42</v>
      </c>
      <c r="G605" s="34">
        <f t="shared" si="132"/>
        <v>210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230</v>
      </c>
      <c r="F606" s="27">
        <v>27</v>
      </c>
      <c r="G606" s="28">
        <f t="shared" si="132"/>
        <v>135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230</v>
      </c>
      <c r="F607" s="27">
        <v>10</v>
      </c>
      <c r="G607" s="34">
        <f t="shared" si="132"/>
        <v>50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391</v>
      </c>
      <c r="G608" s="36">
        <f>SUM(G596:G607)</f>
        <v>1955</v>
      </c>
      <c r="H608" s="37"/>
      <c r="I608" s="37"/>
      <c r="J608" s="37"/>
      <c r="K608" s="37"/>
      <c r="L608" s="37"/>
      <c r="M608" s="38">
        <f ca="1">IFERROR(SUM(M596:M607),"")</f>
        <v>2.6388888888888906E-2</v>
      </c>
      <c r="N608" s="36" t="s">
        <v>233</v>
      </c>
      <c r="O608" s="39">
        <v>2433062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13</v>
      </c>
      <c r="G609" s="34">
        <f t="shared" ref="G609:G614" si="135">IF(F609="","",IF(E609="PC 17",F609*4.2,IF(E609="PC 19",F609*5,"")))</f>
        <v>65</v>
      </c>
      <c r="H609" s="33" t="s">
        <v>18</v>
      </c>
      <c r="I609" s="33" t="s">
        <v>23</v>
      </c>
      <c r="J609" s="33" t="s">
        <v>163</v>
      </c>
      <c r="K609" s="29">
        <v>0.83333333333333337</v>
      </c>
      <c r="L609" s="29">
        <v>0.875</v>
      </c>
      <c r="M609" s="35">
        <f t="shared" ref="M609:M620" ca="1" si="136">IFERROR(IF(K609="","",IF(L609="",MOD(NOW()-K609,1),IF(L609&gt;=K609,L609-K609,L609+1-K609))),"")</f>
        <v>4.166666666666663E-2</v>
      </c>
      <c r="N609" s="46" t="s">
        <v>261</v>
      </c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0</v>
      </c>
      <c r="G610" s="28">
        <f t="shared" si="135"/>
        <v>0</v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40</v>
      </c>
      <c r="G611" s="34">
        <f t="shared" si="135"/>
        <v>200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230</v>
      </c>
      <c r="F612" s="27">
        <v>27</v>
      </c>
      <c r="G612" s="28">
        <f t="shared" si="135"/>
        <v>135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230</v>
      </c>
      <c r="F613" s="27">
        <v>12</v>
      </c>
      <c r="G613" s="34">
        <f t="shared" si="135"/>
        <v>60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230</v>
      </c>
      <c r="F614" s="27">
        <v>28</v>
      </c>
      <c r="G614" s="28">
        <f t="shared" si="135"/>
        <v>140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230</v>
      </c>
      <c r="F615" s="27">
        <v>24</v>
      </c>
      <c r="G615" s="34">
        <v>120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230</v>
      </c>
      <c r="F616" s="27">
        <v>22</v>
      </c>
      <c r="G616" s="28">
        <f>IF(F616="","",IF(E616="PC 17",F616*4.2,IF(E616="PC 19",F616*5,"")))</f>
        <v>110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230</v>
      </c>
      <c r="F617" s="27">
        <v>12</v>
      </c>
      <c r="G617" s="34">
        <f>IF(F617="","",IF(E617="PC 17",F617*4.2,IF(E617="PC 19",F617*5,"")))</f>
        <v>60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230</v>
      </c>
      <c r="F618" s="27">
        <v>19</v>
      </c>
      <c r="G618" s="28">
        <f>IF(F618="","",IF(E618="PC 17",F618*4.2,IF(E618="PC 19",F618*5,"")))</f>
        <v>95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230</v>
      </c>
      <c r="F619" s="27">
        <v>30</v>
      </c>
      <c r="G619" s="34">
        <f>IF(F619="","",IF(E619="PC 17",F619*4.2,IF(E619="PC 19",F619*5,"")))</f>
        <v>150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230</v>
      </c>
      <c r="F620" s="27">
        <v>20</v>
      </c>
      <c r="G620" s="28">
        <f>IF(F620="","",IF(E620="PC 17",F620*4.2,IF(E620="PC 19",F620*5,"")))</f>
        <v>100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247</v>
      </c>
      <c r="G621" s="36">
        <f>SUM(G609:G620)</f>
        <v>1235</v>
      </c>
      <c r="H621" s="37"/>
      <c r="I621" s="37"/>
      <c r="J621" s="37"/>
      <c r="K621" s="37"/>
      <c r="L621" s="37"/>
      <c r="M621" s="38">
        <f ca="1">IFERROR(SUM(M609:M620),"")</f>
        <v>4.166666666666663E-2</v>
      </c>
      <c r="N621" s="36" t="s">
        <v>233</v>
      </c>
      <c r="O621" s="39">
        <v>1295785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638</v>
      </c>
      <c r="G622" s="40">
        <f>G608+G621</f>
        <v>3190</v>
      </c>
      <c r="H622" s="41"/>
      <c r="I622" s="41"/>
      <c r="J622" s="41"/>
      <c r="K622" s="41"/>
      <c r="L622" s="41"/>
      <c r="M622" s="42">
        <f ca="1">IFERROR(M608+M621,"")</f>
        <v>6.8055555555555536E-2</v>
      </c>
      <c r="N622" s="40" t="s">
        <v>236</v>
      </c>
      <c r="O622" s="48">
        <f>IFERROR(O608+O621,"")</f>
        <v>3728847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230</v>
      </c>
      <c r="F623" s="27">
        <v>20</v>
      </c>
      <c r="G623" s="34">
        <f t="shared" ref="G623:G634" si="138">IF(F623="","",IF(E623="PC 17",F623*4.2,IF(E623="PC 19",F623*5,"")))</f>
        <v>100</v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230</v>
      </c>
      <c r="F624" s="27">
        <v>20</v>
      </c>
      <c r="G624" s="28">
        <f t="shared" si="138"/>
        <v>100</v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230</v>
      </c>
      <c r="F625" s="27">
        <v>25</v>
      </c>
      <c r="G625" s="34">
        <f t="shared" si="138"/>
        <v>125</v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230</v>
      </c>
      <c r="F626" s="27">
        <v>30</v>
      </c>
      <c r="G626" s="28">
        <f t="shared" si="138"/>
        <v>150</v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230</v>
      </c>
      <c r="F627" s="27">
        <v>40</v>
      </c>
      <c r="G627" s="34">
        <f t="shared" si="138"/>
        <v>200</v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230</v>
      </c>
      <c r="F628" s="27">
        <v>35</v>
      </c>
      <c r="G628" s="28">
        <f t="shared" si="138"/>
        <v>175</v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230</v>
      </c>
      <c r="F629" s="27">
        <v>40</v>
      </c>
      <c r="G629" s="34">
        <f t="shared" si="138"/>
        <v>200</v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230</v>
      </c>
      <c r="F630" s="27">
        <v>36</v>
      </c>
      <c r="G630" s="28">
        <f t="shared" si="138"/>
        <v>180</v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230</v>
      </c>
      <c r="F631" s="27">
        <v>35</v>
      </c>
      <c r="G631" s="34">
        <f t="shared" si="138"/>
        <v>175</v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230</v>
      </c>
      <c r="F632" s="27">
        <v>20</v>
      </c>
      <c r="G632" s="28">
        <f t="shared" si="138"/>
        <v>100</v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230</v>
      </c>
      <c r="F633" s="27">
        <v>32</v>
      </c>
      <c r="G633" s="34">
        <f t="shared" si="138"/>
        <v>160</v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230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333</v>
      </c>
      <c r="G635" s="36">
        <f>SUM(G623:G634)</f>
        <v>1665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233</v>
      </c>
      <c r="O635" s="39">
        <v>2213310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230</v>
      </c>
      <c r="F636" s="27">
        <v>28</v>
      </c>
      <c r="G636" s="28">
        <f t="shared" ref="G636:G647" si="141">IF(F636="","",IF(E636="PC 17",F636*4.2,IF(E636="PC 19",F636*5,"")))</f>
        <v>140</v>
      </c>
      <c r="H636" s="26" t="s">
        <v>18</v>
      </c>
      <c r="I636" s="26" t="s">
        <v>23</v>
      </c>
      <c r="J636" s="26" t="s">
        <v>163</v>
      </c>
      <c r="K636" s="29">
        <v>6.805555555555555E-2</v>
      </c>
      <c r="L636" s="29">
        <v>8.1944444444444445E-2</v>
      </c>
      <c r="M636" s="30">
        <f t="shared" ref="M636:M647" ca="1" si="142">IFERROR(IF(K636="","",IF(L636="",MOD(NOW()-K636,1),IF(L636&gt;=K636,L636-K636,L636+1-K636))),"")</f>
        <v>1.3888888888888895E-2</v>
      </c>
      <c r="N636" s="46" t="s">
        <v>262</v>
      </c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230</v>
      </c>
      <c r="F637" s="27">
        <v>20</v>
      </c>
      <c r="G637" s="34">
        <f t="shared" si="141"/>
        <v>100</v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230</v>
      </c>
      <c r="F638" s="27">
        <v>30</v>
      </c>
      <c r="G638" s="28">
        <f t="shared" si="141"/>
        <v>150</v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230</v>
      </c>
      <c r="F639" s="27">
        <v>24</v>
      </c>
      <c r="G639" s="34">
        <f t="shared" si="141"/>
        <v>120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230</v>
      </c>
      <c r="F640" s="27">
        <v>32</v>
      </c>
      <c r="G640" s="28">
        <f>IF(F640="","",IF(E640="PC 17",F640*4.2,IF(E640="PC 19",F640*5,"")))</f>
        <v>160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230</v>
      </c>
      <c r="F641" s="27">
        <v>37</v>
      </c>
      <c r="G641" s="34">
        <f t="shared" si="141"/>
        <v>185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230</v>
      </c>
      <c r="F642" s="27">
        <v>23</v>
      </c>
      <c r="G642" s="28">
        <f t="shared" si="141"/>
        <v>115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230</v>
      </c>
      <c r="F643" s="27">
        <v>19</v>
      </c>
      <c r="G643" s="34">
        <f t="shared" si="141"/>
        <v>95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230</v>
      </c>
      <c r="F644" s="27">
        <v>30</v>
      </c>
      <c r="G644" s="28">
        <f t="shared" si="141"/>
        <v>150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230</v>
      </c>
      <c r="F645" s="27">
        <v>31</v>
      </c>
      <c r="G645" s="34">
        <f t="shared" si="141"/>
        <v>155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230</v>
      </c>
      <c r="F646" s="27">
        <v>26</v>
      </c>
      <c r="G646" s="28">
        <f t="shared" si="141"/>
        <v>130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230</v>
      </c>
      <c r="F647" s="27">
        <v>7</v>
      </c>
      <c r="G647" s="34">
        <f t="shared" si="141"/>
        <v>35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307</v>
      </c>
      <c r="G648" s="36">
        <f>SUM(G636:G647)</f>
        <v>1535</v>
      </c>
      <c r="H648" s="37"/>
      <c r="I648" s="37"/>
      <c r="J648" s="37"/>
      <c r="K648" s="37"/>
      <c r="L648" s="37"/>
      <c r="M648" s="38">
        <f ca="1">IFERROR(SUM(M636:M647),"")</f>
        <v>1.3888888888888895E-2</v>
      </c>
      <c r="N648" s="36" t="s">
        <v>233</v>
      </c>
      <c r="O648" s="39">
        <v>1954490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640</v>
      </c>
      <c r="G649" s="40">
        <f>G635+G648</f>
        <v>3200</v>
      </c>
      <c r="H649" s="41"/>
      <c r="I649" s="41"/>
      <c r="J649" s="41"/>
      <c r="K649" s="41"/>
      <c r="L649" s="41"/>
      <c r="M649" s="42">
        <f ca="1">IFERROR(M635+M648,"")</f>
        <v>1.3888888888888895E-2</v>
      </c>
      <c r="N649" s="40" t="s">
        <v>236</v>
      </c>
      <c r="O649" s="48">
        <f>IFERROR(O635+O648,"")</f>
        <v>4167800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230</v>
      </c>
      <c r="F650" s="27">
        <v>30</v>
      </c>
      <c r="G650" s="28">
        <f t="shared" ref="G650:G661" si="144">IF(F650="","",IF(E650="PC 17",F650*4.2,IF(E650="PC 19",F650*5,"")))</f>
        <v>150</v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230</v>
      </c>
      <c r="F651" s="27">
        <v>34</v>
      </c>
      <c r="G651" s="34">
        <f t="shared" si="144"/>
        <v>170</v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230</v>
      </c>
      <c r="F652" s="27">
        <v>34</v>
      </c>
      <c r="G652" s="34">
        <f t="shared" si="144"/>
        <v>170</v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230</v>
      </c>
      <c r="F653" s="27">
        <v>27</v>
      </c>
      <c r="G653" s="34">
        <f t="shared" si="144"/>
        <v>135</v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9</v>
      </c>
      <c r="G654" s="28">
        <f t="shared" si="144"/>
        <v>45</v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230</v>
      </c>
      <c r="F655" s="27">
        <v>35</v>
      </c>
      <c r="G655" s="34">
        <f t="shared" si="144"/>
        <v>175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230</v>
      </c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230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230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230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230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230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230</v>
      </c>
      <c r="B662" s="100"/>
      <c r="C662" s="100"/>
      <c r="D662" s="100"/>
      <c r="E662" s="101">
        <f>SUM(E650:E661)</f>
        <v>0</v>
      </c>
      <c r="F662" s="36">
        <f>SUM(F650:F661)</f>
        <v>169</v>
      </c>
      <c r="G662" s="36">
        <f>SUM(G650:G661)</f>
        <v>845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169</v>
      </c>
      <c r="G676" s="40">
        <f>G662+G675</f>
        <v>845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59" t="s">
        <v>230</v>
      </c>
      <c r="B811" s="91"/>
      <c r="C811" s="91"/>
      <c r="D811" s="91"/>
      <c r="E811" s="92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  <row r="812" spans="1:15" ht="15"/>
  </sheetData>
  <mergeCells count="89">
    <mergeCell ref="A784:E784"/>
    <mergeCell ref="A797:E797"/>
    <mergeCell ref="A810:E810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298:E298"/>
    <mergeCell ref="A311:E311"/>
    <mergeCell ref="A324:E324"/>
    <mergeCell ref="A325:E325"/>
    <mergeCell ref="A338:E338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A811 E29:E452 E454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tabSelected="1" zoomScale="50" zoomScaleNormal="50" workbookViewId="0">
      <pane ySplit="1" topLeftCell="A640" activePane="bottomLeft" state="frozen"/>
      <selection pane="bottomLeft" activeCell="F657" sqref="F6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9.28515625" style="20" customWidth="1"/>
    <col min="10" max="10" width="46.1406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7.28515625" style="20" customWidth="1"/>
    <col min="15" max="15" width="20" customWidth="1"/>
    <col min="16" max="16" width="20.140625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10</v>
      </c>
      <c r="G3" s="34">
        <f t="shared" si="0"/>
        <v>42</v>
      </c>
      <c r="H3" s="33" t="s">
        <v>19</v>
      </c>
      <c r="I3" s="33" t="s">
        <v>156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8</v>
      </c>
      <c r="G4" s="28">
        <f t="shared" si="0"/>
        <v>33.6</v>
      </c>
      <c r="H4" s="26" t="s">
        <v>19</v>
      </c>
      <c r="I4" s="26" t="s">
        <v>156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233</v>
      </c>
      <c r="O14" s="77">
        <v>627260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156</v>
      </c>
      <c r="J15" s="33" t="s">
        <v>163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76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233</v>
      </c>
      <c r="O27" s="77">
        <v>393200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236</v>
      </c>
      <c r="O28" s="82">
        <f>O14+O27</f>
        <v>1020460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79">
        <f t="shared" ref="M29:M40" ca="1" si="7">IFERROR(IF(K29="","",IF(L29="",MOD(NOW()-K29,1),IF(L29&gt;=K29,L29-K29,L29+1-K29))),"")</f>
        <v>7.1527777777777746E-2</v>
      </c>
      <c r="N29" s="46" t="s">
        <v>263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192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164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233</v>
      </c>
      <c r="O41" s="84">
        <v>351740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8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69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257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100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264</v>
      </c>
      <c r="O44" s="31"/>
    </row>
    <row r="45" spans="1:15" ht="15" customHeight="1">
      <c r="A45" s="68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257</v>
      </c>
      <c r="F45" s="27">
        <v>0</v>
      </c>
      <c r="G45" s="28">
        <f t="shared" si="9"/>
        <v>0</v>
      </c>
      <c r="H45" s="33" t="s">
        <v>20</v>
      </c>
      <c r="I45" s="33" t="s">
        <v>156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69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257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8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257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69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257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8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257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69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257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8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257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69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257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8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257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84">
        <v>276360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236</v>
      </c>
      <c r="O55" s="82">
        <f>IFERROR(O41+O54,"")</f>
        <v>628100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100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1"/>
      <c r="K57" s="29"/>
      <c r="L57" s="29"/>
      <c r="M57" s="30"/>
      <c r="N57" s="46" t="s">
        <v>265</v>
      </c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0"/>
      <c r="J58" s="26"/>
      <c r="K58" s="29"/>
      <c r="L58" s="29"/>
      <c r="M58" s="35"/>
      <c r="N58" s="46" t="s">
        <v>266</v>
      </c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233</v>
      </c>
      <c r="O68" s="54">
        <v>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18</v>
      </c>
      <c r="G70" s="28">
        <f t="shared" si="15"/>
        <v>75.600000000000009</v>
      </c>
      <c r="H70" s="26" t="s">
        <v>19</v>
      </c>
      <c r="I70" s="26" t="s">
        <v>156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233</v>
      </c>
      <c r="O81" s="54">
        <v>787860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236</v>
      </c>
      <c r="O82" s="82">
        <f>IFERROR(O68+O81,"")</f>
        <v>787860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20" t="s">
        <v>22</v>
      </c>
      <c r="E83" s="59" t="s">
        <v>257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267</v>
      </c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184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233</v>
      </c>
      <c r="O95" s="54">
        <v>577610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144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268</v>
      </c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269</v>
      </c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153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270</v>
      </c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233</v>
      </c>
      <c r="O108" s="54">
        <v>1087080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236</v>
      </c>
      <c r="O109" s="82">
        <f>IFERROR(O95+O108,"")</f>
        <v>1664690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100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164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271</v>
      </c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233</v>
      </c>
      <c r="O122" s="54">
        <v>869260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163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272</v>
      </c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153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248</v>
      </c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153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273</v>
      </c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 t="s">
        <v>18</v>
      </c>
      <c r="I127" s="33" t="s">
        <v>156</v>
      </c>
      <c r="J127" s="33" t="s">
        <v>163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191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5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198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198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233</v>
      </c>
      <c r="O135" s="54">
        <v>794480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236</v>
      </c>
      <c r="O136" s="82">
        <f>IFERROR(O122+O135,"")</f>
        <v>1663740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198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275</v>
      </c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233</v>
      </c>
      <c r="O149" s="54">
        <v>591800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277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205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233</v>
      </c>
      <c r="O162" s="54">
        <v>882280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236</v>
      </c>
      <c r="O163" s="82">
        <f>IFERROR(O149+O162,"")</f>
        <v>1474080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22</v>
      </c>
      <c r="E164" s="59" t="s">
        <v>257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86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257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257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233</v>
      </c>
      <c r="O176" s="77"/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/>
      <c r="E177" s="62"/>
      <c r="F177" s="27">
        <v>0</v>
      </c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86</v>
      </c>
      <c r="K177" s="29">
        <v>0.79166666666666663</v>
      </c>
      <c r="L177" s="29">
        <v>0.29166666666666669</v>
      </c>
      <c r="M177" s="35">
        <f t="shared" ref="M177:M188" ca="1" si="40">IFERROR(IF(K177="","",IF(L177="",MOD(NOW()-K177,1),IF(L177&gt;=K177,L177-K177,L177+1-K177))),"")</f>
        <v>0.50000000000000011</v>
      </c>
      <c r="N177" s="46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>
        <v>0</v>
      </c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/>
      <c r="E179" s="62"/>
      <c r="F179" s="27">
        <v>0</v>
      </c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59"/>
      <c r="E180" s="59"/>
      <c r="F180" s="27">
        <v>0</v>
      </c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/>
      <c r="E181" s="62"/>
      <c r="F181" s="27">
        <v>0</v>
      </c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59"/>
      <c r="E182" s="59"/>
      <c r="F182" s="27">
        <v>0</v>
      </c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/>
      <c r="E183" s="62"/>
      <c r="F183" s="27">
        <v>0</v>
      </c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59"/>
      <c r="E184" s="59"/>
      <c r="F184" s="27">
        <v>0</v>
      </c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/>
      <c r="E185" s="62"/>
      <c r="F185" s="27">
        <v>0</v>
      </c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59"/>
      <c r="E186" s="59"/>
      <c r="F186" s="27">
        <v>0</v>
      </c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/>
      <c r="E187" s="62"/>
      <c r="F187" s="27">
        <v>0</v>
      </c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59"/>
      <c r="E188" s="59"/>
      <c r="F188" s="27">
        <v>0</v>
      </c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0.50000000000000011</v>
      </c>
      <c r="N189" s="36" t="s">
        <v>233</v>
      </c>
      <c r="O189" s="77"/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1</v>
      </c>
      <c r="N190" s="40" t="s">
        <v>236</v>
      </c>
      <c r="O190" s="82">
        <f>IFERROR(O176+O189,"")</f>
        <v>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 t="s">
        <v>16</v>
      </c>
      <c r="I191" s="33"/>
      <c r="J191" s="33" t="s">
        <v>86</v>
      </c>
      <c r="K191" s="29">
        <v>0.29166666666666669</v>
      </c>
      <c r="L191" s="29">
        <v>0.79166666666666663</v>
      </c>
      <c r="M191" s="35">
        <f t="shared" ref="M191:M202" ca="1" si="43">IFERROR(IF(K191="","",IF(L191="",MOD(NOW()-K191,1),IF(L191&gt;=K191,L191-K191,L191+1-K191))),"")</f>
        <v>0.49999999999999994</v>
      </c>
      <c r="N191" s="46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0.49999999999999994</v>
      </c>
      <c r="N203" s="36" t="s">
        <v>233</v>
      </c>
      <c r="O203" s="77"/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13</v>
      </c>
      <c r="G204" s="28">
        <f t="shared" ref="G204:G215" si="45">IF(F204="","",IF(E204="PC 17",F204*4.2,IF(E204="PC 19",F204*5,"")))</f>
        <v>54.6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46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7</v>
      </c>
      <c r="G205" s="34">
        <f t="shared" si="45"/>
        <v>35</v>
      </c>
      <c r="H205" s="33" t="s">
        <v>18</v>
      </c>
      <c r="I205" s="33" t="s">
        <v>31</v>
      </c>
      <c r="J205" s="33" t="s">
        <v>153</v>
      </c>
      <c r="K205" s="29">
        <v>3.8194444444444448E-2</v>
      </c>
      <c r="L205" s="29">
        <v>5.5555555555555552E-2</v>
      </c>
      <c r="M205" s="35">
        <f t="shared" ca="1" si="46"/>
        <v>1.7361111111111105E-2</v>
      </c>
      <c r="N205" s="46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24</v>
      </c>
      <c r="G206" s="28">
        <f t="shared" si="45"/>
        <v>100.80000000000001</v>
      </c>
      <c r="H206" s="26" t="s">
        <v>18</v>
      </c>
      <c r="I206" s="26" t="s">
        <v>39</v>
      </c>
      <c r="J206" s="26" t="s">
        <v>144</v>
      </c>
      <c r="K206" s="29">
        <v>6.25E-2</v>
      </c>
      <c r="L206" s="29">
        <v>7.6388888888888895E-2</v>
      </c>
      <c r="M206" s="30">
        <f t="shared" ca="1" si="46"/>
        <v>1.3888888888888895E-2</v>
      </c>
      <c r="N206" s="46" t="s">
        <v>279</v>
      </c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27</v>
      </c>
      <c r="G207" s="34">
        <f t="shared" si="45"/>
        <v>113.4</v>
      </c>
      <c r="H207" s="33" t="s">
        <v>18</v>
      </c>
      <c r="I207" s="33" t="s">
        <v>39</v>
      </c>
      <c r="J207" s="33"/>
      <c r="K207" s="29">
        <v>0.10069444444444445</v>
      </c>
      <c r="L207" s="29">
        <v>0.1875</v>
      </c>
      <c r="M207" s="35">
        <f t="shared" ca="1" si="46"/>
        <v>8.6805555555555552E-2</v>
      </c>
      <c r="N207" s="46" t="s">
        <v>280</v>
      </c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24</v>
      </c>
      <c r="G208" s="28">
        <f t="shared" si="45"/>
        <v>100.80000000000001</v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</v>
      </c>
      <c r="G211" s="34">
        <f t="shared" si="45"/>
        <v>8.4</v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0</v>
      </c>
      <c r="G212" s="28">
        <f t="shared" si="45"/>
        <v>0</v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5</v>
      </c>
      <c r="G213" s="34">
        <f t="shared" si="45"/>
        <v>21</v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1</v>
      </c>
      <c r="G215" s="34">
        <f t="shared" si="45"/>
        <v>4.2</v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138</v>
      </c>
      <c r="G216" s="36">
        <f>SUM(G204:G215)</f>
        <v>585.20000000000005</v>
      </c>
      <c r="H216" s="37"/>
      <c r="I216" s="37"/>
      <c r="J216" s="37"/>
      <c r="K216" s="37"/>
      <c r="L216" s="37"/>
      <c r="M216" s="38">
        <f ca="1">IFERROR(SUM(M204:M215),"")</f>
        <v>0.15277777777777776</v>
      </c>
      <c r="N216" s="36" t="s">
        <v>233</v>
      </c>
      <c r="O216" s="77">
        <v>648410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138</v>
      </c>
      <c r="G217" s="40">
        <f>G203+G216</f>
        <v>585.20000000000005</v>
      </c>
      <c r="H217" s="41"/>
      <c r="I217" s="41"/>
      <c r="J217" s="41"/>
      <c r="K217" s="41"/>
      <c r="L217" s="41"/>
      <c r="M217" s="42">
        <f ca="1">IFERROR(M203+M216,"")</f>
        <v>0.65277777777777768</v>
      </c>
      <c r="N217" s="40" t="s">
        <v>236</v>
      </c>
      <c r="O217" s="83">
        <f>IFERROR(O203+O216,"")</f>
        <v>648410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17</v>
      </c>
      <c r="G218" s="28">
        <f t="shared" ref="G218:G229" si="48">IF(F218="","",IF(E218="PC 17",F218*4.2,IF(E218="PC 19",F218*5,"")))</f>
        <v>71.400000000000006</v>
      </c>
      <c r="H218" s="26" t="s">
        <v>18</v>
      </c>
      <c r="I218" s="26" t="s">
        <v>39</v>
      </c>
      <c r="J218" s="33"/>
      <c r="K218" s="29">
        <v>0.29166666666666669</v>
      </c>
      <c r="L218" s="29">
        <v>0.45555555555555555</v>
      </c>
      <c r="M218" s="30">
        <f t="shared" ref="M218:M229" ca="1" si="49">IFERROR(IF(K218="","",IF(L218="",MOD(NOW()-K218,1),IF(L218&gt;=K218,L218-K218,L218+1-K218))),"")</f>
        <v>0.16388888888888886</v>
      </c>
      <c r="N218" s="46" t="s">
        <v>281</v>
      </c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18</v>
      </c>
      <c r="I219" s="33"/>
      <c r="J219" s="33" t="s">
        <v>127</v>
      </c>
      <c r="K219" s="29">
        <v>0.52013888888888893</v>
      </c>
      <c r="L219" s="29">
        <v>0.56180555555555556</v>
      </c>
      <c r="M219" s="35">
        <f t="shared" ca="1" si="49"/>
        <v>4.166666666666663E-2</v>
      </c>
      <c r="N219" s="46" t="s">
        <v>282</v>
      </c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5</v>
      </c>
      <c r="G220" s="28">
        <f t="shared" si="48"/>
        <v>21</v>
      </c>
      <c r="H220" s="26" t="s">
        <v>20</v>
      </c>
      <c r="I220" s="26" t="s">
        <v>31</v>
      </c>
      <c r="J220" s="26" t="s">
        <v>56</v>
      </c>
      <c r="K220" s="29">
        <v>0.66666666666666663</v>
      </c>
      <c r="L220" s="29">
        <v>0.79166666666666663</v>
      </c>
      <c r="M220" s="30">
        <f t="shared" ca="1" si="49"/>
        <v>0.125</v>
      </c>
      <c r="N220" s="46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15</v>
      </c>
      <c r="G221" s="34">
        <f t="shared" si="48"/>
        <v>63</v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10</v>
      </c>
      <c r="G222" s="28">
        <f t="shared" si="48"/>
        <v>42</v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12</v>
      </c>
      <c r="G223" s="34">
        <f t="shared" si="48"/>
        <v>50.400000000000006</v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5</v>
      </c>
      <c r="G225" s="34">
        <f t="shared" si="48"/>
        <v>21</v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5</v>
      </c>
      <c r="G226" s="28">
        <f t="shared" si="48"/>
        <v>21</v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5</v>
      </c>
      <c r="G227" s="34">
        <f t="shared" si="48"/>
        <v>21</v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0</v>
      </c>
      <c r="G228" s="28">
        <f t="shared" si="48"/>
        <v>0</v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0</v>
      </c>
      <c r="G229" s="34">
        <f t="shared" si="48"/>
        <v>0</v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87" t="s">
        <v>232</v>
      </c>
      <c r="B230" s="88"/>
      <c r="C230" s="88"/>
      <c r="D230" s="59"/>
      <c r="E230" s="89">
        <f>SUM(E218:E229)</f>
        <v>0</v>
      </c>
      <c r="F230" s="36">
        <f>SUM(F218:F229)</f>
        <v>115</v>
      </c>
      <c r="G230" s="36">
        <f>SUM(G218:G229)</f>
        <v>483</v>
      </c>
      <c r="H230" s="37"/>
      <c r="I230" s="37"/>
      <c r="J230" s="37"/>
      <c r="K230" s="37"/>
      <c r="L230" s="37"/>
      <c r="M230" s="38">
        <f ca="1">IFERROR(SUM(M218:M229),"")</f>
        <v>0.33055555555555549</v>
      </c>
      <c r="N230" s="36" t="s">
        <v>233</v>
      </c>
      <c r="O230" s="77">
        <v>482110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1</v>
      </c>
      <c r="G231" s="34">
        <f t="shared" ref="G231:G242" si="51">IF(F231="","",IF(E231="PC 17",F231*4.2,IF(E231="PC 19",F231*5,"")))</f>
        <v>4.2</v>
      </c>
      <c r="H231" s="33" t="s">
        <v>18</v>
      </c>
      <c r="I231" s="33"/>
      <c r="J231" s="33" t="s">
        <v>205</v>
      </c>
      <c r="K231" s="29">
        <v>0.79166666666666663</v>
      </c>
      <c r="L231" s="29">
        <v>0.85416666666666663</v>
      </c>
      <c r="M231" s="35">
        <f t="shared" ref="M231:M242" ca="1" si="52">IFERROR(IF(K231="","",IF(L231="",MOD(NOW()-K231,1),IF(L231&gt;=K231,L231-K231,L231+1-K231))),"")</f>
        <v>6.25E-2</v>
      </c>
      <c r="N231" s="46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5</v>
      </c>
      <c r="G232" s="28">
        <f t="shared" si="51"/>
        <v>25</v>
      </c>
      <c r="H232" s="26" t="s">
        <v>16</v>
      </c>
      <c r="I232" s="26" t="s">
        <v>31</v>
      </c>
      <c r="J232" s="26" t="s">
        <v>283</v>
      </c>
      <c r="K232" s="29">
        <v>0.875</v>
      </c>
      <c r="L232" s="29">
        <v>0.89930555555555558</v>
      </c>
      <c r="M232" s="30">
        <f t="shared" ca="1" si="52"/>
        <v>2.430555555555558E-2</v>
      </c>
      <c r="N232" s="46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15</v>
      </c>
      <c r="G233" s="34">
        <f t="shared" si="51"/>
        <v>63</v>
      </c>
      <c r="H233" s="33" t="s">
        <v>20</v>
      </c>
      <c r="I233" s="33" t="s">
        <v>146</v>
      </c>
      <c r="J233" s="33" t="s">
        <v>179</v>
      </c>
      <c r="K233" s="29">
        <v>0.9375</v>
      </c>
      <c r="L233" s="29">
        <v>0.95833333333333337</v>
      </c>
      <c r="M233" s="35">
        <f t="shared" ca="1" si="52"/>
        <v>2.083333333333337E-2</v>
      </c>
      <c r="N233" s="46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8</v>
      </c>
      <c r="G234" s="28">
        <f t="shared" si="51"/>
        <v>33.6</v>
      </c>
      <c r="H234" s="26" t="s">
        <v>20</v>
      </c>
      <c r="I234" s="26" t="s">
        <v>146</v>
      </c>
      <c r="J234" s="26" t="s">
        <v>179</v>
      </c>
      <c r="K234" s="29">
        <v>1.3888888888888888E-2</v>
      </c>
      <c r="L234" s="29">
        <v>3.8194444444444448E-2</v>
      </c>
      <c r="M234" s="30">
        <f t="shared" ca="1" si="52"/>
        <v>2.4305555555555559E-2</v>
      </c>
      <c r="N234" s="46" t="s">
        <v>277</v>
      </c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18</v>
      </c>
      <c r="G235" s="34">
        <f t="shared" si="51"/>
        <v>75.600000000000009</v>
      </c>
      <c r="H235" s="33" t="s">
        <v>18</v>
      </c>
      <c r="I235" s="33" t="s">
        <v>138</v>
      </c>
      <c r="J235" s="33" t="s">
        <v>100</v>
      </c>
      <c r="K235" s="29">
        <v>6.9444444444444448E-2</v>
      </c>
      <c r="L235" s="29">
        <v>8.3333333333333329E-2</v>
      </c>
      <c r="M235" s="35">
        <f t="shared" ca="1" si="52"/>
        <v>1.3888888888888881E-2</v>
      </c>
      <c r="N235" s="46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18</v>
      </c>
      <c r="G236" s="28">
        <f t="shared" si="51"/>
        <v>75.600000000000009</v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10</v>
      </c>
      <c r="G237" s="34">
        <f t="shared" si="51"/>
        <v>42</v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24</v>
      </c>
      <c r="G238" s="28">
        <f t="shared" si="51"/>
        <v>100.80000000000001</v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33</v>
      </c>
      <c r="G239" s="34">
        <f t="shared" si="51"/>
        <v>138.6</v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17</v>
      </c>
      <c r="G240" s="28">
        <f t="shared" si="51"/>
        <v>71.400000000000006</v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257</v>
      </c>
      <c r="F241" s="27">
        <v>30</v>
      </c>
      <c r="G241" s="34">
        <f t="shared" si="51"/>
        <v>126</v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186</v>
      </c>
      <c r="G243" s="36">
        <f>SUM(G231:G242)</f>
        <v>785.2</v>
      </c>
      <c r="H243" s="37"/>
      <c r="I243" s="37"/>
      <c r="J243" s="37"/>
      <c r="K243" s="37"/>
      <c r="L243" s="37"/>
      <c r="M243" s="38">
        <f ca="1">IFERROR(SUM(M231:M242),"")</f>
        <v>0.14583333333333337</v>
      </c>
      <c r="N243" s="36" t="s">
        <v>233</v>
      </c>
      <c r="O243" s="77">
        <v>849060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301</v>
      </c>
      <c r="G244" s="40">
        <f>G230+G243</f>
        <v>1268.2</v>
      </c>
      <c r="H244" s="41"/>
      <c r="I244" s="41"/>
      <c r="J244" s="41"/>
      <c r="K244" s="41"/>
      <c r="L244" s="41"/>
      <c r="M244" s="42">
        <f ca="1">IFERROR(M230+M243,"")</f>
        <v>0.47638888888888886</v>
      </c>
      <c r="N244" s="40" t="s">
        <v>236</v>
      </c>
      <c r="O244" s="83">
        <f>IFERROR(O230+O243,"")</f>
        <v>1331170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20</v>
      </c>
      <c r="G245" s="28">
        <f t="shared" ref="G245:G256" si="54">IF(F245="","",IF(E245="PC 17",F245*4.2,IF(E245="PC 19",F245*5,"")))</f>
        <v>84</v>
      </c>
      <c r="H245" s="33" t="s">
        <v>19</v>
      </c>
      <c r="I245" s="33" t="s">
        <v>39</v>
      </c>
      <c r="J245" s="33" t="s">
        <v>50</v>
      </c>
      <c r="K245" s="29">
        <v>0.33333333333333331</v>
      </c>
      <c r="L245" s="29">
        <v>0.40555555555555556</v>
      </c>
      <c r="M245" s="35">
        <f t="shared" ref="M245:M256" ca="1" si="55">IFERROR(IF(K245="","",IF(L245="",MOD(NOW()-K245,1),IF(L245&gt;=K245,L245-K245,L245+1-K245))),"")</f>
        <v>7.2222222222222243E-2</v>
      </c>
      <c r="N245" s="46" t="s">
        <v>284</v>
      </c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4</v>
      </c>
      <c r="G246" s="34">
        <f t="shared" si="54"/>
        <v>16.8</v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0</v>
      </c>
      <c r="G247" s="28">
        <f t="shared" si="54"/>
        <v>0</v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22</v>
      </c>
      <c r="G248" s="34">
        <f t="shared" si="54"/>
        <v>92.4</v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13</v>
      </c>
      <c r="G249" s="28">
        <f t="shared" si="54"/>
        <v>54.6</v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8</v>
      </c>
      <c r="G250" s="34">
        <f t="shared" si="54"/>
        <v>33.6</v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32</v>
      </c>
      <c r="G252" s="34">
        <f t="shared" si="54"/>
        <v>134.4</v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15</v>
      </c>
      <c r="G254" s="34">
        <f t="shared" si="54"/>
        <v>63</v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22</v>
      </c>
      <c r="G255" s="28">
        <f t="shared" si="54"/>
        <v>92.4</v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12</v>
      </c>
      <c r="G256" s="34">
        <f t="shared" si="54"/>
        <v>50.400000000000006</v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165</v>
      </c>
      <c r="G257" s="36">
        <f>SUM(G245:G256)</f>
        <v>692.99999999999989</v>
      </c>
      <c r="H257" s="37"/>
      <c r="I257" s="37"/>
      <c r="J257" s="37"/>
      <c r="K257" s="37"/>
      <c r="L257" s="37"/>
      <c r="M257" s="38">
        <f ca="1">IFERROR(SUM(M245:M256),"")</f>
        <v>7.2222222222222243E-2</v>
      </c>
      <c r="N257" s="36" t="s">
        <v>233</v>
      </c>
      <c r="O257" s="77">
        <v>631580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230</v>
      </c>
      <c r="F258" s="27">
        <v>8</v>
      </c>
      <c r="G258" s="34">
        <f t="shared" ref="G258:G269" si="57">IF(F258="","",IF(E258="PC 17",F258*4.2,IF(E258="PC 19",F258*5,"")))</f>
        <v>40</v>
      </c>
      <c r="H258" s="26" t="s">
        <v>18</v>
      </c>
      <c r="I258" s="26" t="s">
        <v>39</v>
      </c>
      <c r="J258" s="26" t="s">
        <v>124</v>
      </c>
      <c r="K258" s="29">
        <v>0.79861111111111116</v>
      </c>
      <c r="L258" s="29">
        <v>0.81944444444444442</v>
      </c>
      <c r="M258" s="30">
        <f t="shared" ref="M258:M269" ca="1" si="58">IFERROR(IF(K258="","",IF(L258="",MOD(NOW()-K258,1),IF(L258&gt;=K258,L258-K258,L258+1-K258))),"")</f>
        <v>2.0833333333333259E-2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13</v>
      </c>
      <c r="G259" s="28">
        <f t="shared" si="57"/>
        <v>54.6</v>
      </c>
      <c r="H259" s="50" t="s">
        <v>20</v>
      </c>
      <c r="I259" s="50" t="s">
        <v>31</v>
      </c>
      <c r="J259" s="50" t="s">
        <v>36</v>
      </c>
      <c r="K259" s="29">
        <v>0.91666666666666663</v>
      </c>
      <c r="L259" s="29">
        <v>0.94097222222222221</v>
      </c>
      <c r="M259" s="35">
        <f t="shared" ca="1" si="58"/>
        <v>2.430555555555558E-2</v>
      </c>
      <c r="N259" s="46"/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18</v>
      </c>
      <c r="G260" s="34">
        <f t="shared" si="57"/>
        <v>75.600000000000009</v>
      </c>
      <c r="H260" s="33" t="s">
        <v>18</v>
      </c>
      <c r="I260" s="26" t="s">
        <v>31</v>
      </c>
      <c r="J260" s="33" t="s">
        <v>50</v>
      </c>
      <c r="K260" s="29">
        <v>0.94097222222222221</v>
      </c>
      <c r="L260" s="29">
        <v>0.95486111111111116</v>
      </c>
      <c r="M260" s="30">
        <f t="shared" ca="1" si="58"/>
        <v>1.3888888888888951E-2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3</v>
      </c>
      <c r="G261" s="28">
        <f t="shared" si="57"/>
        <v>12.600000000000001</v>
      </c>
      <c r="H261" s="33" t="s">
        <v>19</v>
      </c>
      <c r="I261" s="33" t="s">
        <v>156</v>
      </c>
      <c r="J261" s="33" t="s">
        <v>27</v>
      </c>
      <c r="K261" s="29">
        <v>0.95486111111111116</v>
      </c>
      <c r="L261" s="29">
        <v>0.96875</v>
      </c>
      <c r="M261" s="35">
        <f t="shared" ca="1" si="58"/>
        <v>1.388888888888884E-2</v>
      </c>
      <c r="N261" s="46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4</v>
      </c>
      <c r="G262" s="34">
        <f t="shared" si="57"/>
        <v>16.8</v>
      </c>
      <c r="H262" s="33" t="s">
        <v>18</v>
      </c>
      <c r="I262" s="26" t="s">
        <v>31</v>
      </c>
      <c r="J262" s="33" t="s">
        <v>153</v>
      </c>
      <c r="K262" s="29">
        <v>0.9868055555555556</v>
      </c>
      <c r="L262" s="29">
        <v>5.7638888888888892E-2</v>
      </c>
      <c r="M262" s="30">
        <f t="shared" ca="1" si="58"/>
        <v>7.0833333333333193E-2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9</v>
      </c>
      <c r="G263" s="28">
        <f t="shared" si="57"/>
        <v>37.800000000000004</v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8</v>
      </c>
      <c r="G264" s="34">
        <f t="shared" si="57"/>
        <v>33.6</v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12</v>
      </c>
      <c r="G265" s="28">
        <f t="shared" si="57"/>
        <v>50.400000000000006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8</v>
      </c>
      <c r="G267" s="28">
        <f t="shared" si="57"/>
        <v>33.6</v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13</v>
      </c>
      <c r="G268" s="34">
        <f t="shared" si="57"/>
        <v>54.6</v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9</v>
      </c>
      <c r="G269" s="28">
        <f t="shared" si="57"/>
        <v>37.800000000000004</v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123</v>
      </c>
      <c r="G270" s="36">
        <f>SUM(G258:G269)</f>
        <v>523</v>
      </c>
      <c r="H270" s="37"/>
      <c r="I270" s="37"/>
      <c r="J270" s="37"/>
      <c r="K270" s="37"/>
      <c r="L270" s="37"/>
      <c r="M270" s="38">
        <f ca="1">IFERROR(SUM(M258:M269),"")</f>
        <v>0.14374999999999982</v>
      </c>
      <c r="N270" s="36" t="s">
        <v>233</v>
      </c>
      <c r="O270" s="77">
        <v>625070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288</v>
      </c>
      <c r="G271" s="40">
        <f>G257+G270</f>
        <v>1216</v>
      </c>
      <c r="H271" s="41"/>
      <c r="I271" s="41"/>
      <c r="J271" s="41"/>
      <c r="K271" s="41"/>
      <c r="L271" s="41"/>
      <c r="M271" s="42">
        <f ca="1">IFERROR(M257+M270,"")</f>
        <v>0.21597222222222207</v>
      </c>
      <c r="N271" s="40" t="s">
        <v>236</v>
      </c>
      <c r="O271" s="83">
        <f>IFERROR(O257+O270,"")</f>
        <v>1256650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20</v>
      </c>
      <c r="G272" s="28">
        <f t="shared" ref="G272:G283" si="60">IF(F272="","",IF(E272="PC 17",F272*4.2,IF(E272="PC 19",F272*5,"")))</f>
        <v>84</v>
      </c>
      <c r="H272" s="26" t="s">
        <v>18</v>
      </c>
      <c r="I272" s="26" t="s">
        <v>31</v>
      </c>
      <c r="J272" s="26" t="s">
        <v>50</v>
      </c>
      <c r="K272" s="29">
        <v>0.32222222222222224</v>
      </c>
      <c r="L272" s="29">
        <v>0.36805555555555558</v>
      </c>
      <c r="M272" s="30">
        <f t="shared" ref="M272:M283" ca="1" si="61">IFERROR(IF(K272="","",IF(L272="",MOD(NOW()-K272,1),IF(L272&gt;=K272,L272-K272,L272+1-K272))),"")</f>
        <v>4.5833333333333337E-2</v>
      </c>
      <c r="N272" s="46" t="s">
        <v>285</v>
      </c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19</v>
      </c>
      <c r="I273" s="33" t="s">
        <v>39</v>
      </c>
      <c r="J273" s="33" t="s">
        <v>95</v>
      </c>
      <c r="K273" s="29">
        <v>0.40416666666666667</v>
      </c>
      <c r="L273" s="29">
        <v>0.51388888888888884</v>
      </c>
      <c r="M273" s="35">
        <f t="shared" ca="1" si="61"/>
        <v>0.10972222222222217</v>
      </c>
      <c r="N273" s="46" t="s">
        <v>286</v>
      </c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17</v>
      </c>
      <c r="G274" s="28">
        <f t="shared" si="60"/>
        <v>71.400000000000006</v>
      </c>
      <c r="H274" s="26" t="s">
        <v>19</v>
      </c>
      <c r="I274" s="26" t="s">
        <v>31</v>
      </c>
      <c r="J274" s="26" t="s">
        <v>27</v>
      </c>
      <c r="K274" s="29">
        <v>0.77777777777777779</v>
      </c>
      <c r="L274" s="29">
        <v>0.77986111111111112</v>
      </c>
      <c r="M274" s="30">
        <f t="shared" ca="1" si="61"/>
        <v>2.0833333333333259E-3</v>
      </c>
      <c r="N274" s="46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0</v>
      </c>
      <c r="G275" s="34">
        <f t="shared" si="60"/>
        <v>0</v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0</v>
      </c>
      <c r="G276" s="28">
        <f t="shared" si="60"/>
        <v>0</v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12</v>
      </c>
      <c r="G277" s="34">
        <f t="shared" si="60"/>
        <v>50.400000000000006</v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25</v>
      </c>
      <c r="G278" s="28">
        <f t="shared" si="60"/>
        <v>105</v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20</v>
      </c>
      <c r="G280" s="28">
        <f t="shared" si="60"/>
        <v>84</v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10</v>
      </c>
      <c r="G281" s="34">
        <f t="shared" si="60"/>
        <v>42</v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25</v>
      </c>
      <c r="G282" s="28">
        <f t="shared" si="60"/>
        <v>105</v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7</v>
      </c>
      <c r="G283" s="34">
        <f t="shared" si="60"/>
        <v>29.400000000000002</v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183</v>
      </c>
      <c r="G284" s="36">
        <f>SUM(G272:G283)</f>
        <v>768.59999999999991</v>
      </c>
      <c r="H284" s="37"/>
      <c r="I284" s="37"/>
      <c r="J284" s="37"/>
      <c r="K284" s="37"/>
      <c r="L284" s="37"/>
      <c r="M284" s="38">
        <f ca="1">IFERROR(SUM(M272:M283),"")</f>
        <v>0.15763888888888883</v>
      </c>
      <c r="N284" s="36" t="s">
        <v>233</v>
      </c>
      <c r="O284" s="77">
        <v>623460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21</v>
      </c>
      <c r="G285" s="34">
        <f t="shared" ref="G285:G296" si="63">IF(F285="","",IF(E285="PC 17",F285*4.2,IF(E285="PC 19",F285*5,"")))</f>
        <v>88.2</v>
      </c>
      <c r="H285" s="33" t="s">
        <v>19</v>
      </c>
      <c r="I285" s="33" t="s">
        <v>39</v>
      </c>
      <c r="J285" s="33" t="s">
        <v>27</v>
      </c>
      <c r="K285" s="29">
        <v>0.92569444444444449</v>
      </c>
      <c r="L285" s="29">
        <v>0.94097222222222221</v>
      </c>
      <c r="M285" s="35">
        <f t="shared" ref="M285:M296" ca="1" si="64">IFERROR(IF(K285="","",IF(L285="",MOD(NOW()-K285,1),IF(L285&gt;=K285,L285-K285,L285+1-K285))),"")</f>
        <v>1.5277777777777724E-2</v>
      </c>
      <c r="N285" s="46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24</v>
      </c>
      <c r="G286" s="28">
        <f t="shared" si="63"/>
        <v>100.80000000000001</v>
      </c>
      <c r="H286" s="49" t="s">
        <v>18</v>
      </c>
      <c r="I286" s="49" t="s">
        <v>39</v>
      </c>
      <c r="J286" s="49" t="s">
        <v>127</v>
      </c>
      <c r="K286" s="29">
        <v>0.94097222222222221</v>
      </c>
      <c r="L286" s="29">
        <v>0.95902777777777781</v>
      </c>
      <c r="M286" s="30">
        <f t="shared" ca="1" si="64"/>
        <v>1.8055555555555602E-2</v>
      </c>
      <c r="N286" s="46" t="s">
        <v>287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30</v>
      </c>
      <c r="G287" s="34">
        <f t="shared" si="63"/>
        <v>126</v>
      </c>
      <c r="H287" s="33" t="s">
        <v>20</v>
      </c>
      <c r="I287" s="33" t="s">
        <v>39</v>
      </c>
      <c r="J287" s="33" t="s">
        <v>51</v>
      </c>
      <c r="K287" s="29">
        <v>0.96527777777777779</v>
      </c>
      <c r="L287" s="29">
        <v>0.96666666666666667</v>
      </c>
      <c r="M287" s="35">
        <f t="shared" ca="1" si="64"/>
        <v>1.388888888888884E-3</v>
      </c>
      <c r="N287" s="46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0</v>
      </c>
      <c r="G288" s="28">
        <f t="shared" si="63"/>
        <v>0</v>
      </c>
      <c r="H288" s="26" t="s">
        <v>19</v>
      </c>
      <c r="I288" s="26" t="s">
        <v>31</v>
      </c>
      <c r="J288" s="26" t="s">
        <v>27</v>
      </c>
      <c r="K288" s="29">
        <v>4.5138888888888888E-2</v>
      </c>
      <c r="L288" s="29">
        <v>5.8333333333333334E-2</v>
      </c>
      <c r="M288" s="30">
        <f t="shared" ca="1" si="64"/>
        <v>1.3194444444444446E-2</v>
      </c>
      <c r="N288" s="46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8</v>
      </c>
      <c r="G289" s="34">
        <f t="shared" si="63"/>
        <v>40</v>
      </c>
      <c r="H289" s="33" t="s">
        <v>19</v>
      </c>
      <c r="I289" s="33" t="s">
        <v>31</v>
      </c>
      <c r="J289" s="33" t="s">
        <v>27</v>
      </c>
      <c r="K289" s="29">
        <v>6.7361111111111108E-2</v>
      </c>
      <c r="L289" s="29">
        <v>0.12638888888888888</v>
      </c>
      <c r="M289" s="35">
        <f t="shared" ca="1" si="64"/>
        <v>5.9027777777777776E-2</v>
      </c>
      <c r="N289" s="46"/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27</v>
      </c>
      <c r="G290" s="28">
        <f t="shared" si="63"/>
        <v>113.4</v>
      </c>
      <c r="H290" s="26" t="s">
        <v>18</v>
      </c>
      <c r="I290" s="26" t="s">
        <v>31</v>
      </c>
      <c r="J290" s="26" t="s">
        <v>153</v>
      </c>
      <c r="K290" s="29">
        <v>0.12777777777777777</v>
      </c>
      <c r="L290" s="29">
        <v>0.15763888888888888</v>
      </c>
      <c r="M290" s="30">
        <f t="shared" ca="1" si="64"/>
        <v>2.9861111111111116E-2</v>
      </c>
      <c r="N290" s="46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5</v>
      </c>
      <c r="G291" s="34">
        <f t="shared" si="63"/>
        <v>21</v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7</v>
      </c>
      <c r="G292" s="28">
        <f t="shared" si="63"/>
        <v>29.400000000000002</v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2</v>
      </c>
      <c r="G293" s="34">
        <f t="shared" si="63"/>
        <v>8.4</v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23</v>
      </c>
      <c r="G294" s="28">
        <f t="shared" si="63"/>
        <v>96.600000000000009</v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5</v>
      </c>
      <c r="G296" s="28">
        <f t="shared" si="63"/>
        <v>21</v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163</v>
      </c>
      <c r="G297" s="36">
        <f>SUM(G285:G296)</f>
        <v>691</v>
      </c>
      <c r="H297" s="37"/>
      <c r="I297" s="37"/>
      <c r="J297" s="37"/>
      <c r="K297" s="37"/>
      <c r="L297" s="37"/>
      <c r="M297" s="38">
        <f ca="1">IFERROR(SUM(M285:M296),"")</f>
        <v>0.13680555555555554</v>
      </c>
      <c r="N297" s="36" t="s">
        <v>233</v>
      </c>
      <c r="O297" s="77">
        <v>761660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346</v>
      </c>
      <c r="G298" s="40">
        <f>G284+G297</f>
        <v>1459.6</v>
      </c>
      <c r="H298" s="41"/>
      <c r="I298" s="41"/>
      <c r="J298" s="41"/>
      <c r="K298" s="41"/>
      <c r="L298" s="41"/>
      <c r="M298" s="42">
        <f ca="1">IFERROR(M284+M297,"")</f>
        <v>0.2944444444444444</v>
      </c>
      <c r="N298" s="40" t="s">
        <v>236</v>
      </c>
      <c r="O298" s="83">
        <f>IFERROR(O284+O297,"")</f>
        <v>1385120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46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6</v>
      </c>
      <c r="G300" s="28">
        <f t="shared" si="66"/>
        <v>25.200000000000003</v>
      </c>
      <c r="H300" s="26" t="s">
        <v>17</v>
      </c>
      <c r="I300" s="26" t="s">
        <v>135</v>
      </c>
      <c r="J300" s="26" t="s">
        <v>87</v>
      </c>
      <c r="K300" s="29">
        <v>0.35416666666666669</v>
      </c>
      <c r="L300" s="29">
        <v>0.40555555555555556</v>
      </c>
      <c r="M300" s="30">
        <f t="shared" ca="1" si="67"/>
        <v>5.1388888888888873E-2</v>
      </c>
      <c r="N300" s="46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46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18</v>
      </c>
      <c r="G302" s="28">
        <f t="shared" si="66"/>
        <v>75.600000000000009</v>
      </c>
      <c r="H302" s="26" t="s">
        <v>20</v>
      </c>
      <c r="I302" s="26" t="s">
        <v>31</v>
      </c>
      <c r="J302" s="26" t="s">
        <v>56</v>
      </c>
      <c r="K302" s="29">
        <v>0.61250000000000004</v>
      </c>
      <c r="L302" s="29">
        <v>0.64583333333333337</v>
      </c>
      <c r="M302" s="30">
        <f t="shared" ca="1" si="67"/>
        <v>3.3333333333333326E-2</v>
      </c>
      <c r="N302" s="46" t="s">
        <v>288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10</v>
      </c>
      <c r="G303" s="34">
        <f t="shared" si="66"/>
        <v>42</v>
      </c>
      <c r="H303" s="33" t="s">
        <v>20</v>
      </c>
      <c r="I303" s="33" t="s">
        <v>39</v>
      </c>
      <c r="J303" s="33" t="s">
        <v>56</v>
      </c>
      <c r="K303" s="29">
        <v>0.61250000000000004</v>
      </c>
      <c r="L303" s="29">
        <v>0.64583333333333337</v>
      </c>
      <c r="M303" s="35">
        <f t="shared" ca="1" si="67"/>
        <v>3.3333333333333326E-2</v>
      </c>
      <c r="N303" s="46" t="s">
        <v>288</v>
      </c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8</v>
      </c>
      <c r="G304" s="28">
        <f t="shared" si="66"/>
        <v>33.6</v>
      </c>
      <c r="H304" s="26" t="s">
        <v>19</v>
      </c>
      <c r="I304" s="26" t="s">
        <v>156</v>
      </c>
      <c r="J304" s="26" t="s">
        <v>27</v>
      </c>
      <c r="K304" s="29">
        <v>0.68055555555555558</v>
      </c>
      <c r="L304" s="29">
        <v>0.70347222222222228</v>
      </c>
      <c r="M304" s="30">
        <f t="shared" ca="1" si="67"/>
        <v>2.2916666666666696E-2</v>
      </c>
      <c r="N304" s="46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6</v>
      </c>
      <c r="G306" s="28">
        <f t="shared" si="66"/>
        <v>25.200000000000003</v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10</v>
      </c>
      <c r="G307" s="34">
        <f t="shared" si="66"/>
        <v>42</v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7</v>
      </c>
      <c r="G308" s="28">
        <f t="shared" si="66"/>
        <v>29.400000000000002</v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6</v>
      </c>
      <c r="G310" s="28">
        <f t="shared" si="66"/>
        <v>25.200000000000003</v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91</v>
      </c>
      <c r="G311" s="36">
        <f>SUM(G299:G310)</f>
        <v>382.2</v>
      </c>
      <c r="H311" s="37"/>
      <c r="I311" s="37"/>
      <c r="J311" s="37"/>
      <c r="K311" s="37"/>
      <c r="L311" s="37"/>
      <c r="M311" s="38">
        <f ca="1">IFERROR(SUM(M299:M310),"")</f>
        <v>0.15069444444444441</v>
      </c>
      <c r="N311" s="36" t="s">
        <v>233</v>
      </c>
      <c r="O311" s="77">
        <v>605560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19</v>
      </c>
      <c r="G312" s="28">
        <f t="shared" ref="G312:G323" si="69">IF(F312="","",IF(E312="PC 17",F312*4.2,IF(E312="PC 19",F312*5,"")))</f>
        <v>79.8</v>
      </c>
      <c r="H312" s="26" t="s">
        <v>20</v>
      </c>
      <c r="I312" s="26" t="s">
        <v>154</v>
      </c>
      <c r="J312" s="26" t="s">
        <v>74</v>
      </c>
      <c r="K312" s="29">
        <v>0.79652777777777772</v>
      </c>
      <c r="L312" s="29">
        <v>0.80902777777777779</v>
      </c>
      <c r="M312" s="30">
        <f t="shared" ref="M312:M323" ca="1" si="70">IFERROR(IF(K312="","",IF(L312="",MOD(NOW()-K312,1),IF(L312&gt;=K312,L312-K312,L312+1-K312))),"")</f>
        <v>1.2500000000000067E-2</v>
      </c>
      <c r="N312" s="46"/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31</v>
      </c>
      <c r="J313" s="33" t="s">
        <v>36</v>
      </c>
      <c r="K313" s="29">
        <v>0.85416666666666663</v>
      </c>
      <c r="L313" s="29">
        <v>0.87847222222222221</v>
      </c>
      <c r="M313" s="35">
        <f t="shared" ca="1" si="70"/>
        <v>2.430555555555558E-2</v>
      </c>
      <c r="N313" s="46" t="s">
        <v>289</v>
      </c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21</v>
      </c>
      <c r="G314" s="28">
        <f t="shared" si="69"/>
        <v>88.2</v>
      </c>
      <c r="H314" s="26" t="s">
        <v>18</v>
      </c>
      <c r="I314" s="26" t="s">
        <v>63</v>
      </c>
      <c r="J314" s="26" t="s">
        <v>111</v>
      </c>
      <c r="K314" s="29">
        <v>0.91249999999999998</v>
      </c>
      <c r="L314" s="29">
        <v>9.583333333333334E-2</v>
      </c>
      <c r="M314" s="30">
        <f t="shared" ca="1" si="70"/>
        <v>0.18333333333333346</v>
      </c>
      <c r="N314" s="46" t="s">
        <v>290</v>
      </c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0</v>
      </c>
      <c r="G315" s="34">
        <f t="shared" si="69"/>
        <v>0</v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0</v>
      </c>
      <c r="G316" s="28">
        <f t="shared" si="69"/>
        <v>0</v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0</v>
      </c>
      <c r="G317" s="34">
        <f t="shared" si="69"/>
        <v>0</v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0</v>
      </c>
      <c r="G318" s="28">
        <f t="shared" si="69"/>
        <v>0</v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11</v>
      </c>
      <c r="G319" s="34">
        <f t="shared" si="69"/>
        <v>46.2</v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15</v>
      </c>
      <c r="G320" s="28">
        <f t="shared" si="69"/>
        <v>63</v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16</v>
      </c>
      <c r="G322" s="28">
        <f t="shared" si="69"/>
        <v>67.2</v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8</v>
      </c>
      <c r="G323" s="34">
        <f t="shared" si="69"/>
        <v>40</v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112</v>
      </c>
      <c r="G324" s="36">
        <f>SUM(G312:G323)</f>
        <v>476.8</v>
      </c>
      <c r="H324" s="37"/>
      <c r="I324" s="37"/>
      <c r="J324" s="37"/>
      <c r="K324" s="37"/>
      <c r="L324" s="37"/>
      <c r="M324" s="38">
        <f ca="1">IFERROR(SUM(M312:M323),"")</f>
        <v>0.22013888888888911</v>
      </c>
      <c r="N324" s="36" t="s">
        <v>233</v>
      </c>
      <c r="O324" s="77">
        <v>524410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203</v>
      </c>
      <c r="G325" s="40">
        <f>G311+G324</f>
        <v>859</v>
      </c>
      <c r="H325" s="41"/>
      <c r="I325" s="41"/>
      <c r="J325" s="41"/>
      <c r="K325" s="41"/>
      <c r="L325" s="41"/>
      <c r="M325" s="42">
        <f ca="1">IFERROR(M311+M324,"")</f>
        <v>0.37083333333333351</v>
      </c>
      <c r="N325" s="40" t="s">
        <v>236</v>
      </c>
      <c r="O325" s="83">
        <f>IFERROR(O311+O324,"")</f>
        <v>1129970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9" t="s">
        <v>257</v>
      </c>
      <c r="F326" s="27">
        <v>20</v>
      </c>
      <c r="G326" s="28">
        <f t="shared" ref="G326:G337" si="72">IF(F326="","",IF(E326="PC 17",F326*4.2,IF(E326="PC 19",F326*5,"")))</f>
        <v>84</v>
      </c>
      <c r="H326" s="26" t="s">
        <v>19</v>
      </c>
      <c r="I326" s="26" t="s">
        <v>156</v>
      </c>
      <c r="J326" s="26" t="s">
        <v>27</v>
      </c>
      <c r="K326" s="29">
        <v>0.36458333333333331</v>
      </c>
      <c r="L326" s="29">
        <v>0.38263888888888886</v>
      </c>
      <c r="M326" s="30">
        <f t="shared" ref="M326:M337" ca="1" si="73">IFERROR(IF(K326="","",IF(L326="",MOD(NOW()-K326,1),IF(L326&gt;=K326,L326-K326,L326+1-K326))),"")</f>
        <v>1.8055555555555547E-2</v>
      </c>
      <c r="N326" s="46"/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15</v>
      </c>
      <c r="G327" s="34">
        <f t="shared" si="72"/>
        <v>63</v>
      </c>
      <c r="H327" s="33" t="s">
        <v>20</v>
      </c>
      <c r="I327" s="33" t="s">
        <v>39</v>
      </c>
      <c r="J327" s="33" t="s">
        <v>51</v>
      </c>
      <c r="K327" s="29">
        <v>0.52152777777777781</v>
      </c>
      <c r="L327" s="29">
        <v>0.52708333333333335</v>
      </c>
      <c r="M327" s="35">
        <f t="shared" ca="1" si="73"/>
        <v>5.5555555555555358E-3</v>
      </c>
      <c r="N327" s="46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10</v>
      </c>
      <c r="G328" s="28">
        <f t="shared" si="72"/>
        <v>42</v>
      </c>
      <c r="H328" s="26" t="s">
        <v>20</v>
      </c>
      <c r="I328" s="26" t="s">
        <v>120</v>
      </c>
      <c r="J328" s="26" t="s">
        <v>113</v>
      </c>
      <c r="K328" s="29">
        <v>0.63749999999999996</v>
      </c>
      <c r="L328" s="29">
        <v>0.65902777777777777</v>
      </c>
      <c r="M328" s="30">
        <f t="shared" ca="1" si="73"/>
        <v>2.1527777777777812E-2</v>
      </c>
      <c r="N328" s="46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20</v>
      </c>
      <c r="G329" s="34">
        <f t="shared" si="72"/>
        <v>84</v>
      </c>
      <c r="H329" s="33" t="s">
        <v>17</v>
      </c>
      <c r="I329" s="33" t="s">
        <v>114</v>
      </c>
      <c r="J329" s="33" t="s">
        <v>33</v>
      </c>
      <c r="K329" s="29">
        <v>0.68402777777777779</v>
      </c>
      <c r="L329" s="29">
        <v>0.70833333333333337</v>
      </c>
      <c r="M329" s="35">
        <f t="shared" ca="1" si="73"/>
        <v>2.430555555555558E-2</v>
      </c>
      <c r="N329" s="46" t="s">
        <v>291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30</v>
      </c>
      <c r="E330" s="59" t="s">
        <v>230</v>
      </c>
      <c r="F330" s="27">
        <v>12</v>
      </c>
      <c r="G330" s="28">
        <f t="shared" si="72"/>
        <v>60</v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30</v>
      </c>
      <c r="E331" s="59" t="s">
        <v>257</v>
      </c>
      <c r="F331" s="27">
        <v>24</v>
      </c>
      <c r="G331" s="34">
        <f t="shared" si="72"/>
        <v>100.80000000000001</v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30</v>
      </c>
      <c r="E332" s="59" t="s">
        <v>257</v>
      </c>
      <c r="F332" s="27">
        <v>14</v>
      </c>
      <c r="G332" s="28">
        <f t="shared" si="72"/>
        <v>58.800000000000004</v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30</v>
      </c>
      <c r="E333" s="59" t="s">
        <v>257</v>
      </c>
      <c r="F333" s="27">
        <v>16</v>
      </c>
      <c r="G333" s="34">
        <f t="shared" si="72"/>
        <v>67.2</v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30</v>
      </c>
      <c r="E334" s="59" t="s">
        <v>257</v>
      </c>
      <c r="F334" s="27">
        <v>24</v>
      </c>
      <c r="G334" s="28">
        <f t="shared" si="72"/>
        <v>100.80000000000001</v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30</v>
      </c>
      <c r="E335" s="59" t="s">
        <v>257</v>
      </c>
      <c r="F335" s="27">
        <v>19</v>
      </c>
      <c r="G335" s="34">
        <f t="shared" si="72"/>
        <v>79.8</v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30</v>
      </c>
      <c r="E336" s="59" t="s">
        <v>257</v>
      </c>
      <c r="F336" s="27">
        <v>21</v>
      </c>
      <c r="G336" s="28">
        <f t="shared" si="72"/>
        <v>88.2</v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30</v>
      </c>
      <c r="E337" s="59" t="s">
        <v>257</v>
      </c>
      <c r="F337" s="27">
        <v>2</v>
      </c>
      <c r="G337" s="34">
        <f t="shared" si="72"/>
        <v>8.4</v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197</v>
      </c>
      <c r="G338" s="36">
        <f>SUM(G326:G337)</f>
        <v>837.00000000000011</v>
      </c>
      <c r="H338" s="37"/>
      <c r="I338" s="37"/>
      <c r="J338" s="37"/>
      <c r="K338" s="37"/>
      <c r="L338" s="37"/>
      <c r="M338" s="38">
        <f ca="1">IFERROR(SUM(M326:M337),"")</f>
        <v>6.9444444444444475E-2</v>
      </c>
      <c r="N338" s="36" t="s">
        <v>233</v>
      </c>
      <c r="O338" s="77">
        <v>837000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22</v>
      </c>
      <c r="G339" s="34">
        <f t="shared" ref="G339:G350" si="75">IF(F339="","",IF(E339="PC 17",F339*4.2,IF(E339="PC 19",F339*5,"")))</f>
        <v>92.4</v>
      </c>
      <c r="H339" s="33" t="s">
        <v>20</v>
      </c>
      <c r="I339" s="33" t="s">
        <v>120</v>
      </c>
      <c r="J339" s="33" t="s">
        <v>113</v>
      </c>
      <c r="K339" s="29">
        <v>0.90416666666666667</v>
      </c>
      <c r="L339" s="29">
        <v>0.90972222222222221</v>
      </c>
      <c r="M339" s="35">
        <f t="shared" ref="M339:M350" ca="1" si="76">IFERROR(IF(K339="","",IF(L339="",MOD(NOW()-K339,1),IF(L339&gt;=K339,L339-K339,L339+1-K339))),"")</f>
        <v>5.5555555555555358E-3</v>
      </c>
      <c r="N339" s="46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10</v>
      </c>
      <c r="G340" s="28">
        <f t="shared" si="75"/>
        <v>42</v>
      </c>
      <c r="H340" s="26" t="s">
        <v>20</v>
      </c>
      <c r="I340" s="26" t="s">
        <v>31</v>
      </c>
      <c r="J340" s="26" t="s">
        <v>56</v>
      </c>
      <c r="K340" s="29">
        <v>6.25E-2</v>
      </c>
      <c r="L340" s="29">
        <v>7.2916666666666671E-2</v>
      </c>
      <c r="M340" s="30">
        <f t="shared" ca="1" si="76"/>
        <v>1.0416666666666671E-2</v>
      </c>
      <c r="N340" s="46" t="s">
        <v>292</v>
      </c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18</v>
      </c>
      <c r="G341" s="34">
        <f t="shared" si="75"/>
        <v>75.600000000000009</v>
      </c>
      <c r="H341" s="33" t="s">
        <v>19</v>
      </c>
      <c r="I341" s="33" t="s">
        <v>39</v>
      </c>
      <c r="J341" s="33" t="s">
        <v>27</v>
      </c>
      <c r="K341" s="29">
        <v>7.2916666666666671E-2</v>
      </c>
      <c r="L341" s="29">
        <v>7.9166666666666663E-2</v>
      </c>
      <c r="M341" s="35">
        <f t="shared" ca="1" si="76"/>
        <v>6.2499999999999917E-3</v>
      </c>
      <c r="N341" s="46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10</v>
      </c>
      <c r="G342" s="28">
        <f t="shared" si="75"/>
        <v>42</v>
      </c>
      <c r="H342" s="26" t="s">
        <v>19</v>
      </c>
      <c r="I342" s="26" t="s">
        <v>39</v>
      </c>
      <c r="J342" s="26" t="s">
        <v>35</v>
      </c>
      <c r="K342" s="29">
        <v>0.25347222222222221</v>
      </c>
      <c r="L342" s="29">
        <v>0.27291666666666664</v>
      </c>
      <c r="M342" s="30">
        <f t="shared" ca="1" si="76"/>
        <v>1.9444444444444431E-2</v>
      </c>
      <c r="N342" s="46" t="s">
        <v>293</v>
      </c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15</v>
      </c>
      <c r="G348" s="28">
        <f t="shared" si="75"/>
        <v>63</v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10</v>
      </c>
      <c r="G350" s="28">
        <f t="shared" si="75"/>
        <v>42</v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130</v>
      </c>
      <c r="G351" s="36">
        <f>SUM(G339:G350)</f>
        <v>546</v>
      </c>
      <c r="H351" s="37"/>
      <c r="I351" s="37"/>
      <c r="J351" s="37"/>
      <c r="K351" s="37"/>
      <c r="L351" s="37"/>
      <c r="M351" s="38">
        <f ca="1">IFERROR(SUM(M339:M350),"")</f>
        <v>4.166666666666663E-2</v>
      </c>
      <c r="N351" s="36" t="s">
        <v>233</v>
      </c>
      <c r="O351" s="77">
        <v>598420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327</v>
      </c>
      <c r="G352" s="40">
        <f>G338+G351</f>
        <v>1383</v>
      </c>
      <c r="H352" s="41"/>
      <c r="I352" s="41"/>
      <c r="J352" s="41"/>
      <c r="K352" s="41"/>
      <c r="L352" s="41"/>
      <c r="M352" s="42">
        <f ca="1">IFERROR(M338+M351,"")</f>
        <v>0.1111111111111111</v>
      </c>
      <c r="N352" s="40" t="s">
        <v>236</v>
      </c>
      <c r="O352" s="83">
        <f>IFERROR(O338+O351,"")</f>
        <v>1435420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16</v>
      </c>
      <c r="G353" s="34">
        <f t="shared" ref="G353:G364" si="78">IF(F353="","",IF(E353="PC 17",F353*4.2,IF(E353="PC 19",F353*5,"")))</f>
        <v>67.2</v>
      </c>
      <c r="H353" s="33" t="s">
        <v>20</v>
      </c>
      <c r="I353" s="33" t="s">
        <v>156</v>
      </c>
      <c r="J353" s="33" t="s">
        <v>28</v>
      </c>
      <c r="K353" s="29">
        <v>0.36805555555555558</v>
      </c>
      <c r="L353" s="29">
        <v>0.37430555555555556</v>
      </c>
      <c r="M353" s="35">
        <f t="shared" ref="M353:M364" ca="1" si="79">IFERROR(IF(K353="","",IF(L353="",MOD(NOW()-K353,1),IF(L353&gt;=K353,L353-K353,L353+1-K353))),"")</f>
        <v>6.2499999999999778E-3</v>
      </c>
      <c r="N353" s="46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10</v>
      </c>
      <c r="G354" s="28">
        <f t="shared" si="78"/>
        <v>42</v>
      </c>
      <c r="H354" s="26" t="s">
        <v>20</v>
      </c>
      <c r="I354" s="26"/>
      <c r="J354" s="26" t="s">
        <v>28</v>
      </c>
      <c r="K354" s="29">
        <v>0.47222222222222221</v>
      </c>
      <c r="L354" s="29">
        <v>0.49583333333333335</v>
      </c>
      <c r="M354" s="30">
        <f t="shared" ca="1" si="79"/>
        <v>2.3611111111111138E-2</v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14</v>
      </c>
      <c r="G355" s="34">
        <f t="shared" si="78"/>
        <v>58.800000000000004</v>
      </c>
      <c r="H355" s="33" t="s">
        <v>19</v>
      </c>
      <c r="I355" s="33" t="s">
        <v>156</v>
      </c>
      <c r="J355" s="33" t="s">
        <v>27</v>
      </c>
      <c r="K355" s="29">
        <v>0.52430555555555558</v>
      </c>
      <c r="L355" s="29">
        <v>0.54166666666666663</v>
      </c>
      <c r="M355" s="35">
        <f t="shared" ca="1" si="79"/>
        <v>1.7361111111111049E-2</v>
      </c>
      <c r="N355" s="46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15</v>
      </c>
      <c r="G356" s="28">
        <f t="shared" si="78"/>
        <v>63</v>
      </c>
      <c r="H356" s="26" t="s">
        <v>20</v>
      </c>
      <c r="I356" s="26" t="s">
        <v>39</v>
      </c>
      <c r="J356" s="26" t="s">
        <v>128</v>
      </c>
      <c r="K356" s="29">
        <v>0.63888888888888884</v>
      </c>
      <c r="L356" s="29">
        <v>0.65277777777777779</v>
      </c>
      <c r="M356" s="30">
        <f t="shared" ca="1" si="79"/>
        <v>1.3888888888888951E-2</v>
      </c>
      <c r="N356" s="46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16</v>
      </c>
      <c r="I357" s="33"/>
      <c r="J357" s="33" t="s">
        <v>86</v>
      </c>
      <c r="K357" s="29">
        <v>0.67361111111111116</v>
      </c>
      <c r="L357" s="29">
        <v>0.72222222222222221</v>
      </c>
      <c r="M357" s="35">
        <f t="shared" ca="1" si="79"/>
        <v>4.8611111111111049E-2</v>
      </c>
      <c r="N357" s="46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11</v>
      </c>
      <c r="G358" s="28">
        <f t="shared" si="78"/>
        <v>46.2</v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23</v>
      </c>
      <c r="G359" s="34">
        <f t="shared" si="78"/>
        <v>96.600000000000009</v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21</v>
      </c>
      <c r="G360" s="28">
        <f t="shared" si="78"/>
        <v>88.2</v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15</v>
      </c>
      <c r="G361" s="34">
        <f t="shared" si="78"/>
        <v>63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8</v>
      </c>
      <c r="G364" s="28">
        <f t="shared" si="78"/>
        <v>33.6</v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158</v>
      </c>
      <c r="G365" s="36">
        <f>SUM(G353:G364)</f>
        <v>663.6</v>
      </c>
      <c r="H365" s="37"/>
      <c r="I365" s="37"/>
      <c r="J365" s="37"/>
      <c r="K365" s="37"/>
      <c r="L365" s="37"/>
      <c r="M365" s="38">
        <f ca="1">IFERROR(SUM(M353:M364),"")</f>
        <v>0.10972222222222217</v>
      </c>
      <c r="N365" s="36" t="s">
        <v>233</v>
      </c>
      <c r="O365" s="77">
        <v>808550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16</v>
      </c>
      <c r="G366" s="28">
        <f t="shared" ref="G366:G377" si="81">IF(F366="","",IF(E366="PC 17",F366*4.2,IF(E366="PC 19",F366*5,"")))</f>
        <v>67.2</v>
      </c>
      <c r="H366" s="26" t="s">
        <v>20</v>
      </c>
      <c r="I366" s="26"/>
      <c r="J366" s="26" t="s">
        <v>128</v>
      </c>
      <c r="K366" s="29">
        <v>0.80486111111111114</v>
      </c>
      <c r="L366" s="29">
        <v>0.80625000000000002</v>
      </c>
      <c r="M366" s="30">
        <f t="shared" ref="M366:M377" ca="1" si="82">IFERROR(IF(K366="","",IF(L366="",MOD(NOW()-K366,1),IF(L366&gt;=K366,L366-K366,L366+1-K366))),"")</f>
        <v>1.388888888888884E-3</v>
      </c>
      <c r="N366" s="46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17</v>
      </c>
      <c r="G367" s="34">
        <f t="shared" si="81"/>
        <v>71.400000000000006</v>
      </c>
      <c r="H367" s="33" t="s">
        <v>20</v>
      </c>
      <c r="I367" s="33" t="s">
        <v>39</v>
      </c>
      <c r="J367" s="33" t="s">
        <v>128</v>
      </c>
      <c r="K367" s="29">
        <v>0.87361111111111112</v>
      </c>
      <c r="L367" s="29">
        <v>0.90694444444444444</v>
      </c>
      <c r="M367" s="35">
        <f t="shared" ca="1" si="82"/>
        <v>3.3333333333333326E-2</v>
      </c>
      <c r="N367" s="46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9</v>
      </c>
      <c r="G368" s="28">
        <f t="shared" si="81"/>
        <v>37.800000000000004</v>
      </c>
      <c r="H368" s="26" t="s">
        <v>19</v>
      </c>
      <c r="I368" s="26" t="s">
        <v>39</v>
      </c>
      <c r="J368" s="26" t="s">
        <v>27</v>
      </c>
      <c r="K368" s="29">
        <v>0.90694444444444444</v>
      </c>
      <c r="L368" s="29">
        <v>0.91527777777777775</v>
      </c>
      <c r="M368" s="30">
        <f t="shared" ca="1" si="82"/>
        <v>8.3333333333333037E-3</v>
      </c>
      <c r="N368" s="46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0</v>
      </c>
      <c r="G369" s="34">
        <f t="shared" si="81"/>
        <v>0</v>
      </c>
      <c r="H369" s="33" t="s">
        <v>19</v>
      </c>
      <c r="I369" s="33" t="s">
        <v>31</v>
      </c>
      <c r="J369" s="33" t="s">
        <v>27</v>
      </c>
      <c r="K369" s="29">
        <v>0.91527777777777775</v>
      </c>
      <c r="L369" s="29">
        <v>0.93194444444444446</v>
      </c>
      <c r="M369" s="35">
        <f t="shared" ca="1" si="82"/>
        <v>1.6666666666666718E-2</v>
      </c>
      <c r="N369" s="46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20</v>
      </c>
      <c r="G370" s="28">
        <f t="shared" si="81"/>
        <v>84</v>
      </c>
      <c r="H370" s="26" t="s">
        <v>20</v>
      </c>
      <c r="I370" s="26" t="s">
        <v>154</v>
      </c>
      <c r="J370" s="26" t="s">
        <v>74</v>
      </c>
      <c r="K370" s="29">
        <v>0.99444444444444446</v>
      </c>
      <c r="L370" s="29">
        <v>0.99583333333333335</v>
      </c>
      <c r="M370" s="30">
        <f t="shared" ca="1" si="82"/>
        <v>1.388888888888884E-3</v>
      </c>
      <c r="N370" s="46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7</v>
      </c>
      <c r="G371" s="34">
        <f t="shared" si="81"/>
        <v>29.400000000000002</v>
      </c>
      <c r="H371" s="33" t="s">
        <v>20</v>
      </c>
      <c r="I371" s="33"/>
      <c r="J371" s="33" t="s">
        <v>128</v>
      </c>
      <c r="K371" s="29">
        <v>1.4583333333333334E-2</v>
      </c>
      <c r="L371" s="29">
        <v>2.5000000000000001E-2</v>
      </c>
      <c r="M371" s="35">
        <f t="shared" ca="1" si="82"/>
        <v>1.0416666666666668E-2</v>
      </c>
      <c r="N371" s="46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10</v>
      </c>
      <c r="G372" s="28">
        <f t="shared" si="81"/>
        <v>42</v>
      </c>
      <c r="H372" s="26" t="s">
        <v>20</v>
      </c>
      <c r="I372" s="26" t="s">
        <v>39</v>
      </c>
      <c r="J372" s="26" t="s">
        <v>28</v>
      </c>
      <c r="K372" s="29">
        <v>5.4166666666666669E-2</v>
      </c>
      <c r="L372" s="29">
        <v>7.0833333333333331E-2</v>
      </c>
      <c r="M372" s="30">
        <f t="shared" ca="1" si="82"/>
        <v>1.6666666666666663E-2</v>
      </c>
      <c r="N372" s="46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9</v>
      </c>
      <c r="G373" s="34">
        <f t="shared" si="81"/>
        <v>37.800000000000004</v>
      </c>
      <c r="H373" s="33" t="s">
        <v>20</v>
      </c>
      <c r="I373" s="33" t="s">
        <v>31</v>
      </c>
      <c r="J373" s="33" t="s">
        <v>131</v>
      </c>
      <c r="K373" s="29">
        <v>8.4027777777777785E-2</v>
      </c>
      <c r="L373" s="29">
        <v>0.10138888888888889</v>
      </c>
      <c r="M373" s="35">
        <f t="shared" ca="1" si="82"/>
        <v>1.7361111111111105E-2</v>
      </c>
      <c r="N373" s="46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/>
      <c r="F374" s="27">
        <v>5</v>
      </c>
      <c r="G374" s="28" t="str">
        <f t="shared" si="81"/>
        <v/>
      </c>
      <c r="H374" s="26" t="s">
        <v>20</v>
      </c>
      <c r="I374" s="26" t="s">
        <v>31</v>
      </c>
      <c r="J374" s="26" t="s">
        <v>56</v>
      </c>
      <c r="K374" s="29">
        <v>0.13750000000000001</v>
      </c>
      <c r="L374" s="29">
        <v>0.15763888888888888</v>
      </c>
      <c r="M374" s="30">
        <f t="shared" ca="1" si="82"/>
        <v>2.0138888888888873E-2</v>
      </c>
      <c r="N374" s="46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/>
      <c r="F375" s="27">
        <v>9</v>
      </c>
      <c r="G375" s="34" t="str">
        <f t="shared" si="81"/>
        <v/>
      </c>
      <c r="H375" s="33" t="s">
        <v>20</v>
      </c>
      <c r="I375" s="33"/>
      <c r="J375" s="33" t="s">
        <v>128</v>
      </c>
      <c r="K375" s="29">
        <v>0.20555555555555555</v>
      </c>
      <c r="L375" s="29">
        <v>0.21597222222222223</v>
      </c>
      <c r="M375" s="35">
        <f t="shared" ca="1" si="82"/>
        <v>1.0416666666666685E-2</v>
      </c>
      <c r="N375" s="46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/>
      <c r="F376" s="27">
        <v>0</v>
      </c>
      <c r="G376" s="28" t="str">
        <f t="shared" si="81"/>
        <v/>
      </c>
      <c r="H376" s="26" t="s">
        <v>19</v>
      </c>
      <c r="I376" s="26" t="s">
        <v>31</v>
      </c>
      <c r="J376" s="26" t="s">
        <v>27</v>
      </c>
      <c r="K376" s="29">
        <v>0.21597222222222223</v>
      </c>
      <c r="L376" s="29">
        <v>0.23749999999999999</v>
      </c>
      <c r="M376" s="30">
        <f t="shared" ca="1" si="82"/>
        <v>2.1527777777777757E-2</v>
      </c>
      <c r="N376" s="46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/>
      <c r="F377" s="27">
        <v>0</v>
      </c>
      <c r="G377" s="34" t="str">
        <f t="shared" si="81"/>
        <v/>
      </c>
      <c r="H377" s="33" t="s">
        <v>20</v>
      </c>
      <c r="I377" s="33"/>
      <c r="J377" s="33" t="s">
        <v>128</v>
      </c>
      <c r="K377" s="29">
        <v>0.23958333333333334</v>
      </c>
      <c r="L377" s="29"/>
      <c r="M377" s="35">
        <f t="shared" ca="1" si="82"/>
        <v>0.34652048610587372</v>
      </c>
      <c r="N377" s="46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102</v>
      </c>
      <c r="G378" s="36">
        <f>SUM(G366:G377)</f>
        <v>369.6</v>
      </c>
      <c r="H378" s="37"/>
      <c r="I378" s="37"/>
      <c r="J378" s="37"/>
      <c r="K378" s="37"/>
      <c r="L378" s="37"/>
      <c r="M378" s="38">
        <f ca="1">IFERROR(SUM(M366:M377),"")</f>
        <v>0.5041593749947626</v>
      </c>
      <c r="N378" s="36" t="s">
        <v>233</v>
      </c>
      <c r="O378" s="77">
        <v>511980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260</v>
      </c>
      <c r="G379" s="40">
        <f>G365+G378</f>
        <v>1033.2</v>
      </c>
      <c r="H379" s="41"/>
      <c r="I379" s="41"/>
      <c r="J379" s="41"/>
      <c r="K379" s="41"/>
      <c r="L379" s="41"/>
      <c r="M379" s="42">
        <f ca="1">IFERROR(M365+M378,"")</f>
        <v>0.61388159721698476</v>
      </c>
      <c r="N379" s="40" t="s">
        <v>236</v>
      </c>
      <c r="O379" s="83">
        <f>IFERROR(O365+O378,"")</f>
        <v>1320530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17</v>
      </c>
      <c r="G380" s="28">
        <f t="shared" ref="G380:G391" si="84">IF(F380="","",IF(E380="PC 17",F380*4.2,IF(E380="PC 19",F380*5,"")))</f>
        <v>71.400000000000006</v>
      </c>
      <c r="H380" s="26" t="s">
        <v>18</v>
      </c>
      <c r="I380" s="26" t="s">
        <v>156</v>
      </c>
      <c r="J380" s="26" t="s">
        <v>118</v>
      </c>
      <c r="K380" s="29">
        <v>0.2986111111111111</v>
      </c>
      <c r="L380" s="29">
        <v>0.33333333333333331</v>
      </c>
      <c r="M380" s="30">
        <f t="shared" ref="M380:M391" ca="1" si="85">IFERROR(IF(K380="","",IF(L380="",MOD(NOW()-K380,1),IF(L380&gt;=K380,L380-K380,L380+1-K380))),"")</f>
        <v>3.472222222222221E-2</v>
      </c>
      <c r="N380" s="46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15</v>
      </c>
      <c r="G381" s="34">
        <f t="shared" si="84"/>
        <v>63</v>
      </c>
      <c r="H381" s="33" t="s">
        <v>18</v>
      </c>
      <c r="I381" s="33" t="s">
        <v>117</v>
      </c>
      <c r="J381" s="33" t="s">
        <v>211</v>
      </c>
      <c r="K381" s="29">
        <v>0.3888888888888889</v>
      </c>
      <c r="L381" s="29">
        <v>0.42569444444444443</v>
      </c>
      <c r="M381" s="35">
        <f t="shared" ca="1" si="85"/>
        <v>3.6805555555555536E-2</v>
      </c>
      <c r="N381" s="46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8</v>
      </c>
      <c r="G382" s="28">
        <f t="shared" si="84"/>
        <v>33.6</v>
      </c>
      <c r="H382" s="26" t="s">
        <v>20</v>
      </c>
      <c r="I382" s="26" t="s">
        <v>39</v>
      </c>
      <c r="J382" s="33" t="s">
        <v>193</v>
      </c>
      <c r="K382" s="29">
        <v>0.43125000000000002</v>
      </c>
      <c r="L382" s="29">
        <v>0.43611111111111112</v>
      </c>
      <c r="M382" s="30">
        <f t="shared" ca="1" si="85"/>
        <v>4.8611111111110938E-3</v>
      </c>
      <c r="N382" s="46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9</v>
      </c>
      <c r="G383" s="34">
        <f t="shared" si="84"/>
        <v>37.800000000000004</v>
      </c>
      <c r="H383" s="33" t="s">
        <v>20</v>
      </c>
      <c r="I383" s="33" t="s">
        <v>39</v>
      </c>
      <c r="J383" s="33" t="s">
        <v>28</v>
      </c>
      <c r="K383" s="29">
        <v>0.45833333333333331</v>
      </c>
      <c r="L383" s="29">
        <v>0.5</v>
      </c>
      <c r="M383" s="35">
        <f t="shared" ca="1" si="85"/>
        <v>4.1666666666666685E-2</v>
      </c>
      <c r="N383" s="46" t="s">
        <v>277</v>
      </c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 t="s">
        <v>16</v>
      </c>
      <c r="I384" s="26" t="s">
        <v>156</v>
      </c>
      <c r="J384" s="26" t="s">
        <v>86</v>
      </c>
      <c r="K384" s="29">
        <v>0.56944444444444442</v>
      </c>
      <c r="L384" s="29">
        <v>0.79166666666666663</v>
      </c>
      <c r="M384" s="30">
        <f t="shared" ca="1" si="85"/>
        <v>0.22222222222222221</v>
      </c>
      <c r="N384" s="46" t="s">
        <v>294</v>
      </c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15</v>
      </c>
      <c r="G385" s="34">
        <f t="shared" si="84"/>
        <v>63</v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10</v>
      </c>
      <c r="G386" s="28">
        <f t="shared" si="84"/>
        <v>42</v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0</v>
      </c>
      <c r="G387" s="34">
        <f t="shared" si="84"/>
        <v>0</v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0</v>
      </c>
      <c r="G388" s="28">
        <f t="shared" si="84"/>
        <v>0</v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0</v>
      </c>
      <c r="G389" s="34">
        <f t="shared" si="84"/>
        <v>0</v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0</v>
      </c>
      <c r="G390" s="28">
        <f t="shared" si="84"/>
        <v>0</v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0</v>
      </c>
      <c r="G391" s="34">
        <f t="shared" si="84"/>
        <v>0</v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74</v>
      </c>
      <c r="G392" s="36">
        <f>SUM(G380:G391)</f>
        <v>310.8</v>
      </c>
      <c r="H392" s="37"/>
      <c r="I392" s="37"/>
      <c r="J392" s="37"/>
      <c r="K392" s="37"/>
      <c r="L392" s="37"/>
      <c r="M392" s="38">
        <f ca="1">IFERROR(SUM(M380:M391),"")</f>
        <v>0.34027777777777773</v>
      </c>
      <c r="N392" s="36" t="s">
        <v>233</v>
      </c>
      <c r="O392" s="77">
        <v>281950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257</v>
      </c>
      <c r="F393" s="27">
        <v>0</v>
      </c>
      <c r="G393" s="34">
        <f t="shared" ref="G393:G404" si="87">IF(F393="","",IF(E393="PC 17",F393*4.2,IF(E393="PC 19",F393*5,"")))</f>
        <v>0</v>
      </c>
      <c r="H393" s="33" t="s">
        <v>16</v>
      </c>
      <c r="I393" s="33" t="s">
        <v>156</v>
      </c>
      <c r="J393" s="33" t="s">
        <v>86</v>
      </c>
      <c r="K393" s="29">
        <v>0.79166666666666663</v>
      </c>
      <c r="L393" s="29">
        <v>0.85138888888888886</v>
      </c>
      <c r="M393" s="35">
        <f t="shared" ref="M393:M404" ca="1" si="88">IFERROR(IF(K393="","",IF(L393="",MOD(NOW()-K393,1),IF(L393&gt;=K393,L393-K393,L393+1-K393))),"")</f>
        <v>5.9722222222222232E-2</v>
      </c>
      <c r="N393" s="46" t="s">
        <v>295</v>
      </c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7</v>
      </c>
      <c r="G394" s="28">
        <f t="shared" si="87"/>
        <v>29.400000000000002</v>
      </c>
      <c r="H394" s="26" t="s">
        <v>20</v>
      </c>
      <c r="I394" s="26" t="s">
        <v>31</v>
      </c>
      <c r="J394" s="26" t="s">
        <v>36</v>
      </c>
      <c r="K394" s="29">
        <v>0.87222222222222223</v>
      </c>
      <c r="L394" s="29">
        <v>0.93263888888888891</v>
      </c>
      <c r="M394" s="30">
        <f t="shared" ca="1" si="88"/>
        <v>6.0416666666666674E-2</v>
      </c>
      <c r="N394" s="46" t="s">
        <v>248</v>
      </c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10</v>
      </c>
      <c r="G395" s="34">
        <f t="shared" si="87"/>
        <v>42</v>
      </c>
      <c r="H395" s="33" t="s">
        <v>18</v>
      </c>
      <c r="I395" s="33" t="s">
        <v>63</v>
      </c>
      <c r="J395" s="33" t="s">
        <v>198</v>
      </c>
      <c r="K395" s="29">
        <v>4.1666666666666666E-3</v>
      </c>
      <c r="L395" s="29">
        <v>1.8749999999999999E-2</v>
      </c>
      <c r="M395" s="35">
        <f t="shared" ca="1" si="88"/>
        <v>1.4583333333333334E-2</v>
      </c>
      <c r="N395" s="46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40</v>
      </c>
      <c r="G396" s="28">
        <f t="shared" si="87"/>
        <v>168</v>
      </c>
      <c r="H396" s="26" t="s">
        <v>17</v>
      </c>
      <c r="I396" s="26"/>
      <c r="J396" s="26" t="s">
        <v>25</v>
      </c>
      <c r="K396" s="29">
        <v>3.6805555555555557E-2</v>
      </c>
      <c r="L396" s="29">
        <v>4.9305555555555554E-2</v>
      </c>
      <c r="M396" s="30">
        <f t="shared" ca="1" si="88"/>
        <v>1.2499999999999997E-2</v>
      </c>
      <c r="N396" s="46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10</v>
      </c>
      <c r="G397" s="34">
        <f t="shared" si="87"/>
        <v>42</v>
      </c>
      <c r="H397" s="33" t="s">
        <v>19</v>
      </c>
      <c r="I397" s="33" t="s">
        <v>39</v>
      </c>
      <c r="J397" s="33" t="s">
        <v>27</v>
      </c>
      <c r="K397" s="29">
        <v>0.24652777777777779</v>
      </c>
      <c r="L397" s="29">
        <v>0.25763888888888886</v>
      </c>
      <c r="M397" s="35">
        <f t="shared" ca="1" si="88"/>
        <v>1.1111111111111072E-2</v>
      </c>
      <c r="N397" s="46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8</v>
      </c>
      <c r="G398" s="28">
        <f t="shared" si="87"/>
        <v>33.6</v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11</v>
      </c>
      <c r="G399" s="34">
        <f t="shared" si="87"/>
        <v>46.2</v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7</v>
      </c>
      <c r="G400" s="28">
        <f t="shared" si="87"/>
        <v>29.400000000000002</v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10</v>
      </c>
      <c r="G401" s="34">
        <f t="shared" si="87"/>
        <v>42</v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9</v>
      </c>
      <c r="G403" s="34">
        <f t="shared" si="87"/>
        <v>37.800000000000004</v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1</v>
      </c>
      <c r="G404" s="28">
        <f t="shared" si="87"/>
        <v>4.2</v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117</v>
      </c>
      <c r="G405" s="36">
        <f>SUM(G393:G404)</f>
        <v>491.4</v>
      </c>
      <c r="H405" s="37"/>
      <c r="I405" s="37"/>
      <c r="J405" s="37"/>
      <c r="K405" s="37"/>
      <c r="L405" s="37"/>
      <c r="M405" s="38">
        <f ca="1">IFERROR(SUM(M393:M404),"")</f>
        <v>0.15833333333333333</v>
      </c>
      <c r="N405" s="36" t="s">
        <v>233</v>
      </c>
      <c r="O405" s="77">
        <v>552440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191</v>
      </c>
      <c r="G406" s="40">
        <f>G392+G405</f>
        <v>802.2</v>
      </c>
      <c r="H406" s="41"/>
      <c r="I406" s="41"/>
      <c r="J406" s="41"/>
      <c r="K406" s="41"/>
      <c r="L406" s="41"/>
      <c r="M406" s="42">
        <f ca="1">IFERROR(M392+M405,"")</f>
        <v>0.49861111111111106</v>
      </c>
      <c r="N406" s="40" t="s">
        <v>236</v>
      </c>
      <c r="O406" s="83">
        <f>IFERROR(O392+O405,"")</f>
        <v>834390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26" t="s">
        <v>19</v>
      </c>
      <c r="I407" s="33" t="s">
        <v>31</v>
      </c>
      <c r="J407" s="33" t="s">
        <v>27</v>
      </c>
      <c r="K407" s="29">
        <v>0.29166666666666669</v>
      </c>
      <c r="L407" s="29">
        <v>0.3125</v>
      </c>
      <c r="M407" s="35">
        <f t="shared" ref="M407:M418" ca="1" si="91">IFERROR(IF(K407="","",IF(L407="",MOD(NOW()-K407,1),IF(L407&gt;=K407,L407-K407,L407+1-K407))),"")</f>
        <v>2.0833333333333315E-2</v>
      </c>
      <c r="N407" s="46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22</v>
      </c>
      <c r="G408" s="28">
        <f t="shared" si="90"/>
        <v>92.4</v>
      </c>
      <c r="H408" s="26" t="s">
        <v>20</v>
      </c>
      <c r="I408" s="26" t="s">
        <v>39</v>
      </c>
      <c r="J408" s="26" t="s">
        <v>51</v>
      </c>
      <c r="K408" s="29">
        <v>0.32500000000000001</v>
      </c>
      <c r="L408" s="29">
        <v>0.32708333333333334</v>
      </c>
      <c r="M408" s="30">
        <f t="shared" ca="1" si="91"/>
        <v>2.0833333333333259E-3</v>
      </c>
      <c r="N408" s="46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15</v>
      </c>
      <c r="G409" s="34">
        <f t="shared" si="90"/>
        <v>63</v>
      </c>
      <c r="H409" s="33" t="s">
        <v>20</v>
      </c>
      <c r="I409" s="33" t="s">
        <v>39</v>
      </c>
      <c r="J409" s="33" t="s">
        <v>36</v>
      </c>
      <c r="K409" s="29">
        <v>0.44791666666666669</v>
      </c>
      <c r="L409" s="29">
        <v>0.45833333333333331</v>
      </c>
      <c r="M409" s="35">
        <f t="shared" ca="1" si="91"/>
        <v>1.041666666666663E-2</v>
      </c>
      <c r="N409" s="46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17</v>
      </c>
      <c r="I410" s="26"/>
      <c r="J410" s="26" t="s">
        <v>25</v>
      </c>
      <c r="K410" s="29">
        <v>0.47569444444444442</v>
      </c>
      <c r="L410" s="29">
        <v>0.5</v>
      </c>
      <c r="M410" s="30">
        <f t="shared" ca="1" si="91"/>
        <v>2.430555555555558E-2</v>
      </c>
      <c r="N410" s="46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 t="s">
        <v>135</v>
      </c>
      <c r="J411" s="33" t="s">
        <v>49</v>
      </c>
      <c r="K411" s="29">
        <v>0.5</v>
      </c>
      <c r="L411" s="29">
        <v>0.54027777777777775</v>
      </c>
      <c r="M411" s="35">
        <f t="shared" ca="1" si="91"/>
        <v>4.0277777777777746E-2</v>
      </c>
      <c r="N411" s="46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0</v>
      </c>
      <c r="G412" s="34">
        <f t="shared" si="90"/>
        <v>0</v>
      </c>
      <c r="H412" s="26" t="s">
        <v>17</v>
      </c>
      <c r="I412" s="26"/>
      <c r="J412" s="26" t="s">
        <v>25</v>
      </c>
      <c r="K412" s="29">
        <v>0.65694444444444444</v>
      </c>
      <c r="L412" s="29">
        <v>0.68055555555555558</v>
      </c>
      <c r="M412" s="30">
        <f t="shared" ca="1" si="91"/>
        <v>2.3611111111111138E-2</v>
      </c>
      <c r="N412" s="46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15</v>
      </c>
      <c r="G413" s="34">
        <f t="shared" si="90"/>
        <v>63</v>
      </c>
      <c r="H413" s="33" t="s">
        <v>19</v>
      </c>
      <c r="I413" s="33" t="s">
        <v>39</v>
      </c>
      <c r="J413" s="33" t="s">
        <v>27</v>
      </c>
      <c r="K413" s="29">
        <v>0.65694444444444444</v>
      </c>
      <c r="L413" s="29">
        <v>0.68055555555555558</v>
      </c>
      <c r="M413" s="35">
        <f t="shared" ca="1" si="91"/>
        <v>2.3611111111111138E-2</v>
      </c>
      <c r="N413" s="46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10</v>
      </c>
      <c r="G414" s="34">
        <f t="shared" si="90"/>
        <v>42</v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12</v>
      </c>
      <c r="G415" s="34">
        <f t="shared" si="90"/>
        <v>60</v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230</v>
      </c>
      <c r="F416" s="27">
        <v>4</v>
      </c>
      <c r="G416" s="28">
        <f t="shared" si="90"/>
        <v>20</v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24</v>
      </c>
      <c r="G417" s="34">
        <f t="shared" si="90"/>
        <v>100.80000000000001</v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257</v>
      </c>
      <c r="F418" s="27">
        <v>11</v>
      </c>
      <c r="G418" s="28">
        <f t="shared" si="90"/>
        <v>46.2</v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139</v>
      </c>
      <c r="G419" s="36">
        <f>SUM(G407:G418)</f>
        <v>596.60000000000014</v>
      </c>
      <c r="H419" s="37"/>
      <c r="I419" s="37"/>
      <c r="J419" s="37"/>
      <c r="K419" s="37"/>
      <c r="L419" s="37"/>
      <c r="M419" s="38">
        <f ca="1">IFERROR(SUM(M407:M418),"")</f>
        <v>0.14513888888888887</v>
      </c>
      <c r="N419" s="36" t="s">
        <v>233</v>
      </c>
      <c r="O419" s="77">
        <v>700000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4</v>
      </c>
      <c r="G420" s="28">
        <f t="shared" ref="G420:G431" si="93">IF(F420="","",IF(E420="PC 17",F420*4.2,IF(E420="PC 19",F420*5,"")))</f>
        <v>16.8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46"/>
      <c r="O420" s="47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39</v>
      </c>
      <c r="J421" s="33" t="s">
        <v>36</v>
      </c>
      <c r="K421" s="29">
        <v>0.95138888888888884</v>
      </c>
      <c r="L421" s="29">
        <v>0.96736111111111112</v>
      </c>
      <c r="M421" s="35">
        <f t="shared" ca="1" si="94"/>
        <v>1.5972222222222276E-2</v>
      </c>
      <c r="N421" s="46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19</v>
      </c>
      <c r="I422" s="26" t="s">
        <v>31</v>
      </c>
      <c r="J422" s="26" t="s">
        <v>27</v>
      </c>
      <c r="K422" s="29">
        <v>0.14930555555555555</v>
      </c>
      <c r="L422" s="29">
        <v>0.16944444444444445</v>
      </c>
      <c r="M422" s="30">
        <f t="shared" ca="1" si="94"/>
        <v>2.0138888888888901E-2</v>
      </c>
      <c r="N422" s="46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39</v>
      </c>
      <c r="J423" s="33" t="s">
        <v>28</v>
      </c>
      <c r="K423" s="29">
        <v>0.26111111111111113</v>
      </c>
      <c r="L423" s="29"/>
      <c r="M423" s="35">
        <f t="shared" ca="1" si="94"/>
        <v>0.32499270833068294</v>
      </c>
      <c r="N423" s="46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20</v>
      </c>
      <c r="G424" s="28">
        <f t="shared" si="93"/>
        <v>84</v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16</v>
      </c>
      <c r="G425" s="34">
        <f t="shared" si="93"/>
        <v>67.2</v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14</v>
      </c>
      <c r="G426" s="28">
        <f t="shared" si="93"/>
        <v>58.800000000000004</v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20</v>
      </c>
      <c r="G427" s="34">
        <f t="shared" si="93"/>
        <v>84</v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11</v>
      </c>
      <c r="G428" s="28">
        <f t="shared" si="93"/>
        <v>46.2</v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12</v>
      </c>
      <c r="G429" s="34">
        <f t="shared" si="93"/>
        <v>50.400000000000006</v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20</v>
      </c>
      <c r="G430" s="28">
        <f t="shared" si="93"/>
        <v>84</v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6</v>
      </c>
      <c r="G431" s="34">
        <f t="shared" si="93"/>
        <v>25.200000000000003</v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87" t="s">
        <v>234</v>
      </c>
      <c r="B432" s="88"/>
      <c r="C432" s="88"/>
      <c r="D432" s="88"/>
      <c r="E432" s="88"/>
      <c r="F432" s="36">
        <f>SUM(F420:F431)</f>
        <v>123</v>
      </c>
      <c r="G432" s="36">
        <f>SUM(G420:G431)</f>
        <v>516.6</v>
      </c>
      <c r="H432" s="37"/>
      <c r="I432" s="37"/>
      <c r="J432" s="37"/>
      <c r="K432" s="37"/>
      <c r="L432" s="37"/>
      <c r="M432" s="38">
        <f ca="1">IFERROR(SUM(M420:M431),"")</f>
        <v>0.49582604166401634</v>
      </c>
      <c r="N432" s="36" t="s">
        <v>233</v>
      </c>
      <c r="O432" s="77">
        <v>484540</v>
      </c>
    </row>
    <row r="433" spans="1:15" ht="18" customHeight="1">
      <c r="A433" s="93" t="s">
        <v>235</v>
      </c>
      <c r="B433" s="91"/>
      <c r="C433" s="91"/>
      <c r="D433" s="91"/>
      <c r="E433" s="91"/>
      <c r="F433" s="40">
        <f>F419+F432</f>
        <v>262</v>
      </c>
      <c r="G433" s="40">
        <f>G419+G432</f>
        <v>1113.2000000000003</v>
      </c>
      <c r="H433" s="41"/>
      <c r="I433" s="41"/>
      <c r="J433" s="41"/>
      <c r="K433" s="41"/>
      <c r="L433" s="41"/>
      <c r="M433" s="42">
        <f ca="1">IFERROR(M419+M432,"")</f>
        <v>0.64096493055290527</v>
      </c>
      <c r="N433" s="40" t="s">
        <v>236</v>
      </c>
      <c r="O433" s="83">
        <f>IFERROR(O419+O432,"")</f>
        <v>1184540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16</v>
      </c>
      <c r="G434" s="28">
        <f t="shared" ref="G434:G445" si="96">IF(F434="","",IF(E434="PC 17",F434*4.2,IF(E434="PC 19",F434*5,"")))</f>
        <v>67.2</v>
      </c>
      <c r="H434" s="26" t="s">
        <v>19</v>
      </c>
      <c r="I434" s="26" t="s">
        <v>39</v>
      </c>
      <c r="J434" s="26" t="s">
        <v>50</v>
      </c>
      <c r="K434" s="29">
        <v>0.29166666666666669</v>
      </c>
      <c r="L434" s="29">
        <v>0.30902777777777779</v>
      </c>
      <c r="M434" s="30">
        <f t="shared" ref="M434:M445" ca="1" si="97">IFERROR(IF(K434="","",IF(L434="",MOD(NOW()-K434,1),IF(L434&gt;=K434,L434-K434,L434+1-K434))),"")</f>
        <v>1.7361111111111105E-2</v>
      </c>
      <c r="N434" s="46" t="s">
        <v>297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24</v>
      </c>
      <c r="G435" s="28">
        <f t="shared" si="96"/>
        <v>100.80000000000001</v>
      </c>
      <c r="H435" s="33" t="s">
        <v>18</v>
      </c>
      <c r="I435" s="33" t="s">
        <v>31</v>
      </c>
      <c r="J435" s="33" t="s">
        <v>153</v>
      </c>
      <c r="K435" s="29">
        <v>0.47222222222222221</v>
      </c>
      <c r="L435" s="29">
        <v>0.49305555555555558</v>
      </c>
      <c r="M435" s="35">
        <f t="shared" ca="1" si="97"/>
        <v>2.083333333333337E-2</v>
      </c>
      <c r="N435" s="46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20</v>
      </c>
      <c r="G436" s="28">
        <f t="shared" si="96"/>
        <v>84</v>
      </c>
      <c r="H436" s="26" t="s">
        <v>19</v>
      </c>
      <c r="I436" s="26" t="s">
        <v>156</v>
      </c>
      <c r="J436" s="26" t="s">
        <v>27</v>
      </c>
      <c r="K436" s="29">
        <v>0.53125</v>
      </c>
      <c r="L436" s="29">
        <v>0.54513888888888884</v>
      </c>
      <c r="M436" s="30">
        <f t="shared" ca="1" si="97"/>
        <v>1.388888888888884E-2</v>
      </c>
      <c r="N436" s="46" t="s">
        <v>298</v>
      </c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18</v>
      </c>
      <c r="G437" s="34">
        <f t="shared" si="96"/>
        <v>75.600000000000009</v>
      </c>
      <c r="H437" s="33" t="s">
        <v>20</v>
      </c>
      <c r="I437" s="33" t="s">
        <v>39</v>
      </c>
      <c r="J437" s="33" t="s">
        <v>51</v>
      </c>
      <c r="K437" s="29">
        <v>0.75</v>
      </c>
      <c r="L437" s="29">
        <v>0.76736111111111116</v>
      </c>
      <c r="M437" s="35">
        <f t="shared" ca="1" si="97"/>
        <v>1.736111111111116E-2</v>
      </c>
      <c r="N437" s="46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5</v>
      </c>
      <c r="G438" s="28">
        <f t="shared" si="96"/>
        <v>21</v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14</v>
      </c>
      <c r="G439" s="34">
        <f t="shared" si="96"/>
        <v>58.800000000000004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16</v>
      </c>
      <c r="G440" s="28">
        <f t="shared" si="96"/>
        <v>67.2</v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21</v>
      </c>
      <c r="G441" s="34">
        <f t="shared" si="96"/>
        <v>88.2</v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29</v>
      </c>
      <c r="G442" s="28">
        <f t="shared" si="96"/>
        <v>121.80000000000001</v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24</v>
      </c>
      <c r="G443" s="34">
        <f t="shared" si="96"/>
        <v>100.80000000000001</v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3</v>
      </c>
      <c r="G445" s="34">
        <f t="shared" si="96"/>
        <v>12.600000000000001</v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198</v>
      </c>
      <c r="G446" s="36">
        <f>SUM(G434:G445)</f>
        <v>831.60000000000014</v>
      </c>
      <c r="H446" s="37"/>
      <c r="I446" s="37"/>
      <c r="J446" s="37"/>
      <c r="K446" s="37"/>
      <c r="L446" s="37"/>
      <c r="M446" s="38">
        <f ca="1">IFERROR(SUM(M434:M445),"")</f>
        <v>6.9444444444444475E-2</v>
      </c>
      <c r="N446" s="36" t="s">
        <v>233</v>
      </c>
      <c r="O446" s="77">
        <v>849430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0.82291666666666663</v>
      </c>
      <c r="L447" s="29">
        <v>0.85833333333333328</v>
      </c>
      <c r="M447" s="35">
        <f t="shared" ref="M447:M458" ca="1" si="100">IFERROR(IF(K447="","",IF(L447="",MOD(NOW()-K447,1),IF(L447&gt;=K447,L447-K447,L447+1-K447))),"")</f>
        <v>3.5416666666666652E-2</v>
      </c>
      <c r="N447" s="46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5</v>
      </c>
      <c r="G448" s="28">
        <f t="shared" si="99"/>
        <v>25</v>
      </c>
      <c r="H448" s="26" t="s">
        <v>19</v>
      </c>
      <c r="I448" s="26" t="s">
        <v>31</v>
      </c>
      <c r="J448" s="26" t="s">
        <v>101</v>
      </c>
      <c r="K448" s="29">
        <v>8.7499999999999994E-2</v>
      </c>
      <c r="L448" s="29">
        <v>0.1125</v>
      </c>
      <c r="M448" s="30">
        <f t="shared" ca="1" si="100"/>
        <v>2.5000000000000008E-2</v>
      </c>
      <c r="N448" s="46" t="s">
        <v>299</v>
      </c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15</v>
      </c>
      <c r="G449" s="34">
        <f t="shared" si="99"/>
        <v>75</v>
      </c>
      <c r="H449" s="33" t="s">
        <v>19</v>
      </c>
      <c r="I449" s="33" t="s">
        <v>39</v>
      </c>
      <c r="J449" s="33" t="s">
        <v>27</v>
      </c>
      <c r="K449" s="29">
        <v>0.24652777777777779</v>
      </c>
      <c r="L449" s="29">
        <v>0.25833333333333336</v>
      </c>
      <c r="M449" s="35">
        <f t="shared" ca="1" si="100"/>
        <v>1.1805555555555569E-2</v>
      </c>
      <c r="N449" s="46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8</v>
      </c>
      <c r="G450" s="28">
        <f t="shared" si="99"/>
        <v>40</v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9</v>
      </c>
      <c r="G451" s="34">
        <f t="shared" si="99"/>
        <v>45</v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17</v>
      </c>
      <c r="G452" s="28">
        <f t="shared" si="99"/>
        <v>85</v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11</v>
      </c>
      <c r="G453" s="34">
        <f t="shared" si="99"/>
        <v>55</v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15</v>
      </c>
      <c r="G454" s="28">
        <f t="shared" si="99"/>
        <v>75</v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13</v>
      </c>
      <c r="G455" s="34">
        <f t="shared" si="99"/>
        <v>65</v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7</v>
      </c>
      <c r="G456" s="28">
        <f t="shared" si="99"/>
        <v>35</v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8</v>
      </c>
      <c r="G457" s="34">
        <f t="shared" si="99"/>
        <v>40</v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114</v>
      </c>
      <c r="G459" s="36">
        <f>SUM(G447:G458)</f>
        <v>570</v>
      </c>
      <c r="H459" s="37"/>
      <c r="I459" s="37"/>
      <c r="J459" s="37"/>
      <c r="K459" s="37"/>
      <c r="L459" s="37"/>
      <c r="M459" s="38">
        <f ca="1">IFERROR(SUM(M447:M458),"")</f>
        <v>7.2222222222222229E-2</v>
      </c>
      <c r="N459" s="36" t="s">
        <v>233</v>
      </c>
      <c r="O459" s="77">
        <v>631190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312</v>
      </c>
      <c r="G460" s="40">
        <f>G446+G459</f>
        <v>1401.6000000000001</v>
      </c>
      <c r="H460" s="41"/>
      <c r="I460" s="41"/>
      <c r="J460" s="41"/>
      <c r="K460" s="41"/>
      <c r="L460" s="41"/>
      <c r="M460" s="42">
        <f ca="1">IFERROR(M446+M459,"")</f>
        <v>0.14166666666666672</v>
      </c>
      <c r="N460" s="40" t="s">
        <v>236</v>
      </c>
      <c r="O460" s="83">
        <f>IFERROR(O446+O459,"")</f>
        <v>1480620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20</v>
      </c>
      <c r="G461" s="34">
        <f t="shared" ref="G461:G472" si="102">IF(F461="","",IF(E461="PC 17",F461*4.2,IF(E461="PC 19",F461*5,"")))</f>
        <v>100</v>
      </c>
      <c r="H461" s="33" t="s">
        <v>20</v>
      </c>
      <c r="I461" s="33" t="s">
        <v>31</v>
      </c>
      <c r="J461" s="33" t="s">
        <v>51</v>
      </c>
      <c r="K461" s="29">
        <v>0.33680555555555558</v>
      </c>
      <c r="L461" s="29">
        <v>0.3611111111111111</v>
      </c>
      <c r="M461" s="35">
        <f t="shared" ref="M461:M472" ca="1" si="103">IFERROR(IF(K461="","",IF(L461="",MOD(NOW()-K461,1),IF(L461&gt;=K461,L461-K461,L461+1-K461))),"")</f>
        <v>2.4305555555555525E-2</v>
      </c>
      <c r="N461" s="46" t="s">
        <v>300</v>
      </c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6</v>
      </c>
      <c r="G462" s="28">
        <f t="shared" si="102"/>
        <v>30</v>
      </c>
      <c r="H462" s="26" t="s">
        <v>20</v>
      </c>
      <c r="I462" s="26" t="s">
        <v>39</v>
      </c>
      <c r="J462" s="26" t="s">
        <v>36</v>
      </c>
      <c r="K462" s="29">
        <v>0.40625</v>
      </c>
      <c r="L462" s="29">
        <v>0.41319444444444442</v>
      </c>
      <c r="M462" s="30">
        <f t="shared" ca="1" si="103"/>
        <v>6.9444444444444198E-3</v>
      </c>
      <c r="N462" s="46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17</v>
      </c>
      <c r="G463" s="34">
        <f t="shared" si="102"/>
        <v>85</v>
      </c>
      <c r="H463" s="33" t="s">
        <v>18</v>
      </c>
      <c r="I463" s="33" t="s">
        <v>146</v>
      </c>
      <c r="J463" s="33" t="s">
        <v>127</v>
      </c>
      <c r="K463" s="29">
        <v>0.49652777777777779</v>
      </c>
      <c r="L463" s="29">
        <v>0.50902777777777775</v>
      </c>
      <c r="M463" s="35">
        <f t="shared" ca="1" si="103"/>
        <v>1.2499999999999956E-2</v>
      </c>
      <c r="N463" s="46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12</v>
      </c>
      <c r="G464" s="28">
        <f t="shared" si="102"/>
        <v>60</v>
      </c>
      <c r="H464" s="26" t="s">
        <v>18</v>
      </c>
      <c r="I464" s="26" t="s">
        <v>39</v>
      </c>
      <c r="J464" s="26" t="s">
        <v>153</v>
      </c>
      <c r="K464" s="29">
        <v>0.53819444444444442</v>
      </c>
      <c r="L464" s="29">
        <v>0.59375</v>
      </c>
      <c r="M464" s="30">
        <f t="shared" ca="1" si="103"/>
        <v>5.555555555555558E-2</v>
      </c>
      <c r="N464" s="46" t="s">
        <v>301</v>
      </c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8</v>
      </c>
      <c r="G465" s="34">
        <f t="shared" si="102"/>
        <v>40</v>
      </c>
      <c r="H465" s="33" t="s">
        <v>20</v>
      </c>
      <c r="I465" s="33" t="s">
        <v>31</v>
      </c>
      <c r="J465" s="33" t="s">
        <v>164</v>
      </c>
      <c r="K465" s="29">
        <v>0.70833333333333337</v>
      </c>
      <c r="L465" s="29">
        <v>0.72013888888888888</v>
      </c>
      <c r="M465" s="35">
        <f t="shared" ca="1" si="103"/>
        <v>1.1805555555555514E-2</v>
      </c>
      <c r="N465" s="46" t="s">
        <v>302</v>
      </c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12</v>
      </c>
      <c r="G466" s="28">
        <f t="shared" si="102"/>
        <v>60</v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7</v>
      </c>
      <c r="G468" s="28">
        <f t="shared" si="102"/>
        <v>35</v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16</v>
      </c>
      <c r="G469" s="34">
        <f t="shared" si="102"/>
        <v>80</v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13</v>
      </c>
      <c r="G470" s="28">
        <f t="shared" si="102"/>
        <v>65</v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5</v>
      </c>
      <c r="G471" s="34">
        <f t="shared" si="102"/>
        <v>25</v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7</v>
      </c>
      <c r="G472" s="28">
        <f t="shared" si="102"/>
        <v>35</v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123</v>
      </c>
      <c r="G473" s="36">
        <f>SUM(G461:G472)</f>
        <v>615</v>
      </c>
      <c r="H473" s="37"/>
      <c r="I473" s="37"/>
      <c r="J473" s="37"/>
      <c r="K473" s="37"/>
      <c r="L473" s="37"/>
      <c r="M473" s="38">
        <f ca="1">IFERROR(SUM(M461:M472),"")</f>
        <v>0.11111111111111099</v>
      </c>
      <c r="N473" s="36" t="s">
        <v>233</v>
      </c>
      <c r="O473" s="77">
        <v>870930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22</v>
      </c>
      <c r="G474" s="28">
        <f t="shared" ref="G474:G485" si="105">IF(F474="","",IF(E474="PC 17",F474*4.2,IF(E474="PC 19",F474*5,"")))</f>
        <v>110</v>
      </c>
      <c r="H474" s="26" t="s">
        <v>20</v>
      </c>
      <c r="I474" s="26" t="s">
        <v>31</v>
      </c>
      <c r="J474" s="26" t="s">
        <v>28</v>
      </c>
      <c r="K474" s="29">
        <v>0.88888888888888884</v>
      </c>
      <c r="L474" s="29">
        <v>0.90625</v>
      </c>
      <c r="M474" s="30">
        <f t="shared" ref="M474:M485" ca="1" si="106">IFERROR(IF(K474="","",IF(L474="",MOD(NOW()-K474,1),IF(L474&gt;=K474,L474-K474,L474+1-K474))),"")</f>
        <v>1.736111111111116E-2</v>
      </c>
      <c r="N474" s="46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17</v>
      </c>
      <c r="G475" s="34">
        <f t="shared" si="105"/>
        <v>85</v>
      </c>
      <c r="H475" s="33" t="s">
        <v>19</v>
      </c>
      <c r="I475" s="33" t="s">
        <v>31</v>
      </c>
      <c r="J475" s="33" t="s">
        <v>50</v>
      </c>
      <c r="K475" s="29">
        <v>0.94305555555555554</v>
      </c>
      <c r="L475" s="29">
        <v>4.1666666666666666E-3</v>
      </c>
      <c r="M475" s="35">
        <f t="shared" ca="1" si="106"/>
        <v>6.1111111111111116E-2</v>
      </c>
      <c r="N475" s="46" t="s">
        <v>303</v>
      </c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 t="s">
        <v>20</v>
      </c>
      <c r="I476" s="26"/>
      <c r="J476" s="26" t="s">
        <v>74</v>
      </c>
      <c r="K476" s="29">
        <v>0.23819444444444443</v>
      </c>
      <c r="L476" s="29">
        <v>0.24305555555555555</v>
      </c>
      <c r="M476" s="30">
        <f t="shared" ca="1" si="106"/>
        <v>4.8611111111111216E-3</v>
      </c>
      <c r="N476" s="46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8</v>
      </c>
      <c r="G477" s="34">
        <f t="shared" si="105"/>
        <v>40</v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9</v>
      </c>
      <c r="G478" s="28">
        <f t="shared" si="105"/>
        <v>45</v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10</v>
      </c>
      <c r="G479" s="34">
        <f t="shared" si="105"/>
        <v>50</v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10</v>
      </c>
      <c r="G480" s="28">
        <f t="shared" si="105"/>
        <v>50</v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10</v>
      </c>
      <c r="G481" s="34">
        <f t="shared" si="105"/>
        <v>50</v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12</v>
      </c>
      <c r="G483" s="34">
        <f t="shared" si="105"/>
        <v>60</v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19</v>
      </c>
      <c r="G484" s="28">
        <f t="shared" si="105"/>
        <v>95</v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146</v>
      </c>
      <c r="G486" s="36">
        <f>SUM(G474:G485)</f>
        <v>730</v>
      </c>
      <c r="H486" s="37"/>
      <c r="I486" s="37"/>
      <c r="J486" s="37"/>
      <c r="K486" s="37"/>
      <c r="L486" s="37"/>
      <c r="M486" s="38">
        <f ca="1">IFERROR(SUM(M474:M485),"")</f>
        <v>8.3333333333333398E-2</v>
      </c>
      <c r="N486" s="36" t="s">
        <v>233</v>
      </c>
      <c r="O486" s="77">
        <v>969510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269</v>
      </c>
      <c r="G487" s="40">
        <f>G473+G486</f>
        <v>1345</v>
      </c>
      <c r="H487" s="41"/>
      <c r="I487" s="41"/>
      <c r="J487" s="41"/>
      <c r="K487" s="41"/>
      <c r="L487" s="41"/>
      <c r="M487" s="42">
        <f ca="1">IFERROR(M473+M486,"")</f>
        <v>0.19444444444444439</v>
      </c>
      <c r="N487" s="40" t="s">
        <v>236</v>
      </c>
      <c r="O487" s="83">
        <f>IFERROR(O473+O486,"")</f>
        <v>1840440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14</v>
      </c>
      <c r="G488" s="28">
        <f t="shared" ref="G488:G499" si="108">IF(F488="","",IF(E488="PC 17",F488*4.2,IF(E488="PC 19",F488*5,"")))</f>
        <v>70</v>
      </c>
      <c r="H488" s="26" t="s">
        <v>19</v>
      </c>
      <c r="I488" s="26" t="s">
        <v>156</v>
      </c>
      <c r="J488" s="26" t="s">
        <v>27</v>
      </c>
      <c r="K488" s="29">
        <v>0.35416666666666669</v>
      </c>
      <c r="L488" s="29">
        <v>0.3840277777777778</v>
      </c>
      <c r="M488" s="30">
        <f t="shared" ref="M488:M499" ca="1" si="109">IFERROR(IF(K488="","",IF(L488="",MOD(NOW()-K488,1),IF(L488&gt;=K488,L488-K488,L488+1-K488))),"")</f>
        <v>2.9861111111111116E-2</v>
      </c>
      <c r="N488" s="46"/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8</v>
      </c>
      <c r="G489" s="34">
        <f t="shared" si="108"/>
        <v>40</v>
      </c>
      <c r="H489" s="33" t="s">
        <v>18</v>
      </c>
      <c r="I489" s="33" t="s">
        <v>31</v>
      </c>
      <c r="J489" s="33" t="s">
        <v>163</v>
      </c>
      <c r="K489" s="29">
        <v>0.39583333333333331</v>
      </c>
      <c r="L489" s="29">
        <v>0.39861111111111114</v>
      </c>
      <c r="M489" s="35">
        <f t="shared" ca="1" si="109"/>
        <v>2.7777777777778234E-3</v>
      </c>
      <c r="N489" s="46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10</v>
      </c>
      <c r="G490" s="28">
        <f t="shared" si="108"/>
        <v>50</v>
      </c>
      <c r="H490" s="26" t="s">
        <v>18</v>
      </c>
      <c r="I490" s="26" t="s">
        <v>39</v>
      </c>
      <c r="J490" s="26" t="s">
        <v>50</v>
      </c>
      <c r="K490" s="29">
        <v>0.54513888888888884</v>
      </c>
      <c r="L490" s="29">
        <v>0.58680555555555558</v>
      </c>
      <c r="M490" s="30">
        <f t="shared" ca="1" si="109"/>
        <v>4.1666666666666741E-2</v>
      </c>
      <c r="N490" s="46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11</v>
      </c>
      <c r="G491" s="34">
        <f t="shared" si="108"/>
        <v>55</v>
      </c>
      <c r="H491" s="33" t="s">
        <v>20</v>
      </c>
      <c r="I491" s="33" t="s">
        <v>39</v>
      </c>
      <c r="J491" s="33" t="s">
        <v>56</v>
      </c>
      <c r="K491" s="29">
        <v>0.71388888888888891</v>
      </c>
      <c r="L491" s="29">
        <v>0.73888888888888893</v>
      </c>
      <c r="M491" s="35">
        <f t="shared" ca="1" si="109"/>
        <v>2.5000000000000022E-2</v>
      </c>
      <c r="N491" s="46" t="s">
        <v>304</v>
      </c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257</v>
      </c>
      <c r="F493" s="27">
        <v>15</v>
      </c>
      <c r="G493" s="34">
        <f t="shared" si="108"/>
        <v>63</v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2</v>
      </c>
      <c r="G494" s="28">
        <f t="shared" si="108"/>
        <v>8.4</v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15</v>
      </c>
      <c r="G495" s="34">
        <f t="shared" si="108"/>
        <v>63</v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13</v>
      </c>
      <c r="G496" s="28">
        <f t="shared" si="108"/>
        <v>54.6</v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19</v>
      </c>
      <c r="G497" s="34">
        <f t="shared" si="108"/>
        <v>79.8</v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130</v>
      </c>
      <c r="G500" s="90">
        <f>SUM(G488:G499)</f>
        <v>590.79999999999995</v>
      </c>
      <c r="H500" s="37"/>
      <c r="I500" s="37"/>
      <c r="J500" s="37"/>
      <c r="K500" s="37"/>
      <c r="L500" s="37"/>
      <c r="M500" s="38">
        <f ca="1">IFERROR(SUM(M488:M499),"")</f>
        <v>9.9305555555555702E-2</v>
      </c>
      <c r="N500" s="36" t="s">
        <v>233</v>
      </c>
      <c r="O500" s="77">
        <v>751110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20</v>
      </c>
      <c r="G501" s="34">
        <f t="shared" ref="G501:G512" si="111">IF(F501="","",IF(E501="PC 17",F501*4.2,IF(E501="PC 19",F501*5,"")))</f>
        <v>84</v>
      </c>
      <c r="H501" s="33" t="s">
        <v>19</v>
      </c>
      <c r="I501" s="33" t="s">
        <v>156</v>
      </c>
      <c r="J501" s="33" t="s">
        <v>27</v>
      </c>
      <c r="K501" s="29">
        <v>0.96736111111111112</v>
      </c>
      <c r="L501" s="29">
        <v>0.98124999999999996</v>
      </c>
      <c r="M501" s="35">
        <f t="shared" ref="M501:M512" ca="1" si="112">IFERROR(IF(K501="","",IF(L501="",MOD(NOW()-K501,1),IF(L501&gt;=K501,L501-K501,L501+1-K501))),"")</f>
        <v>1.388888888888884E-2</v>
      </c>
      <c r="N501" s="46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12</v>
      </c>
      <c r="G502" s="28">
        <f t="shared" si="111"/>
        <v>60</v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14</v>
      </c>
      <c r="G503" s="34">
        <f t="shared" si="111"/>
        <v>58.800000000000004</v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20</v>
      </c>
      <c r="G506" s="28">
        <f t="shared" si="111"/>
        <v>84</v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12</v>
      </c>
      <c r="G509" s="34">
        <f t="shared" si="111"/>
        <v>50.400000000000006</v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16</v>
      </c>
      <c r="G510" s="28">
        <f t="shared" si="111"/>
        <v>67.2</v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11</v>
      </c>
      <c r="G511" s="34">
        <f t="shared" si="111"/>
        <v>46.2</v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3</v>
      </c>
      <c r="G512" s="28">
        <f t="shared" si="111"/>
        <v>12.600000000000001</v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87" t="s">
        <v>234</v>
      </c>
      <c r="B513" s="88"/>
      <c r="C513" s="88"/>
      <c r="D513" s="88"/>
      <c r="E513" s="88"/>
      <c r="F513" s="36">
        <f>SUM(F501:F512)</f>
        <v>124</v>
      </c>
      <c r="G513" s="90">
        <f>SUM(G501:G512)</f>
        <v>530.4</v>
      </c>
      <c r="H513" s="37"/>
      <c r="I513" s="37"/>
      <c r="J513" s="37"/>
      <c r="K513" s="37"/>
      <c r="L513" s="37"/>
      <c r="M513" s="38">
        <f ca="1">IFERROR(SUM(M501:M512),"")</f>
        <v>1.388888888888884E-2</v>
      </c>
      <c r="N513" s="36" t="s">
        <v>233</v>
      </c>
      <c r="O513" s="77">
        <v>556040</v>
      </c>
    </row>
    <row r="514" spans="1:15" ht="18" customHeight="1">
      <c r="A514" s="93" t="s">
        <v>235</v>
      </c>
      <c r="B514" s="91"/>
      <c r="C514" s="91"/>
      <c r="D514" s="91"/>
      <c r="E514" s="91"/>
      <c r="F514" s="40">
        <f>F500+F513</f>
        <v>254</v>
      </c>
      <c r="G514" s="98">
        <f>G500+G513</f>
        <v>1121.1999999999998</v>
      </c>
      <c r="H514" s="41"/>
      <c r="I514" s="41"/>
      <c r="J514" s="41"/>
      <c r="K514" s="41"/>
      <c r="L514" s="41"/>
      <c r="M514" s="42">
        <f ca="1">IFERROR(M500+M513,"")</f>
        <v>0.11319444444444454</v>
      </c>
      <c r="N514" s="40" t="s">
        <v>236</v>
      </c>
      <c r="O514" s="83">
        <f>IFERROR(O500+O513,"")</f>
        <v>1307150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24</v>
      </c>
      <c r="G515" s="34">
        <f t="shared" ref="G515:G526" si="114">IF(F515="","",IF(E515="PC 17",F515*4.2,IF(E515="PC 19",F515*5,"")))</f>
        <v>100.80000000000001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46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18</v>
      </c>
      <c r="G516" s="28">
        <f t="shared" si="114"/>
        <v>75.600000000000009</v>
      </c>
      <c r="H516" s="49" t="s">
        <v>20</v>
      </c>
      <c r="I516" s="26" t="s">
        <v>31</v>
      </c>
      <c r="J516" s="49" t="s">
        <v>62</v>
      </c>
      <c r="K516" s="29">
        <v>0.38541666666666669</v>
      </c>
      <c r="L516" s="29">
        <v>0.39097222222222222</v>
      </c>
      <c r="M516" s="30">
        <f t="shared" ca="1" si="115"/>
        <v>5.5555555555555358E-3</v>
      </c>
      <c r="N516" s="46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13</v>
      </c>
      <c r="G517" s="34">
        <f t="shared" si="114"/>
        <v>54.6</v>
      </c>
      <c r="H517" s="33" t="s">
        <v>20</v>
      </c>
      <c r="I517" s="33" t="s">
        <v>31</v>
      </c>
      <c r="J517" s="33" t="s">
        <v>62</v>
      </c>
      <c r="K517" s="29">
        <v>0.39583333333333331</v>
      </c>
      <c r="L517" s="29">
        <v>0.40416666666666667</v>
      </c>
      <c r="M517" s="35">
        <f t="shared" ca="1" si="115"/>
        <v>8.3333333333333592E-3</v>
      </c>
      <c r="N517" s="46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9</v>
      </c>
      <c r="G518" s="28">
        <f t="shared" si="114"/>
        <v>37.800000000000004</v>
      </c>
      <c r="H518" s="33" t="s">
        <v>20</v>
      </c>
      <c r="I518" s="26" t="s">
        <v>31</v>
      </c>
      <c r="J518" s="26" t="s">
        <v>62</v>
      </c>
      <c r="K518" s="29">
        <v>0.42986111111111114</v>
      </c>
      <c r="L518" s="29">
        <v>0.43125000000000002</v>
      </c>
      <c r="M518" s="30">
        <f t="shared" ca="1" si="115"/>
        <v>1.388888888888884E-3</v>
      </c>
      <c r="N518" s="46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20</v>
      </c>
      <c r="G519" s="34">
        <f t="shared" si="114"/>
        <v>84</v>
      </c>
      <c r="H519" s="33" t="s">
        <v>19</v>
      </c>
      <c r="I519" s="33" t="s">
        <v>156</v>
      </c>
      <c r="J519" s="33" t="s">
        <v>27</v>
      </c>
      <c r="K519" s="29">
        <v>0.4375</v>
      </c>
      <c r="L519" s="29">
        <v>0.4548611111111111</v>
      </c>
      <c r="M519" s="35">
        <f t="shared" ca="1" si="115"/>
        <v>1.7361111111111105E-2</v>
      </c>
      <c r="N519" s="46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18</v>
      </c>
      <c r="G520" s="28">
        <f t="shared" si="114"/>
        <v>75.600000000000009</v>
      </c>
      <c r="H520" s="26" t="s">
        <v>20</v>
      </c>
      <c r="I520" s="26" t="s">
        <v>156</v>
      </c>
      <c r="J520" s="26" t="s">
        <v>62</v>
      </c>
      <c r="K520" s="29">
        <v>0.46180555555555558</v>
      </c>
      <c r="L520" s="29">
        <v>0.46458333333333335</v>
      </c>
      <c r="M520" s="30">
        <f t="shared" ca="1" si="115"/>
        <v>2.7777777777777679E-3</v>
      </c>
      <c r="N520" s="46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8</v>
      </c>
      <c r="G521" s="34">
        <f t="shared" si="114"/>
        <v>33.6</v>
      </c>
      <c r="H521" s="33" t="s">
        <v>20</v>
      </c>
      <c r="I521" s="33" t="s">
        <v>31</v>
      </c>
      <c r="J521" s="33" t="s">
        <v>62</v>
      </c>
      <c r="K521" s="29">
        <v>0.51736111111111116</v>
      </c>
      <c r="L521" s="29">
        <v>0.52361111111111114</v>
      </c>
      <c r="M521" s="35">
        <f t="shared" ca="1" si="115"/>
        <v>6.2499999999999778E-3</v>
      </c>
      <c r="N521" s="46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17</v>
      </c>
      <c r="G522" s="28">
        <f t="shared" si="114"/>
        <v>71.400000000000006</v>
      </c>
      <c r="H522" s="26" t="s">
        <v>20</v>
      </c>
      <c r="I522" s="26" t="s">
        <v>31</v>
      </c>
      <c r="J522" s="26" t="s">
        <v>62</v>
      </c>
      <c r="K522" s="29">
        <v>0.54166666666666663</v>
      </c>
      <c r="L522" s="29">
        <v>0.55902777777777779</v>
      </c>
      <c r="M522" s="30">
        <f t="shared" ca="1" si="115"/>
        <v>1.736111111111116E-2</v>
      </c>
      <c r="N522" s="46" t="s">
        <v>305</v>
      </c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13</v>
      </c>
      <c r="G523" s="34">
        <f t="shared" si="114"/>
        <v>54.6</v>
      </c>
      <c r="H523" s="33" t="s">
        <v>20</v>
      </c>
      <c r="I523" s="33" t="s">
        <v>39</v>
      </c>
      <c r="J523" s="33" t="s">
        <v>28</v>
      </c>
      <c r="K523" s="29">
        <v>0.57430555555555551</v>
      </c>
      <c r="L523" s="29">
        <v>0.57708333333333328</v>
      </c>
      <c r="M523" s="35">
        <f t="shared" ca="1" si="115"/>
        <v>2.7777777777777679E-3</v>
      </c>
      <c r="N523" s="46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15</v>
      </c>
      <c r="G524" s="28">
        <f t="shared" si="114"/>
        <v>63</v>
      </c>
      <c r="H524" s="26" t="s">
        <v>20</v>
      </c>
      <c r="I524" s="26" t="s">
        <v>31</v>
      </c>
      <c r="J524" s="26" t="s">
        <v>62</v>
      </c>
      <c r="K524" s="29">
        <v>0.64513888888888893</v>
      </c>
      <c r="L524" s="29">
        <v>0.65138888888888891</v>
      </c>
      <c r="M524" s="30">
        <f t="shared" ca="1" si="115"/>
        <v>6.2499999999999778E-3</v>
      </c>
      <c r="N524" s="46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20</v>
      </c>
      <c r="G525" s="34">
        <f t="shared" si="114"/>
        <v>84</v>
      </c>
      <c r="H525" s="33" t="s">
        <v>20</v>
      </c>
      <c r="I525" s="33" t="s">
        <v>31</v>
      </c>
      <c r="J525" s="33" t="s">
        <v>36</v>
      </c>
      <c r="K525" s="29">
        <v>0.66319444444444442</v>
      </c>
      <c r="L525" s="29">
        <v>0.6743055555555556</v>
      </c>
      <c r="M525" s="35">
        <f t="shared" ca="1" si="115"/>
        <v>1.1111111111111183E-2</v>
      </c>
      <c r="N525" s="46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184</v>
      </c>
      <c r="G527" s="90">
        <f>SUM(G515:G526)</f>
        <v>772.80000000000007</v>
      </c>
      <c r="H527" s="37"/>
      <c r="I527" s="37"/>
      <c r="J527" s="37"/>
      <c r="K527" s="37"/>
      <c r="L527" s="37"/>
      <c r="M527" s="38">
        <f ca="1">IFERROR(SUM(M515:M526),"")</f>
        <v>8.7500000000000078E-2</v>
      </c>
      <c r="N527" s="36" t="s">
        <v>233</v>
      </c>
      <c r="O527" s="77">
        <v>826410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39</v>
      </c>
      <c r="J528" s="26" t="s">
        <v>28</v>
      </c>
      <c r="K528" s="29">
        <v>0.83680555555555558</v>
      </c>
      <c r="L528" s="29">
        <v>0.84305555555555556</v>
      </c>
      <c r="M528" s="30">
        <f t="shared" ref="M528:M539" ca="1" si="118">IFERROR(IF(K528="","",IF(L528="",MOD(NOW()-K528,1),IF(L528&gt;=K528,L528-K528,L528+1-K528))),"")</f>
        <v>6.2499999999999778E-3</v>
      </c>
      <c r="N528" s="46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10</v>
      </c>
      <c r="G529" s="34">
        <f t="shared" si="117"/>
        <v>42</v>
      </c>
      <c r="H529" s="33" t="s">
        <v>19</v>
      </c>
      <c r="I529" s="33" t="s">
        <v>156</v>
      </c>
      <c r="J529" s="33" t="s">
        <v>27</v>
      </c>
      <c r="K529" s="29">
        <v>0.92847222222222225</v>
      </c>
      <c r="L529" s="29">
        <v>0.95625000000000004</v>
      </c>
      <c r="M529" s="35">
        <f t="shared" ca="1" si="118"/>
        <v>2.777777777777779E-2</v>
      </c>
      <c r="N529" s="46"/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15</v>
      </c>
      <c r="G530" s="28">
        <f t="shared" si="117"/>
        <v>63</v>
      </c>
      <c r="H530" s="26" t="s">
        <v>20</v>
      </c>
      <c r="I530" s="26" t="s">
        <v>31</v>
      </c>
      <c r="J530" s="26" t="s">
        <v>128</v>
      </c>
      <c r="K530" s="29">
        <v>0.98263888888888884</v>
      </c>
      <c r="L530" s="29">
        <v>0.9916666666666667</v>
      </c>
      <c r="M530" s="30">
        <f t="shared" ca="1" si="118"/>
        <v>9.0277777777778567E-3</v>
      </c>
      <c r="N530" s="46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6</v>
      </c>
      <c r="G531" s="34">
        <f t="shared" si="117"/>
        <v>25.200000000000003</v>
      </c>
      <c r="H531" s="33" t="s">
        <v>20</v>
      </c>
      <c r="I531" s="33" t="s">
        <v>31</v>
      </c>
      <c r="J531" s="33" t="s">
        <v>62</v>
      </c>
      <c r="K531" s="29">
        <v>1.1805555555555555E-2</v>
      </c>
      <c r="L531" s="29">
        <v>1.8055555555555554E-2</v>
      </c>
      <c r="M531" s="35">
        <f t="shared" ca="1" si="118"/>
        <v>6.2499999999999986E-3</v>
      </c>
      <c r="N531" s="46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/>
      <c r="J532" s="26" t="s">
        <v>28</v>
      </c>
      <c r="K532" s="29">
        <v>0.11388888888888889</v>
      </c>
      <c r="L532" s="29">
        <v>0.12013888888888889</v>
      </c>
      <c r="M532" s="30">
        <f t="shared" ca="1" si="118"/>
        <v>6.2500000000000056E-3</v>
      </c>
      <c r="N532" s="46"/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12</v>
      </c>
      <c r="G533" s="34">
        <f t="shared" si="117"/>
        <v>50.400000000000006</v>
      </c>
      <c r="H533" s="33" t="s">
        <v>20</v>
      </c>
      <c r="I533" s="33" t="s">
        <v>31</v>
      </c>
      <c r="J533" s="33" t="s">
        <v>28</v>
      </c>
      <c r="K533" s="29">
        <v>0.2361111111111111</v>
      </c>
      <c r="L533" s="29">
        <v>0.24374999999999999</v>
      </c>
      <c r="M533" s="35">
        <f t="shared" ca="1" si="118"/>
        <v>7.6388888888888895E-3</v>
      </c>
      <c r="N533" s="46"/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19</v>
      </c>
      <c r="G534" s="28">
        <f t="shared" si="117"/>
        <v>79.8</v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10</v>
      </c>
      <c r="G535" s="34">
        <f t="shared" si="117"/>
        <v>42</v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15</v>
      </c>
      <c r="G537" s="34">
        <f t="shared" si="117"/>
        <v>63</v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18</v>
      </c>
      <c r="G538" s="28">
        <f t="shared" si="117"/>
        <v>75.600000000000009</v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10</v>
      </c>
      <c r="G539" s="34">
        <f t="shared" si="117"/>
        <v>42</v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140</v>
      </c>
      <c r="G540" s="36">
        <f>SUM(G528:G539)</f>
        <v>588</v>
      </c>
      <c r="H540" s="37"/>
      <c r="I540" s="37"/>
      <c r="J540" s="37"/>
      <c r="K540" s="37"/>
      <c r="L540" s="37"/>
      <c r="M540" s="38">
        <f ca="1">IFERROR(SUM(M528:M539),"")</f>
        <v>6.3194444444444525E-2</v>
      </c>
      <c r="N540" s="36" t="s">
        <v>233</v>
      </c>
      <c r="O540" s="77">
        <v>548610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324</v>
      </c>
      <c r="G541" s="40">
        <f>G527+G540</f>
        <v>1360.8000000000002</v>
      </c>
      <c r="H541" s="41"/>
      <c r="I541" s="41"/>
      <c r="J541" s="41"/>
      <c r="K541" s="41"/>
      <c r="L541" s="41"/>
      <c r="M541" s="42">
        <f ca="1">IFERROR(M527+M540,"")</f>
        <v>0.1506944444444446</v>
      </c>
      <c r="N541" s="40" t="s">
        <v>236</v>
      </c>
      <c r="O541" s="83">
        <f>IFERROR(O527+O540,"")</f>
        <v>1375020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12</v>
      </c>
      <c r="G542" s="28">
        <f t="shared" ref="G542:G553" si="120">IF(F542="","",IF(E542="PC 17",F542*4.2,IF(E542="PC 19",F542*5,"")))</f>
        <v>50.400000000000006</v>
      </c>
      <c r="H542" s="26" t="s">
        <v>20</v>
      </c>
      <c r="I542" s="26" t="s">
        <v>31</v>
      </c>
      <c r="J542" s="26" t="s">
        <v>62</v>
      </c>
      <c r="K542" s="29">
        <v>0.2951388888888889</v>
      </c>
      <c r="L542" s="29">
        <v>0.30694444444444446</v>
      </c>
      <c r="M542" s="30">
        <f t="shared" ref="M542:M553" ca="1" si="121">IFERROR(IF(K542="","",IF(L542="",MOD(NOW()-K542,1),IF(L542&gt;=K542,L542-K542,L542+1-K542))),"")</f>
        <v>1.1805555555555569E-2</v>
      </c>
      <c r="N542" s="46"/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18</v>
      </c>
      <c r="G543" s="34">
        <f t="shared" si="120"/>
        <v>75.600000000000009</v>
      </c>
      <c r="H543" s="33" t="s">
        <v>20</v>
      </c>
      <c r="I543" s="33"/>
      <c r="J543" s="33" t="s">
        <v>180</v>
      </c>
      <c r="K543" s="29">
        <v>0.38541666666666669</v>
      </c>
      <c r="L543" s="29">
        <v>0.39583333333333331</v>
      </c>
      <c r="M543" s="35">
        <f t="shared" ca="1" si="121"/>
        <v>1.041666666666663E-2</v>
      </c>
      <c r="N543" s="46" t="s">
        <v>306</v>
      </c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21</v>
      </c>
      <c r="G544" s="28">
        <f t="shared" si="120"/>
        <v>88.2</v>
      </c>
      <c r="H544" s="26" t="s">
        <v>19</v>
      </c>
      <c r="I544" s="26" t="s">
        <v>156</v>
      </c>
      <c r="J544" s="26" t="s">
        <v>27</v>
      </c>
      <c r="K544" s="29">
        <v>0.47013888888888888</v>
      </c>
      <c r="L544" s="29">
        <v>0.4861111111111111</v>
      </c>
      <c r="M544" s="30">
        <f t="shared" ca="1" si="121"/>
        <v>1.5972222222222221E-2</v>
      </c>
      <c r="N544" s="46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28</v>
      </c>
      <c r="G545" s="34">
        <f t="shared" si="120"/>
        <v>117.60000000000001</v>
      </c>
      <c r="H545" s="33" t="s">
        <v>20</v>
      </c>
      <c r="I545" s="33" t="s">
        <v>31</v>
      </c>
      <c r="J545" s="33" t="s">
        <v>62</v>
      </c>
      <c r="K545" s="29">
        <v>0.64930555555555558</v>
      </c>
      <c r="L545" s="29">
        <v>0.67847222222222225</v>
      </c>
      <c r="M545" s="35">
        <f t="shared" ca="1" si="121"/>
        <v>2.9166666666666674E-2</v>
      </c>
      <c r="N545" s="46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12</v>
      </c>
      <c r="G546" s="28">
        <f t="shared" si="120"/>
        <v>50.400000000000006</v>
      </c>
      <c r="H546" s="26" t="s">
        <v>20</v>
      </c>
      <c r="I546" s="26" t="s">
        <v>120</v>
      </c>
      <c r="J546" s="26" t="s">
        <v>113</v>
      </c>
      <c r="K546" s="29">
        <v>0.75</v>
      </c>
      <c r="L546" s="29">
        <v>0.76736111111111116</v>
      </c>
      <c r="M546" s="30">
        <f t="shared" ca="1" si="121"/>
        <v>1.736111111111116E-2</v>
      </c>
      <c r="N546" s="46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21</v>
      </c>
      <c r="G547" s="34">
        <f t="shared" si="120"/>
        <v>88.2</v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30</v>
      </c>
      <c r="G548" s="28">
        <f t="shared" si="120"/>
        <v>126</v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41</v>
      </c>
      <c r="G549" s="34">
        <f t="shared" si="120"/>
        <v>172.20000000000002</v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19</v>
      </c>
      <c r="G550" s="28">
        <f t="shared" si="120"/>
        <v>79.8</v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19</v>
      </c>
      <c r="G551" s="34">
        <f t="shared" si="120"/>
        <v>79.8</v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17</v>
      </c>
      <c r="G552" s="28">
        <f t="shared" si="120"/>
        <v>71.400000000000006</v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238</v>
      </c>
      <c r="G554" s="36">
        <f>SUM(G542:G553)</f>
        <v>999.6</v>
      </c>
      <c r="H554" s="37"/>
      <c r="I554" s="37"/>
      <c r="J554" s="37"/>
      <c r="K554" s="37"/>
      <c r="L554" s="37"/>
      <c r="M554" s="38">
        <f ca="1">IFERROR(SUM(M542:M553),"")</f>
        <v>8.4722222222222254E-2</v>
      </c>
      <c r="N554" s="36" t="s">
        <v>233</v>
      </c>
      <c r="O554" s="77">
        <v>1003230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17</v>
      </c>
      <c r="G555" s="34">
        <f t="shared" ref="G555:G566" si="123">IF(F555="","",IF(E555="PC 17",F555*4.2,IF(E555="PC 19",F555*5,"")))</f>
        <v>71.400000000000006</v>
      </c>
      <c r="H555" s="33" t="s">
        <v>20</v>
      </c>
      <c r="I555" s="33" t="s">
        <v>31</v>
      </c>
      <c r="J555" s="33" t="s">
        <v>62</v>
      </c>
      <c r="K555" s="29">
        <v>0.81111111111111112</v>
      </c>
      <c r="L555" s="29">
        <v>0.82777777777777772</v>
      </c>
      <c r="M555" s="35">
        <f t="shared" ref="M555:M566" ca="1" si="124">IFERROR(IF(K555="","",IF(L555="",MOD(NOW()-K555,1),IF(L555&gt;=K555,L555-K555,L555+1-K555))),"")</f>
        <v>1.6666666666666607E-2</v>
      </c>
      <c r="N555" s="46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39</v>
      </c>
      <c r="J556" s="26" t="s">
        <v>62</v>
      </c>
      <c r="K556" s="29">
        <v>0.86736111111111114</v>
      </c>
      <c r="L556" s="29">
        <v>0.87013888888888891</v>
      </c>
      <c r="M556" s="30">
        <f t="shared" ca="1" si="124"/>
        <v>2.7777777777777679E-3</v>
      </c>
      <c r="N556" s="46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18</v>
      </c>
      <c r="G557" s="34">
        <f t="shared" si="123"/>
        <v>75.600000000000009</v>
      </c>
      <c r="H557" s="33" t="s">
        <v>20</v>
      </c>
      <c r="I557" s="33" t="s">
        <v>39</v>
      </c>
      <c r="J557" s="33" t="s">
        <v>62</v>
      </c>
      <c r="K557" s="29">
        <v>0.95</v>
      </c>
      <c r="L557" s="29">
        <v>0.96875</v>
      </c>
      <c r="M557" s="35">
        <f t="shared" ca="1" si="124"/>
        <v>1.8750000000000044E-2</v>
      </c>
      <c r="N557" s="46"/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16</v>
      </c>
      <c r="G558" s="28">
        <f t="shared" si="123"/>
        <v>67.2</v>
      </c>
      <c r="H558" s="26" t="s">
        <v>20</v>
      </c>
      <c r="I558" s="26" t="s">
        <v>39</v>
      </c>
      <c r="J558" s="26" t="s">
        <v>28</v>
      </c>
      <c r="K558" s="29">
        <v>0.99652777777777779</v>
      </c>
      <c r="L558" s="29">
        <v>4.1666666666666666E-3</v>
      </c>
      <c r="M558" s="30">
        <f t="shared" ca="1" si="124"/>
        <v>7.6388888888888618E-3</v>
      </c>
      <c r="N558" s="46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 t="s">
        <v>20</v>
      </c>
      <c r="I559" s="33" t="s">
        <v>31</v>
      </c>
      <c r="J559" s="33" t="s">
        <v>28</v>
      </c>
      <c r="K559" s="29">
        <v>8.3333333333333329E-2</v>
      </c>
      <c r="L559" s="29">
        <v>0.1388888888888889</v>
      </c>
      <c r="M559" s="35">
        <f t="shared" ca="1" si="124"/>
        <v>5.5555555555555566E-2</v>
      </c>
      <c r="N559" s="46" t="s">
        <v>307</v>
      </c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20</v>
      </c>
      <c r="G561" s="34">
        <f t="shared" si="123"/>
        <v>84</v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11</v>
      </c>
      <c r="G562" s="28">
        <f t="shared" si="123"/>
        <v>46.2</v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16</v>
      </c>
      <c r="G563" s="34">
        <f t="shared" si="123"/>
        <v>67.2</v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17</v>
      </c>
      <c r="G564" s="28">
        <f t="shared" si="123"/>
        <v>71.400000000000006</v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15</v>
      </c>
      <c r="G565" s="34">
        <f t="shared" si="123"/>
        <v>63</v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11</v>
      </c>
      <c r="G566" s="28">
        <f t="shared" si="123"/>
        <v>46.2</v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175</v>
      </c>
      <c r="G567" s="36">
        <f>SUM(G555:G566)</f>
        <v>735</v>
      </c>
      <c r="H567" s="37"/>
      <c r="I567" s="37"/>
      <c r="J567" s="37"/>
      <c r="K567" s="37"/>
      <c r="L567" s="37"/>
      <c r="M567" s="38">
        <f ca="1">IFERROR(SUM(M555:M566),"")</f>
        <v>0.10138888888888885</v>
      </c>
      <c r="N567" s="36" t="s">
        <v>233</v>
      </c>
      <c r="O567" s="77">
        <v>722660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413</v>
      </c>
      <c r="G568" s="40">
        <f>G554+G567</f>
        <v>1734.6</v>
      </c>
      <c r="H568" s="41"/>
      <c r="I568" s="41"/>
      <c r="J568" s="41"/>
      <c r="K568" s="41"/>
      <c r="L568" s="41"/>
      <c r="M568" s="42">
        <f ca="1">IFERROR(M554+M567,"")</f>
        <v>0.18611111111111112</v>
      </c>
      <c r="N568" s="40" t="s">
        <v>236</v>
      </c>
      <c r="O568" s="83">
        <f>IFERROR(O554+O567,"")</f>
        <v>1725890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30</v>
      </c>
      <c r="G569" s="34">
        <f t="shared" ref="G569:G580" si="126">IF(F569="","",IF(E569="PC 17",F569*4.2,IF(E569="PC 19",F569*5,"")))</f>
        <v>126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46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37</v>
      </c>
      <c r="G570" s="34">
        <f t="shared" si="126"/>
        <v>155.4</v>
      </c>
      <c r="H570" s="26" t="s">
        <v>19</v>
      </c>
      <c r="I570" s="26" t="s">
        <v>156</v>
      </c>
      <c r="J570" s="26" t="s">
        <v>27</v>
      </c>
      <c r="K570" s="29">
        <v>0.49305555555555558</v>
      </c>
      <c r="L570" s="29">
        <v>0.50694444444444442</v>
      </c>
      <c r="M570" s="30">
        <f t="shared" ca="1" si="127"/>
        <v>1.388888888888884E-2</v>
      </c>
      <c r="N570" s="46"/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14</v>
      </c>
      <c r="G571" s="34">
        <f t="shared" si="126"/>
        <v>58.800000000000004</v>
      </c>
      <c r="H571" s="33" t="s">
        <v>20</v>
      </c>
      <c r="I571" s="33" t="s">
        <v>39</v>
      </c>
      <c r="J571" s="33" t="s">
        <v>51</v>
      </c>
      <c r="K571" s="29">
        <v>0.51388888888888884</v>
      </c>
      <c r="L571" s="29">
        <v>0.5180555555555556</v>
      </c>
      <c r="M571" s="35">
        <f t="shared" ca="1" si="127"/>
        <v>4.1666666666667629E-3</v>
      </c>
      <c r="N571" s="46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24</v>
      </c>
      <c r="G572" s="34">
        <f t="shared" si="126"/>
        <v>100.80000000000001</v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5</v>
      </c>
      <c r="G573" s="34">
        <f t="shared" si="126"/>
        <v>21</v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21</v>
      </c>
      <c r="G574" s="34">
        <f t="shared" si="126"/>
        <v>88.2</v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20</v>
      </c>
      <c r="G575" s="34">
        <f t="shared" si="126"/>
        <v>84</v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31</v>
      </c>
      <c r="G576" s="34">
        <f t="shared" si="126"/>
        <v>130.20000000000002</v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26</v>
      </c>
      <c r="G577" s="34">
        <f t="shared" si="126"/>
        <v>109.2</v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18</v>
      </c>
      <c r="G578" s="34">
        <f t="shared" si="126"/>
        <v>75.600000000000009</v>
      </c>
      <c r="H578" s="26"/>
      <c r="I578" s="26"/>
      <c r="J578" s="26"/>
      <c r="K578" s="29"/>
      <c r="L578" s="29"/>
      <c r="M578" s="30" t="str">
        <f t="shared" ca="1" si="127"/>
        <v/>
      </c>
      <c r="N578" s="46" t="s">
        <v>308</v>
      </c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2</v>
      </c>
      <c r="G579" s="34">
        <f t="shared" si="126"/>
        <v>8.4</v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2</v>
      </c>
      <c r="G580" s="34">
        <f t="shared" si="126"/>
        <v>8.4</v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230</v>
      </c>
      <c r="G581" s="36">
        <f>SUM(G569:G580)</f>
        <v>966.00000000000011</v>
      </c>
      <c r="H581" s="37"/>
      <c r="I581" s="37"/>
      <c r="J581" s="37"/>
      <c r="K581" s="37"/>
      <c r="L581" s="37"/>
      <c r="M581" s="38">
        <f ca="1">IFERROR(SUM(M569:M580),"")</f>
        <v>2.2916666666666696E-2</v>
      </c>
      <c r="N581" s="36" t="s">
        <v>233</v>
      </c>
      <c r="O581" s="77">
        <v>966000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16</v>
      </c>
      <c r="G582" s="28">
        <f t="shared" ref="G582:G593" si="129">IF(F582="","",IF(E582="PC 17",F582*4.2,IF(E582="PC 19",F582*5,"")))</f>
        <v>67.2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46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11</v>
      </c>
      <c r="G583" s="34">
        <f t="shared" si="129"/>
        <v>55</v>
      </c>
      <c r="H583" s="33" t="s">
        <v>19</v>
      </c>
      <c r="I583" s="33" t="s">
        <v>156</v>
      </c>
      <c r="J583" s="33" t="s">
        <v>27</v>
      </c>
      <c r="K583" s="29">
        <v>6.9444444444444448E-2</v>
      </c>
      <c r="L583" s="29">
        <v>9.0277777777777776E-2</v>
      </c>
      <c r="M583" s="35">
        <f t="shared" ca="1" si="130"/>
        <v>2.0833333333333329E-2</v>
      </c>
      <c r="N583" s="46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10</v>
      </c>
      <c r="G584" s="28">
        <f t="shared" si="129"/>
        <v>42</v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16</v>
      </c>
      <c r="G587" s="34">
        <f t="shared" si="129"/>
        <v>67.2</v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15</v>
      </c>
      <c r="G588" s="28">
        <f t="shared" si="129"/>
        <v>63</v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12</v>
      </c>
      <c r="G589" s="34">
        <f t="shared" si="129"/>
        <v>50.400000000000006</v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19</v>
      </c>
      <c r="G590" s="28">
        <f t="shared" si="129"/>
        <v>79.8</v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21</v>
      </c>
      <c r="G591" s="34">
        <f t="shared" si="129"/>
        <v>88.2</v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145</v>
      </c>
      <c r="G594" s="36">
        <f>SUM(G582:G593)</f>
        <v>617.79999999999995</v>
      </c>
      <c r="H594" s="37"/>
      <c r="I594" s="37"/>
      <c r="J594" s="37"/>
      <c r="K594" s="37"/>
      <c r="L594" s="37"/>
      <c r="M594" s="38">
        <f ca="1">IFERROR(SUM(M582:M593),"")</f>
        <v>2.847222222222219E-2</v>
      </c>
      <c r="N594" s="36" t="s">
        <v>233</v>
      </c>
      <c r="O594" s="77">
        <v>644900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375</v>
      </c>
      <c r="G595" s="40">
        <f>G581+G594</f>
        <v>1583.8000000000002</v>
      </c>
      <c r="H595" s="41"/>
      <c r="I595" s="41"/>
      <c r="J595" s="41"/>
      <c r="K595" s="41"/>
      <c r="L595" s="41"/>
      <c r="M595" s="42">
        <f ca="1">IFERROR(M581+M594,"")</f>
        <v>5.1388888888888887E-2</v>
      </c>
      <c r="N595" s="40" t="s">
        <v>236</v>
      </c>
      <c r="O595" s="83">
        <f>IFERROR(O581+O594,"")</f>
        <v>1610900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13</v>
      </c>
      <c r="G596" s="28">
        <f t="shared" ref="G596:G607" si="132">IF(F596="","",IF(E596="PC 17",F596*4.2,IF(E596="PC 19",F596*5,"")))</f>
        <v>54.6</v>
      </c>
      <c r="H596" s="26" t="s">
        <v>19</v>
      </c>
      <c r="I596" s="26" t="s">
        <v>39</v>
      </c>
      <c r="J596" s="26" t="s">
        <v>35</v>
      </c>
      <c r="K596" s="29">
        <v>0.35902777777777778</v>
      </c>
      <c r="L596" s="29">
        <v>0.36805555555555558</v>
      </c>
      <c r="M596" s="30">
        <f t="shared" ref="M596:M607" ca="1" si="133">IFERROR(IF(K596="","",IF(L596="",MOD(NOW()-K596,1),IF(L596&gt;=K596,L596-K596,L596+1-K596))),"")</f>
        <v>9.0277777777778012E-3</v>
      </c>
      <c r="N596" s="46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8</v>
      </c>
      <c r="G597" s="34">
        <f t="shared" si="132"/>
        <v>33.6</v>
      </c>
      <c r="H597" s="33" t="s">
        <v>19</v>
      </c>
      <c r="I597" s="33" t="s">
        <v>31</v>
      </c>
      <c r="J597" s="33" t="s">
        <v>50</v>
      </c>
      <c r="K597" s="29">
        <v>0.38541666666666669</v>
      </c>
      <c r="L597" s="29">
        <v>0.40694444444444444</v>
      </c>
      <c r="M597" s="35">
        <f t="shared" ca="1" si="133"/>
        <v>2.1527777777777757E-2</v>
      </c>
      <c r="N597" s="46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6</v>
      </c>
      <c r="G598" s="28">
        <f t="shared" si="132"/>
        <v>25.200000000000003</v>
      </c>
      <c r="H598" s="26" t="s">
        <v>20</v>
      </c>
      <c r="I598" s="26" t="s">
        <v>39</v>
      </c>
      <c r="J598" s="26" t="s">
        <v>56</v>
      </c>
      <c r="K598" s="29">
        <v>0.54513888888888884</v>
      </c>
      <c r="L598" s="29">
        <v>0.57361111111111107</v>
      </c>
      <c r="M598" s="30">
        <f t="shared" ca="1" si="133"/>
        <v>2.8472222222222232E-2</v>
      </c>
      <c r="N598" s="46" t="s">
        <v>309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14</v>
      </c>
      <c r="G599" s="34">
        <f t="shared" si="132"/>
        <v>58.800000000000004</v>
      </c>
      <c r="H599" s="33" t="s">
        <v>20</v>
      </c>
      <c r="I599" s="33" t="s">
        <v>31</v>
      </c>
      <c r="J599" s="33" t="s">
        <v>51</v>
      </c>
      <c r="K599" s="29">
        <v>0.59722222222222221</v>
      </c>
      <c r="L599" s="29">
        <v>0.60277777777777775</v>
      </c>
      <c r="M599" s="35">
        <f t="shared" ca="1" si="133"/>
        <v>5.5555555555555358E-3</v>
      </c>
      <c r="N599" s="46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16</v>
      </c>
      <c r="G600" s="28">
        <f t="shared" si="132"/>
        <v>67.2</v>
      </c>
      <c r="H600" s="26"/>
      <c r="I600" s="26"/>
      <c r="J600" s="26" t="s">
        <v>74</v>
      </c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24</v>
      </c>
      <c r="G601" s="34">
        <f t="shared" si="132"/>
        <v>100.80000000000001</v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4</v>
      </c>
      <c r="G602" s="28">
        <f t="shared" si="132"/>
        <v>16.8</v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19</v>
      </c>
      <c r="G603" s="34">
        <f t="shared" si="132"/>
        <v>79.8</v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24</v>
      </c>
      <c r="G604" s="28">
        <f t="shared" si="132"/>
        <v>100.80000000000001</v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15</v>
      </c>
      <c r="G605" s="34">
        <f t="shared" si="132"/>
        <v>63</v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12</v>
      </c>
      <c r="G606" s="28">
        <f t="shared" si="132"/>
        <v>50.400000000000006</v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9</v>
      </c>
      <c r="G607" s="34">
        <f t="shared" si="132"/>
        <v>37.800000000000004</v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164</v>
      </c>
      <c r="G608" s="36">
        <f>SUM(G596:G607)</f>
        <v>688.80000000000007</v>
      </c>
      <c r="H608" s="37"/>
      <c r="I608" s="37"/>
      <c r="J608" s="37"/>
      <c r="K608" s="37"/>
      <c r="L608" s="37"/>
      <c r="M608" s="38">
        <f ca="1">IFERROR(SUM(M596:M607),"")</f>
        <v>6.4583333333333326E-2</v>
      </c>
      <c r="N608" s="36" t="s">
        <v>233</v>
      </c>
      <c r="O608" s="77">
        <v>763240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7</v>
      </c>
      <c r="G609" s="34">
        <f t="shared" ref="G609:G614" si="135">IF(F609="","",IF(E609="PC 17",F609*4.2,IF(E609="PC 19",F609*5,"")))</f>
        <v>35</v>
      </c>
      <c r="H609" s="33" t="s">
        <v>18</v>
      </c>
      <c r="I609" s="33" t="s">
        <v>31</v>
      </c>
      <c r="J609" s="33" t="s">
        <v>34</v>
      </c>
      <c r="K609" s="29">
        <v>8.1250000000000003E-2</v>
      </c>
      <c r="L609" s="29">
        <v>0.28333333333333333</v>
      </c>
      <c r="M609" s="35">
        <f t="shared" ref="M609:M620" ca="1" si="136">IFERROR(IF(K609="","",IF(L609="",MOD(NOW()-K609,1),IF(L609&gt;=K609,L609-K609,L609+1-K609))),"")</f>
        <v>0.20208333333333334</v>
      </c>
      <c r="N609" s="46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5</v>
      </c>
      <c r="G610" s="28">
        <f t="shared" si="135"/>
        <v>25</v>
      </c>
      <c r="H610" s="26" t="s">
        <v>19</v>
      </c>
      <c r="I610" s="26" t="s">
        <v>39</v>
      </c>
      <c r="J610" s="26" t="s">
        <v>27</v>
      </c>
      <c r="K610" s="29">
        <v>8.1250000000000003E-2</v>
      </c>
      <c r="L610" s="29">
        <v>0.1111111111111111</v>
      </c>
      <c r="M610" s="30">
        <f t="shared" ca="1" si="136"/>
        <v>2.9861111111111102E-2</v>
      </c>
      <c r="N610" s="46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20" t="s">
        <v>310</v>
      </c>
      <c r="F611" s="27">
        <v>8</v>
      </c>
      <c r="G611" s="34">
        <f>IF(F611="","",IF(E612="PC 17",F611*4.2,IF(E612="PC 19",F611*5,"")))</f>
        <v>33.6</v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4</v>
      </c>
      <c r="G612" s="28">
        <v>20</v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15</v>
      </c>
      <c r="G613" s="34">
        <f t="shared" si="135"/>
        <v>63</v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8</v>
      </c>
      <c r="G614" s="28">
        <f t="shared" si="135"/>
        <v>33.6</v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10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0</v>
      </c>
      <c r="G616" s="28">
        <f>IF(F616="","",IF(E616="PC 17",F616*4.2,IF(E616="PC 19",F616*5,"")))</f>
        <v>0</v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0</v>
      </c>
      <c r="G618" s="28">
        <f>IF(F618="","",IF(E618="PC 17",F618*4.2,IF(E618="PC 19",F618*5,"")))</f>
        <v>0</v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0</v>
      </c>
      <c r="G619" s="34">
        <f>IF(F619="","",IF(E619="PC 17",F619*4.2,IF(E619="PC 19",F619*5,"")))</f>
        <v>0</v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70</v>
      </c>
      <c r="G621" s="36">
        <f>SUM(G609:G620)</f>
        <v>289.8</v>
      </c>
      <c r="H621" s="37"/>
      <c r="I621" s="37"/>
      <c r="J621" s="37"/>
      <c r="K621" s="37"/>
      <c r="L621" s="37"/>
      <c r="M621" s="38">
        <f ca="1">IFERROR(SUM(M609:M620),"")</f>
        <v>0.23194444444444445</v>
      </c>
      <c r="N621" s="36" t="s">
        <v>233</v>
      </c>
      <c r="O621" s="77">
        <v>348050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234</v>
      </c>
      <c r="G622" s="40">
        <f>G608+G621</f>
        <v>978.60000000000014</v>
      </c>
      <c r="H622" s="41"/>
      <c r="I622" s="41"/>
      <c r="J622" s="41"/>
      <c r="K622" s="41"/>
      <c r="L622" s="41"/>
      <c r="M622" s="42">
        <f ca="1">IFERROR(M608+M621,"")</f>
        <v>0.29652777777777778</v>
      </c>
      <c r="N622" s="40" t="s">
        <v>236</v>
      </c>
      <c r="O622" s="83">
        <f>O608+O621</f>
        <v>1111290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9</v>
      </c>
      <c r="G623" s="34">
        <f t="shared" ref="G623:G634" si="138">IF(F623="","",IF(E623="PC 17",F623*4.2,IF(E623="PC 19",F623*5,"")))</f>
        <v>37.800000000000004</v>
      </c>
      <c r="H623" s="33" t="s">
        <v>19</v>
      </c>
      <c r="I623" s="33" t="s">
        <v>39</v>
      </c>
      <c r="J623" s="33" t="s">
        <v>27</v>
      </c>
      <c r="K623" s="29">
        <v>0.49722222222222223</v>
      </c>
      <c r="L623" s="29">
        <v>0.50763888888888886</v>
      </c>
      <c r="M623" s="79">
        <f ca="1">IFERROR(IF(K623="","",IF(L623="",MOD(NOW()-K623,1),IF(L623&gt;=K623,L623-K623,L623+1-K623))),"")</f>
        <v>1.041666666666663E-2</v>
      </c>
      <c r="N623" s="46"/>
      <c r="O623" s="47"/>
    </row>
    <row r="624" spans="1:15" ht="15" customHeight="1">
      <c r="A624" s="68">
        <v>46227</v>
      </c>
      <c r="B624" s="25">
        <f t="shared" ref="B624:B634" si="139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7</v>
      </c>
      <c r="G624" s="28">
        <f t="shared" si="138"/>
        <v>29.400000000000002</v>
      </c>
      <c r="H624" s="26" t="s">
        <v>20</v>
      </c>
      <c r="I624" s="26" t="s">
        <v>39</v>
      </c>
      <c r="J624" s="26" t="s">
        <v>56</v>
      </c>
      <c r="K624" s="29">
        <v>0.5493055555555556</v>
      </c>
      <c r="L624" s="111">
        <v>0.54930555555555505</v>
      </c>
      <c r="M624" s="79">
        <f ca="1">IFERROR(IF(K624="","",IF(L624="",MOD(NOW()-K624,1),IF(L624&gt;=K624,L624-K624,L624+1-K624))),"")</f>
        <v>0.99999999999999944</v>
      </c>
      <c r="N624" s="46"/>
      <c r="O624" s="47"/>
    </row>
    <row r="625" spans="1:15" ht="15" customHeight="1">
      <c r="A625" s="69">
        <v>46227</v>
      </c>
      <c r="B625" s="32">
        <f t="shared" si="139"/>
        <v>0.41666666666666635</v>
      </c>
      <c r="C625" s="33" t="s">
        <v>29</v>
      </c>
      <c r="D625" s="62" t="s">
        <v>30</v>
      </c>
      <c r="E625" s="62" t="s">
        <v>257</v>
      </c>
      <c r="F625" s="27">
        <v>13</v>
      </c>
      <c r="G625" s="34">
        <f t="shared" si="138"/>
        <v>54.6</v>
      </c>
      <c r="H625" s="33" t="s">
        <v>20</v>
      </c>
      <c r="I625" s="33" t="s">
        <v>31</v>
      </c>
      <c r="J625" s="33" t="s">
        <v>131</v>
      </c>
      <c r="K625" s="29">
        <v>0.75277777777777777</v>
      </c>
      <c r="L625" s="29">
        <v>0.75763888888888886</v>
      </c>
      <c r="M625" s="79">
        <f t="shared" ref="M625:M634" ca="1" si="140">IFERROR(IF(K625="","",IF(L625="",MOD(NOW()-K625,1),IF(L625&gt;=K625,L625-K625,L625+1-K625))),"")</f>
        <v>4.8611111111110938E-3</v>
      </c>
      <c r="N625" s="46"/>
      <c r="O625" s="47"/>
    </row>
    <row r="626" spans="1:15" ht="15" customHeight="1">
      <c r="A626" s="68">
        <v>46227</v>
      </c>
      <c r="B626" s="25">
        <f t="shared" si="139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40"/>
        <v/>
      </c>
      <c r="N626" s="46"/>
      <c r="O626" s="47"/>
    </row>
    <row r="627" spans="1:15" ht="15" customHeight="1">
      <c r="A627" s="69">
        <v>46227</v>
      </c>
      <c r="B627" s="32">
        <f t="shared" si="139"/>
        <v>0.49999999999999972</v>
      </c>
      <c r="C627" s="33" t="s">
        <v>29</v>
      </c>
      <c r="D627" s="62" t="s">
        <v>30</v>
      </c>
      <c r="E627" s="62" t="s">
        <v>257</v>
      </c>
      <c r="F627" s="27">
        <v>11</v>
      </c>
      <c r="G627" s="34">
        <f t="shared" si="138"/>
        <v>46.2</v>
      </c>
      <c r="H627" s="33"/>
      <c r="I627" s="33"/>
      <c r="J627" s="33"/>
      <c r="K627" s="29"/>
      <c r="L627" s="29"/>
      <c r="M627" s="35" t="str">
        <f t="shared" ca="1" si="140"/>
        <v/>
      </c>
      <c r="N627" s="46"/>
      <c r="O627" s="47"/>
    </row>
    <row r="628" spans="1:15" ht="15" customHeight="1">
      <c r="A628" s="68">
        <v>46227</v>
      </c>
      <c r="B628" s="25">
        <f t="shared" si="139"/>
        <v>0.54166666666666641</v>
      </c>
      <c r="C628" s="33" t="s">
        <v>29</v>
      </c>
      <c r="D628" s="62" t="s">
        <v>30</v>
      </c>
      <c r="E628" s="62" t="s">
        <v>257</v>
      </c>
      <c r="F628" s="27">
        <v>7</v>
      </c>
      <c r="G628" s="28">
        <f t="shared" si="138"/>
        <v>29.400000000000002</v>
      </c>
      <c r="H628" s="26"/>
      <c r="I628" s="26"/>
      <c r="J628" s="26"/>
      <c r="K628" s="29"/>
      <c r="L628" s="29"/>
      <c r="M628" s="30" t="str">
        <f t="shared" ca="1" si="140"/>
        <v/>
      </c>
      <c r="N628" s="46"/>
      <c r="O628" s="47"/>
    </row>
    <row r="629" spans="1:15" ht="15" customHeight="1">
      <c r="A629" s="69">
        <v>46227</v>
      </c>
      <c r="B629" s="32">
        <f t="shared" si="139"/>
        <v>0.58333333333333304</v>
      </c>
      <c r="C629" s="33" t="s">
        <v>29</v>
      </c>
      <c r="D629" s="62" t="s">
        <v>30</v>
      </c>
      <c r="E629" s="62" t="s">
        <v>257</v>
      </c>
      <c r="F629" s="27">
        <v>4</v>
      </c>
      <c r="G629" s="34">
        <f t="shared" si="138"/>
        <v>16.8</v>
      </c>
      <c r="H629" s="33"/>
      <c r="I629" s="33"/>
      <c r="J629" s="33"/>
      <c r="K629" s="29"/>
      <c r="L629" s="29"/>
      <c r="M629" s="35" t="str">
        <f t="shared" ca="1" si="140"/>
        <v/>
      </c>
      <c r="N629" s="46"/>
      <c r="O629" s="47"/>
    </row>
    <row r="630" spans="1:15" ht="15" customHeight="1">
      <c r="A630" s="68">
        <v>46227</v>
      </c>
      <c r="B630" s="25">
        <f t="shared" si="139"/>
        <v>0.62499999999999967</v>
      </c>
      <c r="C630" s="33" t="s">
        <v>29</v>
      </c>
      <c r="D630" s="62" t="s">
        <v>30</v>
      </c>
      <c r="E630" s="62" t="s">
        <v>257</v>
      </c>
      <c r="F630" s="27">
        <v>2</v>
      </c>
      <c r="G630" s="28">
        <f t="shared" si="138"/>
        <v>8.4</v>
      </c>
      <c r="H630" s="26"/>
      <c r="I630" s="26"/>
      <c r="J630" s="26"/>
      <c r="K630" s="29"/>
      <c r="L630" s="29"/>
      <c r="M630" s="30" t="str">
        <f t="shared" ca="1" si="140"/>
        <v/>
      </c>
      <c r="N630" s="46"/>
      <c r="O630" s="47"/>
    </row>
    <row r="631" spans="1:15" ht="15" customHeight="1">
      <c r="A631" s="69">
        <v>46227</v>
      </c>
      <c r="B631" s="32">
        <f t="shared" si="139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40"/>
        <v/>
      </c>
      <c r="N631" s="46"/>
      <c r="O631" s="47"/>
    </row>
    <row r="632" spans="1:15" ht="15" customHeight="1">
      <c r="A632" s="68">
        <v>46227</v>
      </c>
      <c r="B632" s="25">
        <f t="shared" si="139"/>
        <v>0.70833333333333293</v>
      </c>
      <c r="C632" s="33" t="s">
        <v>29</v>
      </c>
      <c r="D632" s="62" t="s">
        <v>30</v>
      </c>
      <c r="E632" s="62" t="s">
        <v>257</v>
      </c>
      <c r="F632" s="27">
        <v>13</v>
      </c>
      <c r="G632" s="28">
        <f t="shared" si="138"/>
        <v>54.6</v>
      </c>
      <c r="H632" s="26"/>
      <c r="I632" s="26"/>
      <c r="J632" s="26"/>
      <c r="K632" s="29"/>
      <c r="L632" s="29"/>
      <c r="M632" s="30" t="str">
        <f t="shared" ca="1" si="140"/>
        <v/>
      </c>
      <c r="N632" s="46"/>
      <c r="O632" s="47"/>
    </row>
    <row r="633" spans="1:15" ht="15" customHeight="1">
      <c r="A633" s="69">
        <v>46227</v>
      </c>
      <c r="B633" s="32">
        <f t="shared" si="139"/>
        <v>0.74999999999999956</v>
      </c>
      <c r="C633" s="33" t="s">
        <v>29</v>
      </c>
      <c r="D633" s="62" t="s">
        <v>30</v>
      </c>
      <c r="E633" s="62" t="s">
        <v>257</v>
      </c>
      <c r="F633" s="27">
        <v>11</v>
      </c>
      <c r="G633" s="34">
        <f t="shared" si="138"/>
        <v>46.2</v>
      </c>
      <c r="H633" s="33"/>
      <c r="I633" s="33"/>
      <c r="J633" s="33"/>
      <c r="K633" s="29"/>
      <c r="L633" s="29"/>
      <c r="M633" s="35" t="str">
        <f t="shared" ca="1" si="140"/>
        <v/>
      </c>
      <c r="N633" s="46"/>
      <c r="O633" s="47"/>
    </row>
    <row r="634" spans="1:15" ht="15" customHeight="1">
      <c r="A634" s="68">
        <v>46227</v>
      </c>
      <c r="B634" s="25">
        <f t="shared" si="139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40"/>
        <v/>
      </c>
      <c r="N634" s="46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93</v>
      </c>
      <c r="G635" s="36">
        <f>SUM(G623:G634)</f>
        <v>390.59999999999997</v>
      </c>
      <c r="H635" s="37"/>
      <c r="I635" s="37"/>
      <c r="J635" s="37"/>
      <c r="K635" s="37"/>
      <c r="L635" s="37"/>
      <c r="M635" s="38">
        <f ca="1">IFERROR(SUM(M623:M634),"")</f>
        <v>1.0152777777777771</v>
      </c>
      <c r="N635" s="36" t="s">
        <v>233</v>
      </c>
      <c r="O635" s="77">
        <v>508090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18</v>
      </c>
      <c r="G636" s="28">
        <f t="shared" ref="G636:G647" si="141">IF(F636="","",IF(E636="PC 17",F636*4.2,IF(E636="PC 19",F636*5,"")))</f>
        <v>75.600000000000009</v>
      </c>
      <c r="H636" s="26" t="s">
        <v>19</v>
      </c>
      <c r="I636" s="26" t="s">
        <v>156</v>
      </c>
      <c r="J636" s="26" t="s">
        <v>27</v>
      </c>
      <c r="K636" s="29">
        <v>0.88541666666666663</v>
      </c>
      <c r="L636" s="29">
        <v>0.90277777777777779</v>
      </c>
      <c r="M636" s="30">
        <f t="shared" ref="M636:M647" ca="1" si="142">IFERROR(IF(K636="","",IF(L636="",MOD(NOW()-K636,1),IF(L636&gt;=K636,L636-K636,L636+1-K636))),"")</f>
        <v>1.736111111111116E-2</v>
      </c>
      <c r="N636" s="46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24</v>
      </c>
      <c r="G637" s="34">
        <f t="shared" si="141"/>
        <v>100.80000000000001</v>
      </c>
      <c r="H637" s="33" t="s">
        <v>20</v>
      </c>
      <c r="I637" s="33" t="s">
        <v>39</v>
      </c>
      <c r="J637" s="33" t="s">
        <v>51</v>
      </c>
      <c r="K637" s="29">
        <v>0.90833333333333333</v>
      </c>
      <c r="L637" s="29">
        <v>0.9145833333333333</v>
      </c>
      <c r="M637" s="35">
        <f t="shared" ca="1" si="142"/>
        <v>6.2499999999999778E-3</v>
      </c>
      <c r="N637" s="46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 t="s">
        <v>20</v>
      </c>
      <c r="I638" s="26" t="s">
        <v>120</v>
      </c>
      <c r="J638" s="26" t="s">
        <v>113</v>
      </c>
      <c r="K638" s="29">
        <v>2.0833333333333332E-2</v>
      </c>
      <c r="L638" s="29">
        <v>9.0277777777777776E-2</v>
      </c>
      <c r="M638" s="30">
        <f t="shared" ca="1" si="142"/>
        <v>6.9444444444444448E-2</v>
      </c>
      <c r="N638" s="46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25</v>
      </c>
      <c r="G639" s="34">
        <f t="shared" si="141"/>
        <v>105</v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20</v>
      </c>
      <c r="G640" s="28">
        <f t="shared" si="141"/>
        <v>84</v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1</v>
      </c>
      <c r="G641" s="34">
        <f t="shared" si="141"/>
        <v>4.2</v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22</v>
      </c>
      <c r="G643" s="34">
        <f t="shared" si="141"/>
        <v>92.4</v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15</v>
      </c>
      <c r="G644" s="28">
        <f t="shared" si="141"/>
        <v>63</v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17</v>
      </c>
      <c r="G646" s="28">
        <f t="shared" si="141"/>
        <v>71.400000000000006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12</v>
      </c>
      <c r="G647" s="34">
        <f t="shared" si="141"/>
        <v>50.400000000000006</v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184</v>
      </c>
      <c r="G648" s="36">
        <f>SUM(G636:G647)</f>
        <v>772.8</v>
      </c>
      <c r="H648" s="37"/>
      <c r="I648" s="37"/>
      <c r="J648" s="37"/>
      <c r="K648" s="37"/>
      <c r="L648" s="37"/>
      <c r="M648" s="38">
        <f ca="1">IFERROR(SUM(M636:M647),"")</f>
        <v>9.3055555555555586E-2</v>
      </c>
      <c r="N648" s="36" t="s">
        <v>233</v>
      </c>
      <c r="O648" s="77">
        <v>757160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277</v>
      </c>
      <c r="G649" s="40">
        <f>G635+G648</f>
        <v>1163.3999999999999</v>
      </c>
      <c r="H649" s="41"/>
      <c r="I649" s="41"/>
      <c r="J649" s="41"/>
      <c r="K649" s="41"/>
      <c r="L649" s="41"/>
      <c r="M649" s="42">
        <f ca="1">IFERROR(M635+M648,"")</f>
        <v>1.1083333333333327</v>
      </c>
      <c r="N649" s="40" t="s">
        <v>236</v>
      </c>
      <c r="O649" s="83">
        <f>O635+O648</f>
        <v>1265250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8</v>
      </c>
      <c r="G650" s="28">
        <f t="shared" ref="G650:G661" si="144">IF(F650="","",IF(E650="PC 17",F650*4.2,IF(E650="PC 19",F650*5,"")))</f>
        <v>33.6</v>
      </c>
      <c r="H650" s="26" t="s">
        <v>20</v>
      </c>
      <c r="I650" s="26" t="s">
        <v>31</v>
      </c>
      <c r="J650" s="26" t="s">
        <v>56</v>
      </c>
      <c r="K650" s="29">
        <v>0.30277777777777776</v>
      </c>
      <c r="L650" s="29">
        <v>0.32847222222222222</v>
      </c>
      <c r="M650" s="30">
        <f t="shared" ref="M650:M661" ca="1" si="145">IFERROR(IF(K650="","",IF(L650="",MOD(NOW()-K650,1),IF(L650&gt;=K650,L650-K650,L650+1-K650))),"")</f>
        <v>2.5694444444444464E-2</v>
      </c>
      <c r="N650" s="46" t="s">
        <v>311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8</v>
      </c>
      <c r="G651" s="34">
        <f t="shared" si="144"/>
        <v>33.6</v>
      </c>
      <c r="H651" s="33" t="s">
        <v>19</v>
      </c>
      <c r="I651" s="33" t="s">
        <v>39</v>
      </c>
      <c r="J651" s="33" t="s">
        <v>27</v>
      </c>
      <c r="K651" s="29">
        <v>0.30277777777777776</v>
      </c>
      <c r="L651" s="29">
        <v>0.32291666666666669</v>
      </c>
      <c r="M651" s="35">
        <f t="shared" ca="1" si="145"/>
        <v>2.0138888888888928E-2</v>
      </c>
      <c r="N651" s="46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 t="s">
        <v>18</v>
      </c>
      <c r="I652" s="26"/>
      <c r="J652" s="26" t="s">
        <v>127</v>
      </c>
      <c r="K652" s="29">
        <v>0.35902777777777778</v>
      </c>
      <c r="L652" s="29">
        <v>0.41875000000000001</v>
      </c>
      <c r="M652" s="30">
        <f t="shared" ca="1" si="145"/>
        <v>5.9722222222222232E-2</v>
      </c>
      <c r="N652" s="46" t="s">
        <v>312</v>
      </c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10</v>
      </c>
      <c r="G653" s="34">
        <f t="shared" si="144"/>
        <v>42</v>
      </c>
      <c r="H653" s="33" t="s">
        <v>20</v>
      </c>
      <c r="I653" s="33" t="s">
        <v>39</v>
      </c>
      <c r="J653" s="33" t="s">
        <v>51</v>
      </c>
      <c r="K653" s="29">
        <v>0.4284722222222222</v>
      </c>
      <c r="L653" s="29">
        <v>0.44236111111111109</v>
      </c>
      <c r="M653" s="35">
        <f t="shared" ca="1" si="145"/>
        <v>1.3888888888888895E-2</v>
      </c>
      <c r="N653" s="46" t="s">
        <v>313</v>
      </c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 t="s">
        <v>20</v>
      </c>
      <c r="I654" s="26" t="s">
        <v>31</v>
      </c>
      <c r="J654" s="26" t="s">
        <v>56</v>
      </c>
      <c r="K654" s="29">
        <v>0.53749999999999998</v>
      </c>
      <c r="L654" s="29">
        <v>0.55069444444444449</v>
      </c>
      <c r="M654" s="30">
        <f t="shared" ca="1" si="145"/>
        <v>1.3194444444444509E-2</v>
      </c>
      <c r="N654" s="46" t="s">
        <v>314</v>
      </c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18</v>
      </c>
      <c r="G655" s="34">
        <f t="shared" si="144"/>
        <v>75.600000000000009</v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18</v>
      </c>
      <c r="G656" s="28">
        <f t="shared" si="144"/>
        <v>75.600000000000009</v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72</v>
      </c>
      <c r="G662" s="36">
        <f>SUM(G650:G661)</f>
        <v>310.40000000000003</v>
      </c>
      <c r="H662" s="37"/>
      <c r="I662" s="37"/>
      <c r="J662" s="37"/>
      <c r="K662" s="37"/>
      <c r="L662" s="37"/>
      <c r="M662" s="38">
        <f ca="1">IFERROR(SUM(M650:M661),"")</f>
        <v>0.13263888888888903</v>
      </c>
      <c r="N662" s="36" t="s">
        <v>233</v>
      </c>
      <c r="O662" s="77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77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72</v>
      </c>
      <c r="G676" s="40">
        <f>G662+G675</f>
        <v>310.40000000000003</v>
      </c>
      <c r="H676" s="41"/>
      <c r="I676" s="41"/>
      <c r="J676" s="41"/>
      <c r="K676" s="41"/>
      <c r="L676" s="41"/>
      <c r="M676" s="42">
        <f ca="1">IFERROR(M662+M675,"")</f>
        <v>0.13263888888888903</v>
      </c>
      <c r="N676" s="40" t="s">
        <v>236</v>
      </c>
      <c r="O676" s="83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77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77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83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77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77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83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77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83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77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83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77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82">
        <f>IFERROR(O797+O810,"")</f>
        <v>0</v>
      </c>
    </row>
  </sheetData>
  <mergeCells count="85"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22:E622"/>
    <mergeCell ref="A635:E635"/>
    <mergeCell ref="A554:E554"/>
    <mergeCell ref="A567:E567"/>
    <mergeCell ref="A568:E568"/>
    <mergeCell ref="A581:E581"/>
    <mergeCell ref="A594:E594"/>
    <mergeCell ref="A527:E527"/>
    <mergeCell ref="A540:E540"/>
    <mergeCell ref="A541:E541"/>
    <mergeCell ref="A608:E608"/>
    <mergeCell ref="A621:E621"/>
    <mergeCell ref="A486:E486"/>
    <mergeCell ref="A487:E487"/>
    <mergeCell ref="A500:E50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89:E189"/>
    <mergeCell ref="A190:E190"/>
    <mergeCell ref="A203:E203"/>
    <mergeCell ref="A216:E216"/>
    <mergeCell ref="A217:E217"/>
    <mergeCell ref="A136:E136"/>
    <mergeCell ref="A149:E149"/>
    <mergeCell ref="A162:E162"/>
    <mergeCell ref="A163:E163"/>
    <mergeCell ref="A176:E176"/>
    <mergeCell ref="A95:E95"/>
    <mergeCell ref="A108:E108"/>
    <mergeCell ref="A109:E109"/>
    <mergeCell ref="A122:E122"/>
    <mergeCell ref="A135:E135"/>
    <mergeCell ref="A54:E54"/>
    <mergeCell ref="A55:E55"/>
    <mergeCell ref="A68:E68"/>
    <mergeCell ref="A81:E81"/>
    <mergeCell ref="A82:E82"/>
  </mergeCells>
  <dataValidations count="2">
    <dataValidation type="list" allowBlank="1" showErrorMessage="1" errorTitle="Valor inválido" error="Selecione PC 17 ou PC 19 da lista." sqref="E2:E13 E15:E26 E29:E431 E434:E512 E515:E610 E612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E432:E433 E513:E514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 H406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H2:H405 H407:H900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topLeftCell="A642" zoomScale="50" zoomScaleNormal="50" workbookViewId="0">
      <selection activeCell="F657" sqref="F657"/>
    </sheetView>
  </sheetViews>
  <sheetFormatPr defaultColWidth="8.5703125" defaultRowHeight="14.45"/>
  <cols>
    <col min="1" max="1" width="13" style="74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27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54.5703125" style="20" customWidth="1"/>
    <col min="15" max="15" width="14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177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313</v>
      </c>
      <c r="O4" s="31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315</v>
      </c>
      <c r="O6" s="31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163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233</v>
      </c>
      <c r="O14" s="39">
        <v>292530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8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69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257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8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257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69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257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8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257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69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257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8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257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69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257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8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257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69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257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8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233</v>
      </c>
      <c r="O27" s="39">
        <v>308500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236</v>
      </c>
      <c r="O28" s="43">
        <f>IFERROR(O14+O27,"")</f>
        <v>601030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164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316</v>
      </c>
      <c r="O29" s="31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257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257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257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233</v>
      </c>
      <c r="O41" s="39">
        <v>205590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38</v>
      </c>
      <c r="E42" s="62" t="s">
        <v>257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257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257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257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257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257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257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257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257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257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257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233</v>
      </c>
      <c r="O54" s="39">
        <v>124290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236</v>
      </c>
      <c r="O55" s="43">
        <f>IFERROR(O41+O54,"")</f>
        <v>329880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317</v>
      </c>
      <c r="O59" s="31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257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257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257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257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257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257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257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257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233</v>
      </c>
      <c r="O68" s="39">
        <v>441440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164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299</v>
      </c>
      <c r="O69" s="31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257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233</v>
      </c>
      <c r="O81" s="39">
        <v>396340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236</v>
      </c>
      <c r="O82" s="43">
        <f>IFERROR(O68+O81,"")</f>
        <v>837780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230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230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230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230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230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318</v>
      </c>
      <c r="O88" s="31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230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233</v>
      </c>
      <c r="O95" s="39">
        <v>536290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233</v>
      </c>
      <c r="O108" s="39">
        <v>41230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236</v>
      </c>
      <c r="O109" s="43">
        <f>IFERROR(O95+O108,"")</f>
        <v>577520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233</v>
      </c>
      <c r="O122" s="39">
        <v>51130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191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31"/>
    </row>
    <row r="130" spans="1:15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233</v>
      </c>
      <c r="O135" s="39">
        <v>381250</v>
      </c>
    </row>
    <row r="136" spans="1:15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236</v>
      </c>
      <c r="O136" s="43">
        <f>IFERROR(O122+O135,"")</f>
        <v>432380</v>
      </c>
    </row>
    <row r="137" spans="1:15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319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276</v>
      </c>
      <c r="K141" s="29">
        <v>0.71597222222222223</v>
      </c>
      <c r="L141" s="29" t="s">
        <v>320</v>
      </c>
      <c r="M141" s="35" t="str">
        <f t="shared" ca="1" si="31"/>
        <v/>
      </c>
      <c r="N141" s="27"/>
      <c r="O141" s="31"/>
    </row>
    <row r="142" spans="1:15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230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230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230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230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233</v>
      </c>
      <c r="O149" s="39">
        <v>584680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321</v>
      </c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278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233</v>
      </c>
      <c r="O162" s="39">
        <v>337120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236</v>
      </c>
      <c r="O163" s="43">
        <f>IFERROR(O149+O162,"")</f>
        <v>921800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257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127</v>
      </c>
      <c r="K166" s="29">
        <v>0.45694444444444443</v>
      </c>
      <c r="L166" s="29">
        <v>0.47222222222222221</v>
      </c>
      <c r="M166" s="30" t="s">
        <v>322</v>
      </c>
      <c r="N166" s="27" t="s">
        <v>323</v>
      </c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257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257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257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257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257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257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257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257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233</v>
      </c>
      <c r="O176" s="39">
        <v>190950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3</v>
      </c>
      <c r="G178" s="28">
        <f t="shared" si="39"/>
        <v>12.600000000000001</v>
      </c>
      <c r="H178" s="26" t="s">
        <v>19</v>
      </c>
      <c r="I178" s="26" t="s">
        <v>47</v>
      </c>
      <c r="J178" s="26" t="s">
        <v>27</v>
      </c>
      <c r="K178" s="29">
        <v>0.21041666666666667</v>
      </c>
      <c r="L178" s="29">
        <v>0.22361111111111112</v>
      </c>
      <c r="M178" s="30">
        <f t="shared" ca="1" si="40"/>
        <v>1.3194444444444453E-2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13</v>
      </c>
      <c r="G185" s="34">
        <f t="shared" si="39"/>
        <v>54.6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13</v>
      </c>
      <c r="G186" s="28">
        <f t="shared" si="39"/>
        <v>54.6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5</v>
      </c>
      <c r="G187" s="34">
        <f t="shared" si="39"/>
        <v>21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2</v>
      </c>
      <c r="G188" s="28">
        <f t="shared" si="39"/>
        <v>8.4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131</v>
      </c>
      <c r="G189" s="36">
        <f>SUM(G177:G188)</f>
        <v>550.20000000000005</v>
      </c>
      <c r="H189" s="37"/>
      <c r="I189" s="37"/>
      <c r="J189" s="37"/>
      <c r="K189" s="37"/>
      <c r="L189" s="37"/>
      <c r="M189" s="38">
        <f ca="1">IFERROR(SUM(M177:M188),"")</f>
        <v>1.6666666666666663E-2</v>
      </c>
      <c r="N189" s="36" t="s">
        <v>233</v>
      </c>
      <c r="O189" s="39">
        <v>747210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215</v>
      </c>
      <c r="G190" s="40">
        <f>G176+G189</f>
        <v>905.40000000000009</v>
      </c>
      <c r="H190" s="41"/>
      <c r="I190" s="41"/>
      <c r="J190" s="41"/>
      <c r="K190" s="41"/>
      <c r="L190" s="41"/>
      <c r="M190" s="42">
        <f ca="1">IFERROR(M176+M189,"")</f>
        <v>4.9305555555555602E-2</v>
      </c>
      <c r="N190" s="40" t="s">
        <v>236</v>
      </c>
      <c r="O190" s="43">
        <f>IFERROR(O176+O189,"")</f>
        <v>938160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5</v>
      </c>
      <c r="G191" s="34">
        <f t="shared" ref="G191:G202" si="42">IF(F191="","",IF(E191="PC 17",F191*4.2,IF(E191="PC 19",F191*5,"")))</f>
        <v>21</v>
      </c>
      <c r="H191" s="33" t="s">
        <v>18</v>
      </c>
      <c r="I191" s="33" t="s">
        <v>135</v>
      </c>
      <c r="J191" s="33" t="s">
        <v>94</v>
      </c>
      <c r="K191" s="29">
        <v>0.33194444444444443</v>
      </c>
      <c r="L191" s="29">
        <v>0.35347222222222224</v>
      </c>
      <c r="M191" s="35">
        <f t="shared" ref="M191:M202" ca="1" si="43">IFERROR(IF(K191="","",IF(L191="",MOD(NOW()-K191,1),IF(L191&gt;=K191,L191-K191,L191+1-K191))),"")</f>
        <v>2.1527777777777812E-2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5</v>
      </c>
      <c r="G192" s="28">
        <f t="shared" si="42"/>
        <v>21</v>
      </c>
      <c r="H192" s="26" t="s">
        <v>20</v>
      </c>
      <c r="I192" s="26" t="s">
        <v>47</v>
      </c>
      <c r="J192" s="26" t="s">
        <v>169</v>
      </c>
      <c r="K192" s="29">
        <v>0.38263888888888886</v>
      </c>
      <c r="L192" s="29">
        <v>0.4826388888888889</v>
      </c>
      <c r="M192" s="30">
        <f t="shared" ca="1" si="43"/>
        <v>0.10000000000000003</v>
      </c>
      <c r="N192" s="27" t="s">
        <v>324</v>
      </c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2</v>
      </c>
      <c r="G193" s="34">
        <f t="shared" si="42"/>
        <v>8.4</v>
      </c>
      <c r="H193" s="33" t="s">
        <v>20</v>
      </c>
      <c r="I193" s="33" t="s">
        <v>47</v>
      </c>
      <c r="J193" s="33" t="s">
        <v>56</v>
      </c>
      <c r="K193" s="29">
        <v>0.61388888888888893</v>
      </c>
      <c r="L193" s="29">
        <v>0.62569444444444444</v>
      </c>
      <c r="M193" s="35">
        <f t="shared" ca="1" si="43"/>
        <v>1.1805555555555514E-2</v>
      </c>
      <c r="N193" s="27"/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0</v>
      </c>
      <c r="G194" s="28">
        <f t="shared" si="42"/>
        <v>0</v>
      </c>
      <c r="H194" s="26" t="s">
        <v>20</v>
      </c>
      <c r="I194" s="26" t="s">
        <v>47</v>
      </c>
      <c r="J194" s="26" t="s">
        <v>161</v>
      </c>
      <c r="K194" s="29">
        <v>0.75486111111111109</v>
      </c>
      <c r="L194" s="29">
        <v>0.77777777777777779</v>
      </c>
      <c r="M194" s="30">
        <f t="shared" ca="1" si="43"/>
        <v>2.2916666666666696E-2</v>
      </c>
      <c r="N194" s="27"/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4</v>
      </c>
      <c r="G195" s="34">
        <f t="shared" si="42"/>
        <v>16.8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14</v>
      </c>
      <c r="G196" s="28">
        <f t="shared" si="42"/>
        <v>58.800000000000004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7</v>
      </c>
      <c r="G198" s="28">
        <f t="shared" si="42"/>
        <v>29.400000000000002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15</v>
      </c>
      <c r="G199" s="34">
        <f t="shared" si="42"/>
        <v>63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12</v>
      </c>
      <c r="G200" s="28">
        <f t="shared" si="42"/>
        <v>50.400000000000006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6</v>
      </c>
      <c r="G201" s="34">
        <f t="shared" si="42"/>
        <v>25.200000000000003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90</v>
      </c>
      <c r="G203" s="36">
        <f>SUM(G191:G202)</f>
        <v>377.99999999999994</v>
      </c>
      <c r="H203" s="37"/>
      <c r="I203" s="37"/>
      <c r="J203" s="37"/>
      <c r="K203" s="37"/>
      <c r="L203" s="37"/>
      <c r="M203" s="38">
        <f ca="1">IFERROR(SUM(M191:M202),"")</f>
        <v>0.15625000000000006</v>
      </c>
      <c r="N203" s="36" t="s">
        <v>233</v>
      </c>
      <c r="O203" s="39">
        <v>324840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6</v>
      </c>
      <c r="G204" s="28">
        <f t="shared" ref="G204:G215" si="45">IF(F204="","",IF(E204="PC 17",F204*4.2,IF(E204="PC 19",F204*5,"")))</f>
        <v>25.200000000000003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47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13</v>
      </c>
      <c r="G205" s="34">
        <f t="shared" si="45"/>
        <v>65</v>
      </c>
      <c r="H205" s="33" t="s">
        <v>19</v>
      </c>
      <c r="I205" s="33" t="s">
        <v>47</v>
      </c>
      <c r="J205" s="33" t="s">
        <v>78</v>
      </c>
      <c r="K205" s="29">
        <v>9.0277777777777776E-2</v>
      </c>
      <c r="L205" s="29">
        <v>0.1111111111111111</v>
      </c>
      <c r="M205" s="35">
        <f t="shared" ca="1" si="46"/>
        <v>2.0833333333333329E-2</v>
      </c>
      <c r="N205" s="27"/>
      <c r="O205" s="47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15</v>
      </c>
      <c r="G206" s="28">
        <f t="shared" si="45"/>
        <v>63</v>
      </c>
      <c r="H206" s="26" t="s">
        <v>19</v>
      </c>
      <c r="I206" s="26" t="s">
        <v>47</v>
      </c>
      <c r="J206" s="26" t="s">
        <v>27</v>
      </c>
      <c r="K206" s="29">
        <v>0.24652777777777779</v>
      </c>
      <c r="L206" s="29">
        <v>0.25694444444444442</v>
      </c>
      <c r="M206" s="30">
        <f t="shared" ca="1" si="46"/>
        <v>1.041666666666663E-2</v>
      </c>
      <c r="N206" s="27"/>
      <c r="O206" s="47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9</v>
      </c>
      <c r="G207" s="34">
        <f t="shared" si="45"/>
        <v>37.800000000000004</v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7</v>
      </c>
      <c r="G208" s="28">
        <f t="shared" si="45"/>
        <v>29.400000000000002</v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8</v>
      </c>
      <c r="G209" s="34">
        <f t="shared" si="45"/>
        <v>33.6</v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8</v>
      </c>
      <c r="G210" s="28">
        <f t="shared" si="45"/>
        <v>33.6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11</v>
      </c>
      <c r="G211" s="34">
        <f t="shared" si="45"/>
        <v>46.2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10</v>
      </c>
      <c r="G212" s="28">
        <f t="shared" si="45"/>
        <v>42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2</v>
      </c>
      <c r="G213" s="34">
        <f t="shared" si="45"/>
        <v>8.4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10</v>
      </c>
      <c r="G214" s="28">
        <f t="shared" si="45"/>
        <v>42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0</v>
      </c>
      <c r="G215" s="34">
        <f t="shared" si="45"/>
        <v>0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99</v>
      </c>
      <c r="G216" s="36">
        <f>SUM(G204:G215)</f>
        <v>426.2</v>
      </c>
      <c r="H216" s="37"/>
      <c r="I216" s="37"/>
      <c r="J216" s="37"/>
      <c r="K216" s="37"/>
      <c r="L216" s="37"/>
      <c r="M216" s="38">
        <f ca="1">IFERROR(SUM(M204:M215),"")</f>
        <v>6.5972222222222168E-2</v>
      </c>
      <c r="N216" s="36" t="s">
        <v>233</v>
      </c>
      <c r="O216" s="39">
        <v>468430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189</v>
      </c>
      <c r="G217" s="40">
        <f>G203+G216</f>
        <v>804.19999999999993</v>
      </c>
      <c r="H217" s="41"/>
      <c r="I217" s="41"/>
      <c r="J217" s="41"/>
      <c r="K217" s="41"/>
      <c r="L217" s="41"/>
      <c r="M217" s="42">
        <f ca="1">IFERROR(M203+M216,"")</f>
        <v>0.22222222222222221</v>
      </c>
      <c r="N217" s="40" t="s">
        <v>236</v>
      </c>
      <c r="O217" s="48">
        <f>IFERROR(O203+O216,"")</f>
        <v>793270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14</v>
      </c>
      <c r="G218" s="28">
        <f t="shared" ref="G218:G229" si="48">IF(F218="","",IF(E218="PC 17",F218*4.2,IF(E218="PC 19",F218*5,"")))</f>
        <v>58.800000000000004</v>
      </c>
      <c r="H218" s="26" t="s">
        <v>20</v>
      </c>
      <c r="I218" s="26" t="s">
        <v>47</v>
      </c>
      <c r="J218" s="26" t="s">
        <v>51</v>
      </c>
      <c r="K218" s="29">
        <v>0.63888888888888884</v>
      </c>
      <c r="L218" s="29">
        <v>0.66041666666666665</v>
      </c>
      <c r="M218" s="30">
        <f t="shared" ref="M218:M229" ca="1" si="49">IFERROR(IF(K218="","",IF(L218="",MOD(NOW()-K218,1),IF(L218&gt;=K218,L218-K218,L218+1-K218))),"")</f>
        <v>2.1527777777777812E-2</v>
      </c>
      <c r="N218" s="27"/>
      <c r="O218" s="47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11</v>
      </c>
      <c r="G219" s="34">
        <f t="shared" si="48"/>
        <v>46.2</v>
      </c>
      <c r="H219" s="33" t="s">
        <v>20</v>
      </c>
      <c r="I219" s="33" t="s">
        <v>47</v>
      </c>
      <c r="J219" s="33" t="s">
        <v>51</v>
      </c>
      <c r="K219" s="29">
        <v>0.6694444444444444</v>
      </c>
      <c r="L219" s="29">
        <v>0.6743055555555556</v>
      </c>
      <c r="M219" s="35">
        <f t="shared" ca="1" si="49"/>
        <v>4.8611111111112049E-3</v>
      </c>
      <c r="N219" s="27"/>
      <c r="O219" s="47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4</v>
      </c>
      <c r="G220" s="28">
        <f t="shared" si="48"/>
        <v>16.8</v>
      </c>
      <c r="H220" s="26" t="s">
        <v>20</v>
      </c>
      <c r="I220" s="26" t="s">
        <v>47</v>
      </c>
      <c r="J220" s="26" t="s">
        <v>51</v>
      </c>
      <c r="K220" s="29">
        <v>0.67638888888888893</v>
      </c>
      <c r="L220" s="29">
        <v>0.68194444444444446</v>
      </c>
      <c r="M220" s="30">
        <f t="shared" ca="1" si="49"/>
        <v>5.5555555555555358E-3</v>
      </c>
      <c r="N220" s="27"/>
      <c r="O220" s="47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47</v>
      </c>
      <c r="J221" s="33" t="s">
        <v>51</v>
      </c>
      <c r="K221" s="29">
        <v>0.74930555555555556</v>
      </c>
      <c r="L221" s="29">
        <v>0.75277777777777777</v>
      </c>
      <c r="M221" s="35">
        <f t="shared" ca="1" si="49"/>
        <v>3.4722222222222099E-3</v>
      </c>
      <c r="N221" s="27"/>
      <c r="O221" s="47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11</v>
      </c>
      <c r="G223" s="34">
        <f t="shared" si="48"/>
        <v>46.2</v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38</v>
      </c>
      <c r="E224" s="59" t="s">
        <v>257</v>
      </c>
      <c r="F224" s="27">
        <v>15</v>
      </c>
      <c r="G224" s="28">
        <f t="shared" si="48"/>
        <v>63</v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38</v>
      </c>
      <c r="E225" s="59" t="s">
        <v>257</v>
      </c>
      <c r="F225" s="27">
        <v>10</v>
      </c>
      <c r="G225" s="34">
        <f t="shared" si="48"/>
        <v>42</v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38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38</v>
      </c>
      <c r="E227" s="59" t="s">
        <v>257</v>
      </c>
      <c r="F227" s="27">
        <v>0</v>
      </c>
      <c r="G227" s="34">
        <f t="shared" si="48"/>
        <v>0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38</v>
      </c>
      <c r="E228" s="59" t="s">
        <v>257</v>
      </c>
      <c r="F228" s="27">
        <v>10</v>
      </c>
      <c r="G228" s="28">
        <f t="shared" si="48"/>
        <v>42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38</v>
      </c>
      <c r="E229" s="59" t="s">
        <v>257</v>
      </c>
      <c r="F229" s="27">
        <v>12</v>
      </c>
      <c r="G229" s="34">
        <f t="shared" si="48"/>
        <v>50.400000000000006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102</v>
      </c>
      <c r="G230" s="36">
        <f>SUM(G218:G229)</f>
        <v>428.4</v>
      </c>
      <c r="H230" s="37"/>
      <c r="I230" s="37"/>
      <c r="J230" s="37"/>
      <c r="K230" s="37"/>
      <c r="L230" s="37"/>
      <c r="M230" s="38">
        <f ca="1">IFERROR(SUM(M218:M229),"")</f>
        <v>3.5416666666666763E-2</v>
      </c>
      <c r="N230" s="36" t="s">
        <v>233</v>
      </c>
      <c r="O230" s="39">
        <v>469520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20</v>
      </c>
      <c r="G231" s="34">
        <f t="shared" ref="G231:G242" si="51">IF(F231="","",IF(E231="PC 17",F231*4.2,IF(E231="PC 19",F231*5,"")))</f>
        <v>84</v>
      </c>
      <c r="H231" s="33" t="s">
        <v>20</v>
      </c>
      <c r="I231" s="33" t="s">
        <v>146</v>
      </c>
      <c r="J231" s="33" t="s">
        <v>179</v>
      </c>
      <c r="K231" s="29">
        <v>0.9375</v>
      </c>
      <c r="L231" s="29">
        <v>0.95833333333333337</v>
      </c>
      <c r="M231" s="35">
        <f t="shared" ref="M231:M242" ca="1" si="52">IFERROR(IF(K231="","",IF(L231="",MOD(NOW()-K231,1),IF(L231&gt;=K231,L231-K231,L231+1-K231))),"")</f>
        <v>2.083333333333337E-2</v>
      </c>
      <c r="N231" s="27"/>
      <c r="O231" s="47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7</v>
      </c>
      <c r="G232" s="28">
        <f t="shared" si="51"/>
        <v>35</v>
      </c>
      <c r="H232" s="26" t="s">
        <v>20</v>
      </c>
      <c r="I232" s="26" t="s">
        <v>146</v>
      </c>
      <c r="J232" s="26" t="s">
        <v>74</v>
      </c>
      <c r="K232" s="29">
        <v>0.96527777777777779</v>
      </c>
      <c r="L232" s="29">
        <v>0.97291666666666665</v>
      </c>
      <c r="M232" s="30">
        <f t="shared" ca="1" si="52"/>
        <v>7.6388888888888618E-3</v>
      </c>
      <c r="N232" s="27"/>
      <c r="O232" s="47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14</v>
      </c>
      <c r="G233" s="34">
        <f t="shared" si="51"/>
        <v>58.800000000000004</v>
      </c>
      <c r="H233" s="33" t="s">
        <v>18</v>
      </c>
      <c r="I233" s="33" t="s">
        <v>138</v>
      </c>
      <c r="J233" s="33" t="s">
        <v>100</v>
      </c>
      <c r="K233" s="29">
        <v>6.9444444444444448E-2</v>
      </c>
      <c r="L233" s="29">
        <v>8.3333333333333329E-2</v>
      </c>
      <c r="M233" s="35">
        <f t="shared" ca="1" si="52"/>
        <v>1.3888888888888881E-2</v>
      </c>
      <c r="N233" s="27"/>
      <c r="O233" s="47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4</v>
      </c>
      <c r="G234" s="28">
        <f t="shared" si="51"/>
        <v>16.8</v>
      </c>
      <c r="H234" s="26" t="s">
        <v>19</v>
      </c>
      <c r="I234" s="26" t="s">
        <v>47</v>
      </c>
      <c r="J234" s="26" t="s">
        <v>27</v>
      </c>
      <c r="K234" s="29">
        <v>0.23958333333333334</v>
      </c>
      <c r="L234" s="29">
        <v>0.25</v>
      </c>
      <c r="M234" s="30">
        <f t="shared" ca="1" si="52"/>
        <v>1.0416666666666657E-2</v>
      </c>
      <c r="N234" s="27"/>
      <c r="O234" s="47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8</v>
      </c>
      <c r="G235" s="34">
        <f t="shared" si="51"/>
        <v>33.6</v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16</v>
      </c>
      <c r="G236" s="28">
        <f t="shared" si="51"/>
        <v>67.2</v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9</v>
      </c>
      <c r="G237" s="34">
        <f t="shared" si="51"/>
        <v>37.800000000000004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10</v>
      </c>
      <c r="G238" s="28">
        <f t="shared" si="51"/>
        <v>42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257</v>
      </c>
      <c r="F239" s="27">
        <v>13</v>
      </c>
      <c r="G239" s="34">
        <f t="shared" si="51"/>
        <v>54.6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8</v>
      </c>
      <c r="G240" s="28">
        <f t="shared" si="51"/>
        <v>33.6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8</v>
      </c>
      <c r="G241" s="34">
        <f t="shared" si="51"/>
        <v>40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3</v>
      </c>
      <c r="G242" s="28">
        <f t="shared" si="51"/>
        <v>12.600000000000001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120</v>
      </c>
      <c r="G243" s="36">
        <f>SUM(G231:G242)</f>
        <v>516.00000000000011</v>
      </c>
      <c r="H243" s="37"/>
      <c r="I243" s="37"/>
      <c r="J243" s="37"/>
      <c r="K243" s="37"/>
      <c r="L243" s="37"/>
      <c r="M243" s="38">
        <f ca="1">IFERROR(SUM(M231:M242),"")</f>
        <v>5.2777777777777771E-2</v>
      </c>
      <c r="N243" s="36" t="s">
        <v>233</v>
      </c>
      <c r="O243" s="39">
        <v>575930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222</v>
      </c>
      <c r="G244" s="40">
        <f>G230+G243</f>
        <v>944.40000000000009</v>
      </c>
      <c r="H244" s="41"/>
      <c r="I244" s="41"/>
      <c r="J244" s="41"/>
      <c r="K244" s="41"/>
      <c r="L244" s="41"/>
      <c r="M244" s="42">
        <f ca="1">IFERROR(M230+M243,"")</f>
        <v>8.8194444444444534E-2</v>
      </c>
      <c r="N244" s="40" t="s">
        <v>236</v>
      </c>
      <c r="O244" s="48">
        <f>IFERROR(O230+O243,"")</f>
        <v>1045450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25</v>
      </c>
      <c r="G245" s="28">
        <f t="shared" ref="G245:G256" si="54">IF(F245="","",IF(E245="PC 17",F245*4.2,IF(E245="PC 19",F245*5,"")))</f>
        <v>105</v>
      </c>
      <c r="H245" s="33" t="s">
        <v>18</v>
      </c>
      <c r="I245" s="33" t="s">
        <v>47</v>
      </c>
      <c r="J245" s="33" t="s">
        <v>207</v>
      </c>
      <c r="K245" s="29">
        <v>0.54374999999999996</v>
      </c>
      <c r="L245" s="29">
        <v>0.55972222222222223</v>
      </c>
      <c r="M245" s="35">
        <f t="shared" ref="M245:M256" ca="1" si="55">IFERROR(IF(K245="","",IF(L245="",MOD(NOW()-K245,1),IF(L245&gt;=K245,L245-K245,L245+1-K245))),"")</f>
        <v>1.5972222222222276E-2</v>
      </c>
      <c r="N245" s="27"/>
      <c r="O245" s="47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15</v>
      </c>
      <c r="G246" s="34">
        <f t="shared" si="54"/>
        <v>63</v>
      </c>
      <c r="H246" s="33" t="s">
        <v>20</v>
      </c>
      <c r="I246" s="26" t="s">
        <v>47</v>
      </c>
      <c r="J246" s="33" t="s">
        <v>51</v>
      </c>
      <c r="K246" s="29">
        <v>0.63958333333333328</v>
      </c>
      <c r="L246" s="29">
        <v>0.65138888888888891</v>
      </c>
      <c r="M246" s="30">
        <f t="shared" ca="1" si="55"/>
        <v>1.1805555555555625E-2</v>
      </c>
      <c r="N246" s="27"/>
      <c r="O246" s="47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12</v>
      </c>
      <c r="G247" s="28">
        <f t="shared" si="54"/>
        <v>50.400000000000006</v>
      </c>
      <c r="H247" s="33" t="s">
        <v>18</v>
      </c>
      <c r="I247" s="33" t="s">
        <v>47</v>
      </c>
      <c r="J247" s="33" t="s">
        <v>51</v>
      </c>
      <c r="K247" s="29">
        <v>0.70833333333333337</v>
      </c>
      <c r="L247" s="29">
        <v>0.74444444444444446</v>
      </c>
      <c r="M247" s="35">
        <f t="shared" ca="1" si="55"/>
        <v>3.6111111111111094E-2</v>
      </c>
      <c r="N247" s="27"/>
      <c r="O247" s="47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18</v>
      </c>
      <c r="G248" s="34">
        <f t="shared" si="54"/>
        <v>75.600000000000009</v>
      </c>
      <c r="H248" s="26" t="s">
        <v>20</v>
      </c>
      <c r="I248" s="26" t="s">
        <v>47</v>
      </c>
      <c r="J248" s="26" t="s">
        <v>51</v>
      </c>
      <c r="K248" s="29">
        <v>0.77013888888888893</v>
      </c>
      <c r="L248" s="29">
        <v>0.77361111111111114</v>
      </c>
      <c r="M248" s="30">
        <f t="shared" ca="1" si="55"/>
        <v>3.4722222222222099E-3</v>
      </c>
      <c r="N248" s="27"/>
      <c r="O248" s="47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8</v>
      </c>
      <c r="G249" s="28">
        <f t="shared" si="54"/>
        <v>33.6</v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38</v>
      </c>
      <c r="E250" s="59" t="s">
        <v>257</v>
      </c>
      <c r="F250" s="27">
        <v>0</v>
      </c>
      <c r="G250" s="34">
        <f t="shared" si="54"/>
        <v>0</v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38</v>
      </c>
      <c r="E251" s="59" t="s">
        <v>257</v>
      </c>
      <c r="F251" s="27">
        <v>12</v>
      </c>
      <c r="G251" s="28">
        <f t="shared" si="54"/>
        <v>50.400000000000006</v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38</v>
      </c>
      <c r="E252" s="59" t="s">
        <v>257</v>
      </c>
      <c r="F252" s="27">
        <v>25</v>
      </c>
      <c r="G252" s="34">
        <f t="shared" si="54"/>
        <v>105</v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38</v>
      </c>
      <c r="E253" s="59" t="s">
        <v>257</v>
      </c>
      <c r="F253" s="27">
        <v>5</v>
      </c>
      <c r="G253" s="28">
        <f t="shared" si="54"/>
        <v>21</v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38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38</v>
      </c>
      <c r="E255" s="59" t="s">
        <v>257</v>
      </c>
      <c r="F255" s="27">
        <v>2</v>
      </c>
      <c r="G255" s="28">
        <f t="shared" si="54"/>
        <v>8.4</v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7</v>
      </c>
      <c r="G256" s="34">
        <f t="shared" si="54"/>
        <v>29.400000000000002</v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139</v>
      </c>
      <c r="G257" s="36">
        <f>SUM(G245:G256)</f>
        <v>583.79999999999995</v>
      </c>
      <c r="H257" s="37"/>
      <c r="I257" s="37"/>
      <c r="J257" s="37"/>
      <c r="K257" s="37"/>
      <c r="L257" s="37"/>
      <c r="M257" s="38">
        <f ca="1">IFERROR(SUM(M245:M256),"")</f>
        <v>6.7361111111111205E-2</v>
      </c>
      <c r="N257" s="36" t="s">
        <v>233</v>
      </c>
      <c r="O257" s="39">
        <v>456270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</v>
      </c>
      <c r="G258" s="34">
        <f t="shared" ref="G258:G269" si="57">IF(F258="","",IF(E258="PC 17",F258*4.2,IF(E258="PC 19",F258*5,"")))</f>
        <v>8.4</v>
      </c>
      <c r="H258" s="26" t="s">
        <v>20</v>
      </c>
      <c r="I258" s="26" t="s">
        <v>47</v>
      </c>
      <c r="J258" s="26" t="s">
        <v>51</v>
      </c>
      <c r="K258" s="29">
        <v>0.79166666666666663</v>
      </c>
      <c r="L258" s="29">
        <v>0.80069444444444449</v>
      </c>
      <c r="M258" s="30">
        <f t="shared" ref="M258:M269" ca="1" si="58">IFERROR(IF(K258="","",IF(L258="",MOD(NOW()-K258,1),IF(L258&gt;=K258,L258-K258,L258+1-K258))),"")</f>
        <v>9.0277777777778567E-3</v>
      </c>
      <c r="N258" s="27"/>
      <c r="O258" s="47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6</v>
      </c>
      <c r="G259" s="28">
        <f t="shared" si="57"/>
        <v>25.200000000000003</v>
      </c>
      <c r="H259" s="50" t="s">
        <v>20</v>
      </c>
      <c r="I259" s="50" t="s">
        <v>47</v>
      </c>
      <c r="J259" s="50" t="s">
        <v>195</v>
      </c>
      <c r="K259" s="29">
        <v>0.81736111111111109</v>
      </c>
      <c r="L259" s="29">
        <v>0.82013888888888886</v>
      </c>
      <c r="M259" s="35">
        <f t="shared" ca="1" si="58"/>
        <v>2.7777777777777679E-3</v>
      </c>
      <c r="N259" s="27" t="s">
        <v>325</v>
      </c>
      <c r="O259" s="47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8</v>
      </c>
      <c r="G260" s="34">
        <f t="shared" si="57"/>
        <v>33.6</v>
      </c>
      <c r="H260" s="33" t="s">
        <v>20</v>
      </c>
      <c r="I260" s="26" t="s">
        <v>47</v>
      </c>
      <c r="J260" s="33" t="s">
        <v>51</v>
      </c>
      <c r="K260" s="29">
        <v>9.5138888888888884E-2</v>
      </c>
      <c r="L260" s="29">
        <v>9.7222222222222224E-2</v>
      </c>
      <c r="M260" s="30">
        <f t="shared" ca="1" si="58"/>
        <v>2.0833333333333398E-3</v>
      </c>
      <c r="N260" s="27"/>
      <c r="O260" s="47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14</v>
      </c>
      <c r="G261" s="28">
        <f t="shared" si="57"/>
        <v>58.800000000000004</v>
      </c>
      <c r="H261" s="33" t="s">
        <v>16</v>
      </c>
      <c r="I261" s="33" t="s">
        <v>47</v>
      </c>
      <c r="J261" s="33" t="s">
        <v>32</v>
      </c>
      <c r="K261" s="29">
        <v>9.7222222222222224E-2</v>
      </c>
      <c r="L261" s="29">
        <v>0.10555555555555556</v>
      </c>
      <c r="M261" s="35">
        <f t="shared" ca="1" si="58"/>
        <v>8.3333333333333315E-3</v>
      </c>
      <c r="N261" s="27"/>
      <c r="O261" s="47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9</v>
      </c>
      <c r="G262" s="34">
        <f t="shared" si="57"/>
        <v>37.800000000000004</v>
      </c>
      <c r="H262" s="33" t="s">
        <v>18</v>
      </c>
      <c r="I262" s="26" t="s">
        <v>47</v>
      </c>
      <c r="J262" s="33" t="s">
        <v>121</v>
      </c>
      <c r="K262" s="29">
        <v>0.10555555555555556</v>
      </c>
      <c r="L262" s="29">
        <v>0.10902777777777778</v>
      </c>
      <c r="M262" s="30">
        <f t="shared" ca="1" si="58"/>
        <v>3.4722222222222238E-3</v>
      </c>
      <c r="N262" s="27"/>
      <c r="O262" s="47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16</v>
      </c>
      <c r="G263" s="28">
        <f t="shared" si="57"/>
        <v>67.2</v>
      </c>
      <c r="H263" s="33" t="s">
        <v>20</v>
      </c>
      <c r="I263" s="33" t="s">
        <v>47</v>
      </c>
      <c r="J263" s="33" t="s">
        <v>56</v>
      </c>
      <c r="K263" s="29">
        <v>0.13958333333333334</v>
      </c>
      <c r="L263" s="29">
        <v>0.16666666666666666</v>
      </c>
      <c r="M263" s="35">
        <f t="shared" ca="1" si="58"/>
        <v>2.708333333333332E-2</v>
      </c>
      <c r="N263" s="27" t="s">
        <v>326</v>
      </c>
      <c r="O263" s="47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11</v>
      </c>
      <c r="G264" s="34">
        <f t="shared" si="57"/>
        <v>46.2</v>
      </c>
      <c r="H264" s="33" t="s">
        <v>19</v>
      </c>
      <c r="I264" s="26" t="s">
        <v>47</v>
      </c>
      <c r="J264" s="33" t="s">
        <v>27</v>
      </c>
      <c r="K264" s="29">
        <v>0.16666666666666666</v>
      </c>
      <c r="L264" s="29">
        <v>0.17430555555555555</v>
      </c>
      <c r="M264" s="30">
        <f t="shared" ca="1" si="58"/>
        <v>7.6388888888888895E-3</v>
      </c>
      <c r="N264" s="27"/>
      <c r="O264" s="47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13</v>
      </c>
      <c r="G265" s="28">
        <f t="shared" si="57"/>
        <v>54.6</v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11</v>
      </c>
      <c r="G266" s="34">
        <f t="shared" si="57"/>
        <v>46.2</v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4</v>
      </c>
      <c r="G267" s="28">
        <f t="shared" si="57"/>
        <v>16.8</v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16</v>
      </c>
      <c r="G268" s="34">
        <f t="shared" si="57"/>
        <v>67.2</v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11</v>
      </c>
      <c r="G269" s="28">
        <f t="shared" si="57"/>
        <v>46.2</v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121</v>
      </c>
      <c r="G270" s="36">
        <f>SUM(G258:G269)</f>
        <v>508.2</v>
      </c>
      <c r="H270" s="37"/>
      <c r="I270" s="37"/>
      <c r="J270" s="37"/>
      <c r="K270" s="37"/>
      <c r="L270" s="37"/>
      <c r="M270" s="38">
        <f ca="1">IFERROR(SUM(M258:M269),"")</f>
        <v>6.041666666666673E-2</v>
      </c>
      <c r="N270" s="36" t="s">
        <v>233</v>
      </c>
      <c r="O270" s="39">
        <v>483510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260</v>
      </c>
      <c r="G271" s="40">
        <f>G257+G270</f>
        <v>1092</v>
      </c>
      <c r="H271" s="41"/>
      <c r="I271" s="41"/>
      <c r="J271" s="41"/>
      <c r="K271" s="41"/>
      <c r="L271" s="41"/>
      <c r="M271" s="42">
        <f ca="1">IFERROR(M257+M270,"")</f>
        <v>0.12777777777777793</v>
      </c>
      <c r="N271" s="40" t="s">
        <v>236</v>
      </c>
      <c r="O271" s="48">
        <f>IFERROR(O257+O270,"")</f>
        <v>939780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0</v>
      </c>
      <c r="G272" s="28">
        <f t="shared" ref="G272:G283" si="60">IF(F272="","",IF(E272="PC 17",F272*4.2,IF(E272="PC 19",F272*5,"")))</f>
        <v>0</v>
      </c>
      <c r="H272" s="26" t="s">
        <v>20</v>
      </c>
      <c r="I272" s="26" t="s">
        <v>47</v>
      </c>
      <c r="J272" s="26" t="s">
        <v>51</v>
      </c>
      <c r="K272" s="29">
        <v>0.48055555555555557</v>
      </c>
      <c r="L272" s="29">
        <v>0.49305555555555558</v>
      </c>
      <c r="M272" s="30">
        <f t="shared" ref="M272:M283" ca="1" si="61">IFERROR(IF(K272="","",IF(L272="",MOD(NOW()-K272,1),IF(L272&gt;=K272,L272-K272,L272+1-K272))),"")</f>
        <v>1.2500000000000011E-2</v>
      </c>
      <c r="N272" s="27"/>
      <c r="O272" s="47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10</v>
      </c>
      <c r="G273" s="34">
        <f t="shared" si="60"/>
        <v>42</v>
      </c>
      <c r="H273" s="33" t="s">
        <v>20</v>
      </c>
      <c r="I273" s="33" t="s">
        <v>47</v>
      </c>
      <c r="J273" s="33" t="s">
        <v>51</v>
      </c>
      <c r="K273" s="29">
        <v>0.51875000000000004</v>
      </c>
      <c r="L273" s="29">
        <v>0.52430555555555558</v>
      </c>
      <c r="M273" s="35">
        <f t="shared" ca="1" si="61"/>
        <v>5.5555555555555358E-3</v>
      </c>
      <c r="N273" s="27"/>
      <c r="O273" s="47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16</v>
      </c>
      <c r="G274" s="28">
        <f t="shared" si="60"/>
        <v>67.2</v>
      </c>
      <c r="H274" s="26" t="s">
        <v>20</v>
      </c>
      <c r="I274" s="26" t="s">
        <v>47</v>
      </c>
      <c r="J274" s="26" t="s">
        <v>51</v>
      </c>
      <c r="K274" s="29">
        <v>0.54652777777777772</v>
      </c>
      <c r="L274" s="29">
        <v>0.55347222222222225</v>
      </c>
      <c r="M274" s="30">
        <f t="shared" ca="1" si="61"/>
        <v>6.9444444444445308E-3</v>
      </c>
      <c r="N274" s="27"/>
      <c r="O274" s="47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10</v>
      </c>
      <c r="G275" s="34">
        <f t="shared" si="60"/>
        <v>42</v>
      </c>
      <c r="H275" s="33" t="s">
        <v>20</v>
      </c>
      <c r="I275" s="33" t="s">
        <v>47</v>
      </c>
      <c r="J275" s="33" t="s">
        <v>28</v>
      </c>
      <c r="K275" s="29">
        <v>0.5625</v>
      </c>
      <c r="L275" s="29">
        <v>0.57708333333333328</v>
      </c>
      <c r="M275" s="35">
        <f t="shared" ca="1" si="61"/>
        <v>1.4583333333333282E-2</v>
      </c>
      <c r="N275" s="27"/>
      <c r="O275" s="47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8</v>
      </c>
      <c r="G276" s="28">
        <f t="shared" si="60"/>
        <v>33.6</v>
      </c>
      <c r="H276" s="26" t="s">
        <v>20</v>
      </c>
      <c r="I276" s="26" t="s">
        <v>47</v>
      </c>
      <c r="J276" s="26" t="s">
        <v>51</v>
      </c>
      <c r="K276" s="29">
        <v>0.62291666666666667</v>
      </c>
      <c r="L276" s="29">
        <v>0.625</v>
      </c>
      <c r="M276" s="30">
        <f t="shared" ca="1" si="61"/>
        <v>2.0833333333333259E-3</v>
      </c>
      <c r="N276" s="27"/>
      <c r="O276" s="47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 t="s">
        <v>20</v>
      </c>
      <c r="I277" s="33" t="s">
        <v>47</v>
      </c>
      <c r="J277" s="33" t="s">
        <v>51</v>
      </c>
      <c r="K277" s="29">
        <v>0.65486111111111112</v>
      </c>
      <c r="L277" s="29">
        <v>0.66666666666666663</v>
      </c>
      <c r="M277" s="35">
        <f t="shared" ca="1" si="61"/>
        <v>1.1805555555555514E-2</v>
      </c>
      <c r="N277" s="27"/>
      <c r="O277" s="47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7</v>
      </c>
      <c r="G278" s="28">
        <f t="shared" si="60"/>
        <v>29.400000000000002</v>
      </c>
      <c r="H278" s="26" t="s">
        <v>20</v>
      </c>
      <c r="I278" s="26" t="s">
        <v>47</v>
      </c>
      <c r="J278" s="26" t="s">
        <v>51</v>
      </c>
      <c r="K278" s="29">
        <v>0.74097222222222225</v>
      </c>
      <c r="L278" s="29">
        <v>0.74305555555555558</v>
      </c>
      <c r="M278" s="30">
        <f t="shared" ca="1" si="61"/>
        <v>2.0833333333333259E-3</v>
      </c>
      <c r="N278" s="27"/>
      <c r="O278" s="47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0</v>
      </c>
      <c r="G279" s="34">
        <f t="shared" si="60"/>
        <v>0</v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5</v>
      </c>
      <c r="G280" s="28">
        <f t="shared" si="60"/>
        <v>21</v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5</v>
      </c>
      <c r="G281" s="34">
        <f t="shared" si="60"/>
        <v>21</v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6</v>
      </c>
      <c r="G282" s="28">
        <f t="shared" si="60"/>
        <v>25.200000000000003</v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73</v>
      </c>
      <c r="G284" s="36">
        <f>SUM(G272:G283)</f>
        <v>306.59999999999997</v>
      </c>
      <c r="H284" s="37"/>
      <c r="I284" s="37"/>
      <c r="J284" s="37"/>
      <c r="K284" s="37"/>
      <c r="L284" s="37"/>
      <c r="M284" s="38">
        <f ca="1">IFERROR(SUM(M272:M283),"")</f>
        <v>5.5555555555555525E-2</v>
      </c>
      <c r="N284" s="36" t="s">
        <v>233</v>
      </c>
      <c r="O284" s="39">
        <v>303720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20</v>
      </c>
      <c r="I285" s="33" t="s">
        <v>47</v>
      </c>
      <c r="J285" s="33" t="s">
        <v>51</v>
      </c>
      <c r="K285" s="29">
        <v>0.79166666666666663</v>
      </c>
      <c r="L285" s="29">
        <v>0.79513888888888884</v>
      </c>
      <c r="M285" s="35">
        <f t="shared" ref="M285:M296" ca="1" si="64">IFERROR(IF(K285="","",IF(L285="",MOD(NOW()-K285,1),IF(L285&gt;=K285,L285-K285,L285+1-K285))),"")</f>
        <v>3.4722222222222099E-3</v>
      </c>
      <c r="N285" s="27"/>
      <c r="O285" s="47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5</v>
      </c>
      <c r="G286" s="28">
        <f t="shared" si="63"/>
        <v>21</v>
      </c>
      <c r="H286" s="49" t="s">
        <v>18</v>
      </c>
      <c r="I286" s="49" t="s">
        <v>47</v>
      </c>
      <c r="J286" s="49" t="s">
        <v>127</v>
      </c>
      <c r="K286" s="29">
        <v>0.79513888888888884</v>
      </c>
      <c r="L286" s="29">
        <v>0.83888888888888891</v>
      </c>
      <c r="M286" s="30">
        <f t="shared" ca="1" si="64"/>
        <v>4.3750000000000067E-2</v>
      </c>
      <c r="N286" s="27" t="s">
        <v>327</v>
      </c>
      <c r="O286" s="47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14</v>
      </c>
      <c r="G287" s="34">
        <f t="shared" si="63"/>
        <v>58.800000000000004</v>
      </c>
      <c r="H287" s="33" t="s">
        <v>20</v>
      </c>
      <c r="I287" s="33" t="s">
        <v>47</v>
      </c>
      <c r="J287" s="33" t="s">
        <v>51</v>
      </c>
      <c r="K287" s="29">
        <v>0.84375</v>
      </c>
      <c r="L287" s="29">
        <v>0.84861111111111109</v>
      </c>
      <c r="M287" s="35">
        <f t="shared" ca="1" si="64"/>
        <v>4.8611111111110938E-3</v>
      </c>
      <c r="N287" s="27"/>
      <c r="O287" s="47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6</v>
      </c>
      <c r="G288" s="28">
        <f t="shared" si="63"/>
        <v>25.200000000000003</v>
      </c>
      <c r="H288" s="26" t="s">
        <v>20</v>
      </c>
      <c r="I288" s="26" t="s">
        <v>47</v>
      </c>
      <c r="J288" s="26" t="s">
        <v>51</v>
      </c>
      <c r="K288" s="29">
        <v>0.85</v>
      </c>
      <c r="L288" s="29">
        <v>0.85555555555555551</v>
      </c>
      <c r="M288" s="30">
        <f t="shared" ca="1" si="64"/>
        <v>5.5555555555555358E-3</v>
      </c>
      <c r="N288" s="27"/>
      <c r="O288" s="47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257</v>
      </c>
      <c r="F289" s="27">
        <v>6</v>
      </c>
      <c r="G289" s="34">
        <f t="shared" si="63"/>
        <v>25.200000000000003</v>
      </c>
      <c r="H289" s="33" t="s">
        <v>20</v>
      </c>
      <c r="I289" s="33" t="s">
        <v>47</v>
      </c>
      <c r="J289" s="33" t="s">
        <v>56</v>
      </c>
      <c r="K289" s="29">
        <v>0.87013888888888891</v>
      </c>
      <c r="L289" s="29">
        <v>0.89097222222222228</v>
      </c>
      <c r="M289" s="35">
        <f t="shared" ca="1" si="64"/>
        <v>2.083333333333337E-2</v>
      </c>
      <c r="N289" s="27" t="s">
        <v>328</v>
      </c>
      <c r="O289" s="47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30</v>
      </c>
      <c r="G290" s="28">
        <f t="shared" si="63"/>
        <v>126</v>
      </c>
      <c r="H290" s="26" t="s">
        <v>20</v>
      </c>
      <c r="I290" s="26" t="s">
        <v>47</v>
      </c>
      <c r="J290" s="26" t="s">
        <v>51</v>
      </c>
      <c r="K290" s="29">
        <v>6.9444444444444447E-4</v>
      </c>
      <c r="L290" s="29">
        <v>5.5555555555555558E-3</v>
      </c>
      <c r="M290" s="30">
        <f t="shared" ca="1" si="64"/>
        <v>4.8611111111111112E-3</v>
      </c>
      <c r="N290" s="27"/>
      <c r="O290" s="47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11</v>
      </c>
      <c r="G291" s="34">
        <f t="shared" si="63"/>
        <v>46.2</v>
      </c>
      <c r="H291" s="33" t="s">
        <v>20</v>
      </c>
      <c r="I291" s="33"/>
      <c r="J291" s="33" t="s">
        <v>113</v>
      </c>
      <c r="K291" s="29">
        <v>0.2013888888888889</v>
      </c>
      <c r="L291" s="29">
        <v>0.21180555555555555</v>
      </c>
      <c r="M291" s="35">
        <f t="shared" ca="1" si="64"/>
        <v>1.0416666666666657E-2</v>
      </c>
      <c r="N291" s="27"/>
      <c r="O291" s="47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17</v>
      </c>
      <c r="G292" s="28">
        <f t="shared" si="63"/>
        <v>71.400000000000006</v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5</v>
      </c>
      <c r="G293" s="34">
        <f t="shared" si="63"/>
        <v>21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11</v>
      </c>
      <c r="G294" s="28">
        <f t="shared" si="63"/>
        <v>46.2</v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20" t="s">
        <v>30</v>
      </c>
      <c r="E295" s="62" t="s">
        <v>257</v>
      </c>
      <c r="F295" s="27">
        <v>11</v>
      </c>
      <c r="G295" s="34">
        <f t="shared" si="63"/>
        <v>46.2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2</v>
      </c>
      <c r="G296" s="28">
        <f t="shared" si="63"/>
        <v>8.4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118</v>
      </c>
      <c r="G297" s="36">
        <f>SUM(G285:G296)</f>
        <v>495.6</v>
      </c>
      <c r="H297" s="37"/>
      <c r="I297" s="37"/>
      <c r="J297" s="37"/>
      <c r="K297" s="37"/>
      <c r="L297" s="37"/>
      <c r="M297" s="38">
        <f ca="1">IFERROR(SUM(M285:M296),"")</f>
        <v>9.3750000000000042E-2</v>
      </c>
      <c r="N297" s="36" t="s">
        <v>233</v>
      </c>
      <c r="O297" s="39">
        <v>487980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191</v>
      </c>
      <c r="G298" s="40">
        <f>G284+G297</f>
        <v>802.2</v>
      </c>
      <c r="H298" s="41"/>
      <c r="I298" s="41"/>
      <c r="J298" s="41"/>
      <c r="K298" s="41"/>
      <c r="L298" s="41"/>
      <c r="M298" s="42">
        <f ca="1">IFERROR(M284+M297,"")</f>
        <v>0.14930555555555558</v>
      </c>
      <c r="N298" s="40" t="s">
        <v>236</v>
      </c>
      <c r="O298" s="48">
        <f>IFERROR(O284+O297,"")</f>
        <v>791700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20</v>
      </c>
      <c r="I299" s="33" t="s">
        <v>132</v>
      </c>
      <c r="J299" s="33" t="s">
        <v>74</v>
      </c>
      <c r="K299" s="29">
        <v>0.32916666666666666</v>
      </c>
      <c r="L299" s="29">
        <v>0.33333333333333331</v>
      </c>
      <c r="M299" s="35">
        <f t="shared" ref="M299:M310" ca="1" si="67">IFERROR(IF(K299="","",IF(L299="",MOD(NOW()-K299,1),IF(L299&gt;=K299,L299-K299,L299+1-K299))),"")</f>
        <v>4.1666666666666519E-3</v>
      </c>
      <c r="N299" s="27"/>
      <c r="O299" s="47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7</v>
      </c>
      <c r="G300" s="28">
        <f t="shared" si="66"/>
        <v>29.400000000000002</v>
      </c>
      <c r="H300" s="26" t="s">
        <v>20</v>
      </c>
      <c r="I300" s="26" t="s">
        <v>132</v>
      </c>
      <c r="J300" s="26" t="s">
        <v>74</v>
      </c>
      <c r="K300" s="29">
        <v>0.35416666666666669</v>
      </c>
      <c r="L300" s="29">
        <v>0.3840277777777778</v>
      </c>
      <c r="M300" s="30">
        <f t="shared" ca="1" si="67"/>
        <v>2.9861111111111116E-2</v>
      </c>
      <c r="N300" s="27"/>
      <c r="O300" s="47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5</v>
      </c>
      <c r="G301" s="34">
        <f t="shared" si="66"/>
        <v>21</v>
      </c>
      <c r="H301" s="33" t="s">
        <v>20</v>
      </c>
      <c r="I301" s="33"/>
      <c r="J301" s="33" t="s">
        <v>113</v>
      </c>
      <c r="K301" s="29">
        <v>0.56041666666666667</v>
      </c>
      <c r="L301" s="29">
        <v>0.56597222222222221</v>
      </c>
      <c r="M301" s="35">
        <f t="shared" ca="1" si="67"/>
        <v>5.5555555555555358E-3</v>
      </c>
      <c r="N301" s="27"/>
      <c r="O301" s="47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11</v>
      </c>
      <c r="G302" s="28">
        <f t="shared" si="66"/>
        <v>46.2</v>
      </c>
      <c r="H302" s="26" t="s">
        <v>20</v>
      </c>
      <c r="I302" s="26" t="s">
        <v>47</v>
      </c>
      <c r="J302" s="26" t="s">
        <v>56</v>
      </c>
      <c r="K302" s="29">
        <v>0.61250000000000004</v>
      </c>
      <c r="L302" s="29">
        <v>0.66666666666666663</v>
      </c>
      <c r="M302" s="30">
        <f t="shared" ca="1" si="67"/>
        <v>5.4166666666666585E-2</v>
      </c>
      <c r="N302" s="27" t="s">
        <v>329</v>
      </c>
      <c r="O302" s="47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3</v>
      </c>
      <c r="G303" s="34">
        <f t="shared" si="66"/>
        <v>12.600000000000001</v>
      </c>
      <c r="H303" s="33" t="s">
        <v>20</v>
      </c>
      <c r="I303" s="33" t="s">
        <v>47</v>
      </c>
      <c r="J303" s="33" t="s">
        <v>51</v>
      </c>
      <c r="K303" s="29">
        <v>0.73611111111111116</v>
      </c>
      <c r="L303" s="29">
        <v>0.73958333333333337</v>
      </c>
      <c r="M303" s="35">
        <v>5.5555555555555558E-3</v>
      </c>
      <c r="N303" s="27"/>
      <c r="O303" s="47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5</v>
      </c>
      <c r="G304" s="28">
        <f t="shared" si="66"/>
        <v>21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5</v>
      </c>
      <c r="G305" s="34">
        <f t="shared" si="66"/>
        <v>21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5</v>
      </c>
      <c r="G306" s="28">
        <f t="shared" si="66"/>
        <v>21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12</v>
      </c>
      <c r="G307" s="34">
        <f t="shared" si="66"/>
        <v>50.400000000000006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10</v>
      </c>
      <c r="G309" s="34">
        <f t="shared" si="66"/>
        <v>42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230</v>
      </c>
      <c r="F310" s="27">
        <v>6</v>
      </c>
      <c r="G310" s="28">
        <f t="shared" si="66"/>
        <v>30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69</v>
      </c>
      <c r="G311" s="36">
        <f>SUM(G299:G310)</f>
        <v>294.60000000000002</v>
      </c>
      <c r="H311" s="37"/>
      <c r="I311" s="37"/>
      <c r="J311" s="37"/>
      <c r="K311" s="37"/>
      <c r="L311" s="37"/>
      <c r="M311" s="38">
        <f ca="1">IFERROR(SUM(M299:M310),"")</f>
        <v>9.9305555555555439E-2</v>
      </c>
      <c r="N311" s="36" t="s">
        <v>233</v>
      </c>
      <c r="O311" s="39">
        <v>373300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257</v>
      </c>
      <c r="F312" s="27">
        <v>16</v>
      </c>
      <c r="G312" s="28">
        <f t="shared" ref="G312:G323" si="69">IF(F312="","",IF(E312="PC 17",F312*4.2,IF(E312="PC 19",F312*5,"")))</f>
        <v>67.2</v>
      </c>
      <c r="H312" s="26" t="s">
        <v>20</v>
      </c>
      <c r="I312" s="26" t="s">
        <v>47</v>
      </c>
      <c r="J312" s="26" t="s">
        <v>56</v>
      </c>
      <c r="K312" s="29">
        <v>0.9458333333333333</v>
      </c>
      <c r="L312" s="29">
        <v>0.96180555555555558</v>
      </c>
      <c r="M312" s="30">
        <f t="shared" ref="M312:M323" ca="1" si="70">IFERROR(IF(K312="","",IF(L312="",MOD(NOW()-K312,1),IF(L312&gt;=K312,L312-K312,L312+1-K312))),"")</f>
        <v>1.5972222222222276E-2</v>
      </c>
      <c r="N312" s="27" t="s">
        <v>330</v>
      </c>
      <c r="O312" s="47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3</v>
      </c>
      <c r="G313" s="34">
        <f t="shared" si="69"/>
        <v>12.600000000000001</v>
      </c>
      <c r="H313" s="33" t="s">
        <v>20</v>
      </c>
      <c r="I313" s="33" t="s">
        <v>47</v>
      </c>
      <c r="J313" s="33" t="s">
        <v>36</v>
      </c>
      <c r="K313" s="29">
        <v>0.18194444444444444</v>
      </c>
      <c r="L313" s="29">
        <v>0.19722222222222222</v>
      </c>
      <c r="M313" s="35">
        <f t="shared" ca="1" si="70"/>
        <v>1.5277777777777779E-2</v>
      </c>
      <c r="N313" s="27"/>
      <c r="O313" s="47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9</v>
      </c>
      <c r="G314" s="28">
        <f t="shared" si="69"/>
        <v>37.800000000000004</v>
      </c>
      <c r="H314" s="26" t="s">
        <v>19</v>
      </c>
      <c r="I314" s="26" t="s">
        <v>47</v>
      </c>
      <c r="J314" s="26" t="s">
        <v>27</v>
      </c>
      <c r="K314" s="29">
        <v>0.19722222222222222</v>
      </c>
      <c r="L314" s="29">
        <v>0.20694444444444443</v>
      </c>
      <c r="M314" s="30">
        <f t="shared" ca="1" si="70"/>
        <v>9.7222222222222154E-3</v>
      </c>
      <c r="N314" s="27"/>
      <c r="O314" s="47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11</v>
      </c>
      <c r="G315" s="34">
        <f t="shared" si="69"/>
        <v>46.2</v>
      </c>
      <c r="H315" s="33" t="s">
        <v>16</v>
      </c>
      <c r="I315" s="33" t="s">
        <v>47</v>
      </c>
      <c r="J315" s="33"/>
      <c r="K315" s="29" t="s">
        <v>331</v>
      </c>
      <c r="L315" s="29">
        <v>0.25416666666666665</v>
      </c>
      <c r="M315" s="35" t="str">
        <f t="shared" ca="1" si="70"/>
        <v/>
      </c>
      <c r="N315" s="27"/>
      <c r="O315" s="47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7</v>
      </c>
      <c r="G316" s="28">
        <f t="shared" si="69"/>
        <v>29.400000000000002</v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11</v>
      </c>
      <c r="G317" s="34">
        <f t="shared" si="69"/>
        <v>46.2</v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9</v>
      </c>
      <c r="G318" s="28">
        <f t="shared" si="69"/>
        <v>37.800000000000004</v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10</v>
      </c>
      <c r="G319" s="34">
        <f t="shared" si="69"/>
        <v>42</v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8</v>
      </c>
      <c r="G320" s="28">
        <f t="shared" si="69"/>
        <v>33.6</v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19</v>
      </c>
      <c r="G321" s="34">
        <f t="shared" si="69"/>
        <v>79.8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9</v>
      </c>
      <c r="G322" s="28">
        <f t="shared" si="69"/>
        <v>37.800000000000004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12</v>
      </c>
      <c r="G323" s="34">
        <f t="shared" si="69"/>
        <v>60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124</v>
      </c>
      <c r="G324" s="36">
        <f>SUM(G312:G323)</f>
        <v>530.40000000000009</v>
      </c>
      <c r="H324" s="37"/>
      <c r="I324" s="37"/>
      <c r="J324" s="37"/>
      <c r="K324" s="37"/>
      <c r="L324" s="37"/>
      <c r="M324" s="38">
        <f ca="1">IFERROR(SUM(M312:M323),"")</f>
        <v>4.0972222222222271E-2</v>
      </c>
      <c r="N324" s="36" t="s">
        <v>233</v>
      </c>
      <c r="O324" s="39">
        <v>609460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193</v>
      </c>
      <c r="G325" s="40">
        <f>G311+G324</f>
        <v>825.00000000000011</v>
      </c>
      <c r="H325" s="41"/>
      <c r="I325" s="41"/>
      <c r="J325" s="41"/>
      <c r="K325" s="41"/>
      <c r="L325" s="41"/>
      <c r="M325" s="42">
        <f ca="1">IFERROR(M311+M324,"")</f>
        <v>0.14027777777777772</v>
      </c>
      <c r="N325" s="40" t="s">
        <v>236</v>
      </c>
      <c r="O325" s="48">
        <f>IFERROR(O311+O324,"")</f>
        <v>982760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38</v>
      </c>
      <c r="E326" s="59" t="s">
        <v>257</v>
      </c>
      <c r="F326" s="27">
        <v>0</v>
      </c>
      <c r="G326" s="28">
        <f t="shared" ref="G326:G337" si="72">IF(F326="","",IF(E326="PC 17",F326*4.2,IF(E326="PC 19",F326*5,"")))</f>
        <v>0</v>
      </c>
      <c r="H326" s="26" t="s">
        <v>20</v>
      </c>
      <c r="I326" s="26" t="s">
        <v>47</v>
      </c>
      <c r="J326" s="26" t="s">
        <v>51</v>
      </c>
      <c r="K326" s="29">
        <v>0.35069444444444442</v>
      </c>
      <c r="L326" s="29">
        <v>0.39791666666666664</v>
      </c>
      <c r="M326" s="30">
        <f t="shared" ref="M326:M337" ca="1" si="73">IFERROR(IF(K326="","",IF(L326="",MOD(NOW()-K326,1),IF(L326&gt;=K326,L326-K326,L326+1-K326))),"")</f>
        <v>4.7222222222222221E-2</v>
      </c>
      <c r="N326" s="27" t="s">
        <v>332</v>
      </c>
      <c r="O326" s="47"/>
    </row>
    <row r="327" spans="1:15" ht="15" customHeight="1">
      <c r="A327" s="69">
        <v>46216</v>
      </c>
      <c r="B327" s="32">
        <f t="shared" ref="B327:B337" si="74">B326+TIME(0,60,0)</f>
        <v>0.37499999999999967</v>
      </c>
      <c r="C327" s="26" t="s">
        <v>45</v>
      </c>
      <c r="D327" s="59" t="s">
        <v>38</v>
      </c>
      <c r="E327" s="59" t="s">
        <v>257</v>
      </c>
      <c r="F327" s="27">
        <v>7</v>
      </c>
      <c r="G327" s="34">
        <f t="shared" si="72"/>
        <v>29.400000000000002</v>
      </c>
      <c r="H327" s="26" t="s">
        <v>20</v>
      </c>
      <c r="I327" s="26" t="s">
        <v>47</v>
      </c>
      <c r="J327" s="26" t="s">
        <v>51</v>
      </c>
      <c r="K327" s="29">
        <v>0.40555555555555556</v>
      </c>
      <c r="L327" s="29">
        <v>0.41041666666666665</v>
      </c>
      <c r="M327" s="35">
        <f t="shared" ca="1" si="73"/>
        <v>4.8611111111110938E-3</v>
      </c>
      <c r="N327" s="27"/>
      <c r="O327" s="47"/>
    </row>
    <row r="328" spans="1:15" ht="15" customHeight="1">
      <c r="A328" s="68">
        <v>46216</v>
      </c>
      <c r="B328" s="25">
        <f t="shared" si="74"/>
        <v>0.41666666666666635</v>
      </c>
      <c r="C328" s="26" t="s">
        <v>45</v>
      </c>
      <c r="D328" s="59" t="s">
        <v>30</v>
      </c>
      <c r="E328" s="59" t="s">
        <v>257</v>
      </c>
      <c r="F328" s="27">
        <v>0</v>
      </c>
      <c r="G328" s="28">
        <f t="shared" si="72"/>
        <v>0</v>
      </c>
      <c r="H328" s="26" t="s">
        <v>20</v>
      </c>
      <c r="I328" s="26" t="s">
        <v>47</v>
      </c>
      <c r="J328" s="26" t="s">
        <v>51</v>
      </c>
      <c r="K328" s="29">
        <v>0.42916666666666664</v>
      </c>
      <c r="L328" s="29">
        <v>0.43402777777777779</v>
      </c>
      <c r="M328" s="30">
        <f t="shared" ca="1" si="73"/>
        <v>4.8611111111111494E-3</v>
      </c>
      <c r="N328" s="27"/>
      <c r="O328" s="47"/>
    </row>
    <row r="329" spans="1:15" ht="15" customHeight="1">
      <c r="A329" s="69">
        <v>46216</v>
      </c>
      <c r="B329" s="32">
        <f t="shared" si="74"/>
        <v>0.45833333333333304</v>
      </c>
      <c r="C329" s="26" t="s">
        <v>45</v>
      </c>
      <c r="D329" s="59" t="s">
        <v>30</v>
      </c>
      <c r="E329" s="59" t="s">
        <v>257</v>
      </c>
      <c r="F329" s="27">
        <v>5</v>
      </c>
      <c r="G329" s="34">
        <f t="shared" si="72"/>
        <v>21</v>
      </c>
      <c r="H329" s="33" t="s">
        <v>20</v>
      </c>
      <c r="I329" s="33" t="s">
        <v>47</v>
      </c>
      <c r="J329" s="33" t="s">
        <v>197</v>
      </c>
      <c r="K329" s="29">
        <v>0.45833333333333331</v>
      </c>
      <c r="L329" s="29">
        <v>0.61111111111111116</v>
      </c>
      <c r="M329" s="35">
        <f t="shared" ca="1" si="73"/>
        <v>0.15277777777777785</v>
      </c>
      <c r="N329" s="27" t="s">
        <v>299</v>
      </c>
      <c r="O329" s="47"/>
    </row>
    <row r="330" spans="1:15" ht="15" customHeight="1">
      <c r="A330" s="68">
        <v>46216</v>
      </c>
      <c r="B330" s="25">
        <f t="shared" si="74"/>
        <v>0.49999999999999972</v>
      </c>
      <c r="C330" s="26" t="s">
        <v>45</v>
      </c>
      <c r="D330" s="59" t="s">
        <v>38</v>
      </c>
      <c r="E330" s="59" t="s">
        <v>230</v>
      </c>
      <c r="F330" s="27">
        <v>0</v>
      </c>
      <c r="G330" s="28">
        <f t="shared" si="72"/>
        <v>0</v>
      </c>
      <c r="H330" s="26" t="s">
        <v>20</v>
      </c>
      <c r="I330" s="26" t="s">
        <v>47</v>
      </c>
      <c r="J330" s="26" t="s">
        <v>51</v>
      </c>
      <c r="K330" s="29">
        <v>0.64444444444444449</v>
      </c>
      <c r="L330" s="29">
        <v>0.64652777777777781</v>
      </c>
      <c r="M330" s="30">
        <f t="shared" ca="1" si="73"/>
        <v>2.0833333333333259E-3</v>
      </c>
      <c r="N330" s="27"/>
      <c r="O330" s="47"/>
    </row>
    <row r="331" spans="1:15" ht="15" customHeight="1">
      <c r="A331" s="69">
        <v>46216</v>
      </c>
      <c r="B331" s="32">
        <f t="shared" si="74"/>
        <v>0.54166666666666641</v>
      </c>
      <c r="C331" s="26" t="s">
        <v>45</v>
      </c>
      <c r="D331" s="59" t="s">
        <v>38</v>
      </c>
      <c r="E331" s="59" t="s">
        <v>257</v>
      </c>
      <c r="F331" s="27">
        <v>0</v>
      </c>
      <c r="G331" s="34">
        <f t="shared" si="72"/>
        <v>0</v>
      </c>
      <c r="H331" s="33" t="s">
        <v>20</v>
      </c>
      <c r="I331" s="33" t="s">
        <v>47</v>
      </c>
      <c r="J331" s="33" t="s">
        <v>319</v>
      </c>
      <c r="K331" s="29">
        <v>0.65972222222222221</v>
      </c>
      <c r="L331" s="29">
        <v>0.66666666666666663</v>
      </c>
      <c r="M331" s="35">
        <f t="shared" ca="1" si="73"/>
        <v>6.9444444444444198E-3</v>
      </c>
      <c r="N331" s="27"/>
      <c r="O331" s="47"/>
    </row>
    <row r="332" spans="1:15" ht="15" customHeight="1">
      <c r="A332" s="68">
        <v>46216</v>
      </c>
      <c r="B332" s="25">
        <f t="shared" si="74"/>
        <v>0.58333333333333304</v>
      </c>
      <c r="C332" s="26" t="s">
        <v>45</v>
      </c>
      <c r="D332" s="59" t="s">
        <v>38</v>
      </c>
      <c r="E332" s="59" t="s">
        <v>257</v>
      </c>
      <c r="F332" s="27">
        <v>0</v>
      </c>
      <c r="G332" s="28">
        <f t="shared" si="72"/>
        <v>0</v>
      </c>
      <c r="H332" s="26" t="s">
        <v>18</v>
      </c>
      <c r="I332" s="26" t="s">
        <v>47</v>
      </c>
      <c r="J332" s="26" t="s">
        <v>127</v>
      </c>
      <c r="K332" s="29">
        <v>0.70277777777777772</v>
      </c>
      <c r="L332" s="29">
        <v>0.71805555555555556</v>
      </c>
      <c r="M332" s="30">
        <f t="shared" ca="1" si="73"/>
        <v>1.5277777777777835E-2</v>
      </c>
      <c r="N332" s="27"/>
      <c r="O332" s="47"/>
    </row>
    <row r="333" spans="1:15" ht="15" customHeight="1">
      <c r="A333" s="69">
        <v>46216</v>
      </c>
      <c r="B333" s="32">
        <f t="shared" si="74"/>
        <v>0.62499999999999967</v>
      </c>
      <c r="C333" s="26" t="s">
        <v>45</v>
      </c>
      <c r="D333" s="59" t="s">
        <v>38</v>
      </c>
      <c r="E333" s="59" t="s">
        <v>257</v>
      </c>
      <c r="F333" s="27">
        <v>3</v>
      </c>
      <c r="G333" s="34">
        <f t="shared" si="72"/>
        <v>12.600000000000001</v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8">
        <v>46216</v>
      </c>
      <c r="B334" s="25">
        <f t="shared" si="74"/>
        <v>0.6666666666666663</v>
      </c>
      <c r="C334" s="26" t="s">
        <v>45</v>
      </c>
      <c r="D334" s="59" t="s">
        <v>38</v>
      </c>
      <c r="E334" s="59" t="s">
        <v>257</v>
      </c>
      <c r="F334" s="27">
        <v>18</v>
      </c>
      <c r="G334" s="28">
        <f t="shared" si="72"/>
        <v>75.600000000000009</v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69">
        <v>46216</v>
      </c>
      <c r="B335" s="32">
        <f t="shared" si="74"/>
        <v>0.70833333333333293</v>
      </c>
      <c r="C335" s="26" t="s">
        <v>45</v>
      </c>
      <c r="D335" s="59" t="s">
        <v>38</v>
      </c>
      <c r="E335" s="59" t="s">
        <v>257</v>
      </c>
      <c r="F335" s="27">
        <v>0</v>
      </c>
      <c r="G335" s="34">
        <f t="shared" si="72"/>
        <v>0</v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8">
        <v>46216</v>
      </c>
      <c r="B336" s="25">
        <f t="shared" si="74"/>
        <v>0.74999999999999956</v>
      </c>
      <c r="C336" s="26" t="s">
        <v>45</v>
      </c>
      <c r="D336" s="59" t="s">
        <v>38</v>
      </c>
      <c r="E336" s="59" t="s">
        <v>257</v>
      </c>
      <c r="F336" s="27">
        <v>7</v>
      </c>
      <c r="G336" s="28">
        <f t="shared" si="72"/>
        <v>29.400000000000002</v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69">
        <v>46216</v>
      </c>
      <c r="B337" s="32">
        <f t="shared" si="74"/>
        <v>0.79166666666666619</v>
      </c>
      <c r="C337" s="26" t="s">
        <v>45</v>
      </c>
      <c r="D337" s="59" t="s">
        <v>38</v>
      </c>
      <c r="E337" s="59" t="s">
        <v>257</v>
      </c>
      <c r="F337" s="27">
        <v>0</v>
      </c>
      <c r="G337" s="34">
        <f t="shared" si="72"/>
        <v>0</v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9" t="s">
        <v>232</v>
      </c>
      <c r="B338" s="100"/>
      <c r="C338" s="100"/>
      <c r="D338" s="100"/>
      <c r="E338" s="101">
        <f>SUM(E326:E337)</f>
        <v>0</v>
      </c>
      <c r="F338" s="36">
        <f>SUM(F326:F337)</f>
        <v>40</v>
      </c>
      <c r="G338" s="36">
        <f>SUM(G326:G337)</f>
        <v>168.00000000000003</v>
      </c>
      <c r="H338" s="37"/>
      <c r="I338" s="37"/>
      <c r="J338" s="37"/>
      <c r="K338" s="37"/>
      <c r="L338" s="37"/>
      <c r="M338" s="38">
        <f ca="1">IFERROR(SUM(M326:M337),"")</f>
        <v>0.23402777777777789</v>
      </c>
      <c r="N338" s="36" t="s">
        <v>233</v>
      </c>
      <c r="O338" s="39">
        <v>168000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17</v>
      </c>
      <c r="G339" s="34">
        <f t="shared" ref="G339:G350" si="75">IF(F339="","",IF(E339="PC 17",F339*4.2,IF(E339="PC 19",F339*5,"")))</f>
        <v>71.400000000000006</v>
      </c>
      <c r="H339" s="33" t="s">
        <v>20</v>
      </c>
      <c r="I339" s="33" t="s">
        <v>47</v>
      </c>
      <c r="J339" s="33" t="s">
        <v>56</v>
      </c>
      <c r="K339" s="29">
        <v>0.8666666666666667</v>
      </c>
      <c r="L339" s="29">
        <v>0.87569444444444444</v>
      </c>
      <c r="M339" s="35">
        <f t="shared" ref="M339:M350" ca="1" si="76">IFERROR(IF(K339="","",IF(L339="",MOD(NOW()-K339,1),IF(L339&gt;=K339,L339-K339,L339+1-K339))),"")</f>
        <v>9.0277777777777457E-3</v>
      </c>
      <c r="N339" s="27"/>
      <c r="O339" s="47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8</v>
      </c>
      <c r="G340" s="28">
        <f t="shared" si="75"/>
        <v>33.6</v>
      </c>
      <c r="H340" s="26" t="s">
        <v>20</v>
      </c>
      <c r="I340" s="26" t="s">
        <v>120</v>
      </c>
      <c r="J340" s="26" t="s">
        <v>113</v>
      </c>
      <c r="K340" s="29">
        <v>0.90416666666666667</v>
      </c>
      <c r="L340" s="29">
        <v>0.90972222222222221</v>
      </c>
      <c r="M340" s="30">
        <f t="shared" ca="1" si="76"/>
        <v>5.5555555555555358E-3</v>
      </c>
      <c r="N340" s="27"/>
      <c r="O340" s="47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9</v>
      </c>
      <c r="G341" s="34">
        <f t="shared" si="75"/>
        <v>37.800000000000004</v>
      </c>
      <c r="H341" s="33" t="s">
        <v>19</v>
      </c>
      <c r="I341" s="33" t="s">
        <v>47</v>
      </c>
      <c r="J341" s="33" t="s">
        <v>27</v>
      </c>
      <c r="K341" s="29">
        <v>0.23333333333333334</v>
      </c>
      <c r="L341" s="29">
        <v>0.24444444444444444</v>
      </c>
      <c r="M341" s="35">
        <f t="shared" ca="1" si="76"/>
        <v>1.1111111111111099E-2</v>
      </c>
      <c r="N341" s="27"/>
      <c r="O341" s="47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4</v>
      </c>
      <c r="G342" s="28">
        <f t="shared" si="75"/>
        <v>16.8</v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5</v>
      </c>
      <c r="G344" s="28">
        <f t="shared" si="75"/>
        <v>21</v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10</v>
      </c>
      <c r="G345" s="34">
        <f t="shared" si="75"/>
        <v>42</v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10</v>
      </c>
      <c r="G346" s="28">
        <f t="shared" si="75"/>
        <v>42</v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10</v>
      </c>
      <c r="G347" s="34">
        <f t="shared" si="75"/>
        <v>42</v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5</v>
      </c>
      <c r="G349" s="34">
        <f t="shared" si="75"/>
        <v>21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0</v>
      </c>
      <c r="G350" s="28">
        <f t="shared" si="75"/>
        <v>0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98</v>
      </c>
      <c r="G351" s="36">
        <f>SUM(G339:G350)</f>
        <v>411.6</v>
      </c>
      <c r="H351" s="37"/>
      <c r="I351" s="37"/>
      <c r="J351" s="37"/>
      <c r="K351" s="37"/>
      <c r="L351" s="37"/>
      <c r="M351" s="38">
        <f ca="1">IFERROR(SUM(M339:M350),"")</f>
        <v>2.5694444444444381E-2</v>
      </c>
      <c r="N351" s="36" t="s">
        <v>233</v>
      </c>
      <c r="O351" s="39">
        <v>437940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138</v>
      </c>
      <c r="G352" s="40">
        <f>G338+G351</f>
        <v>579.6</v>
      </c>
      <c r="H352" s="41"/>
      <c r="I352" s="41"/>
      <c r="J352" s="41"/>
      <c r="K352" s="41"/>
      <c r="L352" s="41"/>
      <c r="M352" s="42">
        <f ca="1">IFERROR(M338+M351,"")</f>
        <v>0.2597222222222223</v>
      </c>
      <c r="N352" s="40" t="s">
        <v>236</v>
      </c>
      <c r="O352" s="48">
        <f>IFERROR(O338+O351,"")</f>
        <v>605940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18</v>
      </c>
      <c r="I353" s="33" t="s">
        <v>47</v>
      </c>
      <c r="J353" s="33" t="s">
        <v>34</v>
      </c>
      <c r="K353" s="29">
        <v>0.29166666666666669</v>
      </c>
      <c r="L353" s="29">
        <v>0.72291666666666665</v>
      </c>
      <c r="M353" s="35">
        <f t="shared" ref="M353:M364" ca="1" si="79">IFERROR(IF(K353="","",IF(L353="",MOD(NOW()-K353,1),IF(L353&gt;=K353,L353-K353,L353+1-K353))),"")</f>
        <v>0.43124999999999997</v>
      </c>
      <c r="N353" s="27"/>
      <c r="O353" s="47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2</v>
      </c>
      <c r="G354" s="28">
        <f t="shared" si="78"/>
        <v>8.4</v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0</v>
      </c>
      <c r="G355" s="34">
        <f t="shared" si="78"/>
        <v>0</v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0</v>
      </c>
      <c r="G356" s="28">
        <f t="shared" si="78"/>
        <v>0</v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0</v>
      </c>
      <c r="G357" s="34">
        <f t="shared" si="78"/>
        <v>0</v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0</v>
      </c>
      <c r="G358" s="28">
        <f t="shared" si="78"/>
        <v>0</v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0</v>
      </c>
      <c r="G359" s="34">
        <f t="shared" si="78"/>
        <v>0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0</v>
      </c>
      <c r="G360" s="28">
        <f t="shared" si="78"/>
        <v>0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0</v>
      </c>
      <c r="G361" s="34">
        <f t="shared" si="78"/>
        <v>0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0</v>
      </c>
      <c r="G362" s="28">
        <f t="shared" si="78"/>
        <v>0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46</v>
      </c>
      <c r="E363" s="62" t="s">
        <v>257</v>
      </c>
      <c r="F363" s="27">
        <v>7</v>
      </c>
      <c r="G363" s="34">
        <f t="shared" si="78"/>
        <v>29.400000000000002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46</v>
      </c>
      <c r="E364" s="62" t="s">
        <v>257</v>
      </c>
      <c r="F364" s="27">
        <v>0</v>
      </c>
      <c r="G364" s="28">
        <f t="shared" si="78"/>
        <v>0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9" t="s">
        <v>232</v>
      </c>
      <c r="B365" s="100"/>
      <c r="C365" s="100"/>
      <c r="D365" s="100"/>
      <c r="E365" s="101">
        <f>SUM(E353:E364)</f>
        <v>0</v>
      </c>
      <c r="F365" s="36">
        <f>SUM(F353:F364)</f>
        <v>9</v>
      </c>
      <c r="G365" s="36">
        <f>SUM(G353:G364)</f>
        <v>37.800000000000004</v>
      </c>
      <c r="H365" s="37"/>
      <c r="I365" s="37"/>
      <c r="J365" s="37"/>
      <c r="K365" s="37"/>
      <c r="L365" s="37"/>
      <c r="M365" s="38">
        <f ca="1">IFERROR(SUM(M353:M364),"")</f>
        <v>0.43124999999999997</v>
      </c>
      <c r="N365" s="36" t="s">
        <v>233</v>
      </c>
      <c r="O365" s="39">
        <v>29130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30</v>
      </c>
      <c r="E366" s="59" t="s">
        <v>257</v>
      </c>
      <c r="F366" s="27">
        <v>12</v>
      </c>
      <c r="G366" s="28">
        <f t="shared" ref="G366:G377" si="81">IF(F366="","",IF(E366="PC 17",F366*4.2,IF(E366="PC 19",F366*5,"")))</f>
        <v>50.400000000000006</v>
      </c>
      <c r="H366" s="26" t="s">
        <v>19</v>
      </c>
      <c r="I366" s="26" t="s">
        <v>47</v>
      </c>
      <c r="J366" s="26" t="s">
        <v>35</v>
      </c>
      <c r="K366" s="29">
        <v>0.93958333333333333</v>
      </c>
      <c r="L366" s="29">
        <v>0.95208333333333328</v>
      </c>
      <c r="M366" s="30">
        <f t="shared" ref="M366:M377" ca="1" si="82">IFERROR(IF(K366="","",IF(L366="",MOD(NOW()-K366,1),IF(L366&gt;=K366,L366-K366,L366+1-K366))),"")</f>
        <v>1.2499999999999956E-2</v>
      </c>
      <c r="N366" s="27"/>
      <c r="O366" s="47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30</v>
      </c>
      <c r="E367" s="59" t="s">
        <v>257</v>
      </c>
      <c r="F367" s="27">
        <v>11</v>
      </c>
      <c r="G367" s="34">
        <f t="shared" si="81"/>
        <v>46.2</v>
      </c>
      <c r="H367" s="33" t="s">
        <v>16</v>
      </c>
      <c r="I367" s="33"/>
      <c r="J367" s="33" t="s">
        <v>104</v>
      </c>
      <c r="K367" s="29">
        <v>0.2076388888888889</v>
      </c>
      <c r="L367" s="29">
        <v>0.22847222222222222</v>
      </c>
      <c r="M367" s="35">
        <f t="shared" ca="1" si="82"/>
        <v>2.0833333333333315E-2</v>
      </c>
      <c r="N367" s="27"/>
      <c r="O367" s="47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30</v>
      </c>
      <c r="E368" s="59" t="s">
        <v>257</v>
      </c>
      <c r="F368" s="27">
        <v>8</v>
      </c>
      <c r="G368" s="28">
        <f t="shared" si="81"/>
        <v>33.6</v>
      </c>
      <c r="H368" s="26" t="s">
        <v>20</v>
      </c>
      <c r="I368" s="26" t="s">
        <v>47</v>
      </c>
      <c r="J368" s="26" t="s">
        <v>28</v>
      </c>
      <c r="K368" s="29">
        <v>0.25138888888888888</v>
      </c>
      <c r="L368" s="29">
        <v>0.25972222222222224</v>
      </c>
      <c r="M368" s="30">
        <f t="shared" ca="1" si="82"/>
        <v>8.3333333333333592E-3</v>
      </c>
      <c r="N368" s="27"/>
      <c r="O368" s="47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8</v>
      </c>
      <c r="G369" s="34">
        <f t="shared" si="81"/>
        <v>33.6</v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15</v>
      </c>
      <c r="G370" s="28">
        <f t="shared" si="81"/>
        <v>63</v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13</v>
      </c>
      <c r="G371" s="34">
        <f t="shared" si="81"/>
        <v>54.6</v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13</v>
      </c>
      <c r="G372" s="28">
        <f t="shared" si="81"/>
        <v>54.6</v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7</v>
      </c>
      <c r="G373" s="34">
        <f t="shared" si="81"/>
        <v>29.400000000000002</v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8</v>
      </c>
      <c r="G374" s="28">
        <f t="shared" si="81"/>
        <v>33.6</v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9</v>
      </c>
      <c r="G375" s="34">
        <f t="shared" si="81"/>
        <v>37.800000000000004</v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>
        <v>0</v>
      </c>
      <c r="G376" s="28">
        <f t="shared" si="81"/>
        <v>0</v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107</v>
      </c>
      <c r="G378" s="36">
        <f>SUM(G366:G377)</f>
        <v>449.40000000000009</v>
      </c>
      <c r="H378" s="37"/>
      <c r="I378" s="37"/>
      <c r="J378" s="37"/>
      <c r="K378" s="37"/>
      <c r="L378" s="37"/>
      <c r="M378" s="38">
        <f ca="1">IFERROR(SUM(M366:M377),"")</f>
        <v>4.166666666666663E-2</v>
      </c>
      <c r="N378" s="36" t="s">
        <v>233</v>
      </c>
      <c r="O378" s="39">
        <v>473310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116</v>
      </c>
      <c r="G379" s="40">
        <f>G365+G378</f>
        <v>487.2000000000001</v>
      </c>
      <c r="H379" s="41"/>
      <c r="I379" s="41"/>
      <c r="J379" s="41"/>
      <c r="K379" s="41"/>
      <c r="L379" s="41"/>
      <c r="M379" s="42">
        <f ca="1">IFERROR(M365+M378,"")</f>
        <v>0.4729166666666666</v>
      </c>
      <c r="N379" s="40" t="s">
        <v>236</v>
      </c>
      <c r="O379" s="48">
        <f>IFERROR(O365+O378,"")</f>
        <v>502440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46</v>
      </c>
      <c r="E380" s="59" t="s">
        <v>257</v>
      </c>
      <c r="F380" s="27">
        <v>10</v>
      </c>
      <c r="G380" s="28">
        <f t="shared" ref="G380:G391" si="84">IF(F380="","",IF(E380="PC 17",F380*4.2,IF(E380="PC 19",F380*5,"")))</f>
        <v>42</v>
      </c>
      <c r="H380" s="26" t="s">
        <v>20</v>
      </c>
      <c r="I380" s="26" t="s">
        <v>47</v>
      </c>
      <c r="J380" s="26" t="s">
        <v>28</v>
      </c>
      <c r="K380" s="29">
        <v>0.31388888888888888</v>
      </c>
      <c r="L380" s="29">
        <v>0.3215277777777778</v>
      </c>
      <c r="M380" s="30">
        <f t="shared" ref="M380:M391" ca="1" si="85">IFERROR(IF(K380="","",IF(L380="",MOD(NOW()-K380,1),IF(L380&gt;=K380,L380-K380,L380+1-K380))),"")</f>
        <v>7.6388888888889173E-3</v>
      </c>
      <c r="N380" s="27"/>
      <c r="O380" s="47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46</v>
      </c>
      <c r="E381" s="20" t="s">
        <v>257</v>
      </c>
      <c r="F381" s="27">
        <v>6</v>
      </c>
      <c r="G381" s="34">
        <f>IF(F381="","",IF(E382="PC 17",F381*4.2,IF(E382="PC 19",F381*5,"")))</f>
        <v>25.200000000000003</v>
      </c>
      <c r="H381" s="33" t="s">
        <v>19</v>
      </c>
      <c r="I381" s="33" t="s">
        <v>47</v>
      </c>
      <c r="J381" s="33" t="s">
        <v>27</v>
      </c>
      <c r="K381" s="29">
        <v>0.64930555555555558</v>
      </c>
      <c r="L381" s="29">
        <v>0.66666666666666663</v>
      </c>
      <c r="M381" s="35">
        <f t="shared" ca="1" si="85"/>
        <v>1.7361111111111049E-2</v>
      </c>
      <c r="N381" s="27"/>
      <c r="O381" s="47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46</v>
      </c>
      <c r="E382" s="59" t="s">
        <v>257</v>
      </c>
      <c r="F382" s="27">
        <v>15</v>
      </c>
      <c r="G382" s="28">
        <v>63</v>
      </c>
      <c r="H382" s="26" t="s">
        <v>20</v>
      </c>
      <c r="I382" s="26" t="s">
        <v>47</v>
      </c>
      <c r="J382" s="33" t="s">
        <v>51</v>
      </c>
      <c r="K382" s="29">
        <v>0.69027777777777777</v>
      </c>
      <c r="L382" s="29">
        <v>0.69513888888888886</v>
      </c>
      <c r="M382" s="30">
        <f t="shared" ca="1" si="85"/>
        <v>4.8611111111110938E-3</v>
      </c>
      <c r="N382" s="27"/>
      <c r="O382" s="47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46</v>
      </c>
      <c r="E383" s="59" t="s">
        <v>257</v>
      </c>
      <c r="F383" s="27">
        <v>2</v>
      </c>
      <c r="G383" s="34">
        <f t="shared" si="84"/>
        <v>8.4</v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46</v>
      </c>
      <c r="E384" s="59" t="s">
        <v>257</v>
      </c>
      <c r="F384" s="27">
        <v>10</v>
      </c>
      <c r="G384" s="28">
        <f t="shared" si="84"/>
        <v>42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46</v>
      </c>
      <c r="E385" s="59" t="s">
        <v>257</v>
      </c>
      <c r="F385" s="27">
        <v>9</v>
      </c>
      <c r="G385" s="34">
        <f t="shared" si="84"/>
        <v>37.800000000000004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46</v>
      </c>
      <c r="E386" s="59" t="s">
        <v>257</v>
      </c>
      <c r="F386" s="27">
        <v>5</v>
      </c>
      <c r="G386" s="28">
        <f t="shared" si="84"/>
        <v>21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46</v>
      </c>
      <c r="E387" s="59" t="s">
        <v>257</v>
      </c>
      <c r="F387" s="27">
        <v>7</v>
      </c>
      <c r="G387" s="34">
        <f t="shared" si="84"/>
        <v>29.400000000000002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46</v>
      </c>
      <c r="E388" s="59" t="s">
        <v>257</v>
      </c>
      <c r="F388" s="27">
        <v>13</v>
      </c>
      <c r="G388" s="28">
        <f t="shared" si="84"/>
        <v>54.6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4</v>
      </c>
      <c r="G389" s="34">
        <f t="shared" si="84"/>
        <v>16.8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11</v>
      </c>
      <c r="G390" s="28">
        <f t="shared" si="84"/>
        <v>46.2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3</v>
      </c>
      <c r="G391" s="34">
        <f t="shared" si="84"/>
        <v>12.600000000000001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95</v>
      </c>
      <c r="G392" s="36">
        <f>SUM(G380:G391)</f>
        <v>399.00000000000006</v>
      </c>
      <c r="H392" s="37"/>
      <c r="I392" s="37"/>
      <c r="J392" s="37"/>
      <c r="K392" s="37"/>
      <c r="L392" s="37"/>
      <c r="M392" s="38">
        <f ca="1">IFERROR(SUM(M380:M391),"")</f>
        <v>2.9861111111111061E-2</v>
      </c>
      <c r="N392" s="36" t="s">
        <v>233</v>
      </c>
      <c r="O392" s="39">
        <v>399940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12</v>
      </c>
      <c r="G393" s="34">
        <f t="shared" ref="G393:G404" si="87">IF(F393="","",IF(E393="PC 17",F393*4.2,IF(E393="PC 19",F393*5,"")))</f>
        <v>60</v>
      </c>
      <c r="H393" s="33" t="s">
        <v>17</v>
      </c>
      <c r="I393" s="33"/>
      <c r="J393" s="33" t="s">
        <v>25</v>
      </c>
      <c r="K393" s="29">
        <v>3.6805555555555557E-2</v>
      </c>
      <c r="L393" s="29">
        <v>4.9305555555555554E-2</v>
      </c>
      <c r="M393" s="35">
        <f t="shared" ref="M393:M404" ca="1" si="88">IFERROR(IF(K393="","",IF(L393="",MOD(NOW()-K393,1),IF(L393&gt;=K393,L393-K393,L393+1-K393))),"")</f>
        <v>1.2499999999999997E-2</v>
      </c>
      <c r="N393" s="27"/>
      <c r="O393" s="47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/>
      <c r="I394" s="26"/>
      <c r="J394" s="26" t="s">
        <v>40</v>
      </c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4</v>
      </c>
      <c r="G395" s="34">
        <f t="shared" si="87"/>
        <v>16.8</v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9</v>
      </c>
      <c r="G396" s="28">
        <f t="shared" si="87"/>
        <v>37.800000000000004</v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4</v>
      </c>
      <c r="G397" s="34">
        <f t="shared" si="87"/>
        <v>16.8</v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6</v>
      </c>
      <c r="G398" s="28">
        <f t="shared" si="87"/>
        <v>25.200000000000003</v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13</v>
      </c>
      <c r="G399" s="34">
        <f t="shared" si="87"/>
        <v>54.6</v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5</v>
      </c>
      <c r="G400" s="28">
        <f t="shared" si="87"/>
        <v>21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2</v>
      </c>
      <c r="G401" s="34">
        <f t="shared" si="87"/>
        <v>8.4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4</v>
      </c>
      <c r="G402" s="28">
        <f t="shared" si="87"/>
        <v>16.8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5</v>
      </c>
      <c r="G403" s="34">
        <f t="shared" si="87"/>
        <v>21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>
        <v>3</v>
      </c>
      <c r="G404" s="28">
        <f t="shared" si="87"/>
        <v>12.600000000000001</v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77</v>
      </c>
      <c r="G405" s="36">
        <f>SUM(G393:G404)</f>
        <v>333.00000000000006</v>
      </c>
      <c r="H405" s="37"/>
      <c r="I405" s="37"/>
      <c r="J405" s="37"/>
      <c r="K405" s="37"/>
      <c r="L405" s="37"/>
      <c r="M405" s="38">
        <f ca="1">IFERROR(SUM(M393:M404),"")</f>
        <v>1.2499999999999997E-2</v>
      </c>
      <c r="N405" s="36" t="s">
        <v>233</v>
      </c>
      <c r="O405" s="39">
        <v>507450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172</v>
      </c>
      <c r="G406" s="40">
        <f>G392+G405</f>
        <v>732.00000000000011</v>
      </c>
      <c r="H406" s="41"/>
      <c r="I406" s="41"/>
      <c r="J406" s="41"/>
      <c r="K406" s="41"/>
      <c r="L406" s="41"/>
      <c r="M406" s="42">
        <f ca="1">IFERROR(M392+M405,"")</f>
        <v>4.2361111111111058E-2</v>
      </c>
      <c r="N406" s="40" t="s">
        <v>236</v>
      </c>
      <c r="O406" s="48">
        <f>IFERROR(O392+O405,"")</f>
        <v>907390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46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/>
      <c r="J407" s="33" t="s">
        <v>25</v>
      </c>
      <c r="K407" s="29">
        <v>0.47569444444444442</v>
      </c>
      <c r="L407" s="29">
        <v>0.5</v>
      </c>
      <c r="M407" s="35">
        <f t="shared" ref="M407:M418" ca="1" si="91">IFERROR(IF(K407="","",IF(L407="",MOD(NOW()-K407,1),IF(L407&gt;=K407,L407-K407,L407+1-K407))),"")</f>
        <v>2.430555555555558E-2</v>
      </c>
      <c r="N407" s="27"/>
      <c r="O407" s="47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46</v>
      </c>
      <c r="E408" s="62" t="s">
        <v>257</v>
      </c>
      <c r="F408" s="27">
        <v>5</v>
      </c>
      <c r="G408" s="28">
        <f t="shared" si="90"/>
        <v>21</v>
      </c>
      <c r="H408" s="26" t="s">
        <v>17</v>
      </c>
      <c r="I408" s="26" t="s">
        <v>135</v>
      </c>
      <c r="J408" s="26" t="s">
        <v>49</v>
      </c>
      <c r="K408" s="29">
        <v>0.5</v>
      </c>
      <c r="L408" s="29">
        <v>0.54027777777777775</v>
      </c>
      <c r="M408" s="30">
        <f t="shared" ca="1" si="91"/>
        <v>4.0277777777777746E-2</v>
      </c>
      <c r="N408" s="27"/>
      <c r="O408" s="47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46</v>
      </c>
      <c r="E409" s="62" t="s">
        <v>257</v>
      </c>
      <c r="F409" s="27">
        <v>3</v>
      </c>
      <c r="G409" s="34">
        <f t="shared" si="90"/>
        <v>12.600000000000001</v>
      </c>
      <c r="H409" s="33" t="s">
        <v>20</v>
      </c>
      <c r="I409" s="33" t="s">
        <v>47</v>
      </c>
      <c r="J409" s="33" t="s">
        <v>28</v>
      </c>
      <c r="K409" s="29">
        <v>0.5854166666666667</v>
      </c>
      <c r="L409" s="29">
        <v>0.58888888888888891</v>
      </c>
      <c r="M409" s="35">
        <f t="shared" ca="1" si="91"/>
        <v>3.4722222222222099E-3</v>
      </c>
      <c r="N409" s="27"/>
      <c r="O409" s="47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46</v>
      </c>
      <c r="E410" s="62" t="s">
        <v>257</v>
      </c>
      <c r="F410" s="27">
        <v>6</v>
      </c>
      <c r="G410" s="28">
        <f t="shared" si="90"/>
        <v>25.200000000000003</v>
      </c>
      <c r="H410" s="26" t="s">
        <v>17</v>
      </c>
      <c r="I410" s="26"/>
      <c r="J410" s="26" t="s">
        <v>25</v>
      </c>
      <c r="K410" s="29">
        <v>0.65694444444444444</v>
      </c>
      <c r="L410" s="29">
        <v>0.68055555555555558</v>
      </c>
      <c r="M410" s="30">
        <f t="shared" ca="1" si="91"/>
        <v>2.3611111111111138E-2</v>
      </c>
      <c r="N410" s="27"/>
      <c r="O410" s="47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46</v>
      </c>
      <c r="E411" s="62" t="s">
        <v>257</v>
      </c>
      <c r="F411" s="27">
        <v>5</v>
      </c>
      <c r="G411" s="34">
        <f t="shared" si="90"/>
        <v>21</v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46</v>
      </c>
      <c r="E412" s="62" t="s">
        <v>257</v>
      </c>
      <c r="F412" s="27">
        <v>3</v>
      </c>
      <c r="G412" s="28">
        <f t="shared" si="90"/>
        <v>12.600000000000001</v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46</v>
      </c>
      <c r="E413" s="62" t="s">
        <v>257</v>
      </c>
      <c r="F413" s="27">
        <v>0</v>
      </c>
      <c r="G413" s="34">
        <f t="shared" si="90"/>
        <v>0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46</v>
      </c>
      <c r="E414" s="62" t="s">
        <v>257</v>
      </c>
      <c r="F414" s="27">
        <v>18</v>
      </c>
      <c r="G414" s="28">
        <f t="shared" si="90"/>
        <v>75.600000000000009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46</v>
      </c>
      <c r="E415" s="62" t="s">
        <v>230</v>
      </c>
      <c r="F415" s="27">
        <v>3</v>
      </c>
      <c r="G415" s="34">
        <f t="shared" si="90"/>
        <v>15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46</v>
      </c>
      <c r="E416" s="62" t="s">
        <v>230</v>
      </c>
      <c r="F416" s="27">
        <v>2</v>
      </c>
      <c r="G416" s="28">
        <f t="shared" si="90"/>
        <v>10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46</v>
      </c>
      <c r="E417" s="62" t="s">
        <v>257</v>
      </c>
      <c r="F417" s="27">
        <v>6</v>
      </c>
      <c r="G417" s="34">
        <f t="shared" si="90"/>
        <v>25.200000000000003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46</v>
      </c>
      <c r="E418" s="62" t="s">
        <v>257</v>
      </c>
      <c r="F418" s="27">
        <v>5</v>
      </c>
      <c r="G418" s="28">
        <f t="shared" si="90"/>
        <v>21</v>
      </c>
      <c r="H418" s="26"/>
      <c r="I418" s="26"/>
      <c r="J418" s="26"/>
      <c r="K418" s="29"/>
      <c r="L418" s="29"/>
      <c r="M418" s="30" t="str">
        <f t="shared" ca="1" si="91"/>
        <v/>
      </c>
      <c r="N418" s="27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61</v>
      </c>
      <c r="G419" s="36">
        <f>SUM(G407:G418)</f>
        <v>260.2</v>
      </c>
      <c r="H419" s="37"/>
      <c r="I419" s="37"/>
      <c r="J419" s="37"/>
      <c r="K419" s="37"/>
      <c r="L419" s="37"/>
      <c r="M419" s="38">
        <f ca="1">IFERROR(SUM(M407:M418),"")</f>
        <v>9.1666666666666674E-2</v>
      </c>
      <c r="N419" s="36" t="s">
        <v>233</v>
      </c>
      <c r="O419" s="39">
        <v>209000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230</v>
      </c>
      <c r="F420" s="27">
        <v>3</v>
      </c>
      <c r="G420" s="28">
        <f t="shared" ref="G420:G431" si="93">IF(F420="","",IF(E420="PC 17",F420*4.2,IF(E420="PC 19",F420*5,"")))</f>
        <v>15</v>
      </c>
      <c r="H420" s="26" t="s">
        <v>18</v>
      </c>
      <c r="I420" s="26" t="s">
        <v>165</v>
      </c>
      <c r="J420" s="26" t="s">
        <v>115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96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47</v>
      </c>
      <c r="J421" s="33" t="s">
        <v>36</v>
      </c>
      <c r="K421" s="29">
        <v>0.95138888888888884</v>
      </c>
      <c r="L421" s="29">
        <v>0.96736111111111112</v>
      </c>
      <c r="M421" s="95">
        <f t="shared" ca="1" si="94"/>
        <v>1.5972222222222276E-2</v>
      </c>
      <c r="N421" s="97" t="s">
        <v>296</v>
      </c>
      <c r="O421" s="47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/>
      <c r="I422" s="26"/>
      <c r="J422" s="26"/>
      <c r="K422" s="29"/>
      <c r="L422" s="29"/>
      <c r="M422" s="30" t="str">
        <f t="shared" ca="1" si="94"/>
        <v/>
      </c>
      <c r="N422" s="94"/>
      <c r="O422" s="47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10</v>
      </c>
      <c r="G423" s="34">
        <f t="shared" si="93"/>
        <v>42</v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7</v>
      </c>
      <c r="G424" s="28">
        <f t="shared" si="93"/>
        <v>29.400000000000002</v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1</v>
      </c>
      <c r="G425" s="34">
        <f t="shared" si="93"/>
        <v>4.2</v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3</v>
      </c>
      <c r="G426" s="28">
        <f t="shared" si="93"/>
        <v>12.600000000000001</v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3</v>
      </c>
      <c r="G427" s="34">
        <f t="shared" si="93"/>
        <v>12.600000000000001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12</v>
      </c>
      <c r="G428" s="28">
        <f t="shared" si="93"/>
        <v>50.400000000000006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4</v>
      </c>
      <c r="G429" s="34">
        <f t="shared" si="93"/>
        <v>16.8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11</v>
      </c>
      <c r="G430" s="28">
        <f t="shared" si="93"/>
        <v>46.2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0</v>
      </c>
      <c r="G431" s="34">
        <f t="shared" si="93"/>
        <v>0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54</v>
      </c>
      <c r="G432" s="36">
        <f>SUM(G420:G431)</f>
        <v>229.20000000000005</v>
      </c>
      <c r="H432" s="37"/>
      <c r="I432" s="37"/>
      <c r="J432" s="37"/>
      <c r="K432" s="37"/>
      <c r="L432" s="37"/>
      <c r="M432" s="38">
        <f ca="1">IFERROR(SUM(M420:M431),"")</f>
        <v>0.15069444444444446</v>
      </c>
      <c r="N432" s="36" t="s">
        <v>233</v>
      </c>
      <c r="O432" s="39">
        <v>229150</v>
      </c>
    </row>
    <row r="433" spans="1:15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115</v>
      </c>
      <c r="G433" s="40">
        <f>G419+G432</f>
        <v>489.40000000000003</v>
      </c>
      <c r="H433" s="41"/>
      <c r="I433" s="41"/>
      <c r="J433" s="41"/>
      <c r="K433" s="41"/>
      <c r="L433" s="41"/>
      <c r="M433" s="42">
        <f ca="1">IFERROR(M419+M432,"")</f>
        <v>0.24236111111111114</v>
      </c>
      <c r="N433" s="40" t="s">
        <v>236</v>
      </c>
      <c r="O433" s="48">
        <f>IFERROR(O419+O432,"")</f>
        <v>438150</v>
      </c>
    </row>
    <row r="434" spans="1:15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9</v>
      </c>
      <c r="G434" s="28">
        <f t="shared" ref="G434:G445" si="96">IF(F434="","",IF(E434="PC 17",F434*4.2,IF(E434="PC 19",F434*5,"")))</f>
        <v>37.800000000000004</v>
      </c>
      <c r="H434" s="26" t="s">
        <v>17</v>
      </c>
      <c r="I434" s="26" t="s">
        <v>47</v>
      </c>
      <c r="J434" s="26" t="s">
        <v>87</v>
      </c>
      <c r="K434" s="29">
        <v>0.54166666666666663</v>
      </c>
      <c r="L434" s="29">
        <v>0.73958333333333337</v>
      </c>
      <c r="M434" s="30">
        <f t="shared" ref="M434:M445" ca="1" si="97">IFERROR(IF(K434="","",IF(L434="",MOD(NOW()-K434,1),IF(L434&gt;=K434,L434-K434,L434+1-K434))),"")</f>
        <v>0.19791666666666674</v>
      </c>
      <c r="N434" s="27" t="s">
        <v>333</v>
      </c>
      <c r="O434" s="47"/>
    </row>
    <row r="435" spans="1:15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6</v>
      </c>
      <c r="G436" s="28">
        <f t="shared" si="96"/>
        <v>25.200000000000003</v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6</v>
      </c>
      <c r="G437" s="34">
        <f t="shared" si="96"/>
        <v>25.200000000000003</v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3</v>
      </c>
      <c r="G438" s="28">
        <f t="shared" si="96"/>
        <v>12.600000000000001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</v>
      </c>
      <c r="G439" s="34">
        <f t="shared" si="96"/>
        <v>8.4</v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0</v>
      </c>
      <c r="G440" s="28">
        <f t="shared" si="96"/>
        <v>0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0</v>
      </c>
      <c r="G441" s="34">
        <f t="shared" si="96"/>
        <v>0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0</v>
      </c>
      <c r="G442" s="28">
        <f t="shared" si="96"/>
        <v>0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1</v>
      </c>
      <c r="G443" s="34">
        <f t="shared" si="96"/>
        <v>4.2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0</v>
      </c>
      <c r="G444" s="28">
        <f t="shared" si="96"/>
        <v>0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2</v>
      </c>
      <c r="G445" s="34">
        <f t="shared" si="96"/>
        <v>8.4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35</v>
      </c>
      <c r="G446" s="36">
        <f>SUM(G434:G445)</f>
        <v>147.00000000000003</v>
      </c>
      <c r="H446" s="37"/>
      <c r="I446" s="37"/>
      <c r="J446" s="37"/>
      <c r="K446" s="37"/>
      <c r="L446" s="37"/>
      <c r="M446" s="38">
        <f ca="1">IFERROR(SUM(M434:M445),"")</f>
        <v>0.19791666666666674</v>
      </c>
      <c r="N446" s="36" t="s">
        <v>233</v>
      </c>
      <c r="O446" s="39">
        <v>191330</v>
      </c>
    </row>
    <row r="447" spans="1:15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/>
      <c r="J447" s="33" t="s">
        <v>28</v>
      </c>
      <c r="K447" s="29">
        <v>0.82638888888888884</v>
      </c>
      <c r="L447" s="29">
        <v>0.82847222222222228</v>
      </c>
      <c r="M447" s="35">
        <f t="shared" ref="M447:M458" ca="1" si="100">IFERROR(IF(K447="","",IF(L447="",MOD(NOW()-K447,1),IF(L447&gt;=K447,L447-K447,L447+1-K447))),"")</f>
        <v>2.083333333333437E-3</v>
      </c>
      <c r="N447" s="27"/>
      <c r="O447" s="47"/>
    </row>
    <row r="448" spans="1:15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6</v>
      </c>
      <c r="G448" s="28">
        <f t="shared" si="99"/>
        <v>30</v>
      </c>
      <c r="H448" s="26" t="s">
        <v>20</v>
      </c>
      <c r="I448" s="26" t="s">
        <v>47</v>
      </c>
      <c r="J448" s="26" t="s">
        <v>51</v>
      </c>
      <c r="K448" s="29">
        <v>0.85833333333333328</v>
      </c>
      <c r="L448" s="29">
        <v>0.86319444444444449</v>
      </c>
      <c r="M448" s="30">
        <f t="shared" ca="1" si="100"/>
        <v>4.8611111111112049E-3</v>
      </c>
      <c r="N448" s="27"/>
      <c r="O448" s="47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8</v>
      </c>
      <c r="G449" s="34">
        <f t="shared" si="99"/>
        <v>40</v>
      </c>
      <c r="H449" s="33" t="s">
        <v>20</v>
      </c>
      <c r="I449" s="33" t="s">
        <v>47</v>
      </c>
      <c r="J449" s="33" t="s">
        <v>51</v>
      </c>
      <c r="K449" s="29">
        <v>0.89444444444444449</v>
      </c>
      <c r="L449" s="29">
        <v>0.90694444444444444</v>
      </c>
      <c r="M449" s="35">
        <f t="shared" ca="1" si="100"/>
        <v>1.2499999999999956E-2</v>
      </c>
      <c r="N449" s="27"/>
      <c r="O449" s="47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62" t="s">
        <v>230</v>
      </c>
      <c r="F450" s="27">
        <v>7</v>
      </c>
      <c r="G450" s="28">
        <f t="shared" si="99"/>
        <v>35</v>
      </c>
      <c r="H450" s="26" t="s">
        <v>20</v>
      </c>
      <c r="I450" s="26" t="s">
        <v>47</v>
      </c>
      <c r="J450" s="26" t="s">
        <v>28</v>
      </c>
      <c r="K450" s="29">
        <v>0.97013888888888888</v>
      </c>
      <c r="L450" s="29">
        <v>0.97986111111111107</v>
      </c>
      <c r="M450" s="30">
        <f t="shared" ca="1" si="100"/>
        <v>9.7222222222221877E-3</v>
      </c>
      <c r="N450" s="27"/>
      <c r="O450" s="47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8</v>
      </c>
      <c r="G451" s="34">
        <f t="shared" si="99"/>
        <v>40</v>
      </c>
      <c r="H451" s="33" t="s">
        <v>20</v>
      </c>
      <c r="I451" s="33" t="s">
        <v>47</v>
      </c>
      <c r="J451" s="33" t="s">
        <v>51</v>
      </c>
      <c r="K451" s="29">
        <v>4.8611111111111112E-2</v>
      </c>
      <c r="L451" s="29">
        <v>6.8750000000000006E-2</v>
      </c>
      <c r="M451" s="35">
        <f t="shared" ca="1" si="100"/>
        <v>2.0138888888888894E-2</v>
      </c>
      <c r="N451" s="27"/>
      <c r="O451" s="47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8</v>
      </c>
      <c r="G452" s="28">
        <f t="shared" si="99"/>
        <v>40</v>
      </c>
      <c r="H452" s="26"/>
      <c r="I452" s="26"/>
      <c r="J452" s="26"/>
      <c r="K452" s="29">
        <v>0.13680555555555557</v>
      </c>
      <c r="L452" s="29">
        <v>0.15763888888888888</v>
      </c>
      <c r="M452" s="30">
        <f t="shared" ca="1" si="100"/>
        <v>2.0833333333333315E-2</v>
      </c>
      <c r="N452" s="27"/>
      <c r="O452" s="47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0</v>
      </c>
      <c r="G453" s="34">
        <f t="shared" si="99"/>
        <v>0</v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11</v>
      </c>
      <c r="G454" s="28">
        <f t="shared" si="99"/>
        <v>55</v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7</v>
      </c>
      <c r="G455" s="34">
        <f t="shared" si="99"/>
        <v>35</v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2</v>
      </c>
      <c r="G456" s="28">
        <f t="shared" si="99"/>
        <v>10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2</v>
      </c>
      <c r="G457" s="34">
        <f t="shared" si="99"/>
        <v>10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2</v>
      </c>
      <c r="G458" s="28">
        <f t="shared" si="99"/>
        <v>10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61</v>
      </c>
      <c r="G459" s="36">
        <f>SUM(G447:G458)</f>
        <v>305</v>
      </c>
      <c r="H459" s="37"/>
      <c r="I459" s="37"/>
      <c r="J459" s="37"/>
      <c r="K459" s="37"/>
      <c r="L459" s="37"/>
      <c r="M459" s="38">
        <f ca="1">IFERROR(SUM(M447:M458),"")</f>
        <v>7.0138888888889001E-2</v>
      </c>
      <c r="N459" s="36" t="s">
        <v>233</v>
      </c>
      <c r="O459" s="39">
        <v>409980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96</v>
      </c>
      <c r="G460" s="40">
        <f>G446+G459</f>
        <v>452</v>
      </c>
      <c r="H460" s="41"/>
      <c r="I460" s="41"/>
      <c r="J460" s="41"/>
      <c r="K460" s="41"/>
      <c r="L460" s="41"/>
      <c r="M460" s="42">
        <f ca="1">IFERROR(M446+M459,"")</f>
        <v>0.26805555555555571</v>
      </c>
      <c r="N460" s="40" t="s">
        <v>236</v>
      </c>
      <c r="O460" s="48">
        <f>IFERROR(O446+O459,"")</f>
        <v>601310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0</v>
      </c>
      <c r="G461" s="34">
        <f t="shared" ref="G461:G472" si="102">IF(F461="","",IF(E461="PC 17",F461*4.2,IF(E461="PC 19",F461*5,"")))</f>
        <v>0</v>
      </c>
      <c r="H461" s="33" t="s">
        <v>19</v>
      </c>
      <c r="I461" s="33" t="s">
        <v>47</v>
      </c>
      <c r="J461" s="33" t="s">
        <v>27</v>
      </c>
      <c r="K461" s="29">
        <v>0.2951388888888889</v>
      </c>
      <c r="L461" s="29">
        <v>0.31388888888888888</v>
      </c>
      <c r="M461" s="35">
        <f t="shared" ref="M461:M472" ca="1" si="103">IFERROR(IF(K461="","",IF(L461="",MOD(NOW()-K461,1),IF(L461&gt;=K461,L461-K461,L461+1-K461))),"")</f>
        <v>1.8749999999999989E-2</v>
      </c>
      <c r="N461" s="27"/>
      <c r="O461" s="47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7</v>
      </c>
      <c r="G462" s="28">
        <f t="shared" si="102"/>
        <v>35</v>
      </c>
      <c r="H462" s="26" t="s">
        <v>18</v>
      </c>
      <c r="I462" s="26" t="s">
        <v>146</v>
      </c>
      <c r="J462" s="26" t="s">
        <v>127</v>
      </c>
      <c r="K462" s="29">
        <v>0.49652777777777779</v>
      </c>
      <c r="L462" s="29">
        <v>0.50902777777777775</v>
      </c>
      <c r="M462" s="30">
        <f t="shared" ca="1" si="103"/>
        <v>1.2499999999999956E-2</v>
      </c>
      <c r="N462" s="27"/>
      <c r="O462" s="47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3</v>
      </c>
      <c r="G463" s="34">
        <f t="shared" si="102"/>
        <v>15</v>
      </c>
      <c r="H463" s="33" t="s">
        <v>20</v>
      </c>
      <c r="I463" s="33" t="s">
        <v>69</v>
      </c>
      <c r="J463" s="33" t="s">
        <v>201</v>
      </c>
      <c r="K463" s="29">
        <v>0.5541666666666667</v>
      </c>
      <c r="L463" s="29">
        <v>0.65277777777777779</v>
      </c>
      <c r="M463" s="35">
        <f t="shared" ca="1" si="103"/>
        <v>9.8611111111111094E-2</v>
      </c>
      <c r="N463" s="27"/>
      <c r="O463" s="47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5</v>
      </c>
      <c r="G464" s="28">
        <f t="shared" si="102"/>
        <v>25</v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0</v>
      </c>
      <c r="G466" s="28">
        <f t="shared" si="102"/>
        <v>0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0</v>
      </c>
      <c r="G467" s="34">
        <f t="shared" si="102"/>
        <v>0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0</v>
      </c>
      <c r="G468" s="28">
        <f t="shared" si="102"/>
        <v>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38</v>
      </c>
      <c r="E469" s="62" t="s">
        <v>230</v>
      </c>
      <c r="F469" s="27">
        <v>4</v>
      </c>
      <c r="G469" s="34">
        <f t="shared" si="102"/>
        <v>20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38</v>
      </c>
      <c r="E470" s="62" t="s">
        <v>230</v>
      </c>
      <c r="F470" s="27">
        <v>3</v>
      </c>
      <c r="G470" s="28">
        <f t="shared" si="102"/>
        <v>15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38</v>
      </c>
      <c r="E471" s="62" t="s">
        <v>230</v>
      </c>
      <c r="F471" s="27">
        <v>2</v>
      </c>
      <c r="G471" s="34">
        <f t="shared" si="102"/>
        <v>10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38</v>
      </c>
      <c r="E472" s="62" t="s">
        <v>230</v>
      </c>
      <c r="F472" s="27">
        <v>2</v>
      </c>
      <c r="G472" s="28">
        <f t="shared" si="102"/>
        <v>10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30</v>
      </c>
      <c r="G473" s="36">
        <f>SUM(G461:G472)</f>
        <v>150</v>
      </c>
      <c r="H473" s="37"/>
      <c r="I473" s="37"/>
      <c r="J473" s="37"/>
      <c r="K473" s="37"/>
      <c r="L473" s="37"/>
      <c r="M473" s="38">
        <f ca="1">IFERROR(SUM(M461:M472),"")</f>
        <v>0.12986111111111104</v>
      </c>
      <c r="N473" s="36" t="s">
        <v>233</v>
      </c>
      <c r="O473" s="39">
        <v>228940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8</v>
      </c>
      <c r="G474" s="28">
        <f t="shared" ref="G474:G485" si="105">IF(F474="","",IF(E474="PC 17",F474*4.2,IF(E474="PC 19",F474*5,"")))</f>
        <v>40</v>
      </c>
      <c r="H474" s="26" t="s">
        <v>20</v>
      </c>
      <c r="I474" s="26" t="s">
        <v>47</v>
      </c>
      <c r="J474" s="26" t="s">
        <v>51</v>
      </c>
      <c r="K474" s="29">
        <v>0.7895833333333333</v>
      </c>
      <c r="L474" s="29">
        <v>0.79166666666666663</v>
      </c>
      <c r="M474" s="30">
        <f t="shared" ref="M474:M485" ca="1" si="106">IFERROR(IF(K474="","",IF(L474="",MOD(NOW()-K474,1),IF(L474&gt;=K474,L474-K474,L474+1-K474))),"")</f>
        <v>2.0833333333333259E-3</v>
      </c>
      <c r="N474" s="27"/>
      <c r="O474" s="47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7</v>
      </c>
      <c r="G475" s="34">
        <f t="shared" si="105"/>
        <v>35</v>
      </c>
      <c r="H475" s="33" t="s">
        <v>20</v>
      </c>
      <c r="I475" s="33" t="s">
        <v>47</v>
      </c>
      <c r="J475" s="33" t="s">
        <v>28</v>
      </c>
      <c r="K475" s="29">
        <v>0.80972222222222223</v>
      </c>
      <c r="L475" s="29">
        <v>0.8125</v>
      </c>
      <c r="M475" s="35">
        <f t="shared" ca="1" si="106"/>
        <v>2.7777777777777679E-3</v>
      </c>
      <c r="N475" s="27"/>
      <c r="O475" s="47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6</v>
      </c>
      <c r="G476" s="28">
        <f t="shared" si="105"/>
        <v>30</v>
      </c>
      <c r="H476" s="26" t="s">
        <v>20</v>
      </c>
      <c r="I476" s="26" t="s">
        <v>47</v>
      </c>
      <c r="J476" s="26" t="s">
        <v>51</v>
      </c>
      <c r="K476" s="29">
        <v>0.8305555555555556</v>
      </c>
      <c r="L476" s="29">
        <v>0.83333333333333337</v>
      </c>
      <c r="M476" s="30">
        <f t="shared" ca="1" si="106"/>
        <v>2.7777777777777679E-3</v>
      </c>
      <c r="N476" s="27"/>
      <c r="O476" s="47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6</v>
      </c>
      <c r="G477" s="34">
        <f t="shared" si="105"/>
        <v>30</v>
      </c>
      <c r="H477" s="33" t="s">
        <v>20</v>
      </c>
      <c r="I477" s="33" t="s">
        <v>47</v>
      </c>
      <c r="J477" s="33" t="s">
        <v>28</v>
      </c>
      <c r="K477" s="29">
        <v>0.95694444444444449</v>
      </c>
      <c r="L477" s="29">
        <v>0.97083333333333333</v>
      </c>
      <c r="M477" s="35">
        <f t="shared" ca="1" si="106"/>
        <v>1.388888888888884E-2</v>
      </c>
      <c r="N477" s="27"/>
      <c r="O477" s="47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6</v>
      </c>
      <c r="G478" s="28">
        <f t="shared" si="105"/>
        <v>30</v>
      </c>
      <c r="H478" s="26" t="s">
        <v>20</v>
      </c>
      <c r="I478" s="26" t="s">
        <v>47</v>
      </c>
      <c r="J478" s="26" t="s">
        <v>56</v>
      </c>
      <c r="K478" s="29">
        <v>7.6388888888888895E-2</v>
      </c>
      <c r="L478" s="29">
        <v>8.1944444444444445E-2</v>
      </c>
      <c r="M478" s="30">
        <f t="shared" ca="1" si="106"/>
        <v>5.5555555555555497E-3</v>
      </c>
      <c r="N478" s="27"/>
      <c r="O478" s="47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6</v>
      </c>
      <c r="G479" s="34">
        <f t="shared" si="105"/>
        <v>30</v>
      </c>
      <c r="H479" s="33" t="s">
        <v>20</v>
      </c>
      <c r="I479" s="33"/>
      <c r="J479" s="33" t="s">
        <v>74</v>
      </c>
      <c r="K479" s="29">
        <v>0.23819444444444443</v>
      </c>
      <c r="L479" s="29">
        <v>0.24652777777777779</v>
      </c>
      <c r="M479" s="35">
        <f t="shared" ca="1" si="106"/>
        <v>8.3333333333333592E-3</v>
      </c>
      <c r="N479" s="27"/>
      <c r="O479" s="47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2</v>
      </c>
      <c r="G480" s="28">
        <f t="shared" si="105"/>
        <v>10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4</v>
      </c>
      <c r="G482" s="28">
        <f t="shared" si="105"/>
        <v>20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6</v>
      </c>
      <c r="G483" s="34">
        <f t="shared" si="105"/>
        <v>30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6</v>
      </c>
      <c r="G484" s="28">
        <f t="shared" si="105"/>
        <v>30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3</v>
      </c>
      <c r="G485" s="34">
        <f t="shared" si="105"/>
        <v>15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67</v>
      </c>
      <c r="G486" s="36">
        <f>SUM(G474:G485)</f>
        <v>335</v>
      </c>
      <c r="H486" s="37"/>
      <c r="I486" s="37"/>
      <c r="J486" s="37"/>
      <c r="K486" s="37"/>
      <c r="L486" s="37"/>
      <c r="M486" s="38">
        <f ca="1">IFERROR(SUM(M474:M485),"")</f>
        <v>3.541666666666661E-2</v>
      </c>
      <c r="N486" s="36" t="s">
        <v>233</v>
      </c>
      <c r="O486" s="39">
        <v>341550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97</v>
      </c>
      <c r="G487" s="40">
        <f>G473+G486</f>
        <v>485</v>
      </c>
      <c r="H487" s="41"/>
      <c r="I487" s="41"/>
      <c r="J487" s="41"/>
      <c r="K487" s="41"/>
      <c r="L487" s="41"/>
      <c r="M487" s="42">
        <f ca="1">IFERROR(M473+M486,"")</f>
        <v>0.16527777777777763</v>
      </c>
      <c r="N487" s="40" t="s">
        <v>236</v>
      </c>
      <c r="O487" s="48">
        <f>IFERROR(O473+O486,"")</f>
        <v>570490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8</v>
      </c>
      <c r="G488" s="28">
        <f t="shared" ref="G488:G499" si="108">IF(F488="","",IF(E488="PC 17",F488*4.2,IF(E488="PC 19",F488*5,"")))</f>
        <v>40</v>
      </c>
      <c r="H488" s="26" t="s">
        <v>20</v>
      </c>
      <c r="I488" s="26" t="s">
        <v>47</v>
      </c>
      <c r="J488" s="26" t="s">
        <v>56</v>
      </c>
      <c r="K488" s="29">
        <v>0.59722222222222221</v>
      </c>
      <c r="L488" s="29">
        <v>0.61458333333333337</v>
      </c>
      <c r="M488" s="30">
        <f t="shared" ref="M488:M499" ca="1" si="109">IFERROR(IF(K488="","",IF(L488="",MOD(NOW()-K488,1),IF(L488&gt;=K488,L488-K488,L488+1-K488))),"")</f>
        <v>1.736111111111116E-2</v>
      </c>
      <c r="N488" s="27" t="s">
        <v>334</v>
      </c>
      <c r="O488" s="47"/>
    </row>
    <row r="489" spans="1:15" ht="15" customHeight="1">
      <c r="A489" s="69">
        <v>46222</v>
      </c>
      <c r="B489" s="32">
        <f t="shared" ref="B489:B499" si="110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5</v>
      </c>
      <c r="G489" s="34">
        <f t="shared" si="108"/>
        <v>25</v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8">
        <v>46222</v>
      </c>
      <c r="B490" s="25">
        <f t="shared" si="110"/>
        <v>0.41666666666666635</v>
      </c>
      <c r="C490" s="26" t="s">
        <v>21</v>
      </c>
      <c r="D490" s="59" t="s">
        <v>30</v>
      </c>
      <c r="E490" s="59" t="s">
        <v>230</v>
      </c>
      <c r="F490" s="27">
        <v>2</v>
      </c>
      <c r="G490" s="28">
        <f t="shared" si="108"/>
        <v>10</v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69">
        <v>46222</v>
      </c>
      <c r="B491" s="32">
        <f t="shared" si="110"/>
        <v>0.45833333333333304</v>
      </c>
      <c r="C491" s="26" t="s">
        <v>21</v>
      </c>
      <c r="D491" s="59" t="s">
        <v>30</v>
      </c>
      <c r="E491" s="59" t="s">
        <v>230</v>
      </c>
      <c r="F491" s="27">
        <v>5</v>
      </c>
      <c r="G491" s="34">
        <f t="shared" si="108"/>
        <v>25</v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8">
        <v>46222</v>
      </c>
      <c r="B492" s="25">
        <f t="shared" si="110"/>
        <v>0.49999999999999972</v>
      </c>
      <c r="C492" s="26" t="s">
        <v>21</v>
      </c>
      <c r="D492" s="59" t="s">
        <v>30</v>
      </c>
      <c r="E492" s="59" t="s">
        <v>230</v>
      </c>
      <c r="F492" s="27">
        <v>5</v>
      </c>
      <c r="G492" s="28">
        <f t="shared" si="108"/>
        <v>25</v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69">
        <v>46222</v>
      </c>
      <c r="B493" s="32">
        <f t="shared" si="110"/>
        <v>0.54166666666666641</v>
      </c>
      <c r="C493" s="26" t="s">
        <v>21</v>
      </c>
      <c r="D493" s="59" t="s">
        <v>30</v>
      </c>
      <c r="E493" s="59" t="s">
        <v>230</v>
      </c>
      <c r="F493" s="27">
        <v>2</v>
      </c>
      <c r="G493" s="34">
        <f t="shared" si="108"/>
        <v>10</v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8">
        <v>46222</v>
      </c>
      <c r="B494" s="25">
        <f t="shared" si="110"/>
        <v>0.58333333333333304</v>
      </c>
      <c r="C494" s="26" t="s">
        <v>21</v>
      </c>
      <c r="D494" s="59" t="s">
        <v>30</v>
      </c>
      <c r="E494" s="59" t="s">
        <v>257</v>
      </c>
      <c r="F494" s="27">
        <v>6</v>
      </c>
      <c r="G494" s="28">
        <f t="shared" si="108"/>
        <v>25.200000000000003</v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69">
        <v>46222</v>
      </c>
      <c r="B495" s="32">
        <f t="shared" si="110"/>
        <v>0.62499999999999967</v>
      </c>
      <c r="C495" s="26" t="s">
        <v>21</v>
      </c>
      <c r="D495" s="59" t="s">
        <v>30</v>
      </c>
      <c r="E495" s="59" t="s">
        <v>257</v>
      </c>
      <c r="F495" s="27">
        <v>2</v>
      </c>
      <c r="G495" s="34">
        <f t="shared" si="108"/>
        <v>8.4</v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8">
        <v>46222</v>
      </c>
      <c r="B496" s="25">
        <f t="shared" si="110"/>
        <v>0.6666666666666663</v>
      </c>
      <c r="C496" s="26" t="s">
        <v>21</v>
      </c>
      <c r="D496" s="59" t="s">
        <v>30</v>
      </c>
      <c r="E496" s="59" t="s">
        <v>257</v>
      </c>
      <c r="F496" s="27">
        <v>6</v>
      </c>
      <c r="G496" s="28">
        <f t="shared" si="108"/>
        <v>25.200000000000003</v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69">
        <v>46222</v>
      </c>
      <c r="B497" s="32">
        <f t="shared" si="110"/>
        <v>0.70833333333333293</v>
      </c>
      <c r="C497" s="26" t="s">
        <v>21</v>
      </c>
      <c r="D497" s="59" t="s">
        <v>30</v>
      </c>
      <c r="E497" s="59" t="s">
        <v>257</v>
      </c>
      <c r="F497" s="27">
        <v>7</v>
      </c>
      <c r="G497" s="34">
        <f t="shared" si="108"/>
        <v>29.400000000000002</v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8">
        <v>46222</v>
      </c>
      <c r="B498" s="25">
        <f t="shared" si="110"/>
        <v>0.74999999999999956</v>
      </c>
      <c r="C498" s="26" t="s">
        <v>21</v>
      </c>
      <c r="D498" s="59" t="s">
        <v>30</v>
      </c>
      <c r="E498" s="59" t="s">
        <v>257</v>
      </c>
      <c r="F498" s="27">
        <v>4</v>
      </c>
      <c r="G498" s="28">
        <f t="shared" si="108"/>
        <v>16.8</v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69">
        <v>46222</v>
      </c>
      <c r="B499" s="32">
        <f t="shared" si="110"/>
        <v>0.79166666666666619</v>
      </c>
      <c r="C499" s="26" t="s">
        <v>21</v>
      </c>
      <c r="D499" s="59" t="s">
        <v>30</v>
      </c>
      <c r="E499" s="59" t="s">
        <v>257</v>
      </c>
      <c r="F499" s="27">
        <v>2</v>
      </c>
      <c r="G499" s="34">
        <f t="shared" si="108"/>
        <v>8.4</v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54</v>
      </c>
      <c r="G500" s="36">
        <f>SUM(G488:G499)</f>
        <v>248.40000000000003</v>
      </c>
      <c r="H500" s="37"/>
      <c r="I500" s="37"/>
      <c r="J500" s="37"/>
      <c r="K500" s="37"/>
      <c r="L500" s="37"/>
      <c r="M500" s="38">
        <f ca="1">IFERROR(SUM(M488:M499),"")</f>
        <v>1.736111111111116E-2</v>
      </c>
      <c r="N500" s="36" t="s">
        <v>233</v>
      </c>
      <c r="O500" s="39">
        <v>316430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14</v>
      </c>
      <c r="G501" s="34">
        <f t="shared" ref="G501:G512" si="111">IF(F501="","",IF(E501="PC 17",F501*4.2,IF(E501="PC 19",F501*5,"")))</f>
        <v>58.800000000000004</v>
      </c>
      <c r="H501" s="33" t="s">
        <v>19</v>
      </c>
      <c r="I501" s="33" t="s">
        <v>47</v>
      </c>
      <c r="J501" s="33" t="s">
        <v>27</v>
      </c>
      <c r="K501" s="29">
        <v>0.19930555555555557</v>
      </c>
      <c r="L501" s="29">
        <v>0.21736111111111112</v>
      </c>
      <c r="M501" s="35">
        <f t="shared" ref="M501:M512" ca="1" si="112">IFERROR(IF(K501="","",IF(L501="",MOD(NOW()-K501,1),IF(L501&gt;=K501,L501-K501,L501+1-K501))),"")</f>
        <v>1.8055555555555547E-2</v>
      </c>
      <c r="N501" s="27"/>
      <c r="O501" s="47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5</v>
      </c>
      <c r="G502" s="28">
        <f t="shared" si="111"/>
        <v>25</v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0</v>
      </c>
      <c r="G503" s="34">
        <f t="shared" si="111"/>
        <v>0</v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11</v>
      </c>
      <c r="G504" s="28">
        <f t="shared" si="111"/>
        <v>46.2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9</v>
      </c>
      <c r="G506" s="28">
        <f t="shared" si="111"/>
        <v>37.800000000000004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0</v>
      </c>
      <c r="G507" s="34">
        <f t="shared" si="111"/>
        <v>0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6</v>
      </c>
      <c r="G508" s="28">
        <f t="shared" si="111"/>
        <v>25.200000000000003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6</v>
      </c>
      <c r="G509" s="34">
        <f t="shared" si="111"/>
        <v>25.200000000000003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2</v>
      </c>
      <c r="G510" s="28">
        <f t="shared" si="111"/>
        <v>8.4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4</v>
      </c>
      <c r="G511" s="34">
        <f t="shared" si="111"/>
        <v>16.8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57</v>
      </c>
      <c r="G513" s="36">
        <f>SUM(G501:G512)</f>
        <v>243.4</v>
      </c>
      <c r="H513" s="37"/>
      <c r="I513" s="37"/>
      <c r="J513" s="37"/>
      <c r="K513" s="37"/>
      <c r="L513" s="37"/>
      <c r="M513" s="38">
        <f ca="1">IFERROR(SUM(M501:M512),"")</f>
        <v>1.8055555555555547E-2</v>
      </c>
      <c r="N513" s="36" t="s">
        <v>233</v>
      </c>
      <c r="O513" s="39">
        <v>276610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111</v>
      </c>
      <c r="G514" s="40">
        <f>G500+G513</f>
        <v>491.80000000000007</v>
      </c>
      <c r="H514" s="41"/>
      <c r="I514" s="41"/>
      <c r="J514" s="41"/>
      <c r="K514" s="41"/>
      <c r="L514" s="41"/>
      <c r="M514" s="42">
        <f ca="1">IFERROR(M500+M513,"")</f>
        <v>3.5416666666666707E-2</v>
      </c>
      <c r="N514" s="40" t="s">
        <v>236</v>
      </c>
      <c r="O514" s="48">
        <f>IFERROR(O500+O513,"")</f>
        <v>593040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9</v>
      </c>
      <c r="G515" s="34">
        <f t="shared" ref="G515:G526" si="114">IF(F515="","",IF(E515="PC 17",F515*4.2,IF(E515="PC 19",F515*5,"")))</f>
        <v>37.800000000000004</v>
      </c>
      <c r="H515" s="33" t="s">
        <v>17</v>
      </c>
      <c r="I515" s="33"/>
      <c r="J515" s="33" t="s">
        <v>25</v>
      </c>
      <c r="K515" s="29">
        <v>0.375</v>
      </c>
      <c r="L515" s="29">
        <v>0.38333333333333336</v>
      </c>
      <c r="M515" s="35">
        <f t="shared" ref="M515:M526" ca="1" si="115">IFERROR(IF(K515="","",IF(L515="",MOD(NOW()-K515,1),IF(L515&gt;=K515,L515-K515,L515+1-K515))),"")</f>
        <v>8.3333333333333592E-3</v>
      </c>
      <c r="N515" s="27"/>
      <c r="O515" s="47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7</v>
      </c>
      <c r="G516" s="28">
        <f t="shared" si="114"/>
        <v>29.400000000000002</v>
      </c>
      <c r="H516" s="49" t="s">
        <v>19</v>
      </c>
      <c r="I516" s="26" t="s">
        <v>47</v>
      </c>
      <c r="J516" s="49" t="s">
        <v>27</v>
      </c>
      <c r="K516" s="29">
        <v>0.5625</v>
      </c>
      <c r="L516" s="29">
        <v>0.57291666666666663</v>
      </c>
      <c r="M516" s="30">
        <f t="shared" ca="1" si="115"/>
        <v>1.041666666666663E-2</v>
      </c>
      <c r="N516" s="27"/>
      <c r="O516" s="47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6</v>
      </c>
      <c r="G517" s="34">
        <f t="shared" si="114"/>
        <v>25.200000000000003</v>
      </c>
      <c r="H517" s="33" t="s">
        <v>20</v>
      </c>
      <c r="I517" s="33" t="s">
        <v>47</v>
      </c>
      <c r="J517" s="33" t="s">
        <v>36</v>
      </c>
      <c r="K517" s="29">
        <v>0.57847222222222228</v>
      </c>
      <c r="L517" s="29">
        <v>0.58680555555555558</v>
      </c>
      <c r="M517" s="35">
        <f t="shared" ca="1" si="115"/>
        <v>8.3333333333333037E-3</v>
      </c>
      <c r="N517" s="27"/>
      <c r="O517" s="47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5</v>
      </c>
      <c r="G518" s="28">
        <f t="shared" si="114"/>
        <v>21</v>
      </c>
      <c r="H518" s="33" t="s">
        <v>20</v>
      </c>
      <c r="I518" s="26" t="s">
        <v>47</v>
      </c>
      <c r="J518" s="26" t="s">
        <v>201</v>
      </c>
      <c r="K518" s="29">
        <v>0.54722222222222228</v>
      </c>
      <c r="L518" s="29">
        <v>0.62152777777777779</v>
      </c>
      <c r="M518" s="30">
        <f t="shared" ca="1" si="115"/>
        <v>7.4305555555555514E-2</v>
      </c>
      <c r="N518" s="27"/>
      <c r="O518" s="47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4</v>
      </c>
      <c r="G519" s="34">
        <f t="shared" si="114"/>
        <v>16.8</v>
      </c>
      <c r="H519" s="33" t="s">
        <v>20</v>
      </c>
      <c r="I519" s="33" t="s">
        <v>47</v>
      </c>
      <c r="J519" s="33" t="s">
        <v>51</v>
      </c>
      <c r="K519" s="29">
        <v>0.70416666666666672</v>
      </c>
      <c r="L519" s="29">
        <v>0.70694444444444449</v>
      </c>
      <c r="M519" s="35">
        <f t="shared" ca="1" si="115"/>
        <v>2.7777777777777679E-3</v>
      </c>
      <c r="N519" s="27"/>
      <c r="O519" s="47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5</v>
      </c>
      <c r="G520" s="28">
        <f t="shared" si="114"/>
        <v>21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4</v>
      </c>
      <c r="G521" s="34">
        <f t="shared" si="114"/>
        <v>16.8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2</v>
      </c>
      <c r="G522" s="28">
        <f t="shared" si="114"/>
        <v>8.4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2</v>
      </c>
      <c r="G523" s="34">
        <f t="shared" si="114"/>
        <v>8.4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3</v>
      </c>
      <c r="G524" s="28">
        <f t="shared" si="114"/>
        <v>12.600000000000001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2</v>
      </c>
      <c r="G525" s="34">
        <f t="shared" si="114"/>
        <v>8.4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2</v>
      </c>
      <c r="G526" s="28">
        <f t="shared" si="114"/>
        <v>8.4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51</v>
      </c>
      <c r="G527" s="36">
        <f>SUM(G515:G526)</f>
        <v>214.20000000000005</v>
      </c>
      <c r="H527" s="37"/>
      <c r="I527" s="37"/>
      <c r="J527" s="37"/>
      <c r="K527" s="37"/>
      <c r="L527" s="37"/>
      <c r="M527" s="38">
        <f ca="1">IFERROR(SUM(M515:M526),"")</f>
        <v>0.10416666666666657</v>
      </c>
      <c r="N527" s="36" t="s">
        <v>233</v>
      </c>
      <c r="O527" s="39">
        <v>234850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0</v>
      </c>
      <c r="G528" s="28">
        <f t="shared" ref="G528:G539" si="117">IF(F528="","",IF(E528="PC 17",F528*4.2,IF(E528="PC 19",F528*5,"")))</f>
        <v>0</v>
      </c>
      <c r="H528" s="26" t="s">
        <v>20</v>
      </c>
      <c r="I528" s="26" t="s">
        <v>47</v>
      </c>
      <c r="J528" s="26" t="s">
        <v>51</v>
      </c>
      <c r="K528" s="29">
        <v>0.79861111111111116</v>
      </c>
      <c r="L528" s="29">
        <v>0.80694444444444446</v>
      </c>
      <c r="M528" s="30">
        <f t="shared" ref="M528:M539" ca="1" si="118">IFERROR(IF(K528="","",IF(L528="",MOD(NOW()-K528,1),IF(L528&gt;=K528,L528-K528,L528+1-K528))),"")</f>
        <v>8.3333333333333037E-3</v>
      </c>
      <c r="N528" s="27"/>
      <c r="O528" s="47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4</v>
      </c>
      <c r="G529" s="34">
        <f t="shared" si="117"/>
        <v>16.8</v>
      </c>
      <c r="H529" s="33" t="s">
        <v>20</v>
      </c>
      <c r="I529" s="33" t="s">
        <v>47</v>
      </c>
      <c r="J529" s="33" t="s">
        <v>51</v>
      </c>
      <c r="K529" s="29">
        <v>0.81041666666666667</v>
      </c>
      <c r="L529" s="29">
        <v>0.82708333333333328</v>
      </c>
      <c r="M529" s="35">
        <f t="shared" ca="1" si="118"/>
        <v>1.6666666666666607E-2</v>
      </c>
      <c r="N529" s="27" t="s">
        <v>335</v>
      </c>
      <c r="O529" s="47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8</v>
      </c>
      <c r="G530" s="28">
        <f t="shared" si="117"/>
        <v>33.6</v>
      </c>
      <c r="H530" s="26" t="s">
        <v>20</v>
      </c>
      <c r="I530" s="26" t="s">
        <v>47</v>
      </c>
      <c r="J530" s="26" t="s">
        <v>51</v>
      </c>
      <c r="K530" s="29">
        <v>0.85069444444444442</v>
      </c>
      <c r="L530" s="29">
        <v>0.85555555555555551</v>
      </c>
      <c r="M530" s="30">
        <f t="shared" ca="1" si="118"/>
        <v>4.8611111111110938E-3</v>
      </c>
      <c r="N530" s="27"/>
      <c r="O530" s="47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7</v>
      </c>
      <c r="G531" s="34">
        <f t="shared" si="117"/>
        <v>29.400000000000002</v>
      </c>
      <c r="H531" s="33" t="s">
        <v>20</v>
      </c>
      <c r="I531" s="33" t="s">
        <v>47</v>
      </c>
      <c r="J531" s="33" t="s">
        <v>51</v>
      </c>
      <c r="K531" s="29">
        <v>0.91388888888888886</v>
      </c>
      <c r="L531" s="29">
        <v>0.9194444444444444</v>
      </c>
      <c r="M531" s="35">
        <f t="shared" ca="1" si="118"/>
        <v>5.5555555555555358E-3</v>
      </c>
      <c r="N531" s="27"/>
      <c r="O531" s="47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0</v>
      </c>
      <c r="G532" s="28">
        <f t="shared" si="117"/>
        <v>0</v>
      </c>
      <c r="H532" s="26" t="s">
        <v>20</v>
      </c>
      <c r="I532" s="26" t="s">
        <v>47</v>
      </c>
      <c r="J532" s="26" t="s">
        <v>28</v>
      </c>
      <c r="K532" s="29">
        <v>0.97013888888888888</v>
      </c>
      <c r="L532" s="29">
        <v>1.0416666666666666E-2</v>
      </c>
      <c r="M532" s="30">
        <f t="shared" ca="1" si="118"/>
        <v>4.0277777777777857E-2</v>
      </c>
      <c r="N532" s="27" t="s">
        <v>336</v>
      </c>
      <c r="O532" s="47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8</v>
      </c>
      <c r="G533" s="34">
        <f t="shared" si="117"/>
        <v>33.6</v>
      </c>
      <c r="H533" s="33" t="s">
        <v>20</v>
      </c>
      <c r="I533" s="33" t="s">
        <v>47</v>
      </c>
      <c r="J533" s="33" t="s">
        <v>164</v>
      </c>
      <c r="K533" s="29">
        <v>2.5000000000000001E-2</v>
      </c>
      <c r="L533" s="29">
        <v>0.15</v>
      </c>
      <c r="M533" s="35">
        <f t="shared" ca="1" si="118"/>
        <v>0.125</v>
      </c>
      <c r="N533" s="27" t="s">
        <v>337</v>
      </c>
      <c r="O533" s="47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0</v>
      </c>
      <c r="G534" s="28">
        <f t="shared" si="117"/>
        <v>0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4</v>
      </c>
      <c r="G536" s="28">
        <f t="shared" si="117"/>
        <v>16.8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0</v>
      </c>
      <c r="G538" s="28">
        <f t="shared" si="117"/>
        <v>0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12</v>
      </c>
      <c r="G539" s="34">
        <f t="shared" si="117"/>
        <v>50.400000000000006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43</v>
      </c>
      <c r="G540" s="36">
        <f>SUM(G528:G539)</f>
        <v>180.60000000000002</v>
      </c>
      <c r="H540" s="37"/>
      <c r="I540" s="37"/>
      <c r="J540" s="37"/>
      <c r="K540" s="37"/>
      <c r="L540" s="37"/>
      <c r="M540" s="38">
        <f ca="1">IFERROR(SUM(M528:M539),"")</f>
        <v>0.2006944444444444</v>
      </c>
      <c r="N540" s="36" t="s">
        <v>233</v>
      </c>
      <c r="O540" s="39">
        <v>194990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94</v>
      </c>
      <c r="G541" s="40">
        <f>G527+G540</f>
        <v>394.80000000000007</v>
      </c>
      <c r="H541" s="41"/>
      <c r="I541" s="41"/>
      <c r="J541" s="41"/>
      <c r="K541" s="41"/>
      <c r="L541" s="41"/>
      <c r="M541" s="42">
        <f ca="1">IFERROR(M527+M540,"")</f>
        <v>0.30486111111111097</v>
      </c>
      <c r="N541" s="40" t="s">
        <v>236</v>
      </c>
      <c r="O541" s="48">
        <f>IFERROR(O527+O540,"")</f>
        <v>429840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2</v>
      </c>
      <c r="G542" s="28">
        <f t="shared" ref="G542:G553" si="120">IF(F542="","",IF(E542="PC 17",F542*4.2,IF(E542="PC 19",F542*5,"")))</f>
        <v>8.4</v>
      </c>
      <c r="H542" s="26" t="s">
        <v>18</v>
      </c>
      <c r="I542" s="26" t="s">
        <v>47</v>
      </c>
      <c r="J542" s="26" t="s">
        <v>127</v>
      </c>
      <c r="K542" s="29">
        <v>0.43055555555555558</v>
      </c>
      <c r="L542" s="29">
        <v>0.46527777777777779</v>
      </c>
      <c r="M542" s="30">
        <f t="shared" ref="M542:M553" ca="1" si="121">IFERROR(IF(K542="","",IF(L542="",MOD(NOW()-K542,1),IF(L542&gt;=K542,L542-K542,L542+1-K542))),"")</f>
        <v>3.472222222222221E-2</v>
      </c>
      <c r="N542" s="27" t="s">
        <v>338</v>
      </c>
      <c r="O542" s="47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3</v>
      </c>
      <c r="G543" s="34">
        <f t="shared" si="120"/>
        <v>12.600000000000001</v>
      </c>
      <c r="H543" s="33" t="s">
        <v>20</v>
      </c>
      <c r="I543" s="33" t="s">
        <v>47</v>
      </c>
      <c r="J543" s="33" t="s">
        <v>28</v>
      </c>
      <c r="K543" s="29">
        <v>0.68055555555555558</v>
      </c>
      <c r="L543" s="29">
        <v>0.68541666666666667</v>
      </c>
      <c r="M543" s="35">
        <f t="shared" ca="1" si="121"/>
        <v>4.8611111111110938E-3</v>
      </c>
      <c r="N543" s="27"/>
      <c r="O543" s="47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5</v>
      </c>
      <c r="G544" s="28">
        <f t="shared" si="120"/>
        <v>21</v>
      </c>
      <c r="H544" s="26" t="s">
        <v>20</v>
      </c>
      <c r="I544" s="26" t="s">
        <v>120</v>
      </c>
      <c r="J544" s="26" t="s">
        <v>113</v>
      </c>
      <c r="K544" s="29">
        <v>0.75</v>
      </c>
      <c r="L544" s="29">
        <v>0.76736111111111116</v>
      </c>
      <c r="M544" s="30">
        <f t="shared" ca="1" si="121"/>
        <v>1.736111111111116E-2</v>
      </c>
      <c r="N544" s="27"/>
      <c r="O544" s="47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0</v>
      </c>
      <c r="G545" s="34">
        <f t="shared" si="120"/>
        <v>0</v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0</v>
      </c>
      <c r="G546" s="28">
        <f t="shared" si="120"/>
        <v>0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6</v>
      </c>
      <c r="G547" s="34">
        <f t="shared" si="120"/>
        <v>25.200000000000003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0</v>
      </c>
      <c r="G548" s="28">
        <f t="shared" si="120"/>
        <v>0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4</v>
      </c>
      <c r="G549" s="34">
        <f t="shared" si="120"/>
        <v>16.8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4</v>
      </c>
      <c r="G550" s="28">
        <f t="shared" si="120"/>
        <v>16.8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3</v>
      </c>
      <c r="G551" s="34">
        <f t="shared" si="120"/>
        <v>12.600000000000001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4</v>
      </c>
      <c r="G552" s="28">
        <f t="shared" si="120"/>
        <v>16.8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2</v>
      </c>
      <c r="G553" s="34">
        <f t="shared" si="120"/>
        <v>8.4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33</v>
      </c>
      <c r="G554" s="36">
        <f>SUM(G542:G553)</f>
        <v>138.60000000000002</v>
      </c>
      <c r="H554" s="37"/>
      <c r="I554" s="37"/>
      <c r="J554" s="37"/>
      <c r="K554" s="37"/>
      <c r="L554" s="37"/>
      <c r="M554" s="38">
        <f ca="1">IFERROR(SUM(M542:M553),"")</f>
        <v>5.6944444444444464E-2</v>
      </c>
      <c r="N554" s="36" t="s">
        <v>233</v>
      </c>
      <c r="O554" s="39">
        <v>171920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14</v>
      </c>
      <c r="G555" s="34">
        <f t="shared" ref="G555:G566" si="123">IF(F555="","",IF(E555="PC 17",F555*4.2,IF(E555="PC 19",F555*5,"")))</f>
        <v>58.800000000000004</v>
      </c>
      <c r="H555" s="33" t="s">
        <v>20</v>
      </c>
      <c r="I555" s="33" t="s">
        <v>47</v>
      </c>
      <c r="J555" s="33" t="s">
        <v>28</v>
      </c>
      <c r="K555" s="29">
        <v>0.98055555555555551</v>
      </c>
      <c r="L555" s="29">
        <v>0.98611111111111116</v>
      </c>
      <c r="M555" s="35">
        <f t="shared" ref="M555:M566" ca="1" si="124">IFERROR(IF(K555="","",IF(L555="",MOD(NOW()-K555,1),IF(L555&gt;=K555,L555-K555,L555+1-K555))),"")</f>
        <v>5.5555555555556468E-3</v>
      </c>
      <c r="N555" s="27"/>
      <c r="O555" s="47"/>
    </row>
    <row r="556" spans="1:15" ht="15" customHeight="1">
      <c r="A556" s="68">
        <v>46224</v>
      </c>
      <c r="B556" s="25">
        <f t="shared" ref="B556:B566" si="125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3</v>
      </c>
      <c r="G556" s="28">
        <f t="shared" si="123"/>
        <v>12.600000000000001</v>
      </c>
      <c r="H556" s="26" t="s">
        <v>20</v>
      </c>
      <c r="I556" s="26" t="s">
        <v>47</v>
      </c>
      <c r="J556" s="26" t="s">
        <v>28</v>
      </c>
      <c r="K556" s="29">
        <v>0.14097222222222222</v>
      </c>
      <c r="L556" s="29">
        <v>0.14583333333333334</v>
      </c>
      <c r="M556" s="30">
        <f t="shared" ca="1" si="124"/>
        <v>4.8611111111111216E-3</v>
      </c>
      <c r="N556" s="27"/>
      <c r="O556" s="47"/>
    </row>
    <row r="557" spans="1:15" ht="15" customHeight="1">
      <c r="A557" s="69">
        <v>46224</v>
      </c>
      <c r="B557" s="32">
        <f t="shared" si="125"/>
        <v>0.9166666666666663</v>
      </c>
      <c r="C557" s="33" t="s">
        <v>45</v>
      </c>
      <c r="D557" s="62" t="s">
        <v>30</v>
      </c>
      <c r="E557" s="62" t="s">
        <v>257</v>
      </c>
      <c r="F557" s="27">
        <v>9</v>
      </c>
      <c r="G557" s="34">
        <f t="shared" si="123"/>
        <v>37.800000000000004</v>
      </c>
      <c r="H557" s="33" t="s">
        <v>20</v>
      </c>
      <c r="I557" s="33" t="s">
        <v>47</v>
      </c>
      <c r="J557" s="33" t="s">
        <v>180</v>
      </c>
      <c r="K557" s="29">
        <v>0.16666666666666666</v>
      </c>
      <c r="L557" s="29">
        <v>0.18888888888888888</v>
      </c>
      <c r="M557" s="35">
        <f t="shared" ca="1" si="124"/>
        <v>2.2222222222222227E-2</v>
      </c>
      <c r="N557" s="27" t="s">
        <v>339</v>
      </c>
      <c r="O557" s="47"/>
    </row>
    <row r="558" spans="1:15" ht="15" customHeight="1">
      <c r="A558" s="68">
        <v>46224</v>
      </c>
      <c r="B558" s="25">
        <f t="shared" si="125"/>
        <v>0.95833333333333293</v>
      </c>
      <c r="C558" s="33" t="s">
        <v>45</v>
      </c>
      <c r="D558" s="62" t="s">
        <v>30</v>
      </c>
      <c r="E558" s="62" t="s">
        <v>257</v>
      </c>
      <c r="F558" s="27">
        <v>0</v>
      </c>
      <c r="G558" s="28">
        <f t="shared" si="123"/>
        <v>0</v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69">
        <v>46224</v>
      </c>
      <c r="B559" s="32">
        <f t="shared" si="125"/>
        <v>0.99999999999999956</v>
      </c>
      <c r="C559" s="33" t="s">
        <v>45</v>
      </c>
      <c r="D559" s="62" t="s">
        <v>30</v>
      </c>
      <c r="E559" s="62" t="s">
        <v>257</v>
      </c>
      <c r="F559" s="27">
        <v>15</v>
      </c>
      <c r="G559" s="34">
        <f t="shared" si="123"/>
        <v>63</v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8">
        <v>46224</v>
      </c>
      <c r="B560" s="25">
        <f t="shared" si="125"/>
        <v>1.0416666666666663</v>
      </c>
      <c r="C560" s="33" t="s">
        <v>45</v>
      </c>
      <c r="D560" s="62" t="s">
        <v>30</v>
      </c>
      <c r="E560" s="62" t="s">
        <v>257</v>
      </c>
      <c r="F560" s="27">
        <v>10</v>
      </c>
      <c r="G560" s="28">
        <f t="shared" si="123"/>
        <v>42</v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69">
        <v>46224</v>
      </c>
      <c r="B561" s="32">
        <f t="shared" si="125"/>
        <v>1.083333333333333</v>
      </c>
      <c r="C561" s="33" t="s">
        <v>45</v>
      </c>
      <c r="D561" s="62" t="s">
        <v>30</v>
      </c>
      <c r="E561" s="62" t="s">
        <v>257</v>
      </c>
      <c r="F561" s="27">
        <v>7</v>
      </c>
      <c r="G561" s="34">
        <f t="shared" si="123"/>
        <v>29.400000000000002</v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8">
        <v>46224</v>
      </c>
      <c r="B562" s="25">
        <f t="shared" si="125"/>
        <v>1.1249999999999998</v>
      </c>
      <c r="C562" s="33" t="s">
        <v>45</v>
      </c>
      <c r="D562" s="62" t="s">
        <v>30</v>
      </c>
      <c r="E562" s="62" t="s">
        <v>257</v>
      </c>
      <c r="F562" s="27">
        <v>12</v>
      </c>
      <c r="G562" s="28">
        <f t="shared" si="123"/>
        <v>50.400000000000006</v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69">
        <v>46224</v>
      </c>
      <c r="B563" s="32">
        <f t="shared" si="125"/>
        <v>1.1666666666666665</v>
      </c>
      <c r="C563" s="33" t="s">
        <v>45</v>
      </c>
      <c r="D563" s="62" t="s">
        <v>30</v>
      </c>
      <c r="E563" s="62" t="s">
        <v>257</v>
      </c>
      <c r="F563" s="27">
        <v>11</v>
      </c>
      <c r="G563" s="34">
        <f t="shared" si="123"/>
        <v>46.2</v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8">
        <v>46224</v>
      </c>
      <c r="B564" s="25">
        <f t="shared" si="125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69">
        <v>46224</v>
      </c>
      <c r="B565" s="32">
        <f t="shared" si="125"/>
        <v>1.25</v>
      </c>
      <c r="C565" s="33" t="s">
        <v>45</v>
      </c>
      <c r="D565" s="62" t="s">
        <v>30</v>
      </c>
      <c r="E565" s="62" t="s">
        <v>257</v>
      </c>
      <c r="F565" s="27">
        <v>6</v>
      </c>
      <c r="G565" s="34">
        <f t="shared" si="123"/>
        <v>25.200000000000003</v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8">
        <v>46224</v>
      </c>
      <c r="B566" s="25">
        <f t="shared" si="125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87</v>
      </c>
      <c r="G567" s="36">
        <f>SUM(G555:G566)</f>
        <v>365.4</v>
      </c>
      <c r="H567" s="37"/>
      <c r="I567" s="37"/>
      <c r="J567" s="37"/>
      <c r="K567" s="37"/>
      <c r="L567" s="37"/>
      <c r="M567" s="38">
        <f ca="1">IFERROR(SUM(M555:M566),"")</f>
        <v>3.2638888888888995E-2</v>
      </c>
      <c r="N567" s="36" t="s">
        <v>233</v>
      </c>
      <c r="O567" s="39">
        <v>315860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120</v>
      </c>
      <c r="G568" s="40">
        <f>G554+G567</f>
        <v>504</v>
      </c>
      <c r="H568" s="41"/>
      <c r="I568" s="41"/>
      <c r="J568" s="41"/>
      <c r="K568" s="41"/>
      <c r="L568" s="41"/>
      <c r="M568" s="42">
        <f ca="1">IFERROR(M554+M567,"")</f>
        <v>8.9583333333333459E-2</v>
      </c>
      <c r="N568" s="40" t="s">
        <v>236</v>
      </c>
      <c r="O568" s="48">
        <f>IFERROR(O554+O567,"")</f>
        <v>487780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>
        <v>6</v>
      </c>
      <c r="G569" s="34">
        <f t="shared" ref="G569:G580" si="126">IF(F569="","",IF(E569="PC 17",F569*4.2,IF(E569="PC 19",F569*5,"")))</f>
        <v>25.200000000000003</v>
      </c>
      <c r="H569" s="33" t="s">
        <v>20</v>
      </c>
      <c r="I569" s="33" t="s">
        <v>154</v>
      </c>
      <c r="J569" s="33" t="s">
        <v>74</v>
      </c>
      <c r="K569" s="29">
        <v>0.2951388888888889</v>
      </c>
      <c r="L569" s="29">
        <v>0.3</v>
      </c>
      <c r="M569" s="35">
        <f t="shared" ref="M569:M580" ca="1" si="127">IFERROR(IF(K569="","",IF(L569="",MOD(NOW()-K569,1),IF(L569&gt;=K569,L569-K569,L569+1-K569))),"")</f>
        <v>4.8611111111110938E-3</v>
      </c>
      <c r="N569" s="27"/>
      <c r="O569" s="47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>
        <v>0</v>
      </c>
      <c r="G570" s="34">
        <f t="shared" si="126"/>
        <v>0</v>
      </c>
      <c r="H570" s="26" t="s">
        <v>20</v>
      </c>
      <c r="I570" s="26" t="s">
        <v>47</v>
      </c>
      <c r="J570" s="26" t="s">
        <v>51</v>
      </c>
      <c r="K570" s="29">
        <v>0.3347222222222222</v>
      </c>
      <c r="L570" s="29">
        <v>0.37291666666666667</v>
      </c>
      <c r="M570" s="30">
        <f t="shared" ca="1" si="127"/>
        <v>3.8194444444444475E-2</v>
      </c>
      <c r="N570" s="27" t="s">
        <v>340</v>
      </c>
      <c r="O570" s="47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>
        <v>0</v>
      </c>
      <c r="G571" s="34">
        <f t="shared" si="126"/>
        <v>0</v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>
        <v>4</v>
      </c>
      <c r="G572" s="34">
        <f t="shared" si="126"/>
        <v>16.8</v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>
        <v>0</v>
      </c>
      <c r="G573" s="34">
        <f t="shared" si="126"/>
        <v>0</v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>
        <v>9</v>
      </c>
      <c r="G574" s="34">
        <f t="shared" si="126"/>
        <v>37.800000000000004</v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>
        <v>0</v>
      </c>
      <c r="G575" s="34">
        <f t="shared" si="126"/>
        <v>0</v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>
        <v>9</v>
      </c>
      <c r="G576" s="34">
        <f t="shared" si="126"/>
        <v>37.800000000000004</v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>
        <v>7</v>
      </c>
      <c r="G577" s="34">
        <f t="shared" si="126"/>
        <v>29.400000000000002</v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>
        <v>5</v>
      </c>
      <c r="G578" s="34">
        <f t="shared" si="126"/>
        <v>21</v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>
        <v>10</v>
      </c>
      <c r="G579" s="34">
        <f t="shared" si="126"/>
        <v>42</v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>
        <v>3</v>
      </c>
      <c r="G580" s="34">
        <f t="shared" si="126"/>
        <v>12.600000000000001</v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53</v>
      </c>
      <c r="G581" s="36">
        <f>SUM(G569:G580)</f>
        <v>222.60000000000002</v>
      </c>
      <c r="H581" s="37"/>
      <c r="I581" s="37"/>
      <c r="J581" s="37"/>
      <c r="K581" s="37"/>
      <c r="L581" s="37"/>
      <c r="M581" s="38">
        <f ca="1">IFERROR(SUM(M569:M580),"")</f>
        <v>4.3055555555555569E-2</v>
      </c>
      <c r="N581" s="36" t="s">
        <v>233</v>
      </c>
      <c r="O581" s="39">
        <v>222600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3</v>
      </c>
      <c r="G582" s="28">
        <f t="shared" ref="G582:G593" si="129">IF(F582="","",IF(E582="PC 17",F582*4.2,IF(E582="PC 19",F582*5,"")))</f>
        <v>12.600000000000001</v>
      </c>
      <c r="H582" s="26" t="s">
        <v>20</v>
      </c>
      <c r="I582" s="26" t="s">
        <v>154</v>
      </c>
      <c r="J582" s="26" t="s">
        <v>74</v>
      </c>
      <c r="K582" s="29">
        <v>0.81944444444444442</v>
      </c>
      <c r="L582" s="29">
        <v>0.82708333333333328</v>
      </c>
      <c r="M582" s="30">
        <f t="shared" ref="M582:M593" ca="1" si="130">IFERROR(IF(K582="","",IF(L582="",MOD(NOW()-K582,1),IF(L582&gt;=K582,L582-K582,L582+1-K582))),"")</f>
        <v>7.6388888888888618E-3</v>
      </c>
      <c r="N582" s="27"/>
      <c r="O582" s="47"/>
    </row>
    <row r="583" spans="1:15" ht="15" customHeight="1">
      <c r="A583" s="69">
        <v>46225</v>
      </c>
      <c r="B583" s="32">
        <f t="shared" ref="B583:B593" si="131">B582+TIME(0,60,0)</f>
        <v>0.87499999999999967</v>
      </c>
      <c r="C583" s="26" t="s">
        <v>45</v>
      </c>
      <c r="D583" s="59" t="s">
        <v>30</v>
      </c>
      <c r="E583" s="59" t="s">
        <v>230</v>
      </c>
      <c r="F583" s="27">
        <v>5</v>
      </c>
      <c r="G583" s="34">
        <f t="shared" si="129"/>
        <v>25</v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8">
        <v>46225</v>
      </c>
      <c r="B584" s="25">
        <f t="shared" si="131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69">
        <v>46225</v>
      </c>
      <c r="B585" s="32">
        <f t="shared" si="131"/>
        <v>0.95833333333333293</v>
      </c>
      <c r="C585" s="26" t="s">
        <v>45</v>
      </c>
      <c r="D585" s="59" t="s">
        <v>30</v>
      </c>
      <c r="E585" s="59" t="s">
        <v>257</v>
      </c>
      <c r="F585" s="27">
        <v>5</v>
      </c>
      <c r="G585" s="34">
        <f t="shared" si="129"/>
        <v>21</v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8">
        <v>46225</v>
      </c>
      <c r="B586" s="25">
        <f t="shared" si="131"/>
        <v>0.99999999999999956</v>
      </c>
      <c r="C586" s="26" t="s">
        <v>45</v>
      </c>
      <c r="D586" s="59" t="s">
        <v>30</v>
      </c>
      <c r="E586" s="59" t="s">
        <v>257</v>
      </c>
      <c r="F586" s="27">
        <v>20</v>
      </c>
      <c r="G586" s="28">
        <f t="shared" si="129"/>
        <v>84</v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69">
        <v>46225</v>
      </c>
      <c r="B587" s="32">
        <f t="shared" si="131"/>
        <v>1.0416666666666663</v>
      </c>
      <c r="C587" s="26" t="s">
        <v>45</v>
      </c>
      <c r="D587" s="59" t="s">
        <v>30</v>
      </c>
      <c r="E587" s="59" t="s">
        <v>257</v>
      </c>
      <c r="F587" s="27">
        <v>6</v>
      </c>
      <c r="G587" s="34">
        <f t="shared" si="129"/>
        <v>25.200000000000003</v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8">
        <v>46225</v>
      </c>
      <c r="B588" s="25">
        <f t="shared" si="131"/>
        <v>1.083333333333333</v>
      </c>
      <c r="C588" s="26" t="s">
        <v>45</v>
      </c>
      <c r="D588" s="59" t="s">
        <v>30</v>
      </c>
      <c r="E588" s="59" t="s">
        <v>257</v>
      </c>
      <c r="F588" s="27">
        <v>28</v>
      </c>
      <c r="G588" s="28">
        <f t="shared" si="129"/>
        <v>117.60000000000001</v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69">
        <v>46225</v>
      </c>
      <c r="B589" s="32">
        <f t="shared" si="131"/>
        <v>1.1249999999999998</v>
      </c>
      <c r="C589" s="26" t="s">
        <v>45</v>
      </c>
      <c r="D589" s="59" t="s">
        <v>30</v>
      </c>
      <c r="E589" s="59" t="s">
        <v>257</v>
      </c>
      <c r="F589" s="27">
        <v>5</v>
      </c>
      <c r="G589" s="34">
        <f t="shared" si="129"/>
        <v>21</v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8">
        <v>46225</v>
      </c>
      <c r="B590" s="25">
        <f t="shared" si="131"/>
        <v>1.1666666666666665</v>
      </c>
      <c r="C590" s="26" t="s">
        <v>45</v>
      </c>
      <c r="D590" s="59" t="s">
        <v>30</v>
      </c>
      <c r="E590" s="59" t="s">
        <v>257</v>
      </c>
      <c r="F590" s="27">
        <v>16</v>
      </c>
      <c r="G590" s="28">
        <f t="shared" si="129"/>
        <v>67.2</v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69">
        <v>46225</v>
      </c>
      <c r="B591" s="32">
        <f t="shared" si="131"/>
        <v>1.2083333333333333</v>
      </c>
      <c r="C591" s="26" t="s">
        <v>45</v>
      </c>
      <c r="D591" s="59" t="s">
        <v>30</v>
      </c>
      <c r="E591" s="59" t="s">
        <v>257</v>
      </c>
      <c r="F591" s="27">
        <v>10</v>
      </c>
      <c r="G591" s="34">
        <f t="shared" si="129"/>
        <v>42</v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8">
        <v>46225</v>
      </c>
      <c r="B592" s="25">
        <f t="shared" si="131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69">
        <v>46225</v>
      </c>
      <c r="B593" s="32">
        <f t="shared" si="131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103</v>
      </c>
      <c r="G594" s="36">
        <f>SUM(G582:G593)</f>
        <v>436.6</v>
      </c>
      <c r="H594" s="37"/>
      <c r="I594" s="37"/>
      <c r="J594" s="37"/>
      <c r="K594" s="37"/>
      <c r="L594" s="37"/>
      <c r="M594" s="38">
        <f ca="1">IFERROR(SUM(M582:M593),"")</f>
        <v>7.6388888888888618E-3</v>
      </c>
      <c r="N594" s="36" t="s">
        <v>233</v>
      </c>
      <c r="O594" s="39">
        <v>424930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156</v>
      </c>
      <c r="G595" s="40">
        <f>G581+G594</f>
        <v>659.2</v>
      </c>
      <c r="H595" s="41"/>
      <c r="I595" s="41"/>
      <c r="J595" s="41"/>
      <c r="K595" s="41"/>
      <c r="L595" s="41"/>
      <c r="M595" s="42">
        <f ca="1">IFERROR(M581+M594,"")</f>
        <v>5.0694444444444431E-2</v>
      </c>
      <c r="N595" s="40" t="s">
        <v>236</v>
      </c>
      <c r="O595" s="48">
        <f>IFERROR(O581+O594,"")</f>
        <v>647530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17</v>
      </c>
      <c r="G596" s="28">
        <f t="shared" ref="G596:G607" si="132">IF(F596="","",IF(E596="PC 17",F596*4.2,IF(E596="PC 19",F596*5,"")))</f>
        <v>71.400000000000006</v>
      </c>
      <c r="H596" s="26" t="s">
        <v>20</v>
      </c>
      <c r="I596" s="26" t="s">
        <v>47</v>
      </c>
      <c r="J596" s="26" t="s">
        <v>62</v>
      </c>
      <c r="K596" s="29">
        <v>0.42152777777777778</v>
      </c>
      <c r="L596" s="29">
        <v>0.4236111111111111</v>
      </c>
      <c r="M596" s="30">
        <f t="shared" ref="M596:M607" ca="1" si="133">IFERROR(IF(K596="","",IF(L596="",MOD(NOW()-K596,1),IF(L596&gt;=K596,L596-K596,L596+1-K596))),"")</f>
        <v>2.0833333333333259E-3</v>
      </c>
      <c r="N596" s="27"/>
      <c r="O596" s="47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15</v>
      </c>
      <c r="G597" s="34">
        <f t="shared" si="132"/>
        <v>63</v>
      </c>
      <c r="H597" s="33" t="s">
        <v>20</v>
      </c>
      <c r="I597" s="33" t="s">
        <v>47</v>
      </c>
      <c r="J597" s="33" t="s">
        <v>62</v>
      </c>
      <c r="K597" s="29">
        <v>0.42986111111111114</v>
      </c>
      <c r="L597" s="29">
        <v>0.43263888888888891</v>
      </c>
      <c r="M597" s="35">
        <f t="shared" ca="1" si="133"/>
        <v>2.7777777777777679E-3</v>
      </c>
      <c r="N597" s="27"/>
      <c r="O597" s="47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5</v>
      </c>
      <c r="G598" s="28">
        <f t="shared" si="132"/>
        <v>21</v>
      </c>
      <c r="H598" s="26" t="s">
        <v>20</v>
      </c>
      <c r="I598" s="26" t="s">
        <v>47</v>
      </c>
      <c r="J598" s="26" t="s">
        <v>56</v>
      </c>
      <c r="K598" s="29">
        <v>0.43888888888888888</v>
      </c>
      <c r="L598" s="29">
        <v>0.46736111111111112</v>
      </c>
      <c r="M598" s="30">
        <f t="shared" ca="1" si="133"/>
        <v>2.8472222222222232E-2</v>
      </c>
      <c r="N598" s="27" t="s">
        <v>341</v>
      </c>
      <c r="O598" s="47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0</v>
      </c>
      <c r="G599" s="34">
        <f t="shared" si="132"/>
        <v>0</v>
      </c>
      <c r="H599" s="33" t="s">
        <v>20</v>
      </c>
      <c r="I599" s="33" t="s">
        <v>154</v>
      </c>
      <c r="J599" s="33" t="s">
        <v>74</v>
      </c>
      <c r="K599" s="29">
        <v>0.66736111111111107</v>
      </c>
      <c r="L599" s="29">
        <v>0.6694444444444444</v>
      </c>
      <c r="M599" s="35">
        <f t="shared" ca="1" si="133"/>
        <v>2.0833333333333259E-3</v>
      </c>
      <c r="N599" s="27"/>
      <c r="O599" s="47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26" t="s">
        <v>74</v>
      </c>
      <c r="K600" s="29">
        <v>0.68055555555555558</v>
      </c>
      <c r="L600" s="29">
        <v>0.68472222222222223</v>
      </c>
      <c r="M600" s="30">
        <f t="shared" ca="1" si="133"/>
        <v>4.1666666666666519E-3</v>
      </c>
      <c r="N600" s="27"/>
      <c r="O600" s="47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33" t="s">
        <v>19</v>
      </c>
      <c r="I601" s="33" t="s">
        <v>47</v>
      </c>
      <c r="J601" s="33" t="s">
        <v>27</v>
      </c>
      <c r="K601" s="29">
        <v>0.75347222222222221</v>
      </c>
      <c r="L601" s="29">
        <v>0.78402777777777777</v>
      </c>
      <c r="M601" s="35">
        <f t="shared" ca="1" si="133"/>
        <v>3.0555555555555558E-2</v>
      </c>
      <c r="N601" s="27" t="s">
        <v>342</v>
      </c>
      <c r="O601" s="47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14</v>
      </c>
      <c r="G602" s="28">
        <f t="shared" si="132"/>
        <v>58.800000000000004</v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25</v>
      </c>
      <c r="G603" s="34">
        <f t="shared" si="132"/>
        <v>105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16</v>
      </c>
      <c r="G604" s="28">
        <f t="shared" si="132"/>
        <v>67.2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16</v>
      </c>
      <c r="G605" s="34">
        <f t="shared" si="132"/>
        <v>67.2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6</v>
      </c>
      <c r="G606" s="28">
        <f t="shared" si="132"/>
        <v>25.200000000000003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5</v>
      </c>
      <c r="G607" s="34">
        <f t="shared" si="132"/>
        <v>21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141</v>
      </c>
      <c r="G608" s="36">
        <f>SUM(G596:G607)</f>
        <v>592.20000000000005</v>
      </c>
      <c r="H608" s="37"/>
      <c r="I608" s="37"/>
      <c r="J608" s="37"/>
      <c r="K608" s="37"/>
      <c r="L608" s="37"/>
      <c r="M608" s="38">
        <f ca="1">IFERROR(SUM(M596:M607),"")</f>
        <v>7.0138888888888862E-2</v>
      </c>
      <c r="N608" s="36" t="s">
        <v>233</v>
      </c>
      <c r="O608" s="39">
        <v>732120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230</v>
      </c>
      <c r="F609" s="27">
        <v>2</v>
      </c>
      <c r="G609" s="34">
        <f t="shared" ref="G609:G614" si="135">IF(F609="","",IF(E609="PC 17",F609*4.2,IF(E609="PC 19",F609*5,"")))</f>
        <v>10</v>
      </c>
      <c r="H609" s="33" t="s">
        <v>20</v>
      </c>
      <c r="I609" s="33" t="s">
        <v>47</v>
      </c>
      <c r="J609" s="33" t="s">
        <v>28</v>
      </c>
      <c r="K609" s="29">
        <v>0.80902777777777779</v>
      </c>
      <c r="L609" s="29">
        <v>0.82291666666666663</v>
      </c>
      <c r="M609" s="35">
        <f t="shared" ref="M609:M620" ca="1" si="136">IFERROR(IF(K609="","",IF(L609="",MOD(NOW()-K609,1),IF(L609&gt;=K609,L609-K609,L609+1-K609))),"")</f>
        <v>1.388888888888884E-2</v>
      </c>
      <c r="N609" s="27"/>
      <c r="O609" s="47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230</v>
      </c>
      <c r="F610" s="27">
        <v>4</v>
      </c>
      <c r="G610" s="28">
        <f t="shared" si="135"/>
        <v>20</v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11</v>
      </c>
      <c r="G611" s="34">
        <f t="shared" si="135"/>
        <v>55</v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5</v>
      </c>
      <c r="G612" s="28">
        <f t="shared" si="135"/>
        <v>21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5</v>
      </c>
      <c r="G613" s="34">
        <f t="shared" si="135"/>
        <v>21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3</v>
      </c>
      <c r="G614" s="28">
        <f t="shared" si="135"/>
        <v>12.600000000000001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6</v>
      </c>
      <c r="G615" s="34">
        <v>25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5</v>
      </c>
      <c r="G616" s="28">
        <f>IF(F616="","",IF(E616="PC 17",F616*4.2,IF(E616="PC 19",F616*5,"")))</f>
        <v>21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10</v>
      </c>
      <c r="G617" s="34">
        <f>IF(F617="","",IF(E617="PC 17",F617*4.2,IF(E617="PC 19",F617*5,"")))</f>
        <v>42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15</v>
      </c>
      <c r="G619" s="34">
        <f>IF(F619="","",IF(E619="PC 17",F619*4.2,IF(E619="PC 19",F619*5,"")))</f>
        <v>63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3</v>
      </c>
      <c r="G620" s="28">
        <f>IF(F620="","",IF(E620="PC 17",F620*4.2,IF(E620="PC 19",F620*5,"")))</f>
        <v>12.600000000000001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79</v>
      </c>
      <c r="G621" s="36">
        <f>SUM(G609:G620)</f>
        <v>345.20000000000005</v>
      </c>
      <c r="H621" s="37"/>
      <c r="I621" s="37"/>
      <c r="J621" s="37"/>
      <c r="K621" s="37"/>
      <c r="L621" s="37"/>
      <c r="M621" s="38">
        <f ca="1">IFERROR(SUM(M609:M620),"")</f>
        <v>1.388888888888884E-2</v>
      </c>
      <c r="N621" s="36" t="s">
        <v>233</v>
      </c>
      <c r="O621" s="39">
        <v>377360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220</v>
      </c>
      <c r="G622" s="40">
        <f>G608+G621</f>
        <v>937.40000000000009</v>
      </c>
      <c r="H622" s="41"/>
      <c r="I622" s="41"/>
      <c r="J622" s="41"/>
      <c r="K622" s="41"/>
      <c r="L622" s="41"/>
      <c r="M622" s="42">
        <f ca="1">IFERROR(M608+M621,"")</f>
        <v>8.4027777777777701E-2</v>
      </c>
      <c r="N622" s="40" t="s">
        <v>236</v>
      </c>
      <c r="O622" s="48">
        <f>IFERROR(O608+O621,"")</f>
        <v>1109480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17</v>
      </c>
      <c r="G623" s="34">
        <f t="shared" ref="G623:G634" si="138">IF(F623="","",IF(E623="PC 17",F623*4.2,IF(E623="PC 19",F623*5,"")))</f>
        <v>71.400000000000006</v>
      </c>
      <c r="H623" s="33" t="s">
        <v>19</v>
      </c>
      <c r="I623" s="33" t="s">
        <v>47</v>
      </c>
      <c r="J623" s="33" t="s">
        <v>27</v>
      </c>
      <c r="K623" s="29">
        <v>0.62847222222222221</v>
      </c>
      <c r="L623" s="29">
        <v>0.63402777777777775</v>
      </c>
      <c r="M623" s="35">
        <f t="shared" ref="M623:M634" ca="1" si="139">IFERROR(IF(K623="","",IF(L623="",MOD(NOW()-K623,1),IF(L623&gt;=K623,L623-K623,L623+1-K623))),"")</f>
        <v>5.5555555555555358E-3</v>
      </c>
      <c r="N623" s="27"/>
      <c r="O623" s="47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8</v>
      </c>
      <c r="G624" s="28">
        <f t="shared" si="138"/>
        <v>33.6</v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21</v>
      </c>
      <c r="G625" s="34">
        <f t="shared" si="138"/>
        <v>88.2</v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13</v>
      </c>
      <c r="G627" s="34">
        <f t="shared" si="138"/>
        <v>54.6</v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16</v>
      </c>
      <c r="G628" s="28">
        <f t="shared" si="138"/>
        <v>67.2</v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18</v>
      </c>
      <c r="G629" s="34">
        <f t="shared" si="138"/>
        <v>75.600000000000009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8</v>
      </c>
      <c r="G630" s="28">
        <f t="shared" si="138"/>
        <v>33.6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13</v>
      </c>
      <c r="G631" s="34">
        <f t="shared" si="138"/>
        <v>54.6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7</v>
      </c>
      <c r="G632" s="28">
        <f t="shared" si="138"/>
        <v>29.400000000000002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12</v>
      </c>
      <c r="G633" s="34">
        <f t="shared" si="138"/>
        <v>50.400000000000006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2</v>
      </c>
      <c r="G634" s="28">
        <f t="shared" si="138"/>
        <v>8.4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146</v>
      </c>
      <c r="G635" s="36">
        <f>SUM(G623:G634)</f>
        <v>613.19999999999993</v>
      </c>
      <c r="H635" s="37"/>
      <c r="I635" s="37"/>
      <c r="J635" s="37"/>
      <c r="K635" s="37"/>
      <c r="L635" s="37"/>
      <c r="M635" s="38">
        <f ca="1">IFERROR(SUM(M623:M634),"")</f>
        <v>5.5555555555555358E-3</v>
      </c>
      <c r="N635" s="36" t="s">
        <v>233</v>
      </c>
      <c r="O635" s="39">
        <v>659370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13</v>
      </c>
      <c r="G636" s="28">
        <f t="shared" ref="G636:G647" si="141">IF(F636="","",IF(E636="PC 17",F636*4.2,IF(E636="PC 19",F636*5,"")))</f>
        <v>54.6</v>
      </c>
      <c r="H636" s="26" t="s">
        <v>20</v>
      </c>
      <c r="I636" s="26" t="s">
        <v>120</v>
      </c>
      <c r="J636" s="26" t="s">
        <v>113</v>
      </c>
      <c r="K636" s="29">
        <v>2.0833333333333332E-2</v>
      </c>
      <c r="L636" s="29">
        <v>9.0277777777777776E-2</v>
      </c>
      <c r="M636" s="30">
        <f t="shared" ref="M636:M647" ca="1" si="142">IFERROR(IF(K636="","",IF(L636="",MOD(NOW()-K636,1),IF(L636&gt;=K636,L636-K636,L636+1-K636))),"")</f>
        <v>6.9444444444444448E-2</v>
      </c>
      <c r="N636" s="27"/>
      <c r="O636" s="47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10</v>
      </c>
      <c r="G637" s="34">
        <f t="shared" si="141"/>
        <v>42</v>
      </c>
      <c r="H637" s="33" t="s">
        <v>19</v>
      </c>
      <c r="I637" s="33" t="s">
        <v>47</v>
      </c>
      <c r="J637" s="33" t="s">
        <v>27</v>
      </c>
      <c r="K637" s="29">
        <v>0.20555555555555555</v>
      </c>
      <c r="L637" s="29">
        <v>0.22569444444444445</v>
      </c>
      <c r="M637" s="35">
        <f t="shared" ca="1" si="142"/>
        <v>2.0138888888888901E-2</v>
      </c>
      <c r="N637" s="27"/>
      <c r="O637" s="47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10</v>
      </c>
      <c r="G638" s="28">
        <f t="shared" si="141"/>
        <v>42</v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9</v>
      </c>
      <c r="G639" s="34">
        <f t="shared" si="141"/>
        <v>37.800000000000004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8</v>
      </c>
      <c r="G640" s="28">
        <f t="shared" si="141"/>
        <v>33.6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5</v>
      </c>
      <c r="G641" s="34">
        <f t="shared" si="141"/>
        <v>21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0</v>
      </c>
      <c r="G642" s="28">
        <f t="shared" si="141"/>
        <v>0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10</v>
      </c>
      <c r="G643" s="34">
        <f t="shared" si="141"/>
        <v>42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5</v>
      </c>
      <c r="G644" s="28">
        <f t="shared" si="141"/>
        <v>21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7</v>
      </c>
      <c r="G645" s="34">
        <f t="shared" si="141"/>
        <v>29.400000000000002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0</v>
      </c>
      <c r="G646" s="28">
        <f t="shared" si="141"/>
        <v>0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4</v>
      </c>
      <c r="G647" s="34">
        <f t="shared" si="141"/>
        <v>16.8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81</v>
      </c>
      <c r="G648" s="36">
        <f>SUM(G636:G647)</f>
        <v>340.2</v>
      </c>
      <c r="H648" s="37"/>
      <c r="I648" s="37"/>
      <c r="J648" s="37"/>
      <c r="K648" s="37"/>
      <c r="L648" s="37"/>
      <c r="M648" s="38">
        <f ca="1">IFERROR(SUM(M636:M647),"")</f>
        <v>8.9583333333333348E-2</v>
      </c>
      <c r="N648" s="36" t="s">
        <v>233</v>
      </c>
      <c r="O648" s="39">
        <v>319500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227</v>
      </c>
      <c r="G649" s="40">
        <f>G635+G648</f>
        <v>953.39999999999986</v>
      </c>
      <c r="H649" s="41"/>
      <c r="I649" s="41"/>
      <c r="J649" s="41"/>
      <c r="K649" s="41"/>
      <c r="L649" s="41"/>
      <c r="M649" s="42">
        <f ca="1">IFERROR(M635+M648,"")</f>
        <v>9.5138888888888884E-2</v>
      </c>
      <c r="N649" s="40" t="s">
        <v>236</v>
      </c>
      <c r="O649" s="48">
        <f>IFERROR(O635+O648,"")</f>
        <v>978870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 t="s">
        <v>257</v>
      </c>
      <c r="F650" s="27">
        <v>11</v>
      </c>
      <c r="G650" s="28">
        <f t="shared" ref="G650:G661" si="144">IF(F650="","",IF(E650="PC 17",F650*4.2,IF(E650="PC 19",F650*5,"")))</f>
        <v>46.2</v>
      </c>
      <c r="H650" s="26" t="s">
        <v>18</v>
      </c>
      <c r="I650" s="26"/>
      <c r="J650" s="26" t="s">
        <v>127</v>
      </c>
      <c r="K650" s="29">
        <v>0.35902777777777778</v>
      </c>
      <c r="L650" s="29">
        <v>0.41875000000000001</v>
      </c>
      <c r="M650" s="30">
        <f t="shared" ref="M650:M661" ca="1" si="145">IFERROR(IF(K650="","",IF(L650="",MOD(NOW()-K650,1),IF(L650&gt;=K650,L650-K650,L650+1-K650))),"")</f>
        <v>5.9722222222222232E-2</v>
      </c>
      <c r="N650" s="27" t="s">
        <v>343</v>
      </c>
      <c r="O650" s="47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 t="s">
        <v>257</v>
      </c>
      <c r="F651" s="27">
        <v>4</v>
      </c>
      <c r="G651" s="34">
        <f t="shared" si="144"/>
        <v>16.8</v>
      </c>
      <c r="H651" s="33" t="s">
        <v>20</v>
      </c>
      <c r="I651" s="33" t="s">
        <v>47</v>
      </c>
      <c r="J651" s="33" t="s">
        <v>36</v>
      </c>
      <c r="K651" s="29">
        <v>0.57499999999999996</v>
      </c>
      <c r="L651" s="29">
        <v>0.5854166666666667</v>
      </c>
      <c r="M651" s="35">
        <f t="shared" ca="1" si="145"/>
        <v>1.0416666666666741E-2</v>
      </c>
      <c r="N651" s="27"/>
      <c r="O651" s="47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 t="s">
        <v>257</v>
      </c>
      <c r="F652" s="27">
        <v>0</v>
      </c>
      <c r="G652" s="34">
        <f t="shared" si="144"/>
        <v>0</v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 t="s">
        <v>257</v>
      </c>
      <c r="F653" s="27">
        <v>11</v>
      </c>
      <c r="G653" s="34">
        <f t="shared" si="144"/>
        <v>46.2</v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 t="s">
        <v>230</v>
      </c>
      <c r="F654" s="27">
        <v>10</v>
      </c>
      <c r="G654" s="28">
        <f t="shared" si="144"/>
        <v>50</v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 t="s">
        <v>257</v>
      </c>
      <c r="F655" s="27">
        <v>12</v>
      </c>
      <c r="G655" s="34">
        <f t="shared" si="144"/>
        <v>50.400000000000006</v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 t="s">
        <v>257</v>
      </c>
      <c r="F656" s="27">
        <v>14</v>
      </c>
      <c r="G656" s="28">
        <f t="shared" si="144"/>
        <v>58.800000000000004</v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 t="s">
        <v>257</v>
      </c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 t="s">
        <v>257</v>
      </c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 t="s">
        <v>257</v>
      </c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 t="s">
        <v>257</v>
      </c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 t="s">
        <v>257</v>
      </c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62</v>
      </c>
      <c r="G662" s="36">
        <f>SUM(G650:G661)</f>
        <v>268.39999999999998</v>
      </c>
      <c r="H662" s="37"/>
      <c r="I662" s="37"/>
      <c r="J662" s="37"/>
      <c r="K662" s="37"/>
      <c r="L662" s="37"/>
      <c r="M662" s="38">
        <f ca="1">IFERROR(SUM(M650:M661),"")</f>
        <v>7.0138888888888973E-2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62</v>
      </c>
      <c r="G676" s="40">
        <f>G662+G675</f>
        <v>268.39999999999998</v>
      </c>
      <c r="H676" s="41"/>
      <c r="I676" s="41"/>
      <c r="J676" s="41"/>
      <c r="K676" s="41"/>
      <c r="L676" s="41"/>
      <c r="M676" s="42">
        <f ca="1">IFERROR(M662+M675,"")</f>
        <v>7.0138888888888973E-2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90"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743:E743"/>
    <mergeCell ref="A756:E756"/>
    <mergeCell ref="A757:E757"/>
    <mergeCell ref="A770:E770"/>
    <mergeCell ref="A783:E783"/>
    <mergeCell ref="A702:E702"/>
    <mergeCell ref="A703:E703"/>
    <mergeCell ref="A716:E716"/>
    <mergeCell ref="A729:E729"/>
    <mergeCell ref="A730:E730"/>
    <mergeCell ref="A649:E649"/>
    <mergeCell ref="A662:E662"/>
    <mergeCell ref="A675:E675"/>
    <mergeCell ref="A676:E676"/>
    <mergeCell ref="A689:E689"/>
    <mergeCell ref="A608:E608"/>
    <mergeCell ref="A621:E621"/>
    <mergeCell ref="A622:E622"/>
    <mergeCell ref="A635:E635"/>
    <mergeCell ref="A648:E648"/>
    <mergeCell ref="A567:E567"/>
    <mergeCell ref="A568:E568"/>
    <mergeCell ref="A581:E581"/>
    <mergeCell ref="A594:E594"/>
    <mergeCell ref="A595:E595"/>
    <mergeCell ref="A514:E514"/>
    <mergeCell ref="A527:E527"/>
    <mergeCell ref="A540:E540"/>
    <mergeCell ref="A541:E541"/>
    <mergeCell ref="A554:E554"/>
    <mergeCell ref="A473:E473"/>
    <mergeCell ref="A486:E486"/>
    <mergeCell ref="A487:E487"/>
    <mergeCell ref="A500:E500"/>
    <mergeCell ref="A513:E513"/>
    <mergeCell ref="A432:E432"/>
    <mergeCell ref="A433:E433"/>
    <mergeCell ref="A446:E446"/>
    <mergeCell ref="A459:E459"/>
    <mergeCell ref="A460:E460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257:E257"/>
    <mergeCell ref="A270:E270"/>
    <mergeCell ref="A271:E271"/>
    <mergeCell ref="A284:E284"/>
    <mergeCell ref="A297:E297"/>
    <mergeCell ref="A216:E216"/>
    <mergeCell ref="A217:E217"/>
    <mergeCell ref="A230:E230"/>
    <mergeCell ref="A243:E243"/>
    <mergeCell ref="A244:E244"/>
    <mergeCell ref="A163:E163"/>
    <mergeCell ref="A176:E176"/>
    <mergeCell ref="A189:E189"/>
    <mergeCell ref="A190:E190"/>
    <mergeCell ref="A203:E203"/>
    <mergeCell ref="A122:E122"/>
    <mergeCell ref="A135:E135"/>
    <mergeCell ref="A136:E136"/>
    <mergeCell ref="A149:E149"/>
    <mergeCell ref="A162:E162"/>
  </mergeCells>
  <dataValidations count="3">
    <dataValidation type="list" allowBlank="1" showErrorMessage="1" errorTitle="Valor inválido" error="Selecione PC 17 ou PC 19 da lista." sqref="E15:E26 E2:E13 E29:E380 E382:E514 E516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515" xr:uid="{27A13222-D10F-41D3-B598-F519813951BD}">
      <formula1>"PC 17;PC 01"</formula1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D29:D294 D296:D900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H2:H30 H32:H900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zoomScale="50" zoomScaleNormal="50" workbookViewId="0">
      <pane ySplit="1" topLeftCell="A633" activePane="bottomLeft" state="frozen"/>
      <selection pane="bottomLeft" activeCell="F653" sqref="F653"/>
    </sheetView>
  </sheetViews>
  <sheetFormatPr defaultColWidth="8.5703125" defaultRowHeight="14.45"/>
  <cols>
    <col min="1" max="1" width="13" style="75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48.42578125" style="57" customWidth="1"/>
    <col min="11" max="11" width="18.42578125" style="57" customWidth="1"/>
    <col min="12" max="12" width="14" style="58" customWidth="1"/>
    <col min="13" max="13" width="14" style="57" customWidth="1"/>
    <col min="14" max="14" width="63.5703125" style="57" customWidth="1"/>
    <col min="15" max="15" width="14" customWidth="1"/>
    <col min="16" max="16" width="9.42578125" bestFit="1" customWidth="1"/>
  </cols>
  <sheetData>
    <row r="1" spans="1:15" ht="37.5" customHeight="1">
      <c r="A1" s="67" t="s">
        <v>7</v>
      </c>
      <c r="B1" s="23" t="s">
        <v>219</v>
      </c>
      <c r="C1" s="23" t="s">
        <v>12</v>
      </c>
      <c r="D1" s="22" t="s">
        <v>13</v>
      </c>
      <c r="E1" s="22" t="s">
        <v>220</v>
      </c>
      <c r="F1" s="23" t="s">
        <v>221</v>
      </c>
      <c r="G1" s="23" t="s">
        <v>222</v>
      </c>
      <c r="H1" s="23" t="s">
        <v>14</v>
      </c>
      <c r="I1" s="23" t="s">
        <v>15</v>
      </c>
      <c r="J1" s="23" t="s">
        <v>223</v>
      </c>
      <c r="K1" s="23" t="s">
        <v>224</v>
      </c>
      <c r="L1" s="23" t="s">
        <v>225</v>
      </c>
      <c r="M1" s="24" t="s">
        <v>226</v>
      </c>
      <c r="N1" s="23" t="s">
        <v>227</v>
      </c>
      <c r="O1" s="23" t="s">
        <v>228</v>
      </c>
    </row>
    <row r="2" spans="1:15" ht="15" customHeight="1">
      <c r="A2" s="68">
        <v>46204</v>
      </c>
      <c r="B2" s="25">
        <v>0.33333333333333298</v>
      </c>
      <c r="C2" s="26" t="s">
        <v>29</v>
      </c>
      <c r="D2" s="59" t="s">
        <v>30</v>
      </c>
      <c r="E2" s="59" t="s">
        <v>257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138</v>
      </c>
      <c r="J2" s="26" t="s">
        <v>100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344</v>
      </c>
      <c r="O2" s="60"/>
    </row>
    <row r="3" spans="1:15" ht="15" customHeight="1">
      <c r="A3" s="69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257</v>
      </c>
      <c r="F3" s="27">
        <v>0</v>
      </c>
      <c r="G3" s="34">
        <f t="shared" si="0"/>
        <v>0</v>
      </c>
      <c r="H3" s="33" t="s">
        <v>18</v>
      </c>
      <c r="I3" s="33" t="s">
        <v>159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299</v>
      </c>
      <c r="O3" s="60"/>
    </row>
    <row r="4" spans="1:15" ht="15" customHeight="1">
      <c r="A4" s="68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257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190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69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257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8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257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69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257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8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257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69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257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8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257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69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257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8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257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69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257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9" t="s">
        <v>232</v>
      </c>
      <c r="B14" s="100"/>
      <c r="C14" s="100"/>
      <c r="D14" s="100"/>
      <c r="E14" s="101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233</v>
      </c>
      <c r="O14" s="39">
        <v>327070</v>
      </c>
    </row>
    <row r="15" spans="1:15" ht="15" customHeight="1">
      <c r="A15" s="69">
        <v>46204</v>
      </c>
      <c r="B15" s="32">
        <v>0.83333333333333304</v>
      </c>
      <c r="C15" s="33" t="s">
        <v>45</v>
      </c>
      <c r="D15" s="62" t="s">
        <v>30</v>
      </c>
      <c r="E15" s="62" t="s">
        <v>257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8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257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8">
        <f ca="1">IFERROR(IF(K16="","",IF(L16="",MOD(NOW()-K16,1),IF(L16&gt;=K16,L16-K16,L16+1-K16))),"")</f>
        <v>4.1666666666666741E-2</v>
      </c>
      <c r="N16" s="27" t="s">
        <v>345</v>
      </c>
      <c r="O16" s="60"/>
    </row>
    <row r="17" spans="1:15" ht="15" customHeight="1">
      <c r="A17" s="69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257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8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257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69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257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8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257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69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257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8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257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69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257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8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257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69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257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8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257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9" t="s">
        <v>234</v>
      </c>
      <c r="B27" s="100"/>
      <c r="C27" s="100"/>
      <c r="D27" s="100"/>
      <c r="E27" s="101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233</v>
      </c>
      <c r="O27" s="39">
        <v>202230</v>
      </c>
    </row>
    <row r="28" spans="1:15" ht="18" customHeight="1">
      <c r="A28" s="102" t="s">
        <v>235</v>
      </c>
      <c r="B28" s="103"/>
      <c r="C28" s="103"/>
      <c r="D28" s="103"/>
      <c r="E28" s="104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236</v>
      </c>
      <c r="O28" s="48">
        <f>IFERROR(O14+O27,"")</f>
        <v>529300</v>
      </c>
    </row>
    <row r="29" spans="1:15" ht="15" customHeight="1">
      <c r="A29" s="68">
        <v>46205</v>
      </c>
      <c r="B29" s="25">
        <v>0.33333333333333298</v>
      </c>
      <c r="C29" s="26" t="s">
        <v>21</v>
      </c>
      <c r="D29" s="59" t="s">
        <v>30</v>
      </c>
      <c r="E29" s="59" t="s">
        <v>257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126</v>
      </c>
      <c r="J29" s="33" t="s">
        <v>194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346</v>
      </c>
      <c r="O29" s="60"/>
    </row>
    <row r="30" spans="1:15" ht="15" customHeight="1">
      <c r="A30" s="69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257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8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257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69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257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8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257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69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257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347</v>
      </c>
      <c r="O34" s="60"/>
    </row>
    <row r="35" spans="1:15" ht="15" customHeight="1">
      <c r="A35" s="68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257</v>
      </c>
      <c r="F35" s="27">
        <v>0</v>
      </c>
      <c r="G35" s="28">
        <f t="shared" si="6"/>
        <v>0</v>
      </c>
      <c r="H35" s="33" t="s">
        <v>20</v>
      </c>
      <c r="I35" s="33" t="s">
        <v>149</v>
      </c>
      <c r="J35" s="33" t="s">
        <v>179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69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257</v>
      </c>
      <c r="F36" s="27">
        <v>0</v>
      </c>
      <c r="G36" s="34">
        <f t="shared" si="6"/>
        <v>0</v>
      </c>
      <c r="H36" s="26" t="s">
        <v>20</v>
      </c>
      <c r="I36" s="26" t="s">
        <v>149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8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257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69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257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8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257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69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257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9" t="s">
        <v>232</v>
      </c>
      <c r="B41" s="100"/>
      <c r="C41" s="100"/>
      <c r="D41" s="100"/>
      <c r="E41" s="101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233</v>
      </c>
      <c r="O41" s="39">
        <v>304990</v>
      </c>
    </row>
    <row r="42" spans="1:15" ht="15" customHeight="1">
      <c r="A42" s="69">
        <v>46205</v>
      </c>
      <c r="B42" s="32">
        <v>0.83333333333333304</v>
      </c>
      <c r="C42" s="33" t="s">
        <v>45</v>
      </c>
      <c r="D42" s="62" t="s">
        <v>30</v>
      </c>
      <c r="E42" s="62" t="s">
        <v>257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8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257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69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257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8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257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69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257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8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257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69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257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8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257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69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257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8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257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69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257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8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257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9" t="s">
        <v>234</v>
      </c>
      <c r="B54" s="100"/>
      <c r="C54" s="100"/>
      <c r="D54" s="100"/>
      <c r="E54" s="101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233</v>
      </c>
      <c r="O54" s="39">
        <v>473910</v>
      </c>
    </row>
    <row r="55" spans="1:15" ht="18" customHeight="1">
      <c r="A55" s="102" t="s">
        <v>235</v>
      </c>
      <c r="B55" s="103"/>
      <c r="C55" s="103"/>
      <c r="D55" s="103"/>
      <c r="E55" s="104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236</v>
      </c>
      <c r="O55" s="48">
        <f>IFERROR(O41+O54,"")</f>
        <v>778900</v>
      </c>
    </row>
    <row r="56" spans="1:15" ht="15" customHeight="1">
      <c r="A56" s="68">
        <v>46206</v>
      </c>
      <c r="B56" s="25">
        <v>0.33333333333333298</v>
      </c>
      <c r="C56" s="26" t="s">
        <v>29</v>
      </c>
      <c r="D56" s="59" t="s">
        <v>30</v>
      </c>
      <c r="E56" s="59" t="s">
        <v>257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69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257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8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257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348</v>
      </c>
      <c r="L58" s="29">
        <v>0.54097222222222219</v>
      </c>
      <c r="M58" s="30" t="str">
        <f t="shared" ca="1" si="13"/>
        <v/>
      </c>
      <c r="N58" s="27" t="s">
        <v>349</v>
      </c>
      <c r="O58" s="60"/>
    </row>
    <row r="59" spans="1:15" ht="15" customHeight="1">
      <c r="A59" s="69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257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8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257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69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257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8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257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69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257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8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257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69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257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8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257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69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257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9" t="s">
        <v>232</v>
      </c>
      <c r="B68" s="100"/>
      <c r="C68" s="100"/>
      <c r="D68" s="100"/>
      <c r="E68" s="101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233</v>
      </c>
      <c r="O68" s="39">
        <v>763370</v>
      </c>
    </row>
    <row r="69" spans="1:15" ht="15" customHeight="1">
      <c r="A69" s="69">
        <v>46206</v>
      </c>
      <c r="B69" s="32">
        <v>0.83333333333333304</v>
      </c>
      <c r="C69" s="33" t="s">
        <v>21</v>
      </c>
      <c r="D69" s="62" t="s">
        <v>30</v>
      </c>
      <c r="E69" s="62" t="s">
        <v>257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8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257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313</v>
      </c>
      <c r="O70" s="60"/>
    </row>
    <row r="71" spans="1:15" ht="15" customHeight="1">
      <c r="A71" s="69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257</v>
      </c>
      <c r="F71" s="27">
        <v>12</v>
      </c>
      <c r="G71" s="34">
        <f t="shared" si="15"/>
        <v>50.400000000000006</v>
      </c>
      <c r="H71" s="33" t="s">
        <v>18</v>
      </c>
      <c r="I71" s="33" t="s">
        <v>126</v>
      </c>
      <c r="J71" s="33" t="s">
        <v>196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8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257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164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350</v>
      </c>
      <c r="O72" s="60"/>
    </row>
    <row r="73" spans="1:15" ht="15" customHeight="1">
      <c r="A73" s="69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257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164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351</v>
      </c>
      <c r="O73" s="60"/>
    </row>
    <row r="74" spans="1:15" ht="15" customHeight="1">
      <c r="A74" s="68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257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352</v>
      </c>
      <c r="O74" s="60"/>
    </row>
    <row r="75" spans="1:15" ht="15" customHeight="1">
      <c r="A75" s="69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257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164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353</v>
      </c>
      <c r="O75" s="60"/>
    </row>
    <row r="76" spans="1:15" ht="15" customHeight="1">
      <c r="A76" s="68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257</v>
      </c>
      <c r="F76" s="27">
        <v>1</v>
      </c>
      <c r="G76" s="28">
        <f t="shared" si="15"/>
        <v>4.2</v>
      </c>
      <c r="H76" s="26" t="s">
        <v>20</v>
      </c>
      <c r="I76" s="26" t="s">
        <v>149</v>
      </c>
      <c r="J76" s="26" t="s">
        <v>182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69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257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8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257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69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257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8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257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9" t="s">
        <v>234</v>
      </c>
      <c r="B81" s="100"/>
      <c r="C81" s="100"/>
      <c r="D81" s="100"/>
      <c r="E81" s="101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233</v>
      </c>
      <c r="O81" s="39">
        <v>565120</v>
      </c>
    </row>
    <row r="82" spans="1:15" ht="18" customHeight="1">
      <c r="A82" s="102" t="s">
        <v>235</v>
      </c>
      <c r="B82" s="103"/>
      <c r="C82" s="103"/>
      <c r="D82" s="103"/>
      <c r="E82" s="104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236</v>
      </c>
      <c r="O82" s="48">
        <f>IFERROR(O68+O81,"")</f>
        <v>1328490</v>
      </c>
    </row>
    <row r="83" spans="1:15" ht="15" customHeight="1">
      <c r="A83" s="68">
        <v>46207</v>
      </c>
      <c r="B83" s="25">
        <v>0.33333333333333298</v>
      </c>
      <c r="C83" s="26" t="s">
        <v>29</v>
      </c>
      <c r="D83" s="59" t="s">
        <v>22</v>
      </c>
      <c r="E83" s="59" t="s">
        <v>257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354</v>
      </c>
      <c r="O83" s="60"/>
    </row>
    <row r="84" spans="1:15" ht="15" customHeight="1">
      <c r="A84" s="69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257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8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257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69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257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8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257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69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230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8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230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69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230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8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230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69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230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8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230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69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230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9" t="s">
        <v>232</v>
      </c>
      <c r="B95" s="100"/>
      <c r="C95" s="100"/>
      <c r="D95" s="100"/>
      <c r="E95" s="101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233</v>
      </c>
      <c r="O95" s="39">
        <v>776910</v>
      </c>
    </row>
    <row r="96" spans="1:15" ht="15" customHeight="1">
      <c r="A96" s="69">
        <v>46207</v>
      </c>
      <c r="B96" s="32">
        <v>0.83333333333333304</v>
      </c>
      <c r="C96" s="33" t="s">
        <v>21</v>
      </c>
      <c r="D96" s="62" t="s">
        <v>30</v>
      </c>
      <c r="E96" s="62" t="s">
        <v>257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159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8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257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69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257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198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8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257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69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257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8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257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69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257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8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257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69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257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8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257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69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257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8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257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9" t="s">
        <v>234</v>
      </c>
      <c r="B108" s="100"/>
      <c r="C108" s="100"/>
      <c r="D108" s="100"/>
      <c r="E108" s="101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233</v>
      </c>
      <c r="O108" s="39">
        <v>558590</v>
      </c>
    </row>
    <row r="109" spans="1:15" ht="18" customHeight="1">
      <c r="A109" s="102" t="s">
        <v>235</v>
      </c>
      <c r="B109" s="103"/>
      <c r="C109" s="103"/>
      <c r="D109" s="103"/>
      <c r="E109" s="104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236</v>
      </c>
      <c r="O109" s="48">
        <f>IFERROR(O95+O108,"")</f>
        <v>1335500</v>
      </c>
    </row>
    <row r="110" spans="1:15" ht="15" customHeight="1">
      <c r="A110" s="68">
        <v>46208</v>
      </c>
      <c r="B110" s="25">
        <v>0.33333333333333298</v>
      </c>
      <c r="C110" s="26" t="s">
        <v>29</v>
      </c>
      <c r="D110" s="59" t="s">
        <v>30</v>
      </c>
      <c r="E110" s="59" t="s">
        <v>257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198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355</v>
      </c>
      <c r="O110" s="60"/>
    </row>
    <row r="111" spans="1:15" ht="15" customHeight="1">
      <c r="A111" s="69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257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8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257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69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257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8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257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69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257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8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257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69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257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8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257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69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257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8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257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69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257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9" t="s">
        <v>232</v>
      </c>
      <c r="B122" s="100"/>
      <c r="C122" s="100"/>
      <c r="D122" s="100"/>
      <c r="E122" s="101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233</v>
      </c>
      <c r="O122" s="39">
        <v>274450</v>
      </c>
    </row>
    <row r="123" spans="1:15" ht="15" customHeight="1">
      <c r="A123" s="69">
        <v>46208</v>
      </c>
      <c r="B123" s="32">
        <v>0.83333333333333304</v>
      </c>
      <c r="C123" s="33" t="s">
        <v>21</v>
      </c>
      <c r="D123" s="62" t="s">
        <v>30</v>
      </c>
      <c r="E123" s="62" t="s">
        <v>230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100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8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230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356</v>
      </c>
      <c r="O124" s="60"/>
    </row>
    <row r="125" spans="1:15" ht="15" customHeight="1">
      <c r="A125" s="69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230</v>
      </c>
      <c r="F125" s="27">
        <v>20</v>
      </c>
      <c r="G125" s="34">
        <f t="shared" si="27"/>
        <v>100</v>
      </c>
      <c r="H125" s="33" t="s">
        <v>18</v>
      </c>
      <c r="I125" s="33" t="s">
        <v>126</v>
      </c>
      <c r="J125" s="33" t="s">
        <v>202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357</v>
      </c>
      <c r="O125" s="60"/>
    </row>
    <row r="126" spans="1:15" ht="15" customHeight="1">
      <c r="A126" s="68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230</v>
      </c>
      <c r="F126" s="27">
        <v>23</v>
      </c>
      <c r="G126" s="28">
        <f t="shared" si="27"/>
        <v>115</v>
      </c>
      <c r="H126" s="26" t="s">
        <v>19</v>
      </c>
      <c r="I126" s="26" t="s">
        <v>159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69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230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191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8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230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0.33679826388834044</v>
      </c>
      <c r="N128" s="27"/>
      <c r="O128" s="60"/>
    </row>
    <row r="129" spans="1:18" ht="15" customHeight="1">
      <c r="A129" s="69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230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274</v>
      </c>
      <c r="O129" s="60"/>
    </row>
    <row r="130" spans="1:18" ht="15" customHeight="1">
      <c r="A130" s="68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230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69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230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8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230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69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230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8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230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9" t="s">
        <v>234</v>
      </c>
      <c r="B135" s="100"/>
      <c r="C135" s="100"/>
      <c r="D135" s="100"/>
      <c r="E135" s="101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0.53610381944389607</v>
      </c>
      <c r="N135" s="36" t="s">
        <v>233</v>
      </c>
      <c r="O135" s="39">
        <v>729290</v>
      </c>
    </row>
    <row r="136" spans="1:18" ht="18" customHeight="1">
      <c r="A136" s="102" t="s">
        <v>235</v>
      </c>
      <c r="B136" s="103"/>
      <c r="C136" s="103"/>
      <c r="D136" s="103"/>
      <c r="E136" s="104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0.9034649305550071</v>
      </c>
      <c r="N136" s="40" t="s">
        <v>236</v>
      </c>
      <c r="O136" s="48">
        <f>IFERROR(O122+O135,"")</f>
        <v>1003740</v>
      </c>
    </row>
    <row r="137" spans="1:18" ht="15" customHeight="1">
      <c r="A137" s="69">
        <v>46209</v>
      </c>
      <c r="B137" s="32">
        <v>0.33333333333333298</v>
      </c>
      <c r="C137" s="33" t="s">
        <v>29</v>
      </c>
      <c r="D137" s="62" t="s">
        <v>30</v>
      </c>
      <c r="E137" s="62" t="s">
        <v>230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8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230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69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230</v>
      </c>
      <c r="F139" s="27">
        <v>28</v>
      </c>
      <c r="G139" s="34">
        <f t="shared" si="30"/>
        <v>140</v>
      </c>
      <c r="H139" s="33" t="s">
        <v>19</v>
      </c>
      <c r="I139" s="33" t="s">
        <v>159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358</v>
      </c>
      <c r="O139" s="31"/>
    </row>
    <row r="140" spans="1:18" ht="15" customHeight="1">
      <c r="A140" s="68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230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276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69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230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8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230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69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230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8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230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69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230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8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230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69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230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8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230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9" t="s">
        <v>232</v>
      </c>
      <c r="B149" s="100"/>
      <c r="C149" s="100"/>
      <c r="D149" s="100"/>
      <c r="E149" s="101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233</v>
      </c>
      <c r="O149" s="39">
        <v>1058340</v>
      </c>
    </row>
    <row r="150" spans="1:15" ht="15" customHeight="1">
      <c r="A150" s="68">
        <v>46209</v>
      </c>
      <c r="B150" s="25">
        <v>0.83333333333333304</v>
      </c>
      <c r="C150" s="26" t="s">
        <v>21</v>
      </c>
      <c r="D150" s="59" t="s">
        <v>30</v>
      </c>
      <c r="E150" s="59" t="s">
        <v>230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319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69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230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8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257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164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359</v>
      </c>
      <c r="O152" s="31"/>
    </row>
    <row r="153" spans="1:15" ht="15" customHeight="1">
      <c r="A153" s="69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257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8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257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69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257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8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257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69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257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8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257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69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257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8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257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69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257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9" t="s">
        <v>234</v>
      </c>
      <c r="B162" s="100"/>
      <c r="C162" s="100"/>
      <c r="D162" s="100"/>
      <c r="E162" s="101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233</v>
      </c>
      <c r="O162" s="39">
        <v>697320</v>
      </c>
    </row>
    <row r="163" spans="1:15" ht="18" customHeight="1">
      <c r="A163" s="102" t="s">
        <v>235</v>
      </c>
      <c r="B163" s="103"/>
      <c r="C163" s="103"/>
      <c r="D163" s="103"/>
      <c r="E163" s="104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236</v>
      </c>
      <c r="O163" s="43">
        <f>IFERROR(O149+O162,"")</f>
        <v>1755660</v>
      </c>
    </row>
    <row r="164" spans="1:15" ht="15" customHeight="1">
      <c r="A164" s="68">
        <v>46210</v>
      </c>
      <c r="B164" s="25">
        <v>0.33333333333333298</v>
      </c>
      <c r="C164" s="26" t="s">
        <v>29</v>
      </c>
      <c r="D164" s="59" t="s">
        <v>38</v>
      </c>
      <c r="E164" s="59" t="s">
        <v>230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69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257</v>
      </c>
      <c r="F165" s="27">
        <v>20</v>
      </c>
      <c r="G165" s="34">
        <f t="shared" si="36"/>
        <v>84</v>
      </c>
      <c r="H165" s="33" t="s">
        <v>20</v>
      </c>
      <c r="I165" s="33" t="s">
        <v>138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8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257</v>
      </c>
      <c r="F166" s="27">
        <v>10</v>
      </c>
      <c r="G166" s="28">
        <f t="shared" si="36"/>
        <v>42</v>
      </c>
      <c r="H166" s="26" t="s">
        <v>19</v>
      </c>
      <c r="I166" s="26" t="s">
        <v>138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69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257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8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257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360</v>
      </c>
      <c r="O168" s="31"/>
    </row>
    <row r="169" spans="1:15" ht="15" customHeight="1">
      <c r="A169" s="69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257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8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257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69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257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8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257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69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257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8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257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69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257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9" t="s">
        <v>232</v>
      </c>
      <c r="B176" s="100"/>
      <c r="C176" s="100"/>
      <c r="D176" s="100"/>
      <c r="E176" s="101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233</v>
      </c>
      <c r="O176" s="39">
        <v>500370</v>
      </c>
    </row>
    <row r="177" spans="1:15" ht="15" customHeight="1">
      <c r="A177" s="69">
        <v>46210</v>
      </c>
      <c r="B177" s="32">
        <v>0.83333333333333304</v>
      </c>
      <c r="C177" s="33" t="s">
        <v>21</v>
      </c>
      <c r="D177" s="62" t="s">
        <v>22</v>
      </c>
      <c r="E177" s="62" t="s">
        <v>257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159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8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257</v>
      </c>
      <c r="F178" s="27">
        <v>16</v>
      </c>
      <c r="G178" s="28">
        <f t="shared" si="39"/>
        <v>67.2</v>
      </c>
      <c r="H178" s="26" t="s">
        <v>20</v>
      </c>
      <c r="I178" s="26" t="s">
        <v>138</v>
      </c>
      <c r="J178" s="26" t="s">
        <v>74</v>
      </c>
      <c r="K178" s="29">
        <v>0.13194444444444445</v>
      </c>
      <c r="L178" s="29">
        <v>0.15277777777777779</v>
      </c>
      <c r="M178" s="30">
        <f t="shared" ca="1" si="40"/>
        <v>2.0833333333333343E-2</v>
      </c>
      <c r="N178" s="27"/>
      <c r="O178" s="31"/>
    </row>
    <row r="179" spans="1:15" ht="15" customHeight="1">
      <c r="A179" s="69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257</v>
      </c>
      <c r="F179" s="27">
        <v>20</v>
      </c>
      <c r="G179" s="34">
        <f t="shared" si="39"/>
        <v>84</v>
      </c>
      <c r="H179" s="33" t="s">
        <v>20</v>
      </c>
      <c r="I179" s="33" t="s">
        <v>138</v>
      </c>
      <c r="J179" s="26" t="s">
        <v>74</v>
      </c>
      <c r="K179" s="29">
        <v>0.21249999999999999</v>
      </c>
      <c r="L179" s="29">
        <v>0.22708333333333333</v>
      </c>
      <c r="M179" s="35">
        <f t="shared" ca="1" si="40"/>
        <v>1.4583333333333337E-2</v>
      </c>
      <c r="N179" s="27"/>
      <c r="O179" s="31"/>
    </row>
    <row r="180" spans="1:15" ht="15" customHeight="1">
      <c r="A180" s="68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257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69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257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8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257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69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257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8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257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69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257</v>
      </c>
      <c r="F185" s="27">
        <v>7</v>
      </c>
      <c r="G185" s="34">
        <f t="shared" si="39"/>
        <v>29.400000000000002</v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8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257</v>
      </c>
      <c r="F186" s="27">
        <v>22</v>
      </c>
      <c r="G186" s="28">
        <f t="shared" si="39"/>
        <v>92.4</v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69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257</v>
      </c>
      <c r="F187" s="27">
        <v>15</v>
      </c>
      <c r="G187" s="34">
        <f t="shared" si="39"/>
        <v>63</v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8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257</v>
      </c>
      <c r="F188" s="27">
        <v>9</v>
      </c>
      <c r="G188" s="28">
        <f t="shared" si="39"/>
        <v>37.800000000000004</v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9" t="s">
        <v>234</v>
      </c>
      <c r="B189" s="100"/>
      <c r="C189" s="100"/>
      <c r="D189" s="100"/>
      <c r="E189" s="101">
        <f>SUM(E177:E188)</f>
        <v>0</v>
      </c>
      <c r="F189" s="36">
        <f>SUM(F177:F188)</f>
        <v>217</v>
      </c>
      <c r="G189" s="36">
        <f>SUM(G177:G188)</f>
        <v>911.39999999999986</v>
      </c>
      <c r="H189" s="37"/>
      <c r="I189" s="37"/>
      <c r="J189" s="37"/>
      <c r="K189" s="61"/>
      <c r="L189" s="61"/>
      <c r="M189" s="38">
        <f ca="1">IFERROR(SUM(M177:M188),"")</f>
        <v>4.9305555555555575E-2</v>
      </c>
      <c r="N189" s="36" t="s">
        <v>233</v>
      </c>
      <c r="O189" s="39">
        <v>973580</v>
      </c>
    </row>
    <row r="190" spans="1:15" ht="18" customHeight="1">
      <c r="A190" s="102" t="s">
        <v>235</v>
      </c>
      <c r="B190" s="103"/>
      <c r="C190" s="103"/>
      <c r="D190" s="103"/>
      <c r="E190" s="104">
        <f>E176+E189</f>
        <v>0</v>
      </c>
      <c r="F190" s="40">
        <f>F176+F189</f>
        <v>386</v>
      </c>
      <c r="G190" s="40">
        <f>G176+G189</f>
        <v>1631.6</v>
      </c>
      <c r="H190" s="41"/>
      <c r="I190" s="41"/>
      <c r="J190" s="41"/>
      <c r="K190" s="63"/>
      <c r="L190" s="63"/>
      <c r="M190" s="42">
        <f ca="1">IFERROR(M176+M189,"")</f>
        <v>0.11250000000000002</v>
      </c>
      <c r="N190" s="40" t="s">
        <v>236</v>
      </c>
      <c r="O190" s="43">
        <f>IFERROR(O176+O189,"")</f>
        <v>1473950</v>
      </c>
    </row>
    <row r="191" spans="1:15" ht="15" customHeight="1">
      <c r="A191" s="69">
        <v>46211</v>
      </c>
      <c r="B191" s="32">
        <v>0.33333333333333298</v>
      </c>
      <c r="C191" s="33" t="s">
        <v>29</v>
      </c>
      <c r="D191" s="62" t="s">
        <v>22</v>
      </c>
      <c r="E191" s="62" t="s">
        <v>257</v>
      </c>
      <c r="F191" s="27">
        <v>20</v>
      </c>
      <c r="G191" s="34">
        <f t="shared" ref="G191:G202" si="42">IF(F191="","",IF(E191="PC 17",F191*4.2,IF(E191="PC 19",F191*5,"")))</f>
        <v>84</v>
      </c>
      <c r="H191" s="33" t="s">
        <v>18</v>
      </c>
      <c r="I191" s="33" t="s">
        <v>140</v>
      </c>
      <c r="J191" s="33" t="s">
        <v>127</v>
      </c>
      <c r="K191" s="29">
        <v>0.34722222222222221</v>
      </c>
      <c r="L191" s="29">
        <v>0.35416666666666669</v>
      </c>
      <c r="M191" s="35">
        <f t="shared" ref="M191:M202" ca="1" si="43">IFERROR(IF(K191="","",IF(L191="",MOD(NOW()-K191,1),IF(L191&gt;=K191,L191-K191,L191+1-K191))),"")</f>
        <v>6.9444444444444753E-3</v>
      </c>
      <c r="N191" s="27"/>
      <c r="O191" s="31"/>
    </row>
    <row r="192" spans="1:15" ht="15" customHeight="1">
      <c r="A192" s="68">
        <v>46211</v>
      </c>
      <c r="B192" s="25">
        <f t="shared" ref="B192:B202" si="44">B191+TIME(0,60,0)</f>
        <v>0.37499999999999967</v>
      </c>
      <c r="C192" s="33" t="s">
        <v>29</v>
      </c>
      <c r="D192" s="62" t="s">
        <v>22</v>
      </c>
      <c r="E192" s="62" t="s">
        <v>257</v>
      </c>
      <c r="F192" s="27">
        <v>15</v>
      </c>
      <c r="G192" s="28">
        <f t="shared" si="42"/>
        <v>63</v>
      </c>
      <c r="H192" s="26" t="s">
        <v>19</v>
      </c>
      <c r="I192" s="26" t="s">
        <v>159</v>
      </c>
      <c r="J192" s="26" t="s">
        <v>27</v>
      </c>
      <c r="K192" s="29">
        <v>0.40625</v>
      </c>
      <c r="L192" s="29">
        <v>0.42499999999999999</v>
      </c>
      <c r="M192" s="30">
        <f t="shared" ca="1" si="43"/>
        <v>1.8749999999999989E-2</v>
      </c>
      <c r="N192" s="27"/>
      <c r="O192" s="31"/>
    </row>
    <row r="193" spans="1:15" ht="15" customHeight="1">
      <c r="A193" s="69">
        <v>46211</v>
      </c>
      <c r="B193" s="32">
        <f t="shared" si="44"/>
        <v>0.41666666666666635</v>
      </c>
      <c r="C193" s="33" t="s">
        <v>29</v>
      </c>
      <c r="D193" s="62" t="s">
        <v>22</v>
      </c>
      <c r="E193" s="62" t="s">
        <v>257</v>
      </c>
      <c r="F193" s="27">
        <v>15</v>
      </c>
      <c r="G193" s="34">
        <f t="shared" si="42"/>
        <v>63</v>
      </c>
      <c r="H193" s="33" t="s">
        <v>18</v>
      </c>
      <c r="I193" s="33" t="s">
        <v>138</v>
      </c>
      <c r="J193" s="33" t="s">
        <v>88</v>
      </c>
      <c r="K193" s="29">
        <v>0.62777777777777777</v>
      </c>
      <c r="L193" s="29">
        <v>0.76041666666666663</v>
      </c>
      <c r="M193" s="35">
        <f t="shared" ca="1" si="43"/>
        <v>0.13263888888888886</v>
      </c>
      <c r="N193" s="27" t="s">
        <v>361</v>
      </c>
      <c r="O193" s="31"/>
    </row>
    <row r="194" spans="1:15" ht="15" customHeight="1">
      <c r="A194" s="68">
        <v>46211</v>
      </c>
      <c r="B194" s="25">
        <f t="shared" si="44"/>
        <v>0.45833333333333304</v>
      </c>
      <c r="C194" s="33" t="s">
        <v>29</v>
      </c>
      <c r="D194" s="62" t="s">
        <v>22</v>
      </c>
      <c r="E194" s="62" t="s">
        <v>257</v>
      </c>
      <c r="F194" s="27">
        <v>15</v>
      </c>
      <c r="G194" s="28">
        <f t="shared" si="42"/>
        <v>63</v>
      </c>
      <c r="H194" s="26" t="s">
        <v>19</v>
      </c>
      <c r="I194" s="26" t="s">
        <v>159</v>
      </c>
      <c r="J194" s="26" t="s">
        <v>27</v>
      </c>
      <c r="K194" s="29">
        <v>0.62777777777777777</v>
      </c>
      <c r="L194" s="29">
        <v>0.66666666666666663</v>
      </c>
      <c r="M194" s="30">
        <f t="shared" ca="1" si="43"/>
        <v>3.8888888888888862E-2</v>
      </c>
      <c r="N194" s="27" t="s">
        <v>362</v>
      </c>
      <c r="O194" s="31"/>
    </row>
    <row r="195" spans="1:15" ht="15" customHeight="1">
      <c r="A195" s="69">
        <v>46211</v>
      </c>
      <c r="B195" s="32">
        <f t="shared" si="44"/>
        <v>0.49999999999999972</v>
      </c>
      <c r="C195" s="33" t="s">
        <v>29</v>
      </c>
      <c r="D195" s="62" t="s">
        <v>22</v>
      </c>
      <c r="E195" s="62" t="s">
        <v>257</v>
      </c>
      <c r="F195" s="27">
        <v>20</v>
      </c>
      <c r="G195" s="34">
        <f t="shared" si="42"/>
        <v>84</v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8">
        <v>46211</v>
      </c>
      <c r="B196" s="25">
        <f t="shared" si="44"/>
        <v>0.54166666666666641</v>
      </c>
      <c r="C196" s="33" t="s">
        <v>29</v>
      </c>
      <c r="D196" s="62" t="s">
        <v>22</v>
      </c>
      <c r="E196" s="62" t="s">
        <v>257</v>
      </c>
      <c r="F196" s="27">
        <v>20</v>
      </c>
      <c r="G196" s="28">
        <f t="shared" si="42"/>
        <v>84</v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69">
        <v>46211</v>
      </c>
      <c r="B197" s="32">
        <f t="shared" si="44"/>
        <v>0.58333333333333304</v>
      </c>
      <c r="C197" s="33" t="s">
        <v>29</v>
      </c>
      <c r="D197" s="62" t="s">
        <v>22</v>
      </c>
      <c r="E197" s="62" t="s">
        <v>257</v>
      </c>
      <c r="F197" s="27">
        <v>20</v>
      </c>
      <c r="G197" s="34">
        <f t="shared" si="42"/>
        <v>84</v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8">
        <v>46211</v>
      </c>
      <c r="B198" s="25">
        <f t="shared" si="44"/>
        <v>0.62499999999999967</v>
      </c>
      <c r="C198" s="33" t="s">
        <v>29</v>
      </c>
      <c r="D198" s="62" t="s">
        <v>22</v>
      </c>
      <c r="E198" s="62" t="s">
        <v>257</v>
      </c>
      <c r="F198" s="27">
        <v>25</v>
      </c>
      <c r="G198" s="28">
        <f t="shared" si="42"/>
        <v>105</v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69">
        <v>46211</v>
      </c>
      <c r="B199" s="32">
        <f t="shared" si="44"/>
        <v>0.6666666666666663</v>
      </c>
      <c r="C199" s="33" t="s">
        <v>29</v>
      </c>
      <c r="D199" s="62" t="s">
        <v>22</v>
      </c>
      <c r="E199" s="62" t="s">
        <v>257</v>
      </c>
      <c r="F199" s="27">
        <v>0</v>
      </c>
      <c r="G199" s="34">
        <f t="shared" si="42"/>
        <v>0</v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8">
        <v>46211</v>
      </c>
      <c r="B200" s="25">
        <f t="shared" si="44"/>
        <v>0.70833333333333293</v>
      </c>
      <c r="C200" s="33" t="s">
        <v>29</v>
      </c>
      <c r="D200" s="62" t="s">
        <v>22</v>
      </c>
      <c r="E200" s="62" t="s">
        <v>257</v>
      </c>
      <c r="F200" s="27">
        <v>0</v>
      </c>
      <c r="G200" s="28">
        <f t="shared" si="42"/>
        <v>0</v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69">
        <v>46211</v>
      </c>
      <c r="B201" s="32">
        <f t="shared" si="44"/>
        <v>0.74999999999999956</v>
      </c>
      <c r="C201" s="33" t="s">
        <v>29</v>
      </c>
      <c r="D201" s="62" t="s">
        <v>22</v>
      </c>
      <c r="E201" s="62" t="s">
        <v>257</v>
      </c>
      <c r="F201" s="27">
        <v>0</v>
      </c>
      <c r="G201" s="34">
        <f t="shared" si="42"/>
        <v>0</v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8">
        <v>46211</v>
      </c>
      <c r="B202" s="25">
        <f t="shared" si="44"/>
        <v>0.79166666666666619</v>
      </c>
      <c r="C202" s="33" t="s">
        <v>29</v>
      </c>
      <c r="D202" s="62" t="s">
        <v>22</v>
      </c>
      <c r="E202" s="62" t="s">
        <v>257</v>
      </c>
      <c r="F202" s="27">
        <v>0</v>
      </c>
      <c r="G202" s="28">
        <f t="shared" si="42"/>
        <v>0</v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9" t="s">
        <v>232</v>
      </c>
      <c r="B203" s="100"/>
      <c r="C203" s="100"/>
      <c r="D203" s="100"/>
      <c r="E203" s="101">
        <f>SUM(E191:E202)</f>
        <v>0</v>
      </c>
      <c r="F203" s="36">
        <f>SUM(F191:F202)</f>
        <v>150</v>
      </c>
      <c r="G203" s="36">
        <f>SUM(G191:G202)</f>
        <v>630</v>
      </c>
      <c r="H203" s="37"/>
      <c r="I203" s="37"/>
      <c r="J203" s="37"/>
      <c r="K203" s="61"/>
      <c r="L203" s="61"/>
      <c r="M203" s="38">
        <f ca="1">IFERROR(SUM(M191:M202),"")</f>
        <v>0.19722222222222219</v>
      </c>
      <c r="N203" s="36" t="s">
        <v>233</v>
      </c>
      <c r="O203" s="45">
        <v>674440</v>
      </c>
    </row>
    <row r="204" spans="1:15" ht="15" customHeight="1">
      <c r="A204" s="68">
        <v>46211</v>
      </c>
      <c r="B204" s="25">
        <v>0.83333333333333304</v>
      </c>
      <c r="C204" s="26" t="s">
        <v>21</v>
      </c>
      <c r="D204" s="59" t="s">
        <v>30</v>
      </c>
      <c r="E204" s="59" t="s">
        <v>257</v>
      </c>
      <c r="F204" s="27">
        <v>2</v>
      </c>
      <c r="G204" s="28">
        <f t="shared" ref="G204:G215" si="45">IF(F204="","",IF(E204="PC 17",F204*4.2,IF(E204="PC 19",F204*5,"")))</f>
        <v>8.4</v>
      </c>
      <c r="H204" s="26" t="s">
        <v>18</v>
      </c>
      <c r="I204" s="26"/>
      <c r="J204" s="26" t="s">
        <v>105</v>
      </c>
      <c r="K204" s="29">
        <v>0.79166666666666663</v>
      </c>
      <c r="L204" s="29">
        <v>0.82638888888888884</v>
      </c>
      <c r="M204" s="30">
        <f t="shared" ref="M204:M215" ca="1" si="46">IFERROR(IF(K204="","",IF(L204="",MOD(NOW()-K204,1),IF(L204&gt;=K204,L204-K204,L204+1-K204))),"")</f>
        <v>3.472222222222221E-2</v>
      </c>
      <c r="N204" s="27"/>
      <c r="O204" s="60"/>
    </row>
    <row r="205" spans="1:15" ht="15" customHeight="1">
      <c r="A205" s="69">
        <v>46211</v>
      </c>
      <c r="B205" s="32">
        <f t="shared" ref="B205:B215" si="47">B204+TIME(0,60,0)</f>
        <v>0.87499999999999967</v>
      </c>
      <c r="C205" s="26" t="s">
        <v>21</v>
      </c>
      <c r="D205" s="59" t="s">
        <v>30</v>
      </c>
      <c r="E205" s="59" t="s">
        <v>230</v>
      </c>
      <c r="F205" s="27">
        <v>12</v>
      </c>
      <c r="G205" s="34">
        <f t="shared" si="45"/>
        <v>60</v>
      </c>
      <c r="H205" s="33" t="s">
        <v>19</v>
      </c>
      <c r="I205" s="33" t="s">
        <v>52</v>
      </c>
      <c r="J205" s="33" t="s">
        <v>78</v>
      </c>
      <c r="K205" s="29">
        <v>0.95138888888888884</v>
      </c>
      <c r="L205" s="29">
        <v>0.95833333333333337</v>
      </c>
      <c r="M205" s="35">
        <f t="shared" ca="1" si="46"/>
        <v>6.9444444444445308E-3</v>
      </c>
      <c r="N205" s="27"/>
      <c r="O205" s="60"/>
    </row>
    <row r="206" spans="1:15" ht="15" customHeight="1">
      <c r="A206" s="68">
        <v>46211</v>
      </c>
      <c r="B206" s="25">
        <f t="shared" si="47"/>
        <v>0.9166666666666663</v>
      </c>
      <c r="C206" s="26" t="s">
        <v>21</v>
      </c>
      <c r="D206" s="59" t="s">
        <v>30</v>
      </c>
      <c r="E206" s="59" t="s">
        <v>257</v>
      </c>
      <c r="F206" s="27">
        <v>23</v>
      </c>
      <c r="G206" s="28">
        <f t="shared" si="45"/>
        <v>96.600000000000009</v>
      </c>
      <c r="H206" s="26" t="s">
        <v>18</v>
      </c>
      <c r="I206" s="26" t="s">
        <v>52</v>
      </c>
      <c r="J206" s="26" t="s">
        <v>163</v>
      </c>
      <c r="K206" s="29">
        <v>2.0833333333333332E-2</v>
      </c>
      <c r="L206" s="29">
        <v>3.0555555555555555E-2</v>
      </c>
      <c r="M206" s="30">
        <f t="shared" ca="1" si="46"/>
        <v>9.7222222222222224E-3</v>
      </c>
      <c r="N206" s="27" t="s">
        <v>363</v>
      </c>
      <c r="O206" s="60"/>
    </row>
    <row r="207" spans="1:15" ht="15" customHeight="1">
      <c r="A207" s="69">
        <v>46211</v>
      </c>
      <c r="B207" s="32">
        <f t="shared" si="47"/>
        <v>0.95833333333333293</v>
      </c>
      <c r="C207" s="26" t="s">
        <v>21</v>
      </c>
      <c r="D207" s="59" t="s">
        <v>30</v>
      </c>
      <c r="E207" s="59" t="s">
        <v>257</v>
      </c>
      <c r="F207" s="27">
        <v>20</v>
      </c>
      <c r="G207" s="34">
        <f t="shared" si="45"/>
        <v>84</v>
      </c>
      <c r="H207" s="33" t="s">
        <v>20</v>
      </c>
      <c r="I207" s="33" t="s">
        <v>52</v>
      </c>
      <c r="J207" s="33" t="s">
        <v>28</v>
      </c>
      <c r="K207" s="29">
        <v>0.05</v>
      </c>
      <c r="L207" s="29">
        <v>5.6944444444444443E-2</v>
      </c>
      <c r="M207" s="35">
        <f t="shared" ca="1" si="46"/>
        <v>6.9444444444444406E-3</v>
      </c>
      <c r="N207" s="27"/>
      <c r="O207" s="60"/>
    </row>
    <row r="208" spans="1:15" ht="15" customHeight="1">
      <c r="A208" s="68">
        <v>46211</v>
      </c>
      <c r="B208" s="25">
        <f t="shared" si="47"/>
        <v>0.99999999999999956</v>
      </c>
      <c r="C208" s="26" t="s">
        <v>21</v>
      </c>
      <c r="D208" s="59" t="s">
        <v>30</v>
      </c>
      <c r="E208" s="59" t="s">
        <v>257</v>
      </c>
      <c r="F208" s="27">
        <v>26</v>
      </c>
      <c r="G208" s="28">
        <f t="shared" si="45"/>
        <v>109.2</v>
      </c>
      <c r="H208" s="26" t="s">
        <v>20</v>
      </c>
      <c r="I208" s="26" t="s">
        <v>52</v>
      </c>
      <c r="J208" s="26" t="s">
        <v>51</v>
      </c>
      <c r="K208" s="29">
        <v>9.166666666666666E-2</v>
      </c>
      <c r="L208" s="29">
        <v>9.6527777777777782E-2</v>
      </c>
      <c r="M208" s="30">
        <f t="shared" ca="1" si="46"/>
        <v>4.8611111111111216E-3</v>
      </c>
      <c r="N208" s="27"/>
      <c r="O208" s="60"/>
    </row>
    <row r="209" spans="1:15" ht="15" customHeight="1">
      <c r="A209" s="69">
        <v>46211</v>
      </c>
      <c r="B209" s="32">
        <f t="shared" si="47"/>
        <v>1.0416666666666663</v>
      </c>
      <c r="C209" s="26" t="s">
        <v>21</v>
      </c>
      <c r="D209" s="59" t="s">
        <v>30</v>
      </c>
      <c r="E209" s="59" t="s">
        <v>257</v>
      </c>
      <c r="F209" s="27">
        <v>17</v>
      </c>
      <c r="G209" s="34">
        <f t="shared" si="45"/>
        <v>71.400000000000006</v>
      </c>
      <c r="H209" s="33" t="s">
        <v>19</v>
      </c>
      <c r="I209" s="33" t="s">
        <v>57</v>
      </c>
      <c r="J209" s="33" t="s">
        <v>27</v>
      </c>
      <c r="K209" s="29">
        <v>0.22916666666666666</v>
      </c>
      <c r="L209" s="29">
        <v>0.24652777777777779</v>
      </c>
      <c r="M209" s="35">
        <f t="shared" ca="1" si="46"/>
        <v>1.7361111111111133E-2</v>
      </c>
      <c r="N209" s="27"/>
      <c r="O209" s="60"/>
    </row>
    <row r="210" spans="1:15" ht="15" customHeight="1">
      <c r="A210" s="68">
        <v>46211</v>
      </c>
      <c r="B210" s="25">
        <f t="shared" si="47"/>
        <v>1.083333333333333</v>
      </c>
      <c r="C210" s="26" t="s">
        <v>21</v>
      </c>
      <c r="D210" s="59" t="s">
        <v>30</v>
      </c>
      <c r="E210" s="59" t="s">
        <v>257</v>
      </c>
      <c r="F210" s="27">
        <v>17</v>
      </c>
      <c r="G210" s="28">
        <f t="shared" si="45"/>
        <v>71.400000000000006</v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69">
        <v>46211</v>
      </c>
      <c r="B211" s="32">
        <f t="shared" si="47"/>
        <v>1.1249999999999998</v>
      </c>
      <c r="C211" s="26" t="s">
        <v>21</v>
      </c>
      <c r="D211" s="59" t="s">
        <v>30</v>
      </c>
      <c r="E211" s="59" t="s">
        <v>257</v>
      </c>
      <c r="F211" s="27">
        <v>25</v>
      </c>
      <c r="G211" s="34">
        <f t="shared" si="45"/>
        <v>105</v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8">
        <v>46211</v>
      </c>
      <c r="B212" s="25">
        <f t="shared" si="47"/>
        <v>1.1666666666666665</v>
      </c>
      <c r="C212" s="26" t="s">
        <v>21</v>
      </c>
      <c r="D212" s="59" t="s">
        <v>30</v>
      </c>
      <c r="E212" s="59" t="s">
        <v>257</v>
      </c>
      <c r="F212" s="27">
        <v>22</v>
      </c>
      <c r="G212" s="28">
        <f t="shared" si="45"/>
        <v>92.4</v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69">
        <v>46211</v>
      </c>
      <c r="B213" s="32">
        <f t="shared" si="47"/>
        <v>1.2083333333333333</v>
      </c>
      <c r="C213" s="26" t="s">
        <v>21</v>
      </c>
      <c r="D213" s="59" t="s">
        <v>30</v>
      </c>
      <c r="E213" s="59" t="s">
        <v>257</v>
      </c>
      <c r="F213" s="27">
        <v>13</v>
      </c>
      <c r="G213" s="34">
        <f t="shared" si="45"/>
        <v>54.6</v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8">
        <v>46211</v>
      </c>
      <c r="B214" s="25">
        <f t="shared" si="47"/>
        <v>1.25</v>
      </c>
      <c r="C214" s="26" t="s">
        <v>21</v>
      </c>
      <c r="D214" s="59" t="s">
        <v>30</v>
      </c>
      <c r="E214" s="59" t="s">
        <v>257</v>
      </c>
      <c r="F214" s="27">
        <v>20</v>
      </c>
      <c r="G214" s="28">
        <f t="shared" si="45"/>
        <v>84</v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69">
        <v>46211</v>
      </c>
      <c r="B215" s="32">
        <f t="shared" si="47"/>
        <v>1.2916666666666667</v>
      </c>
      <c r="C215" s="26" t="s">
        <v>21</v>
      </c>
      <c r="D215" s="59" t="s">
        <v>30</v>
      </c>
      <c r="E215" s="59" t="s">
        <v>257</v>
      </c>
      <c r="F215" s="27">
        <v>4</v>
      </c>
      <c r="G215" s="34">
        <f t="shared" si="45"/>
        <v>16.8</v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9" t="s">
        <v>234</v>
      </c>
      <c r="B216" s="100"/>
      <c r="C216" s="100"/>
      <c r="D216" s="100"/>
      <c r="E216" s="101">
        <f>SUM(E204:E215)</f>
        <v>0</v>
      </c>
      <c r="F216" s="36">
        <f>SUM(F204:F215)</f>
        <v>201</v>
      </c>
      <c r="G216" s="36">
        <f>SUM(G204:G215)</f>
        <v>853.8</v>
      </c>
      <c r="H216" s="37"/>
      <c r="I216" s="37"/>
      <c r="J216" s="37"/>
      <c r="K216" s="61"/>
      <c r="L216" s="61"/>
      <c r="M216" s="38">
        <f ca="1">IFERROR(SUM(M204:M215),"")</f>
        <v>8.0555555555555658E-2</v>
      </c>
      <c r="N216" s="36" t="s">
        <v>233</v>
      </c>
      <c r="O216" s="45">
        <v>1060630</v>
      </c>
    </row>
    <row r="217" spans="1:15" ht="18" customHeight="1">
      <c r="A217" s="102" t="s">
        <v>235</v>
      </c>
      <c r="B217" s="103"/>
      <c r="C217" s="103"/>
      <c r="D217" s="103"/>
      <c r="E217" s="104">
        <f>E203+E216</f>
        <v>0</v>
      </c>
      <c r="F217" s="40">
        <f>F203+F216</f>
        <v>351</v>
      </c>
      <c r="G217" s="40">
        <f>G203+G216</f>
        <v>1483.8</v>
      </c>
      <c r="H217" s="41"/>
      <c r="I217" s="41"/>
      <c r="J217" s="41"/>
      <c r="K217" s="63"/>
      <c r="L217" s="63"/>
      <c r="M217" s="42">
        <f ca="1">IFERROR(M203+M216,"")</f>
        <v>0.27777777777777785</v>
      </c>
      <c r="N217" s="40" t="s">
        <v>236</v>
      </c>
      <c r="O217" s="48">
        <f>IFERROR(O203+O216,"")</f>
        <v>1735070</v>
      </c>
    </row>
    <row r="218" spans="1:15" ht="15" customHeight="1">
      <c r="A218" s="68">
        <v>46212</v>
      </c>
      <c r="B218" s="25">
        <v>0.33333333333333298</v>
      </c>
      <c r="C218" s="26" t="s">
        <v>29</v>
      </c>
      <c r="D218" s="59" t="s">
        <v>30</v>
      </c>
      <c r="E218" s="59" t="s">
        <v>257</v>
      </c>
      <c r="F218" s="27">
        <v>23</v>
      </c>
      <c r="G218" s="28">
        <f t="shared" ref="G218:G229" si="48">IF(F218="","",IF(E218="PC 17",F218*4.2,IF(E218="PC 19",F218*5,"")))</f>
        <v>96.600000000000009</v>
      </c>
      <c r="H218" s="26" t="s">
        <v>19</v>
      </c>
      <c r="I218" s="26" t="s">
        <v>52</v>
      </c>
      <c r="J218" s="26" t="s">
        <v>27</v>
      </c>
      <c r="K218" s="29">
        <v>0.33541666666666664</v>
      </c>
      <c r="L218" s="29">
        <v>0.41666666666666669</v>
      </c>
      <c r="M218" s="30">
        <f t="shared" ref="M218:M229" ca="1" si="49">IFERROR(IF(K218="","",IF(L218="",MOD(NOW()-K218,1),IF(L218&gt;=K218,L218-K218,L218+1-K218))),"")</f>
        <v>8.1250000000000044E-2</v>
      </c>
      <c r="N218" s="27" t="s">
        <v>364</v>
      </c>
      <c r="O218" s="60"/>
    </row>
    <row r="219" spans="1:15" ht="15" customHeight="1">
      <c r="A219" s="69">
        <v>46212</v>
      </c>
      <c r="B219" s="32">
        <f t="shared" ref="B219:B229" si="50">B218+TIME(0,60,0)</f>
        <v>0.37499999999999967</v>
      </c>
      <c r="C219" s="26" t="s">
        <v>29</v>
      </c>
      <c r="D219" s="59" t="s">
        <v>30</v>
      </c>
      <c r="E219" s="59" t="s">
        <v>257</v>
      </c>
      <c r="F219" s="27">
        <v>0</v>
      </c>
      <c r="G219" s="34">
        <f t="shared" si="48"/>
        <v>0</v>
      </c>
      <c r="H219" s="33" t="s">
        <v>20</v>
      </c>
      <c r="I219" s="33" t="s">
        <v>52</v>
      </c>
      <c r="J219" s="33" t="s">
        <v>56</v>
      </c>
      <c r="K219" s="29">
        <v>0.4375</v>
      </c>
      <c r="L219" s="29">
        <v>0.47986111111111113</v>
      </c>
      <c r="M219" s="35">
        <f t="shared" ca="1" si="49"/>
        <v>4.2361111111111127E-2</v>
      </c>
      <c r="N219" s="27"/>
      <c r="O219" s="60"/>
    </row>
    <row r="220" spans="1:15" ht="15" customHeight="1">
      <c r="A220" s="68">
        <v>46212</v>
      </c>
      <c r="B220" s="25">
        <f t="shared" si="50"/>
        <v>0.41666666666666635</v>
      </c>
      <c r="C220" s="26" t="s">
        <v>29</v>
      </c>
      <c r="D220" s="59" t="s">
        <v>30</v>
      </c>
      <c r="E220" s="59" t="s">
        <v>257</v>
      </c>
      <c r="F220" s="27">
        <v>0</v>
      </c>
      <c r="G220" s="28">
        <f t="shared" si="48"/>
        <v>0</v>
      </c>
      <c r="H220" s="26" t="s">
        <v>17</v>
      </c>
      <c r="I220" s="26"/>
      <c r="J220" s="26" t="s">
        <v>25</v>
      </c>
      <c r="K220" s="29">
        <v>0.58819444444444446</v>
      </c>
      <c r="L220" s="29">
        <v>0.61111111111111116</v>
      </c>
      <c r="M220" s="30">
        <f t="shared" ca="1" si="49"/>
        <v>2.2916666666666696E-2</v>
      </c>
      <c r="N220" s="27" t="s">
        <v>365</v>
      </c>
      <c r="O220" s="60"/>
    </row>
    <row r="221" spans="1:15" ht="15" customHeight="1">
      <c r="A221" s="69">
        <v>46212</v>
      </c>
      <c r="B221" s="32">
        <f t="shared" si="50"/>
        <v>0.45833333333333304</v>
      </c>
      <c r="C221" s="26" t="s">
        <v>29</v>
      </c>
      <c r="D221" s="59" t="s">
        <v>30</v>
      </c>
      <c r="E221" s="59" t="s">
        <v>257</v>
      </c>
      <c r="F221" s="27">
        <v>10</v>
      </c>
      <c r="G221" s="34">
        <f t="shared" si="48"/>
        <v>42</v>
      </c>
      <c r="H221" s="33" t="s">
        <v>20</v>
      </c>
      <c r="I221" s="33" t="s">
        <v>138</v>
      </c>
      <c r="J221" s="33" t="s">
        <v>74</v>
      </c>
      <c r="K221" s="29">
        <v>0.63680555555555551</v>
      </c>
      <c r="L221" s="29">
        <v>0.65347222222222223</v>
      </c>
      <c r="M221" s="35">
        <f t="shared" ca="1" si="49"/>
        <v>1.6666666666666718E-2</v>
      </c>
      <c r="N221" s="27"/>
      <c r="O221" s="60"/>
    </row>
    <row r="222" spans="1:15" ht="15" customHeight="1">
      <c r="A222" s="68">
        <v>46212</v>
      </c>
      <c r="B222" s="25">
        <f t="shared" si="50"/>
        <v>0.49999999999999972</v>
      </c>
      <c r="C222" s="26" t="s">
        <v>29</v>
      </c>
      <c r="D222" s="59" t="s">
        <v>30</v>
      </c>
      <c r="E222" s="59" t="s">
        <v>257</v>
      </c>
      <c r="F222" s="27">
        <v>5</v>
      </c>
      <c r="G222" s="28">
        <f t="shared" si="48"/>
        <v>21</v>
      </c>
      <c r="H222" s="26" t="s">
        <v>20</v>
      </c>
      <c r="I222" s="26" t="s">
        <v>57</v>
      </c>
      <c r="J222" s="26" t="s">
        <v>51</v>
      </c>
      <c r="K222" s="29">
        <v>0.6791666666666667</v>
      </c>
      <c r="L222" s="29">
        <v>0.68472222222222223</v>
      </c>
      <c r="M222" s="30">
        <f t="shared" ca="1" si="49"/>
        <v>5.5555555555555358E-3</v>
      </c>
      <c r="N222" s="27"/>
      <c r="O222" s="60"/>
    </row>
    <row r="223" spans="1:15" ht="15" customHeight="1">
      <c r="A223" s="69">
        <v>46212</v>
      </c>
      <c r="B223" s="32">
        <f t="shared" si="50"/>
        <v>0.54166666666666641</v>
      </c>
      <c r="C223" s="26" t="s">
        <v>29</v>
      </c>
      <c r="D223" s="59" t="s">
        <v>30</v>
      </c>
      <c r="E223" s="59" t="s">
        <v>257</v>
      </c>
      <c r="F223" s="27">
        <v>8</v>
      </c>
      <c r="G223" s="34">
        <f t="shared" si="48"/>
        <v>33.6</v>
      </c>
      <c r="H223" s="33" t="s">
        <v>20</v>
      </c>
      <c r="I223" s="33" t="s">
        <v>57</v>
      </c>
      <c r="J223" s="33" t="s">
        <v>51</v>
      </c>
      <c r="K223" s="29">
        <v>0.68958333333333333</v>
      </c>
      <c r="L223" s="29">
        <v>0.69374999999999998</v>
      </c>
      <c r="M223" s="35">
        <f t="shared" ca="1" si="49"/>
        <v>4.1666666666666519E-3</v>
      </c>
      <c r="N223" s="27"/>
      <c r="O223" s="60"/>
    </row>
    <row r="224" spans="1:15" ht="15" customHeight="1">
      <c r="A224" s="68">
        <v>46212</v>
      </c>
      <c r="B224" s="25">
        <f t="shared" si="50"/>
        <v>0.58333333333333304</v>
      </c>
      <c r="C224" s="26" t="s">
        <v>29</v>
      </c>
      <c r="D224" s="59" t="s">
        <v>30</v>
      </c>
      <c r="E224" s="59" t="s">
        <v>257</v>
      </c>
      <c r="F224" s="27">
        <v>30</v>
      </c>
      <c r="G224" s="28">
        <f t="shared" si="48"/>
        <v>126</v>
      </c>
      <c r="H224" s="26" t="s">
        <v>20</v>
      </c>
      <c r="I224" s="26" t="s">
        <v>138</v>
      </c>
      <c r="J224" s="26" t="s">
        <v>182</v>
      </c>
      <c r="K224" s="29">
        <v>0.69652777777777775</v>
      </c>
      <c r="L224" s="29">
        <v>0.71319444444444446</v>
      </c>
      <c r="M224" s="30">
        <f t="shared" ca="1" si="49"/>
        <v>1.6666666666666718E-2</v>
      </c>
      <c r="N224" s="27"/>
      <c r="O224" s="60"/>
    </row>
    <row r="225" spans="1:15" ht="15" customHeight="1">
      <c r="A225" s="69">
        <v>46212</v>
      </c>
      <c r="B225" s="32">
        <f t="shared" si="50"/>
        <v>0.62499999999999967</v>
      </c>
      <c r="C225" s="26" t="s">
        <v>29</v>
      </c>
      <c r="D225" s="59" t="s">
        <v>30</v>
      </c>
      <c r="E225" s="59" t="s">
        <v>257</v>
      </c>
      <c r="F225" s="27">
        <v>15</v>
      </c>
      <c r="G225" s="34">
        <f t="shared" si="48"/>
        <v>63</v>
      </c>
      <c r="H225" s="33" t="s">
        <v>20</v>
      </c>
      <c r="I225" s="33" t="s">
        <v>52</v>
      </c>
      <c r="J225" s="33" t="s">
        <v>51</v>
      </c>
      <c r="K225" s="29" t="s">
        <v>366</v>
      </c>
      <c r="L225" s="29">
        <v>0.76041666666666663</v>
      </c>
      <c r="M225" s="35">
        <v>6.9444444444444441E-3</v>
      </c>
      <c r="N225" s="27"/>
      <c r="O225" s="60"/>
    </row>
    <row r="226" spans="1:15" ht="15" customHeight="1">
      <c r="A226" s="68">
        <v>46212</v>
      </c>
      <c r="B226" s="25">
        <f t="shared" si="50"/>
        <v>0.6666666666666663</v>
      </c>
      <c r="C226" s="26" t="s">
        <v>29</v>
      </c>
      <c r="D226" s="59" t="s">
        <v>30</v>
      </c>
      <c r="E226" s="59" t="s">
        <v>257</v>
      </c>
      <c r="F226" s="27">
        <v>0</v>
      </c>
      <c r="G226" s="28">
        <f t="shared" si="48"/>
        <v>0</v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69">
        <v>46212</v>
      </c>
      <c r="B227" s="32">
        <f t="shared" si="50"/>
        <v>0.70833333333333293</v>
      </c>
      <c r="C227" s="26" t="s">
        <v>29</v>
      </c>
      <c r="D227" s="59" t="s">
        <v>30</v>
      </c>
      <c r="E227" s="59" t="s">
        <v>257</v>
      </c>
      <c r="F227" s="27">
        <v>11</v>
      </c>
      <c r="G227" s="34">
        <f t="shared" si="48"/>
        <v>46.2</v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8">
        <v>46212</v>
      </c>
      <c r="B228" s="25">
        <f t="shared" si="50"/>
        <v>0.74999999999999956</v>
      </c>
      <c r="C228" s="26" t="s">
        <v>29</v>
      </c>
      <c r="D228" s="59" t="s">
        <v>30</v>
      </c>
      <c r="E228" s="59" t="s">
        <v>257</v>
      </c>
      <c r="F228" s="27">
        <v>15</v>
      </c>
      <c r="G228" s="28">
        <f t="shared" si="48"/>
        <v>63</v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69">
        <v>46212</v>
      </c>
      <c r="B229" s="32">
        <f t="shared" si="50"/>
        <v>0.79166666666666619</v>
      </c>
      <c r="C229" s="26" t="s">
        <v>29</v>
      </c>
      <c r="D229" s="59" t="s">
        <v>30</v>
      </c>
      <c r="E229" s="59" t="s">
        <v>257</v>
      </c>
      <c r="F229" s="27">
        <v>1</v>
      </c>
      <c r="G229" s="34">
        <f t="shared" si="48"/>
        <v>4.2</v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9" t="s">
        <v>232</v>
      </c>
      <c r="B230" s="100"/>
      <c r="C230" s="100"/>
      <c r="D230" s="100"/>
      <c r="E230" s="101">
        <f>SUM(E218:E229)</f>
        <v>0</v>
      </c>
      <c r="F230" s="36">
        <f>SUM(F218:F229)</f>
        <v>118</v>
      </c>
      <c r="G230" s="36">
        <f>SUM(G218:G229)</f>
        <v>495.6</v>
      </c>
      <c r="H230" s="37"/>
      <c r="I230" s="37"/>
      <c r="J230" s="37"/>
      <c r="K230" s="61"/>
      <c r="L230" s="61"/>
      <c r="M230" s="38">
        <f ca="1">IFERROR(SUM(M218:M229),"")</f>
        <v>0.19652777777777794</v>
      </c>
      <c r="N230" s="36" t="s">
        <v>233</v>
      </c>
      <c r="O230" s="39">
        <v>587230</v>
      </c>
    </row>
    <row r="231" spans="1:15" ht="15" customHeight="1">
      <c r="A231" s="69">
        <v>46212</v>
      </c>
      <c r="B231" s="32">
        <v>0.83333333333333304</v>
      </c>
      <c r="C231" s="33" t="s">
        <v>21</v>
      </c>
      <c r="D231" s="62" t="s">
        <v>30</v>
      </c>
      <c r="E231" s="62" t="s">
        <v>257</v>
      </c>
      <c r="F231" s="27">
        <v>23</v>
      </c>
      <c r="G231" s="34">
        <f t="shared" ref="G231:G242" si="51">IF(F231="","",IF(E231="PC 17",F231*4.2,IF(E231="PC 19",F231*5,"")))</f>
        <v>96.600000000000009</v>
      </c>
      <c r="H231" s="33" t="s">
        <v>20</v>
      </c>
      <c r="I231" s="33" t="s">
        <v>52</v>
      </c>
      <c r="J231" s="33" t="s">
        <v>56</v>
      </c>
      <c r="K231" s="29">
        <v>0.80833333333333335</v>
      </c>
      <c r="L231" s="29">
        <v>0.82291666666666663</v>
      </c>
      <c r="M231" s="35">
        <f t="shared" ref="M231:M242" ca="1" si="52">IFERROR(IF(K231="","",IF(L231="",MOD(NOW()-K231,1),IF(L231&gt;=K231,L231-K231,L231+1-K231))),"")</f>
        <v>1.4583333333333282E-2</v>
      </c>
      <c r="N231" s="27"/>
      <c r="O231" s="60"/>
    </row>
    <row r="232" spans="1:15" ht="15" customHeight="1">
      <c r="A232" s="68">
        <v>46212</v>
      </c>
      <c r="B232" s="25">
        <f t="shared" ref="B232:B242" si="53">B231+TIME(0,60,0)</f>
        <v>0.87499999999999967</v>
      </c>
      <c r="C232" s="33" t="s">
        <v>21</v>
      </c>
      <c r="D232" s="62" t="s">
        <v>30</v>
      </c>
      <c r="E232" s="62" t="s">
        <v>230</v>
      </c>
      <c r="F232" s="27">
        <v>21</v>
      </c>
      <c r="G232" s="28">
        <f t="shared" si="51"/>
        <v>105</v>
      </c>
      <c r="H232" s="26" t="s">
        <v>19</v>
      </c>
      <c r="I232" s="26" t="s">
        <v>52</v>
      </c>
      <c r="J232" s="26" t="s">
        <v>78</v>
      </c>
      <c r="K232" s="29">
        <v>0.87847222222222221</v>
      </c>
      <c r="L232" s="29">
        <v>0.92361111111111116</v>
      </c>
      <c r="M232" s="30">
        <f t="shared" ca="1" si="52"/>
        <v>4.5138888888888951E-2</v>
      </c>
      <c r="N232" s="27" t="s">
        <v>367</v>
      </c>
      <c r="O232" s="60"/>
    </row>
    <row r="233" spans="1:15" ht="15" customHeight="1">
      <c r="A233" s="69">
        <v>46212</v>
      </c>
      <c r="B233" s="32">
        <f t="shared" si="53"/>
        <v>0.9166666666666663</v>
      </c>
      <c r="C233" s="33" t="s">
        <v>21</v>
      </c>
      <c r="D233" s="62" t="s">
        <v>30</v>
      </c>
      <c r="E233" s="62" t="s">
        <v>257</v>
      </c>
      <c r="F233" s="27">
        <v>1</v>
      </c>
      <c r="G233" s="34">
        <f t="shared" si="51"/>
        <v>4.2</v>
      </c>
      <c r="H233" s="33" t="s">
        <v>18</v>
      </c>
      <c r="I233" s="33" t="s">
        <v>52</v>
      </c>
      <c r="J233" s="33" t="s">
        <v>153</v>
      </c>
      <c r="K233" s="29">
        <v>0.95138888888888884</v>
      </c>
      <c r="L233" s="29">
        <v>0.98124999999999996</v>
      </c>
      <c r="M233" s="35">
        <f t="shared" ca="1" si="52"/>
        <v>2.9861111111111116E-2</v>
      </c>
      <c r="N233" s="27"/>
      <c r="O233" s="60"/>
    </row>
    <row r="234" spans="1:15" ht="15" customHeight="1">
      <c r="A234" s="68">
        <v>46212</v>
      </c>
      <c r="B234" s="25">
        <f t="shared" si="53"/>
        <v>0.95833333333333293</v>
      </c>
      <c r="C234" s="33" t="s">
        <v>21</v>
      </c>
      <c r="D234" s="62" t="s">
        <v>30</v>
      </c>
      <c r="E234" s="62" t="s">
        <v>257</v>
      </c>
      <c r="F234" s="27">
        <v>20</v>
      </c>
      <c r="G234" s="28">
        <f t="shared" si="51"/>
        <v>84</v>
      </c>
      <c r="H234" s="26" t="s">
        <v>19</v>
      </c>
      <c r="I234" s="26" t="s">
        <v>52</v>
      </c>
      <c r="J234" s="26" t="s">
        <v>27</v>
      </c>
      <c r="K234" s="29">
        <v>0.98472222222222228</v>
      </c>
      <c r="L234" s="29">
        <v>1.6666666666666666E-2</v>
      </c>
      <c r="M234" s="30">
        <f t="shared" ca="1" si="52"/>
        <v>3.1944444444444331E-2</v>
      </c>
      <c r="N234" s="27"/>
      <c r="O234" s="60"/>
    </row>
    <row r="235" spans="1:15" ht="15" customHeight="1">
      <c r="A235" s="69">
        <v>46212</v>
      </c>
      <c r="B235" s="32">
        <f t="shared" si="53"/>
        <v>0.99999999999999956</v>
      </c>
      <c r="C235" s="33" t="s">
        <v>21</v>
      </c>
      <c r="D235" s="62" t="s">
        <v>30</v>
      </c>
      <c r="E235" s="62" t="s">
        <v>257</v>
      </c>
      <c r="F235" s="27">
        <v>0</v>
      </c>
      <c r="G235" s="34">
        <f t="shared" si="51"/>
        <v>0</v>
      </c>
      <c r="H235" s="33" t="s">
        <v>20</v>
      </c>
      <c r="I235" s="33" t="s">
        <v>52</v>
      </c>
      <c r="J235" s="33" t="s">
        <v>51</v>
      </c>
      <c r="K235" s="29">
        <v>5.2083333333333336E-2</v>
      </c>
      <c r="L235" s="29">
        <v>6.6666666666666666E-2</v>
      </c>
      <c r="M235" s="35">
        <f t="shared" ca="1" si="52"/>
        <v>1.458333333333333E-2</v>
      </c>
      <c r="N235" s="27"/>
      <c r="O235" s="60"/>
    </row>
    <row r="236" spans="1:15" ht="15" customHeight="1">
      <c r="A236" s="68">
        <v>46212</v>
      </c>
      <c r="B236" s="25">
        <f t="shared" si="53"/>
        <v>1.0416666666666663</v>
      </c>
      <c r="C236" s="33" t="s">
        <v>21</v>
      </c>
      <c r="D236" s="62" t="s">
        <v>30</v>
      </c>
      <c r="E236" s="62" t="s">
        <v>257</v>
      </c>
      <c r="F236" s="27">
        <v>27</v>
      </c>
      <c r="G236" s="28">
        <f t="shared" si="51"/>
        <v>113.4</v>
      </c>
      <c r="H236" s="50" t="s">
        <v>20</v>
      </c>
      <c r="I236" s="50" t="s">
        <v>138</v>
      </c>
      <c r="J236" s="50" t="s">
        <v>74</v>
      </c>
      <c r="K236" s="29">
        <v>0.2326388888888889</v>
      </c>
      <c r="L236" s="29">
        <v>0.2388888888888889</v>
      </c>
      <c r="M236" s="30">
        <f t="shared" ca="1" si="52"/>
        <v>6.2500000000000056E-3</v>
      </c>
      <c r="N236" s="27"/>
      <c r="O236" s="60"/>
    </row>
    <row r="237" spans="1:15" ht="15" customHeight="1">
      <c r="A237" s="69">
        <v>46212</v>
      </c>
      <c r="B237" s="32">
        <f t="shared" si="53"/>
        <v>1.083333333333333</v>
      </c>
      <c r="C237" s="33" t="s">
        <v>21</v>
      </c>
      <c r="D237" s="62" t="s">
        <v>30</v>
      </c>
      <c r="E237" s="62" t="s">
        <v>257</v>
      </c>
      <c r="F237" s="27">
        <v>11</v>
      </c>
      <c r="G237" s="34">
        <f t="shared" si="51"/>
        <v>46.2</v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8">
        <v>46212</v>
      </c>
      <c r="B238" s="25">
        <f t="shared" si="53"/>
        <v>1.1249999999999998</v>
      </c>
      <c r="C238" s="33" t="s">
        <v>21</v>
      </c>
      <c r="D238" s="62" t="s">
        <v>30</v>
      </c>
      <c r="E238" s="62" t="s">
        <v>257</v>
      </c>
      <c r="F238" s="27">
        <v>14</v>
      </c>
      <c r="G238" s="28">
        <f t="shared" si="51"/>
        <v>58.800000000000004</v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69">
        <v>46212</v>
      </c>
      <c r="B239" s="32">
        <f t="shared" si="53"/>
        <v>1.1666666666666665</v>
      </c>
      <c r="C239" s="33" t="s">
        <v>21</v>
      </c>
      <c r="D239" s="62" t="s">
        <v>30</v>
      </c>
      <c r="E239" s="62" t="s">
        <v>230</v>
      </c>
      <c r="F239" s="27">
        <v>32</v>
      </c>
      <c r="G239" s="34">
        <f t="shared" si="51"/>
        <v>160</v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8">
        <v>46212</v>
      </c>
      <c r="B240" s="25">
        <f t="shared" si="53"/>
        <v>1.2083333333333333</v>
      </c>
      <c r="C240" s="33" t="s">
        <v>21</v>
      </c>
      <c r="D240" s="62" t="s">
        <v>30</v>
      </c>
      <c r="E240" s="62" t="s">
        <v>257</v>
      </c>
      <c r="F240" s="27">
        <v>16</v>
      </c>
      <c r="G240" s="28">
        <f t="shared" si="51"/>
        <v>67.2</v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69">
        <v>46212</v>
      </c>
      <c r="B241" s="32">
        <f t="shared" si="53"/>
        <v>1.25</v>
      </c>
      <c r="C241" s="33" t="s">
        <v>21</v>
      </c>
      <c r="D241" s="62" t="s">
        <v>30</v>
      </c>
      <c r="E241" s="62" t="s">
        <v>230</v>
      </c>
      <c r="F241" s="27">
        <v>21</v>
      </c>
      <c r="G241" s="34">
        <f t="shared" si="51"/>
        <v>105</v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8">
        <v>46212</v>
      </c>
      <c r="B242" s="25">
        <f t="shared" si="53"/>
        <v>1.2916666666666667</v>
      </c>
      <c r="C242" s="33" t="s">
        <v>21</v>
      </c>
      <c r="D242" s="62" t="s">
        <v>30</v>
      </c>
      <c r="E242" s="62" t="s">
        <v>257</v>
      </c>
      <c r="F242" s="27">
        <v>7</v>
      </c>
      <c r="G242" s="28">
        <f t="shared" si="51"/>
        <v>29.400000000000002</v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9" t="s">
        <v>234</v>
      </c>
      <c r="B243" s="100"/>
      <c r="C243" s="100"/>
      <c r="D243" s="100"/>
      <c r="E243" s="101">
        <f>SUM(E231:E242)</f>
        <v>0</v>
      </c>
      <c r="F243" s="36">
        <f>SUM(F231:F242)</f>
        <v>193</v>
      </c>
      <c r="G243" s="36">
        <f>SUM(G231:G242)</f>
        <v>869.80000000000007</v>
      </c>
      <c r="H243" s="37"/>
      <c r="I243" s="37"/>
      <c r="J243" s="37"/>
      <c r="K243" s="61"/>
      <c r="L243" s="61"/>
      <c r="M243" s="38">
        <f ca="1">IFERROR(SUM(M231:M242),"")</f>
        <v>0.14236111111111102</v>
      </c>
      <c r="N243" s="36" t="s">
        <v>233</v>
      </c>
      <c r="O243" s="39">
        <v>982340</v>
      </c>
    </row>
    <row r="244" spans="1:15" ht="18" customHeight="1">
      <c r="A244" s="102" t="s">
        <v>235</v>
      </c>
      <c r="B244" s="103"/>
      <c r="C244" s="103"/>
      <c r="D244" s="103"/>
      <c r="E244" s="104">
        <f>E230+E243</f>
        <v>0</v>
      </c>
      <c r="F244" s="40">
        <f>F230+F243</f>
        <v>311</v>
      </c>
      <c r="G244" s="40">
        <f>G230+G243</f>
        <v>1365.4</v>
      </c>
      <c r="H244" s="41"/>
      <c r="I244" s="41"/>
      <c r="J244" s="41"/>
      <c r="K244" s="63"/>
      <c r="L244" s="63"/>
      <c r="M244" s="42">
        <f ca="1">IFERROR(M230+M243,"")</f>
        <v>0.33888888888888896</v>
      </c>
      <c r="N244" s="40" t="s">
        <v>236</v>
      </c>
      <c r="O244" s="48">
        <f>IFERROR(O230+O243,"")</f>
        <v>1569570</v>
      </c>
    </row>
    <row r="245" spans="1:15" ht="15" customHeight="1">
      <c r="A245" s="68">
        <v>46213</v>
      </c>
      <c r="B245" s="25">
        <v>0.33333333333333298</v>
      </c>
      <c r="C245" s="26" t="s">
        <v>45</v>
      </c>
      <c r="D245" s="59" t="s">
        <v>30</v>
      </c>
      <c r="E245" s="59" t="s">
        <v>257</v>
      </c>
      <c r="F245" s="27">
        <v>15</v>
      </c>
      <c r="G245" s="28">
        <f t="shared" ref="G245:G256" si="54">IF(F245="","",IF(E245="PC 17",F245*4.2,IF(E245="PC 19",F245*5,"")))</f>
        <v>63</v>
      </c>
      <c r="H245" s="33" t="s">
        <v>19</v>
      </c>
      <c r="I245" s="33" t="s">
        <v>159</v>
      </c>
      <c r="J245" s="33" t="s">
        <v>27</v>
      </c>
      <c r="K245" s="29">
        <v>0.40763888888888888</v>
      </c>
      <c r="L245" s="29">
        <v>0.45277777777777778</v>
      </c>
      <c r="M245" s="30">
        <f t="shared" ref="M245:M256" ca="1" si="55">IFERROR(IF(K245="","",IF(L245="",MOD(NOW()-K245,1),IF(L245&gt;=K245,L245-K245,L245+1-K245))),"")</f>
        <v>4.5138888888888895E-2</v>
      </c>
      <c r="N245" s="27" t="s">
        <v>368</v>
      </c>
      <c r="O245" s="60"/>
    </row>
    <row r="246" spans="1:15" ht="15" customHeight="1">
      <c r="A246" s="69">
        <v>46213</v>
      </c>
      <c r="B246" s="32">
        <f t="shared" ref="B246:B256" si="56">B245+TIME(0,60,0)</f>
        <v>0.37499999999999967</v>
      </c>
      <c r="C246" s="26" t="s">
        <v>45</v>
      </c>
      <c r="D246" s="59" t="s">
        <v>30</v>
      </c>
      <c r="E246" s="59" t="s">
        <v>257</v>
      </c>
      <c r="F246" s="27">
        <v>20</v>
      </c>
      <c r="G246" s="34">
        <f t="shared" si="54"/>
        <v>84</v>
      </c>
      <c r="H246" s="33" t="s">
        <v>18</v>
      </c>
      <c r="I246" s="26" t="s">
        <v>137</v>
      </c>
      <c r="J246" s="33" t="s">
        <v>206</v>
      </c>
      <c r="K246" s="29">
        <v>0.40763888888888888</v>
      </c>
      <c r="L246" s="29">
        <v>0.4548611111111111</v>
      </c>
      <c r="M246" s="35">
        <f t="shared" ca="1" si="55"/>
        <v>4.7222222222222221E-2</v>
      </c>
      <c r="N246" s="27"/>
      <c r="O246" s="60"/>
    </row>
    <row r="247" spans="1:15" ht="15" customHeight="1">
      <c r="A247" s="68">
        <v>46213</v>
      </c>
      <c r="B247" s="25">
        <f t="shared" si="56"/>
        <v>0.41666666666666635</v>
      </c>
      <c r="C247" s="26" t="s">
        <v>45</v>
      </c>
      <c r="D247" s="59" t="s">
        <v>30</v>
      </c>
      <c r="E247" s="59" t="s">
        <v>257</v>
      </c>
      <c r="F247" s="27">
        <v>17</v>
      </c>
      <c r="G247" s="28">
        <f t="shared" si="54"/>
        <v>71.400000000000006</v>
      </c>
      <c r="H247" s="33" t="s">
        <v>16</v>
      </c>
      <c r="I247" s="33" t="s">
        <v>57</v>
      </c>
      <c r="J247" s="33" t="s">
        <v>40</v>
      </c>
      <c r="K247" s="29">
        <v>0.56944444444444442</v>
      </c>
      <c r="L247" s="29">
        <v>0.58611111111111114</v>
      </c>
      <c r="M247" s="30">
        <f t="shared" ca="1" si="55"/>
        <v>1.6666666666666718E-2</v>
      </c>
      <c r="N247" s="27"/>
      <c r="O247" s="60"/>
    </row>
    <row r="248" spans="1:15" ht="15" customHeight="1">
      <c r="A248" s="69">
        <v>46213</v>
      </c>
      <c r="B248" s="32">
        <f t="shared" si="56"/>
        <v>0.45833333333333304</v>
      </c>
      <c r="C248" s="26" t="s">
        <v>45</v>
      </c>
      <c r="D248" s="59" t="s">
        <v>30</v>
      </c>
      <c r="E248" s="59" t="s">
        <v>257</v>
      </c>
      <c r="F248" s="27">
        <v>5</v>
      </c>
      <c r="G248" s="34">
        <f t="shared" si="54"/>
        <v>21</v>
      </c>
      <c r="H248" s="26" t="s">
        <v>20</v>
      </c>
      <c r="I248" s="26" t="s">
        <v>154</v>
      </c>
      <c r="J248" s="26" t="s">
        <v>74</v>
      </c>
      <c r="K248" s="29">
        <v>0.69444444444444442</v>
      </c>
      <c r="L248" s="29">
        <v>0.70277777777777772</v>
      </c>
      <c r="M248" s="35">
        <f t="shared" ca="1" si="55"/>
        <v>8.3333333333333037E-3</v>
      </c>
      <c r="N248" s="27"/>
      <c r="O248" s="60"/>
    </row>
    <row r="249" spans="1:15" ht="15" customHeight="1">
      <c r="A249" s="68">
        <v>46213</v>
      </c>
      <c r="B249" s="25">
        <f t="shared" si="56"/>
        <v>0.49999999999999972</v>
      </c>
      <c r="C249" s="26" t="s">
        <v>45</v>
      </c>
      <c r="D249" s="59" t="s">
        <v>30</v>
      </c>
      <c r="E249" s="59" t="s">
        <v>257</v>
      </c>
      <c r="F249" s="27">
        <v>20</v>
      </c>
      <c r="G249" s="28">
        <f t="shared" si="54"/>
        <v>84</v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69">
        <v>46213</v>
      </c>
      <c r="B250" s="32">
        <f t="shared" si="56"/>
        <v>0.54166666666666641</v>
      </c>
      <c r="C250" s="26" t="s">
        <v>45</v>
      </c>
      <c r="D250" s="59" t="s">
        <v>30</v>
      </c>
      <c r="E250" s="59" t="s">
        <v>257</v>
      </c>
      <c r="F250" s="27">
        <v>7</v>
      </c>
      <c r="G250" s="34">
        <f t="shared" si="54"/>
        <v>29.400000000000002</v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8">
        <v>46213</v>
      </c>
      <c r="B251" s="25">
        <f t="shared" si="56"/>
        <v>0.58333333333333304</v>
      </c>
      <c r="C251" s="26" t="s">
        <v>45</v>
      </c>
      <c r="D251" s="59" t="s">
        <v>30</v>
      </c>
      <c r="E251" s="59" t="s">
        <v>257</v>
      </c>
      <c r="F251" s="27">
        <v>17</v>
      </c>
      <c r="G251" s="28">
        <f t="shared" si="54"/>
        <v>71.400000000000006</v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69">
        <v>46213</v>
      </c>
      <c r="B252" s="32">
        <f t="shared" si="56"/>
        <v>0.62499999999999967</v>
      </c>
      <c r="C252" s="26" t="s">
        <v>45</v>
      </c>
      <c r="D252" s="59" t="s">
        <v>30</v>
      </c>
      <c r="E252" s="59" t="s">
        <v>257</v>
      </c>
      <c r="F252" s="27">
        <v>33</v>
      </c>
      <c r="G252" s="34">
        <f t="shared" si="54"/>
        <v>138.6</v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8">
        <v>46213</v>
      </c>
      <c r="B253" s="25">
        <f t="shared" si="56"/>
        <v>0.6666666666666663</v>
      </c>
      <c r="C253" s="26" t="s">
        <v>45</v>
      </c>
      <c r="D253" s="59" t="s">
        <v>30</v>
      </c>
      <c r="E253" s="59" t="s">
        <v>257</v>
      </c>
      <c r="F253" s="27">
        <v>12</v>
      </c>
      <c r="G253" s="28">
        <f t="shared" si="54"/>
        <v>50.400000000000006</v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69">
        <v>46213</v>
      </c>
      <c r="B254" s="32">
        <f t="shared" si="56"/>
        <v>0.70833333333333293</v>
      </c>
      <c r="C254" s="26" t="s">
        <v>45</v>
      </c>
      <c r="D254" s="59" t="s">
        <v>30</v>
      </c>
      <c r="E254" s="59" t="s">
        <v>257</v>
      </c>
      <c r="F254" s="27">
        <v>10</v>
      </c>
      <c r="G254" s="34">
        <f t="shared" si="54"/>
        <v>42</v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8">
        <v>46213</v>
      </c>
      <c r="B255" s="25">
        <f t="shared" si="56"/>
        <v>0.74999999999999956</v>
      </c>
      <c r="C255" s="26" t="s">
        <v>45</v>
      </c>
      <c r="D255" s="59" t="s">
        <v>30</v>
      </c>
      <c r="E255" s="59" t="s">
        <v>257</v>
      </c>
      <c r="F255" s="27">
        <v>15</v>
      </c>
      <c r="G255" s="28">
        <f t="shared" si="54"/>
        <v>63</v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69">
        <v>46213</v>
      </c>
      <c r="B256" s="32">
        <f t="shared" si="56"/>
        <v>0.79166666666666619</v>
      </c>
      <c r="C256" s="26" t="s">
        <v>45</v>
      </c>
      <c r="D256" s="59" t="s">
        <v>30</v>
      </c>
      <c r="E256" s="59" t="s">
        <v>257</v>
      </c>
      <c r="F256" s="27">
        <v>19</v>
      </c>
      <c r="G256" s="34">
        <f t="shared" si="54"/>
        <v>79.8</v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9" t="s">
        <v>232</v>
      </c>
      <c r="B257" s="100"/>
      <c r="C257" s="100"/>
      <c r="D257" s="100"/>
      <c r="E257" s="101">
        <f>SUM(E245:E256)</f>
        <v>0</v>
      </c>
      <c r="F257" s="36">
        <f>SUM(F245:F256)</f>
        <v>190</v>
      </c>
      <c r="G257" s="36">
        <f>SUM(G245:G256)</f>
        <v>797.99999999999989</v>
      </c>
      <c r="H257" s="37"/>
      <c r="I257" s="37"/>
      <c r="J257" s="37"/>
      <c r="K257" s="61"/>
      <c r="L257" s="61"/>
      <c r="M257" s="38">
        <f ca="1">IFERROR(SUM(M245:M256),"")</f>
        <v>0.11736111111111114</v>
      </c>
      <c r="N257" s="36" t="s">
        <v>233</v>
      </c>
      <c r="O257" s="39">
        <v>874480</v>
      </c>
    </row>
    <row r="258" spans="1:15" ht="15" customHeight="1">
      <c r="A258" s="69">
        <v>46213</v>
      </c>
      <c r="B258" s="32">
        <v>0.83333333333333304</v>
      </c>
      <c r="C258" s="33" t="s">
        <v>29</v>
      </c>
      <c r="D258" s="62" t="s">
        <v>30</v>
      </c>
      <c r="E258" s="62" t="s">
        <v>257</v>
      </c>
      <c r="F258" s="27">
        <v>23</v>
      </c>
      <c r="G258" s="34">
        <f t="shared" ref="G258:G269" si="57">IF(F258="","",IF(E258="PC 17",F258*4.2,IF(E258="PC 19",F258*5,"")))</f>
        <v>96.600000000000009</v>
      </c>
      <c r="H258" s="26" t="s">
        <v>20</v>
      </c>
      <c r="I258" s="26" t="s">
        <v>154</v>
      </c>
      <c r="J258" s="26" t="s">
        <v>74</v>
      </c>
      <c r="K258" s="29">
        <v>0.80208333333333337</v>
      </c>
      <c r="L258" s="29">
        <v>0.81597222222222221</v>
      </c>
      <c r="M258" s="35">
        <f t="shared" ref="M258:M269" ca="1" si="58">IFERROR(IF(K258="","",IF(L258="",MOD(NOW()-K258,1),IF(L258&gt;=K258,L258-K258,L258+1-K258))),"")</f>
        <v>1.388888888888884E-2</v>
      </c>
      <c r="N258" s="27"/>
      <c r="O258" s="60"/>
    </row>
    <row r="259" spans="1:15" ht="15" customHeight="1">
      <c r="A259" s="68">
        <v>46213</v>
      </c>
      <c r="B259" s="25">
        <f t="shared" ref="B259:B269" si="59">B258+TIME(0,60,0)</f>
        <v>0.87499999999999967</v>
      </c>
      <c r="C259" s="33" t="s">
        <v>29</v>
      </c>
      <c r="D259" s="62" t="s">
        <v>30</v>
      </c>
      <c r="E259" s="62" t="s">
        <v>257</v>
      </c>
      <c r="F259" s="27">
        <v>19</v>
      </c>
      <c r="G259" s="28">
        <f t="shared" si="57"/>
        <v>79.8</v>
      </c>
      <c r="H259" s="50" t="s">
        <v>19</v>
      </c>
      <c r="I259" s="50" t="s">
        <v>159</v>
      </c>
      <c r="J259" s="50" t="s">
        <v>27</v>
      </c>
      <c r="K259" s="29">
        <v>0.8930555555555556</v>
      </c>
      <c r="L259" s="29">
        <v>0.91666666666666663</v>
      </c>
      <c r="M259" s="30">
        <f t="shared" ca="1" si="58"/>
        <v>2.3611111111111027E-2</v>
      </c>
      <c r="N259" s="27"/>
      <c r="O259" s="60"/>
    </row>
    <row r="260" spans="1:15" ht="15" customHeight="1">
      <c r="A260" s="69">
        <v>46213</v>
      </c>
      <c r="B260" s="32">
        <f t="shared" si="59"/>
        <v>0.9166666666666663</v>
      </c>
      <c r="C260" s="33" t="s">
        <v>29</v>
      </c>
      <c r="D260" s="62" t="s">
        <v>30</v>
      </c>
      <c r="E260" s="62" t="s">
        <v>257</v>
      </c>
      <c r="F260" s="27">
        <v>14</v>
      </c>
      <c r="G260" s="34">
        <f t="shared" si="57"/>
        <v>58.800000000000004</v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8">
        <v>46213</v>
      </c>
      <c r="B261" s="25">
        <f t="shared" si="59"/>
        <v>0.95833333333333293</v>
      </c>
      <c r="C261" s="33" t="s">
        <v>29</v>
      </c>
      <c r="D261" s="62" t="s">
        <v>30</v>
      </c>
      <c r="E261" s="62" t="s">
        <v>257</v>
      </c>
      <c r="F261" s="27">
        <v>22</v>
      </c>
      <c r="G261" s="28">
        <f t="shared" si="57"/>
        <v>92.4</v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69">
        <v>46213</v>
      </c>
      <c r="B262" s="32">
        <f t="shared" si="59"/>
        <v>0.99999999999999956</v>
      </c>
      <c r="C262" s="33" t="s">
        <v>29</v>
      </c>
      <c r="D262" s="62" t="s">
        <v>30</v>
      </c>
      <c r="E262" s="62" t="s">
        <v>257</v>
      </c>
      <c r="F262" s="27">
        <v>17</v>
      </c>
      <c r="G262" s="34">
        <f t="shared" si="57"/>
        <v>71.400000000000006</v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8">
        <v>46213</v>
      </c>
      <c r="B263" s="25">
        <f t="shared" si="59"/>
        <v>1.0416666666666663</v>
      </c>
      <c r="C263" s="33" t="s">
        <v>29</v>
      </c>
      <c r="D263" s="62" t="s">
        <v>30</v>
      </c>
      <c r="E263" s="62" t="s">
        <v>257</v>
      </c>
      <c r="F263" s="27">
        <v>27</v>
      </c>
      <c r="G263" s="28">
        <f t="shared" si="57"/>
        <v>113.4</v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69">
        <v>46213</v>
      </c>
      <c r="B264" s="32">
        <f t="shared" si="59"/>
        <v>1.083333333333333</v>
      </c>
      <c r="C264" s="33" t="s">
        <v>29</v>
      </c>
      <c r="D264" s="62" t="s">
        <v>30</v>
      </c>
      <c r="E264" s="62" t="s">
        <v>257</v>
      </c>
      <c r="F264" s="27">
        <v>20</v>
      </c>
      <c r="G264" s="34">
        <f t="shared" si="57"/>
        <v>84</v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8">
        <v>46213</v>
      </c>
      <c r="B265" s="25">
        <f t="shared" si="59"/>
        <v>1.1249999999999998</v>
      </c>
      <c r="C265" s="33" t="s">
        <v>29</v>
      </c>
      <c r="D265" s="62" t="s">
        <v>30</v>
      </c>
      <c r="E265" s="62" t="s">
        <v>257</v>
      </c>
      <c r="F265" s="27">
        <v>20</v>
      </c>
      <c r="G265" s="28">
        <f t="shared" si="57"/>
        <v>84</v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69">
        <v>46213</v>
      </c>
      <c r="B266" s="32">
        <f t="shared" si="59"/>
        <v>1.1666666666666665</v>
      </c>
      <c r="C266" s="33" t="s">
        <v>29</v>
      </c>
      <c r="D266" s="62" t="s">
        <v>30</v>
      </c>
      <c r="E266" s="62" t="s">
        <v>257</v>
      </c>
      <c r="F266" s="27">
        <v>18</v>
      </c>
      <c r="G266" s="34">
        <f t="shared" si="57"/>
        <v>75.600000000000009</v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8">
        <v>46213</v>
      </c>
      <c r="B267" s="25">
        <f t="shared" si="59"/>
        <v>1.2083333333333333</v>
      </c>
      <c r="C267" s="33" t="s">
        <v>29</v>
      </c>
      <c r="D267" s="62" t="s">
        <v>30</v>
      </c>
      <c r="E267" s="62" t="s">
        <v>257</v>
      </c>
      <c r="F267" s="27">
        <v>20</v>
      </c>
      <c r="G267" s="28">
        <f t="shared" si="57"/>
        <v>84</v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69">
        <v>46213</v>
      </c>
      <c r="B268" s="32">
        <f t="shared" si="59"/>
        <v>1.25</v>
      </c>
      <c r="C268" s="33" t="s">
        <v>29</v>
      </c>
      <c r="D268" s="62" t="s">
        <v>30</v>
      </c>
      <c r="E268" s="62" t="s">
        <v>257</v>
      </c>
      <c r="F268" s="27">
        <v>10</v>
      </c>
      <c r="G268" s="34">
        <f t="shared" si="57"/>
        <v>42</v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8">
        <v>46213</v>
      </c>
      <c r="B269" s="25">
        <f t="shared" si="59"/>
        <v>1.2916666666666667</v>
      </c>
      <c r="C269" s="33" t="s">
        <v>29</v>
      </c>
      <c r="D269" s="62" t="s">
        <v>30</v>
      </c>
      <c r="E269" s="62" t="s">
        <v>257</v>
      </c>
      <c r="F269" s="27">
        <v>18</v>
      </c>
      <c r="G269" s="28">
        <f t="shared" si="57"/>
        <v>75.600000000000009</v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9" t="s">
        <v>234</v>
      </c>
      <c r="B270" s="100"/>
      <c r="C270" s="100"/>
      <c r="D270" s="100"/>
      <c r="E270" s="101">
        <f>SUM(E258:E269)</f>
        <v>0</v>
      </c>
      <c r="F270" s="36">
        <f>SUM(F258:F269)</f>
        <v>228</v>
      </c>
      <c r="G270" s="36">
        <f>SUM(G258:G269)</f>
        <v>957.6</v>
      </c>
      <c r="H270" s="37"/>
      <c r="I270" s="37"/>
      <c r="J270" s="37"/>
      <c r="K270" s="61"/>
      <c r="L270" s="61"/>
      <c r="M270" s="38">
        <f ca="1">IFERROR(SUM(M258:M269),"")</f>
        <v>3.7499999999999867E-2</v>
      </c>
      <c r="N270" s="36" t="s">
        <v>233</v>
      </c>
      <c r="O270" s="39">
        <v>1208450</v>
      </c>
    </row>
    <row r="271" spans="1:15" ht="18" customHeight="1">
      <c r="A271" s="102" t="s">
        <v>235</v>
      </c>
      <c r="B271" s="103"/>
      <c r="C271" s="103"/>
      <c r="D271" s="103"/>
      <c r="E271" s="104">
        <f>E257+E270</f>
        <v>0</v>
      </c>
      <c r="F271" s="40">
        <f>F257+F270</f>
        <v>418</v>
      </c>
      <c r="G271" s="40">
        <f>G257+G270</f>
        <v>1755.6</v>
      </c>
      <c r="H271" s="41"/>
      <c r="I271" s="41"/>
      <c r="J271" s="41"/>
      <c r="K271" s="63"/>
      <c r="L271" s="63"/>
      <c r="M271" s="42">
        <f ca="1">IFERROR(M257+M270,"")</f>
        <v>0.15486111111111101</v>
      </c>
      <c r="N271" s="40" t="s">
        <v>236</v>
      </c>
      <c r="O271" s="48">
        <f>IFERROR(O257+O270,"")</f>
        <v>2082930</v>
      </c>
    </row>
    <row r="272" spans="1:15" ht="15" customHeight="1">
      <c r="A272" s="68">
        <v>46214</v>
      </c>
      <c r="B272" s="25">
        <v>0.33333333333333298</v>
      </c>
      <c r="C272" s="26" t="s">
        <v>45</v>
      </c>
      <c r="D272" s="59" t="s">
        <v>30</v>
      </c>
      <c r="E272" s="59" t="s">
        <v>257</v>
      </c>
      <c r="F272" s="27">
        <v>16</v>
      </c>
      <c r="G272" s="28">
        <f t="shared" ref="G272:G283" si="60">IF(F272="","",IF(E272="PC 17",F272*4.2,IF(E272="PC 19",F272*5,"")))</f>
        <v>67.2</v>
      </c>
      <c r="H272" s="26" t="s">
        <v>19</v>
      </c>
      <c r="I272" s="26" t="s">
        <v>159</v>
      </c>
      <c r="J272" s="26" t="s">
        <v>27</v>
      </c>
      <c r="K272" s="29">
        <v>0.38263888888888886</v>
      </c>
      <c r="L272" s="29">
        <v>0.3972222222222222</v>
      </c>
      <c r="M272" s="30">
        <f t="shared" ref="M272:M277" ca="1" si="61">IFERROR(IF(K272="","",IF(L272="",MOD(NOW()-K272,1),IF(L272&gt;=K272,L272-K272,L272+1-K272))),"")</f>
        <v>1.4583333333333337E-2</v>
      </c>
      <c r="N272" s="27"/>
      <c r="O272" s="60"/>
    </row>
    <row r="273" spans="1:15" ht="15" customHeight="1">
      <c r="A273" s="69">
        <v>46214</v>
      </c>
      <c r="B273" s="32">
        <f t="shared" ref="B273:B283" si="62">B272+TIME(0,60,0)</f>
        <v>0.37499999999999967</v>
      </c>
      <c r="C273" s="26" t="s">
        <v>45</v>
      </c>
      <c r="D273" s="59" t="s">
        <v>30</v>
      </c>
      <c r="E273" s="59" t="s">
        <v>257</v>
      </c>
      <c r="F273" s="27">
        <v>25</v>
      </c>
      <c r="G273" s="34">
        <f t="shared" si="60"/>
        <v>105</v>
      </c>
      <c r="H273" s="33" t="s">
        <v>20</v>
      </c>
      <c r="I273" s="33" t="s">
        <v>154</v>
      </c>
      <c r="J273" s="33" t="s">
        <v>74</v>
      </c>
      <c r="K273" s="29">
        <v>0.44583333333333336</v>
      </c>
      <c r="L273" s="29">
        <v>0.45</v>
      </c>
      <c r="M273" s="35">
        <f t="shared" ca="1" si="61"/>
        <v>4.1666666666666519E-3</v>
      </c>
      <c r="N273" s="27"/>
      <c r="O273" s="60"/>
    </row>
    <row r="274" spans="1:15" ht="15" customHeight="1">
      <c r="A274" s="68">
        <v>46214</v>
      </c>
      <c r="B274" s="25">
        <f t="shared" si="62"/>
        <v>0.41666666666666635</v>
      </c>
      <c r="C274" s="26" t="s">
        <v>45</v>
      </c>
      <c r="D274" s="59" t="s">
        <v>30</v>
      </c>
      <c r="E274" s="59" t="s">
        <v>257</v>
      </c>
      <c r="F274" s="27">
        <v>12</v>
      </c>
      <c r="G274" s="28">
        <f t="shared" si="60"/>
        <v>50.400000000000006</v>
      </c>
      <c r="H274" s="26" t="s">
        <v>19</v>
      </c>
      <c r="I274" s="26" t="s">
        <v>159</v>
      </c>
      <c r="J274" s="26" t="s">
        <v>27</v>
      </c>
      <c r="K274" s="29">
        <v>0.7416666666666667</v>
      </c>
      <c r="L274" s="29">
        <v>0.78680555555555554</v>
      </c>
      <c r="M274" s="30">
        <f t="shared" ca="1" si="61"/>
        <v>4.513888888888884E-2</v>
      </c>
      <c r="N274" s="27"/>
      <c r="O274" s="60"/>
    </row>
    <row r="275" spans="1:15" ht="15" customHeight="1">
      <c r="A275" s="69">
        <v>46214</v>
      </c>
      <c r="B275" s="32">
        <f t="shared" si="62"/>
        <v>0.45833333333333304</v>
      </c>
      <c r="C275" s="26" t="s">
        <v>45</v>
      </c>
      <c r="D275" s="59" t="s">
        <v>30</v>
      </c>
      <c r="E275" s="59" t="s">
        <v>257</v>
      </c>
      <c r="F275" s="27">
        <v>20</v>
      </c>
      <c r="G275" s="34">
        <f t="shared" si="60"/>
        <v>84</v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8">
        <v>46214</v>
      </c>
      <c r="B276" s="25">
        <f t="shared" si="62"/>
        <v>0.49999999999999972</v>
      </c>
      <c r="C276" s="26" t="s">
        <v>45</v>
      </c>
      <c r="D276" s="59" t="s">
        <v>30</v>
      </c>
      <c r="E276" s="59" t="s">
        <v>257</v>
      </c>
      <c r="F276" s="27">
        <v>14</v>
      </c>
      <c r="G276" s="28">
        <f t="shared" si="60"/>
        <v>58.800000000000004</v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69">
        <v>46214</v>
      </c>
      <c r="B277" s="32">
        <f t="shared" si="62"/>
        <v>0.54166666666666641</v>
      </c>
      <c r="C277" s="26" t="s">
        <v>45</v>
      </c>
      <c r="D277" s="59" t="s">
        <v>30</v>
      </c>
      <c r="E277" s="59" t="s">
        <v>257</v>
      </c>
      <c r="F277" s="27">
        <v>0</v>
      </c>
      <c r="G277" s="34">
        <f t="shared" si="60"/>
        <v>0</v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8">
        <v>46214</v>
      </c>
      <c r="B278" s="25">
        <f t="shared" si="62"/>
        <v>0.58333333333333304</v>
      </c>
      <c r="C278" s="26" t="s">
        <v>45</v>
      </c>
      <c r="D278" s="59" t="s">
        <v>30</v>
      </c>
      <c r="E278" s="59" t="s">
        <v>257</v>
      </c>
      <c r="F278" s="27">
        <v>22</v>
      </c>
      <c r="G278" s="28">
        <f t="shared" si="60"/>
        <v>92.4</v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69">
        <v>46214</v>
      </c>
      <c r="B279" s="32">
        <f t="shared" si="62"/>
        <v>0.62499999999999967</v>
      </c>
      <c r="C279" s="26" t="s">
        <v>45</v>
      </c>
      <c r="D279" s="59" t="s">
        <v>30</v>
      </c>
      <c r="E279" s="59" t="s">
        <v>257</v>
      </c>
      <c r="F279" s="27">
        <v>22</v>
      </c>
      <c r="G279" s="34">
        <f t="shared" si="60"/>
        <v>92.4</v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8">
        <v>46214</v>
      </c>
      <c r="B280" s="25">
        <f t="shared" si="62"/>
        <v>0.6666666666666663</v>
      </c>
      <c r="C280" s="26" t="s">
        <v>45</v>
      </c>
      <c r="D280" s="59" t="s">
        <v>30</v>
      </c>
      <c r="E280" s="59" t="s">
        <v>257</v>
      </c>
      <c r="F280" s="27">
        <v>15</v>
      </c>
      <c r="G280" s="28">
        <f t="shared" si="60"/>
        <v>63</v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69">
        <v>46214</v>
      </c>
      <c r="B281" s="32">
        <f t="shared" si="62"/>
        <v>0.70833333333333293</v>
      </c>
      <c r="C281" s="26" t="s">
        <v>45</v>
      </c>
      <c r="D281" s="59" t="s">
        <v>30</v>
      </c>
      <c r="E281" s="59" t="s">
        <v>257</v>
      </c>
      <c r="F281" s="27">
        <v>18</v>
      </c>
      <c r="G281" s="34">
        <f t="shared" si="60"/>
        <v>75.600000000000009</v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8">
        <v>46214</v>
      </c>
      <c r="B282" s="25">
        <f t="shared" si="62"/>
        <v>0.74999999999999956</v>
      </c>
      <c r="C282" s="26" t="s">
        <v>45</v>
      </c>
      <c r="D282" s="59" t="s">
        <v>30</v>
      </c>
      <c r="E282" s="59" t="s">
        <v>257</v>
      </c>
      <c r="F282" s="27">
        <v>17</v>
      </c>
      <c r="G282" s="28">
        <f t="shared" si="60"/>
        <v>71.400000000000006</v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69">
        <v>46214</v>
      </c>
      <c r="B283" s="32">
        <f t="shared" si="62"/>
        <v>0.79166666666666619</v>
      </c>
      <c r="C283" s="26" t="s">
        <v>45</v>
      </c>
      <c r="D283" s="59" t="s">
        <v>30</v>
      </c>
      <c r="E283" s="59" t="s">
        <v>257</v>
      </c>
      <c r="F283" s="27">
        <v>6</v>
      </c>
      <c r="G283" s="34">
        <f t="shared" si="60"/>
        <v>25.200000000000003</v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9" t="s">
        <v>232</v>
      </c>
      <c r="B284" s="100"/>
      <c r="C284" s="100"/>
      <c r="D284" s="100"/>
      <c r="E284" s="101">
        <f>SUM(E272:E283)</f>
        <v>0</v>
      </c>
      <c r="F284" s="36">
        <f>SUM(F272:F283)</f>
        <v>187</v>
      </c>
      <c r="G284" s="36">
        <f>SUM(G272:G283)</f>
        <v>785.40000000000009</v>
      </c>
      <c r="H284" s="37"/>
      <c r="I284" s="37"/>
      <c r="J284" s="37"/>
      <c r="K284" s="61"/>
      <c r="L284" s="61"/>
      <c r="M284" s="38">
        <f ca="1">IFERROR(SUM(M272:M283),"")</f>
        <v>6.3888888888888828E-2</v>
      </c>
      <c r="N284" s="36" t="s">
        <v>233</v>
      </c>
      <c r="O284" s="39">
        <v>787000</v>
      </c>
    </row>
    <row r="285" spans="1:15" ht="15" customHeight="1">
      <c r="A285" s="69">
        <v>46214</v>
      </c>
      <c r="B285" s="32">
        <v>0.83333333333333304</v>
      </c>
      <c r="C285" s="33" t="s">
        <v>29</v>
      </c>
      <c r="D285" s="62" t="s">
        <v>30</v>
      </c>
      <c r="E285" s="62" t="s">
        <v>257</v>
      </c>
      <c r="F285" s="27">
        <v>0</v>
      </c>
      <c r="G285" s="34">
        <f t="shared" ref="G285:G296" si="63">IF(F285="","",IF(E285="PC 17",F285*4.2,IF(E285="PC 19",F285*5,"")))</f>
        <v>0</v>
      </c>
      <c r="H285" s="33" t="s">
        <v>18</v>
      </c>
      <c r="I285" s="33" t="s">
        <v>57</v>
      </c>
      <c r="J285" s="33" t="s">
        <v>34</v>
      </c>
      <c r="K285" s="29">
        <v>0.79166666666666663</v>
      </c>
      <c r="L285" s="29">
        <v>0.86111111111111116</v>
      </c>
      <c r="M285" s="35">
        <f t="shared" ref="M285:M296" ca="1" si="64">IFERROR(IF(K285="","",IF(L285="",MOD(NOW()-K285,1),IF(L285&gt;=K285,L285-K285,L285+1-K285))),"")</f>
        <v>6.9444444444444531E-2</v>
      </c>
      <c r="N285" s="27"/>
      <c r="O285" s="60"/>
    </row>
    <row r="286" spans="1:15" ht="15" customHeight="1">
      <c r="A286" s="68">
        <v>46214</v>
      </c>
      <c r="B286" s="25">
        <f t="shared" ref="B286:B296" si="65">B285+TIME(0,60,0)</f>
        <v>0.87499999999999967</v>
      </c>
      <c r="C286" s="33" t="s">
        <v>29</v>
      </c>
      <c r="D286" s="62" t="s">
        <v>30</v>
      </c>
      <c r="E286" s="62" t="s">
        <v>257</v>
      </c>
      <c r="F286" s="27">
        <v>1</v>
      </c>
      <c r="G286" s="28">
        <f t="shared" si="63"/>
        <v>4.2</v>
      </c>
      <c r="H286" s="49" t="s">
        <v>19</v>
      </c>
      <c r="I286" s="49" t="s">
        <v>52</v>
      </c>
      <c r="J286" s="49" t="s">
        <v>27</v>
      </c>
      <c r="K286" s="29">
        <v>0.86111111111111116</v>
      </c>
      <c r="L286" s="29">
        <v>0.87152777777777779</v>
      </c>
      <c r="M286" s="64">
        <f t="shared" ca="1" si="64"/>
        <v>1.041666666666663E-2</v>
      </c>
      <c r="N286" s="27"/>
      <c r="O286" s="60"/>
    </row>
    <row r="287" spans="1:15" ht="15" customHeight="1">
      <c r="A287" s="69">
        <v>46214</v>
      </c>
      <c r="B287" s="32">
        <f t="shared" si="65"/>
        <v>0.9166666666666663</v>
      </c>
      <c r="C287" s="33" t="s">
        <v>29</v>
      </c>
      <c r="D287" s="62" t="s">
        <v>30</v>
      </c>
      <c r="E287" s="62" t="s">
        <v>257</v>
      </c>
      <c r="F287" s="27">
        <v>40</v>
      </c>
      <c r="G287" s="34">
        <f t="shared" si="63"/>
        <v>168</v>
      </c>
      <c r="H287" s="33" t="s">
        <v>20</v>
      </c>
      <c r="I287" s="33" t="s">
        <v>154</v>
      </c>
      <c r="J287" s="33" t="s">
        <v>74</v>
      </c>
      <c r="K287" s="29">
        <v>1.3888888888888888E-2</v>
      </c>
      <c r="L287" s="29">
        <v>1.6666666666666666E-2</v>
      </c>
      <c r="M287" s="64">
        <f t="shared" ca="1" si="64"/>
        <v>2.7777777777777783E-3</v>
      </c>
      <c r="N287" s="27"/>
      <c r="O287" s="60"/>
    </row>
    <row r="288" spans="1:15" ht="15" customHeight="1">
      <c r="A288" s="68">
        <v>46214</v>
      </c>
      <c r="B288" s="25">
        <f t="shared" si="65"/>
        <v>0.95833333333333293</v>
      </c>
      <c r="C288" s="33" t="s">
        <v>29</v>
      </c>
      <c r="D288" s="62" t="s">
        <v>30</v>
      </c>
      <c r="E288" s="62" t="s">
        <v>257</v>
      </c>
      <c r="F288" s="27">
        <v>16</v>
      </c>
      <c r="G288" s="28">
        <f t="shared" si="63"/>
        <v>67.2</v>
      </c>
      <c r="H288" s="26" t="s">
        <v>16</v>
      </c>
      <c r="I288" s="26" t="s">
        <v>52</v>
      </c>
      <c r="J288" s="26" t="s">
        <v>53</v>
      </c>
      <c r="K288" s="29">
        <v>0.17291666666666666</v>
      </c>
      <c r="L288" s="29">
        <v>0.17847222222222223</v>
      </c>
      <c r="M288" s="64">
        <f t="shared" ca="1" si="64"/>
        <v>5.5555555555555636E-3</v>
      </c>
      <c r="N288" s="27"/>
      <c r="O288" s="60"/>
    </row>
    <row r="289" spans="1:15" ht="15" customHeight="1">
      <c r="A289" s="69">
        <v>46214</v>
      </c>
      <c r="B289" s="32">
        <f t="shared" si="65"/>
        <v>0.99999999999999956</v>
      </c>
      <c r="C289" s="33" t="s">
        <v>29</v>
      </c>
      <c r="D289" s="62" t="s">
        <v>30</v>
      </c>
      <c r="E289" s="62" t="s">
        <v>230</v>
      </c>
      <c r="F289" s="27">
        <v>17</v>
      </c>
      <c r="G289" s="34">
        <f t="shared" si="63"/>
        <v>85</v>
      </c>
      <c r="H289" s="33" t="s">
        <v>19</v>
      </c>
      <c r="I289" s="33" t="s">
        <v>52</v>
      </c>
      <c r="J289" s="33" t="s">
        <v>27</v>
      </c>
      <c r="K289" s="29">
        <v>0.17847222222222223</v>
      </c>
      <c r="L289" s="29">
        <v>0.19097222222222221</v>
      </c>
      <c r="M289" s="35">
        <f t="shared" ca="1" si="64"/>
        <v>1.2499999999999983E-2</v>
      </c>
      <c r="N289" s="27"/>
      <c r="O289" s="60"/>
    </row>
    <row r="290" spans="1:15" ht="15" customHeight="1">
      <c r="A290" s="68">
        <v>46214</v>
      </c>
      <c r="B290" s="25">
        <f t="shared" si="65"/>
        <v>1.0416666666666663</v>
      </c>
      <c r="C290" s="33" t="s">
        <v>29</v>
      </c>
      <c r="D290" s="62" t="s">
        <v>30</v>
      </c>
      <c r="E290" s="62" t="s">
        <v>257</v>
      </c>
      <c r="F290" s="27">
        <v>25</v>
      </c>
      <c r="G290" s="28">
        <f t="shared" si="63"/>
        <v>105</v>
      </c>
      <c r="H290" s="26" t="s">
        <v>20</v>
      </c>
      <c r="I290" s="26"/>
      <c r="J290" s="26" t="s">
        <v>113</v>
      </c>
      <c r="K290" s="29">
        <v>0.2013888888888889</v>
      </c>
      <c r="L290" s="29">
        <v>0.21249999999999999</v>
      </c>
      <c r="M290" s="64">
        <f t="shared" ca="1" si="64"/>
        <v>1.1111111111111099E-2</v>
      </c>
      <c r="N290" s="27"/>
      <c r="O290" s="60"/>
    </row>
    <row r="291" spans="1:15" ht="15" customHeight="1">
      <c r="A291" s="69">
        <v>46214</v>
      </c>
      <c r="B291" s="32">
        <f t="shared" si="65"/>
        <v>1.083333333333333</v>
      </c>
      <c r="C291" s="33" t="s">
        <v>29</v>
      </c>
      <c r="D291" s="62" t="s">
        <v>30</v>
      </c>
      <c r="E291" s="62" t="s">
        <v>257</v>
      </c>
      <c r="F291" s="27">
        <v>21</v>
      </c>
      <c r="G291" s="34">
        <f t="shared" si="63"/>
        <v>88.2</v>
      </c>
      <c r="H291" s="33" t="s">
        <v>16</v>
      </c>
      <c r="I291" s="33"/>
      <c r="J291" s="33" t="s">
        <v>53</v>
      </c>
      <c r="K291" s="29">
        <v>0.25</v>
      </c>
      <c r="L291" s="29">
        <v>0.29166666666666669</v>
      </c>
      <c r="M291" s="35">
        <f t="shared" ca="1" si="64"/>
        <v>4.1666666666666685E-2</v>
      </c>
      <c r="N291" s="27"/>
      <c r="O291" s="60"/>
    </row>
    <row r="292" spans="1:15" ht="15" customHeight="1">
      <c r="A292" s="68">
        <v>46214</v>
      </c>
      <c r="B292" s="25">
        <f t="shared" si="65"/>
        <v>1.1249999999999998</v>
      </c>
      <c r="C292" s="33" t="s">
        <v>29</v>
      </c>
      <c r="D292" s="62" t="s">
        <v>30</v>
      </c>
      <c r="E292" s="62" t="s">
        <v>257</v>
      </c>
      <c r="F292" s="27">
        <v>35</v>
      </c>
      <c r="G292" s="28">
        <f t="shared" si="63"/>
        <v>147</v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69">
        <v>46214</v>
      </c>
      <c r="B293" s="32">
        <f t="shared" si="65"/>
        <v>1.1666666666666665</v>
      </c>
      <c r="C293" s="33" t="s">
        <v>29</v>
      </c>
      <c r="D293" s="62" t="s">
        <v>30</v>
      </c>
      <c r="E293" s="62" t="s">
        <v>257</v>
      </c>
      <c r="F293" s="27">
        <v>12</v>
      </c>
      <c r="G293" s="34">
        <f t="shared" si="63"/>
        <v>50.400000000000006</v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8">
        <v>46214</v>
      </c>
      <c r="B294" s="25">
        <f t="shared" si="65"/>
        <v>1.2083333333333333</v>
      </c>
      <c r="C294" s="33" t="s">
        <v>29</v>
      </c>
      <c r="D294" s="62" t="s">
        <v>30</v>
      </c>
      <c r="E294" s="62" t="s">
        <v>257</v>
      </c>
      <c r="F294" s="27">
        <v>17</v>
      </c>
      <c r="G294" s="28">
        <f t="shared" si="63"/>
        <v>71.400000000000006</v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69">
        <v>46214</v>
      </c>
      <c r="B295" s="32">
        <f t="shared" si="65"/>
        <v>1.25</v>
      </c>
      <c r="C295" s="33" t="s">
        <v>29</v>
      </c>
      <c r="D295" s="62" t="s">
        <v>30</v>
      </c>
      <c r="E295" s="62" t="s">
        <v>257</v>
      </c>
      <c r="F295" s="27">
        <v>23</v>
      </c>
      <c r="G295" s="34">
        <f t="shared" si="63"/>
        <v>96.600000000000009</v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8">
        <v>46214</v>
      </c>
      <c r="B296" s="25">
        <f t="shared" si="65"/>
        <v>1.2916666666666667</v>
      </c>
      <c r="C296" s="33" t="s">
        <v>29</v>
      </c>
      <c r="D296" s="62" t="s">
        <v>30</v>
      </c>
      <c r="E296" s="62" t="s">
        <v>257</v>
      </c>
      <c r="F296" s="27">
        <v>1</v>
      </c>
      <c r="G296" s="28">
        <f t="shared" si="63"/>
        <v>4.2</v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9" t="s">
        <v>234</v>
      </c>
      <c r="B297" s="100"/>
      <c r="C297" s="100"/>
      <c r="D297" s="100"/>
      <c r="E297" s="101">
        <f>SUM(E285:E296)</f>
        <v>0</v>
      </c>
      <c r="F297" s="36">
        <f>SUM(F285:F296)</f>
        <v>208</v>
      </c>
      <c r="G297" s="36">
        <f>SUM(G285:G296)</f>
        <v>887.2</v>
      </c>
      <c r="H297" s="37"/>
      <c r="I297" s="37"/>
      <c r="J297" s="37"/>
      <c r="K297" s="61"/>
      <c r="L297" s="61"/>
      <c r="M297" s="38">
        <f ca="1">IFERROR(SUM(M285:M296),"")</f>
        <v>0.15347222222222229</v>
      </c>
      <c r="N297" s="36" t="s">
        <v>233</v>
      </c>
      <c r="O297" s="39">
        <v>1049090</v>
      </c>
    </row>
    <row r="298" spans="1:15" ht="18" customHeight="1">
      <c r="A298" s="102" t="s">
        <v>235</v>
      </c>
      <c r="B298" s="103"/>
      <c r="C298" s="103"/>
      <c r="D298" s="103"/>
      <c r="E298" s="104">
        <f>E284+E297</f>
        <v>0</v>
      </c>
      <c r="F298" s="40">
        <f>F284+F297</f>
        <v>395</v>
      </c>
      <c r="G298" s="40">
        <f>G284+G297</f>
        <v>1672.6000000000001</v>
      </c>
      <c r="H298" s="41"/>
      <c r="I298" s="41"/>
      <c r="J298" s="41"/>
      <c r="K298" s="63"/>
      <c r="L298" s="63"/>
      <c r="M298" s="42">
        <f ca="1">IFERROR(M284+M297,"")</f>
        <v>0.21736111111111112</v>
      </c>
      <c r="N298" s="40" t="s">
        <v>236</v>
      </c>
      <c r="O298" s="48">
        <f>IFERROR(O284+O297,"")</f>
        <v>1836090</v>
      </c>
    </row>
    <row r="299" spans="1:15" ht="15" customHeight="1">
      <c r="A299" s="69">
        <v>46215</v>
      </c>
      <c r="B299" s="32">
        <v>0.33333333333333298</v>
      </c>
      <c r="C299" s="33" t="s">
        <v>45</v>
      </c>
      <c r="D299" s="62" t="s">
        <v>30</v>
      </c>
      <c r="E299" s="62" t="s">
        <v>257</v>
      </c>
      <c r="F299" s="27">
        <v>0</v>
      </c>
      <c r="G299" s="34">
        <f t="shared" ref="G299:G310" si="66">IF(F299="","",IF(E299="PC 17",F299*4.2,IF(E299="PC 19",F299*5,"")))</f>
        <v>0</v>
      </c>
      <c r="H299" s="33" t="s">
        <v>19</v>
      </c>
      <c r="I299" s="33" t="s">
        <v>52</v>
      </c>
      <c r="J299" s="33" t="s">
        <v>35</v>
      </c>
      <c r="K299" s="29">
        <v>0.29166666666666669</v>
      </c>
      <c r="L299" s="29">
        <v>0.43125000000000002</v>
      </c>
      <c r="M299" s="35">
        <f t="shared" ref="M299:M310" ca="1" si="67">IFERROR(IF(K299="","",IF(L299="",MOD(NOW()-K299,1),IF(L299&gt;=K299,L299-K299,L299+1-K299))),"")</f>
        <v>0.13958333333333334</v>
      </c>
      <c r="N299" s="27" t="s">
        <v>369</v>
      </c>
      <c r="O299" s="60"/>
    </row>
    <row r="300" spans="1:15" ht="15" customHeight="1">
      <c r="A300" s="68">
        <v>46215</v>
      </c>
      <c r="B300" s="25">
        <f t="shared" ref="B300:B310" si="68">B299+TIME(0,60,0)</f>
        <v>0.37499999999999967</v>
      </c>
      <c r="C300" s="33" t="s">
        <v>45</v>
      </c>
      <c r="D300" s="62" t="s">
        <v>30</v>
      </c>
      <c r="E300" s="62" t="s">
        <v>257</v>
      </c>
      <c r="F300" s="27">
        <v>0</v>
      </c>
      <c r="G300" s="28">
        <f t="shared" si="66"/>
        <v>0</v>
      </c>
      <c r="H300" s="26" t="s">
        <v>18</v>
      </c>
      <c r="I300" s="26"/>
      <c r="J300" s="26" t="s">
        <v>208</v>
      </c>
      <c r="K300" s="29">
        <v>0.45833333333333331</v>
      </c>
      <c r="L300" s="29">
        <v>0.55763888888888891</v>
      </c>
      <c r="M300" s="30">
        <f t="shared" ca="1" si="67"/>
        <v>9.9305555555555591E-2</v>
      </c>
      <c r="N300" s="27"/>
      <c r="O300" s="60"/>
    </row>
    <row r="301" spans="1:15" ht="15" customHeight="1">
      <c r="A301" s="69">
        <v>46215</v>
      </c>
      <c r="B301" s="32">
        <f t="shared" si="68"/>
        <v>0.41666666666666635</v>
      </c>
      <c r="C301" s="33" t="s">
        <v>45</v>
      </c>
      <c r="D301" s="62" t="s">
        <v>30</v>
      </c>
      <c r="E301" s="62" t="s">
        <v>257</v>
      </c>
      <c r="F301" s="27">
        <v>0</v>
      </c>
      <c r="G301" s="34">
        <f t="shared" si="66"/>
        <v>0</v>
      </c>
      <c r="H301" s="33" t="s">
        <v>18</v>
      </c>
      <c r="I301" s="33"/>
      <c r="J301" s="33" t="s">
        <v>209</v>
      </c>
      <c r="K301" s="65">
        <v>0.60069444444444442</v>
      </c>
      <c r="L301" s="29">
        <v>0.71111111111111114</v>
      </c>
      <c r="M301" s="35">
        <f t="shared" ca="1" si="67"/>
        <v>0.11041666666666672</v>
      </c>
      <c r="N301" s="27"/>
      <c r="O301" s="60"/>
    </row>
    <row r="302" spans="1:15" ht="15" customHeight="1">
      <c r="A302" s="68">
        <v>46215</v>
      </c>
      <c r="B302" s="25">
        <f t="shared" si="68"/>
        <v>0.45833333333333304</v>
      </c>
      <c r="C302" s="33" t="s">
        <v>45</v>
      </c>
      <c r="D302" s="62" t="s">
        <v>30</v>
      </c>
      <c r="E302" s="62" t="s">
        <v>257</v>
      </c>
      <c r="F302" s="27">
        <v>0</v>
      </c>
      <c r="G302" s="28">
        <f t="shared" si="66"/>
        <v>0</v>
      </c>
      <c r="H302" s="26" t="s">
        <v>18</v>
      </c>
      <c r="I302" s="26" t="s">
        <v>137</v>
      </c>
      <c r="J302" s="26" t="s">
        <v>127</v>
      </c>
      <c r="K302" s="29">
        <v>0.72222222222222221</v>
      </c>
      <c r="L302" s="29">
        <v>0.76875000000000004</v>
      </c>
      <c r="M302" s="30">
        <f t="shared" ca="1" si="67"/>
        <v>4.6527777777777835E-2</v>
      </c>
      <c r="N302" s="27"/>
      <c r="O302" s="60"/>
    </row>
    <row r="303" spans="1:15" ht="15" customHeight="1">
      <c r="A303" s="69">
        <v>46215</v>
      </c>
      <c r="B303" s="32">
        <f t="shared" si="68"/>
        <v>0.49999999999999972</v>
      </c>
      <c r="C303" s="33" t="s">
        <v>45</v>
      </c>
      <c r="D303" s="62" t="s">
        <v>30</v>
      </c>
      <c r="E303" s="62" t="s">
        <v>257</v>
      </c>
      <c r="F303" s="27">
        <v>0</v>
      </c>
      <c r="G303" s="34">
        <f t="shared" si="66"/>
        <v>0</v>
      </c>
      <c r="H303" s="33"/>
      <c r="I303" s="33"/>
      <c r="J303" s="33" t="s">
        <v>96</v>
      </c>
      <c r="K303" s="29">
        <v>0.77083333333333337</v>
      </c>
      <c r="L303" s="29">
        <v>0.78819444444444442</v>
      </c>
      <c r="M303" s="35">
        <f t="shared" ca="1" si="67"/>
        <v>1.7361111111111049E-2</v>
      </c>
      <c r="N303" s="27"/>
      <c r="O303" s="60"/>
    </row>
    <row r="304" spans="1:15" ht="15" customHeight="1">
      <c r="A304" s="68">
        <v>46215</v>
      </c>
      <c r="B304" s="25">
        <f t="shared" si="68"/>
        <v>0.54166666666666641</v>
      </c>
      <c r="C304" s="33" t="s">
        <v>45</v>
      </c>
      <c r="D304" s="62" t="s">
        <v>30</v>
      </c>
      <c r="E304" s="62" t="s">
        <v>257</v>
      </c>
      <c r="F304" s="27">
        <v>0</v>
      </c>
      <c r="G304" s="28">
        <f t="shared" si="66"/>
        <v>0</v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69">
        <v>46215</v>
      </c>
      <c r="B305" s="32">
        <f t="shared" si="68"/>
        <v>0.58333333333333304</v>
      </c>
      <c r="C305" s="33" t="s">
        <v>45</v>
      </c>
      <c r="D305" s="62" t="s">
        <v>30</v>
      </c>
      <c r="E305" s="62" t="s">
        <v>257</v>
      </c>
      <c r="F305" s="27">
        <v>10</v>
      </c>
      <c r="G305" s="34">
        <f t="shared" si="66"/>
        <v>42</v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8">
        <v>46215</v>
      </c>
      <c r="B306" s="25">
        <f t="shared" si="68"/>
        <v>0.62499999999999967</v>
      </c>
      <c r="C306" s="33" t="s">
        <v>45</v>
      </c>
      <c r="D306" s="62" t="s">
        <v>30</v>
      </c>
      <c r="E306" s="62" t="s">
        <v>257</v>
      </c>
      <c r="F306" s="27">
        <v>0</v>
      </c>
      <c r="G306" s="28">
        <f t="shared" si="66"/>
        <v>0</v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69">
        <v>46215</v>
      </c>
      <c r="B307" s="32">
        <f t="shared" si="68"/>
        <v>0.6666666666666663</v>
      </c>
      <c r="C307" s="33" t="s">
        <v>45</v>
      </c>
      <c r="D307" s="62" t="s">
        <v>30</v>
      </c>
      <c r="E307" s="62" t="s">
        <v>257</v>
      </c>
      <c r="F307" s="27">
        <v>13</v>
      </c>
      <c r="G307" s="34">
        <f t="shared" si="66"/>
        <v>54.6</v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8">
        <v>46215</v>
      </c>
      <c r="B308" s="25">
        <f t="shared" si="68"/>
        <v>0.70833333333333293</v>
      </c>
      <c r="C308" s="33" t="s">
        <v>45</v>
      </c>
      <c r="D308" s="62" t="s">
        <v>30</v>
      </c>
      <c r="E308" s="62" t="s">
        <v>257</v>
      </c>
      <c r="F308" s="27">
        <v>0</v>
      </c>
      <c r="G308" s="28">
        <f t="shared" si="66"/>
        <v>0</v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69">
        <v>46215</v>
      </c>
      <c r="B309" s="32">
        <f t="shared" si="68"/>
        <v>0.74999999999999956</v>
      </c>
      <c r="C309" s="33" t="s">
        <v>45</v>
      </c>
      <c r="D309" s="62" t="s">
        <v>30</v>
      </c>
      <c r="E309" s="62" t="s">
        <v>257</v>
      </c>
      <c r="F309" s="27">
        <v>7</v>
      </c>
      <c r="G309" s="34">
        <f t="shared" si="66"/>
        <v>29.400000000000002</v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8">
        <v>46215</v>
      </c>
      <c r="B310" s="25">
        <f t="shared" si="68"/>
        <v>0.79166666666666619</v>
      </c>
      <c r="C310" s="33" t="s">
        <v>45</v>
      </c>
      <c r="D310" s="62" t="s">
        <v>30</v>
      </c>
      <c r="E310" s="62" t="s">
        <v>257</v>
      </c>
      <c r="F310" s="27">
        <v>0</v>
      </c>
      <c r="G310" s="28">
        <f t="shared" si="66"/>
        <v>0</v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9" t="s">
        <v>232</v>
      </c>
      <c r="B311" s="100"/>
      <c r="C311" s="100"/>
      <c r="D311" s="100"/>
      <c r="E311" s="101">
        <f>SUM(E299:E310)</f>
        <v>0</v>
      </c>
      <c r="F311" s="36">
        <f>SUM(F299:F310)</f>
        <v>30</v>
      </c>
      <c r="G311" s="36">
        <f>SUM(G299:G310)</f>
        <v>126</v>
      </c>
      <c r="H311" s="37"/>
      <c r="I311" s="37"/>
      <c r="J311" s="37"/>
      <c r="K311" s="61"/>
      <c r="L311" s="61"/>
      <c r="M311" s="38">
        <f ca="1">IFERROR(SUM(M299:M310),"")</f>
        <v>0.41319444444444453</v>
      </c>
      <c r="N311" s="36" t="s">
        <v>233</v>
      </c>
      <c r="O311" s="39">
        <v>145580</v>
      </c>
    </row>
    <row r="312" spans="1:15" ht="15" customHeight="1">
      <c r="A312" s="68">
        <v>46215</v>
      </c>
      <c r="B312" s="25">
        <v>0.83333333333333304</v>
      </c>
      <c r="C312" s="26" t="s">
        <v>29</v>
      </c>
      <c r="D312" s="59" t="s">
        <v>30</v>
      </c>
      <c r="E312" s="59" t="s">
        <v>230</v>
      </c>
      <c r="F312" s="27">
        <v>20</v>
      </c>
      <c r="G312" s="28">
        <f t="shared" ref="G312:G323" si="69">IF(F312="","",IF(E312="PC 17",F312*4.2,IF(E312="PC 19",F312*5,"")))</f>
        <v>100</v>
      </c>
      <c r="H312" s="26" t="s">
        <v>20</v>
      </c>
      <c r="I312" s="26" t="s">
        <v>137</v>
      </c>
      <c r="J312" s="26" t="s">
        <v>96</v>
      </c>
      <c r="K312" s="29">
        <v>0.77083333333333337</v>
      </c>
      <c r="L312" s="29">
        <v>0.78819444444444442</v>
      </c>
      <c r="M312" s="30">
        <f t="shared" ref="M312:M323" ca="1" si="70">IFERROR(IF(K312="","",IF(L312="",MOD(NOW()-K312,1),IF(L312&gt;=K312,L312-K312,L312+1-K312))),"")</f>
        <v>1.7361111111111049E-2</v>
      </c>
      <c r="N312" s="27"/>
      <c r="O312" s="60"/>
    </row>
    <row r="313" spans="1:15" ht="15" customHeight="1">
      <c r="A313" s="69">
        <v>46215</v>
      </c>
      <c r="B313" s="32">
        <f t="shared" ref="B313:B323" si="71">B312+TIME(0,60,0)</f>
        <v>0.87499999999999967</v>
      </c>
      <c r="C313" s="26" t="s">
        <v>29</v>
      </c>
      <c r="D313" s="59" t="s">
        <v>30</v>
      </c>
      <c r="E313" s="59" t="s">
        <v>257</v>
      </c>
      <c r="F313" s="27">
        <v>15</v>
      </c>
      <c r="G313" s="34">
        <f t="shared" si="69"/>
        <v>63</v>
      </c>
      <c r="H313" s="33" t="s">
        <v>20</v>
      </c>
      <c r="I313" s="33" t="s">
        <v>52</v>
      </c>
      <c r="J313" s="33" t="s">
        <v>169</v>
      </c>
      <c r="K313" s="29">
        <v>0.80347222222222225</v>
      </c>
      <c r="L313" s="29">
        <v>0.80555555555555558</v>
      </c>
      <c r="M313" s="35">
        <f t="shared" ca="1" si="70"/>
        <v>2.0833333333333259E-3</v>
      </c>
      <c r="N313" s="27"/>
      <c r="O313" s="60"/>
    </row>
    <row r="314" spans="1:15" ht="15" customHeight="1">
      <c r="A314" s="68">
        <v>46215</v>
      </c>
      <c r="B314" s="25">
        <f t="shared" si="71"/>
        <v>0.9166666666666663</v>
      </c>
      <c r="C314" s="26" t="s">
        <v>29</v>
      </c>
      <c r="D314" s="59" t="s">
        <v>30</v>
      </c>
      <c r="E314" s="59" t="s">
        <v>257</v>
      </c>
      <c r="F314" s="27">
        <v>13</v>
      </c>
      <c r="G314" s="28">
        <f t="shared" si="69"/>
        <v>54.6</v>
      </c>
      <c r="H314" s="26" t="s">
        <v>20</v>
      </c>
      <c r="I314" s="26"/>
      <c r="J314" s="26" t="s">
        <v>113</v>
      </c>
      <c r="K314" s="29">
        <v>0.80833333333333335</v>
      </c>
      <c r="L314" s="29">
        <v>0.81111111111111112</v>
      </c>
      <c r="M314" s="30">
        <f t="shared" ca="1" si="70"/>
        <v>2.7777777777777679E-3</v>
      </c>
      <c r="N314" s="27"/>
      <c r="O314" s="60"/>
    </row>
    <row r="315" spans="1:15" ht="15" customHeight="1">
      <c r="A315" s="69">
        <v>46215</v>
      </c>
      <c r="B315" s="32">
        <f t="shared" si="71"/>
        <v>0.95833333333333293</v>
      </c>
      <c r="C315" s="26" t="s">
        <v>29</v>
      </c>
      <c r="D315" s="59" t="s">
        <v>30</v>
      </c>
      <c r="E315" s="59" t="s">
        <v>257</v>
      </c>
      <c r="F315" s="27">
        <v>9</v>
      </c>
      <c r="G315" s="34">
        <f t="shared" si="69"/>
        <v>37.800000000000004</v>
      </c>
      <c r="H315" s="33" t="s">
        <v>20</v>
      </c>
      <c r="I315" s="33"/>
      <c r="J315" s="33" t="s">
        <v>113</v>
      </c>
      <c r="K315" s="29">
        <v>0.81527777777777777</v>
      </c>
      <c r="L315" s="29">
        <v>0.81944444444444442</v>
      </c>
      <c r="M315" s="35">
        <f t="shared" ca="1" si="70"/>
        <v>4.1666666666666519E-3</v>
      </c>
      <c r="N315" s="27"/>
      <c r="O315" s="60"/>
    </row>
    <row r="316" spans="1:15" ht="15" customHeight="1">
      <c r="A316" s="68">
        <v>46215</v>
      </c>
      <c r="B316" s="25">
        <f t="shared" si="71"/>
        <v>0.99999999999999956</v>
      </c>
      <c r="C316" s="26" t="s">
        <v>29</v>
      </c>
      <c r="D316" s="59" t="s">
        <v>30</v>
      </c>
      <c r="E316" s="59" t="s">
        <v>257</v>
      </c>
      <c r="F316" s="27">
        <v>10</v>
      </c>
      <c r="G316" s="28">
        <f t="shared" si="69"/>
        <v>42</v>
      </c>
      <c r="H316" s="26" t="s">
        <v>20</v>
      </c>
      <c r="I316" s="26"/>
      <c r="J316" s="26" t="s">
        <v>113</v>
      </c>
      <c r="K316" s="29">
        <v>0.82222222222222219</v>
      </c>
      <c r="L316" s="29">
        <v>0.83611111111111114</v>
      </c>
      <c r="M316" s="30">
        <f t="shared" ca="1" si="70"/>
        <v>1.3888888888888951E-2</v>
      </c>
      <c r="N316" s="27"/>
      <c r="O316" s="60"/>
    </row>
    <row r="317" spans="1:15" ht="15" customHeight="1">
      <c r="A317" s="69">
        <v>46215</v>
      </c>
      <c r="B317" s="32">
        <f t="shared" si="71"/>
        <v>1.0416666666666663</v>
      </c>
      <c r="C317" s="26" t="s">
        <v>29</v>
      </c>
      <c r="D317" s="59" t="s">
        <v>30</v>
      </c>
      <c r="E317" s="59" t="s">
        <v>257</v>
      </c>
      <c r="F317" s="27">
        <v>20</v>
      </c>
      <c r="G317" s="34">
        <f t="shared" si="69"/>
        <v>84</v>
      </c>
      <c r="H317" s="33" t="s">
        <v>20</v>
      </c>
      <c r="I317" s="33" t="s">
        <v>129</v>
      </c>
      <c r="J317" s="33" t="s">
        <v>113</v>
      </c>
      <c r="K317" s="29">
        <v>0.89583333333333337</v>
      </c>
      <c r="L317" s="29">
        <v>0.94444444444444442</v>
      </c>
      <c r="M317" s="35">
        <f t="shared" ca="1" si="70"/>
        <v>4.8611111111111049E-2</v>
      </c>
      <c r="N317" s="27"/>
      <c r="O317" s="60"/>
    </row>
    <row r="318" spans="1:15" ht="15" customHeight="1">
      <c r="A318" s="68">
        <v>46215</v>
      </c>
      <c r="B318" s="25">
        <f t="shared" si="71"/>
        <v>1.083333333333333</v>
      </c>
      <c r="C318" s="26" t="s">
        <v>29</v>
      </c>
      <c r="D318" s="59" t="s">
        <v>30</v>
      </c>
      <c r="E318" s="59" t="s">
        <v>257</v>
      </c>
      <c r="F318" s="27">
        <v>15</v>
      </c>
      <c r="G318" s="28">
        <f t="shared" si="69"/>
        <v>63</v>
      </c>
      <c r="H318" s="26" t="s">
        <v>20</v>
      </c>
      <c r="I318" s="26" t="s">
        <v>52</v>
      </c>
      <c r="J318" s="26" t="s">
        <v>56</v>
      </c>
      <c r="K318" s="29">
        <v>0.96736111111111112</v>
      </c>
      <c r="L318" s="29">
        <v>0.97916666666666663</v>
      </c>
      <c r="M318" s="30">
        <f t="shared" ca="1" si="70"/>
        <v>1.1805555555555514E-2</v>
      </c>
      <c r="N318" s="27" t="s">
        <v>271</v>
      </c>
      <c r="O318" s="60"/>
    </row>
    <row r="319" spans="1:15" ht="15" customHeight="1">
      <c r="A319" s="69">
        <v>46215</v>
      </c>
      <c r="B319" s="32">
        <f t="shared" si="71"/>
        <v>1.1249999999999998</v>
      </c>
      <c r="C319" s="26" t="s">
        <v>29</v>
      </c>
      <c r="D319" s="59" t="s">
        <v>30</v>
      </c>
      <c r="E319" s="59" t="s">
        <v>257</v>
      </c>
      <c r="F319" s="27">
        <v>26</v>
      </c>
      <c r="G319" s="34">
        <f t="shared" si="69"/>
        <v>109.2</v>
      </c>
      <c r="H319" s="33" t="s">
        <v>20</v>
      </c>
      <c r="I319" s="33" t="s">
        <v>154</v>
      </c>
      <c r="J319" s="33" t="s">
        <v>74</v>
      </c>
      <c r="K319" s="29">
        <v>0.12916666666666668</v>
      </c>
      <c r="L319" s="29">
        <v>0.13333333333333333</v>
      </c>
      <c r="M319" s="35">
        <f t="shared" ca="1" si="70"/>
        <v>4.1666666666666519E-3</v>
      </c>
      <c r="N319" s="27"/>
      <c r="O319" s="60"/>
    </row>
    <row r="320" spans="1:15" ht="15" customHeight="1">
      <c r="A320" s="68">
        <v>46215</v>
      </c>
      <c r="B320" s="25">
        <f t="shared" si="71"/>
        <v>1.1666666666666665</v>
      </c>
      <c r="C320" s="26" t="s">
        <v>29</v>
      </c>
      <c r="D320" s="59" t="s">
        <v>30</v>
      </c>
      <c r="E320" s="59" t="s">
        <v>257</v>
      </c>
      <c r="F320" s="27">
        <v>30</v>
      </c>
      <c r="G320" s="28">
        <f t="shared" si="69"/>
        <v>126</v>
      </c>
      <c r="H320" s="26" t="s">
        <v>19</v>
      </c>
      <c r="I320" s="26" t="s">
        <v>159</v>
      </c>
      <c r="J320" s="26" t="s">
        <v>27</v>
      </c>
      <c r="K320" s="29">
        <v>0.24097222222222223</v>
      </c>
      <c r="L320" s="29">
        <v>0.25694444444444442</v>
      </c>
      <c r="M320" s="30">
        <f t="shared" ca="1" si="70"/>
        <v>1.5972222222222193E-2</v>
      </c>
      <c r="N320" s="27"/>
      <c r="O320" s="60"/>
    </row>
    <row r="321" spans="1:15" ht="15" customHeight="1">
      <c r="A321" s="69">
        <v>46215</v>
      </c>
      <c r="B321" s="32">
        <f t="shared" si="71"/>
        <v>1.2083333333333333</v>
      </c>
      <c r="C321" s="26" t="s">
        <v>29</v>
      </c>
      <c r="D321" s="59" t="s">
        <v>30</v>
      </c>
      <c r="E321" s="59" t="s">
        <v>257</v>
      </c>
      <c r="F321" s="27">
        <v>11</v>
      </c>
      <c r="G321" s="34">
        <f t="shared" si="69"/>
        <v>46.2</v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8">
        <v>46215</v>
      </c>
      <c r="B322" s="25">
        <f t="shared" si="71"/>
        <v>1.25</v>
      </c>
      <c r="C322" s="26" t="s">
        <v>29</v>
      </c>
      <c r="D322" s="59" t="s">
        <v>30</v>
      </c>
      <c r="E322" s="59" t="s">
        <v>257</v>
      </c>
      <c r="F322" s="27">
        <v>15</v>
      </c>
      <c r="G322" s="28">
        <f t="shared" si="69"/>
        <v>63</v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69">
        <v>46215</v>
      </c>
      <c r="B323" s="32">
        <f t="shared" si="71"/>
        <v>1.2916666666666667</v>
      </c>
      <c r="C323" s="26" t="s">
        <v>29</v>
      </c>
      <c r="D323" s="59" t="s">
        <v>30</v>
      </c>
      <c r="E323" s="59" t="s">
        <v>230</v>
      </c>
      <c r="F323" s="27">
        <v>15</v>
      </c>
      <c r="G323" s="34">
        <f t="shared" si="69"/>
        <v>75</v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9" t="s">
        <v>234</v>
      </c>
      <c r="B324" s="100"/>
      <c r="C324" s="100"/>
      <c r="D324" s="100"/>
      <c r="E324" s="101">
        <f>SUM(E312:E323)</f>
        <v>0</v>
      </c>
      <c r="F324" s="36">
        <f>SUM(F312:F323)</f>
        <v>199</v>
      </c>
      <c r="G324" s="36">
        <f>SUM(G312:G323)</f>
        <v>863.80000000000007</v>
      </c>
      <c r="H324" s="37"/>
      <c r="I324" s="37"/>
      <c r="J324" s="37"/>
      <c r="K324" s="61"/>
      <c r="L324" s="61"/>
      <c r="M324" s="38">
        <f ca="1">IFERROR(SUM(M312:M323),"")</f>
        <v>0.12083333333333315</v>
      </c>
      <c r="N324" s="36" t="s">
        <v>233</v>
      </c>
      <c r="O324" s="39">
        <v>1063720</v>
      </c>
    </row>
    <row r="325" spans="1:15" ht="18" customHeight="1">
      <c r="A325" s="102" t="s">
        <v>235</v>
      </c>
      <c r="B325" s="103"/>
      <c r="C325" s="103"/>
      <c r="D325" s="103"/>
      <c r="E325" s="104">
        <f>E311+E324</f>
        <v>0</v>
      </c>
      <c r="F325" s="40">
        <f>F311+F324</f>
        <v>229</v>
      </c>
      <c r="G325" s="40">
        <f>G311+G324</f>
        <v>989.80000000000007</v>
      </c>
      <c r="H325" s="41"/>
      <c r="I325" s="41"/>
      <c r="J325" s="41"/>
      <c r="K325" s="63"/>
      <c r="L325" s="63"/>
      <c r="M325" s="42">
        <f ca="1">IFERROR(M311+M324,"")</f>
        <v>0.53402777777777766</v>
      </c>
      <c r="N325" s="40" t="s">
        <v>236</v>
      </c>
      <c r="O325" s="48">
        <f>IFERROR(O311+O324,"")</f>
        <v>1209300</v>
      </c>
    </row>
    <row r="326" spans="1:15" ht="15" customHeight="1">
      <c r="A326" s="68">
        <v>46216</v>
      </c>
      <c r="B326" s="25">
        <v>0.33333333333333298</v>
      </c>
      <c r="C326" s="26" t="s">
        <v>45</v>
      </c>
      <c r="D326" s="59" t="s">
        <v>30</v>
      </c>
      <c r="E326" s="57" t="s">
        <v>257</v>
      </c>
      <c r="F326" s="27">
        <v>20</v>
      </c>
      <c r="G326" s="28">
        <f>IF(F326="","",IF(E327="PC 17",F326*4.2,IF(E327="PC 19",F326*5,"")))</f>
        <v>84</v>
      </c>
      <c r="H326" s="26" t="s">
        <v>20</v>
      </c>
      <c r="I326" s="26" t="s">
        <v>39</v>
      </c>
      <c r="J326" s="26" t="s">
        <v>51</v>
      </c>
      <c r="K326" s="29">
        <v>0.39861111111111114</v>
      </c>
      <c r="L326" s="29">
        <v>0.40138888888888891</v>
      </c>
      <c r="M326" s="30">
        <f t="shared" ref="M326:M337" ca="1" si="72">IFERROR(IF(K326="","",IF(L326="",MOD(NOW()-K326,1),IF(L326&gt;=K326,L326-K326,L326+1-K326))),"")</f>
        <v>2.7777777777777679E-3</v>
      </c>
      <c r="N326" s="27"/>
      <c r="O326" s="60"/>
    </row>
    <row r="327" spans="1:15" ht="15" customHeight="1">
      <c r="A327" s="69">
        <v>46216</v>
      </c>
      <c r="B327" s="32">
        <f t="shared" ref="B327:B337" si="73">B326+TIME(0,60,0)</f>
        <v>0.37499999999999967</v>
      </c>
      <c r="C327" s="26" t="s">
        <v>45</v>
      </c>
      <c r="D327" s="59" t="s">
        <v>30</v>
      </c>
      <c r="E327" s="59" t="s">
        <v>257</v>
      </c>
      <c r="F327" s="27">
        <v>20</v>
      </c>
      <c r="G327" s="34">
        <v>84</v>
      </c>
      <c r="H327" s="33" t="s">
        <v>18</v>
      </c>
      <c r="I327" s="33" t="s">
        <v>159</v>
      </c>
      <c r="J327" s="33" t="s">
        <v>118</v>
      </c>
      <c r="K327" s="29">
        <v>0.53333333333333333</v>
      </c>
      <c r="L327" s="29">
        <v>0.57291666666666663</v>
      </c>
      <c r="M327" s="35">
        <f t="shared" ca="1" si="72"/>
        <v>3.9583333333333304E-2</v>
      </c>
      <c r="N327" s="27" t="s">
        <v>299</v>
      </c>
      <c r="O327" s="60"/>
    </row>
    <row r="328" spans="1:15" ht="15" customHeight="1">
      <c r="A328" s="68">
        <v>46216</v>
      </c>
      <c r="B328" s="25">
        <f t="shared" si="73"/>
        <v>0.41666666666666635</v>
      </c>
      <c r="C328" s="26" t="s">
        <v>45</v>
      </c>
      <c r="D328" s="59" t="s">
        <v>30</v>
      </c>
      <c r="E328" s="59" t="s">
        <v>257</v>
      </c>
      <c r="F328" s="27">
        <v>20</v>
      </c>
      <c r="G328" s="28">
        <f t="shared" ref="G328:G337" si="74">IF(F328="","",IF(E328="PC 17",F328*4.2,IF(E328="PC 19",F328*5,"")))</f>
        <v>84</v>
      </c>
      <c r="H328" s="26" t="s">
        <v>20</v>
      </c>
      <c r="I328" s="26" t="s">
        <v>129</v>
      </c>
      <c r="J328" s="26" t="s">
        <v>113</v>
      </c>
      <c r="K328" s="29">
        <v>0.63541666666666663</v>
      </c>
      <c r="L328" s="29">
        <v>0.70208333333333328</v>
      </c>
      <c r="M328" s="30">
        <f t="shared" ca="1" si="72"/>
        <v>6.6666666666666652E-2</v>
      </c>
      <c r="N328" s="27"/>
      <c r="O328" s="60"/>
    </row>
    <row r="329" spans="1:15" ht="15" customHeight="1">
      <c r="A329" s="69">
        <v>46216</v>
      </c>
      <c r="B329" s="32">
        <f t="shared" si="73"/>
        <v>0.45833333333333304</v>
      </c>
      <c r="C329" s="26" t="s">
        <v>45</v>
      </c>
      <c r="D329" s="59" t="s">
        <v>30</v>
      </c>
      <c r="E329" s="59" t="s">
        <v>257</v>
      </c>
      <c r="F329" s="27">
        <v>27</v>
      </c>
      <c r="G329" s="34">
        <f t="shared" si="74"/>
        <v>113.4</v>
      </c>
      <c r="H329" s="33"/>
      <c r="I329" s="33"/>
      <c r="J329" s="33"/>
      <c r="K329" s="29"/>
      <c r="L329" s="29"/>
      <c r="M329" s="35" t="str">
        <f t="shared" ca="1" si="72"/>
        <v/>
      </c>
      <c r="N329" s="27"/>
      <c r="O329" s="60"/>
    </row>
    <row r="330" spans="1:15" ht="15" customHeight="1">
      <c r="A330" s="68">
        <v>46216</v>
      </c>
      <c r="B330" s="25">
        <f t="shared" si="73"/>
        <v>0.49999999999999972</v>
      </c>
      <c r="C330" s="26" t="s">
        <v>45</v>
      </c>
      <c r="D330" s="59" t="s">
        <v>30</v>
      </c>
      <c r="E330" s="59" t="s">
        <v>230</v>
      </c>
      <c r="F330" s="27">
        <v>15</v>
      </c>
      <c r="G330" s="28">
        <f t="shared" si="74"/>
        <v>75</v>
      </c>
      <c r="H330" s="26"/>
      <c r="I330" s="26"/>
      <c r="J330" s="26"/>
      <c r="K330" s="29"/>
      <c r="L330" s="29"/>
      <c r="M330" s="30" t="str">
        <f t="shared" ca="1" si="72"/>
        <v/>
      </c>
      <c r="N330" s="27"/>
      <c r="O330" s="60"/>
    </row>
    <row r="331" spans="1:15" ht="15" customHeight="1">
      <c r="A331" s="69">
        <v>46216</v>
      </c>
      <c r="B331" s="32">
        <f t="shared" si="73"/>
        <v>0.54166666666666641</v>
      </c>
      <c r="C331" s="26" t="s">
        <v>45</v>
      </c>
      <c r="D331" s="59" t="s">
        <v>30</v>
      </c>
      <c r="E331" s="59" t="s">
        <v>257</v>
      </c>
      <c r="F331" s="27">
        <v>9</v>
      </c>
      <c r="G331" s="34">
        <f t="shared" si="74"/>
        <v>37.800000000000004</v>
      </c>
      <c r="H331" s="33"/>
      <c r="I331" s="33"/>
      <c r="J331" s="33"/>
      <c r="K331" s="29"/>
      <c r="L331" s="29"/>
      <c r="M331" s="35" t="str">
        <f t="shared" ca="1" si="72"/>
        <v/>
      </c>
      <c r="N331" s="27"/>
      <c r="O331" s="60"/>
    </row>
    <row r="332" spans="1:15" ht="15" customHeight="1">
      <c r="A332" s="68">
        <v>46216</v>
      </c>
      <c r="B332" s="25">
        <f t="shared" si="73"/>
        <v>0.58333333333333304</v>
      </c>
      <c r="C332" s="26" t="s">
        <v>45</v>
      </c>
      <c r="D332" s="59" t="s">
        <v>30</v>
      </c>
      <c r="E332" s="59" t="s">
        <v>257</v>
      </c>
      <c r="F332" s="27">
        <v>21</v>
      </c>
      <c r="G332" s="28">
        <f t="shared" si="74"/>
        <v>88.2</v>
      </c>
      <c r="H332" s="26"/>
      <c r="I332" s="26"/>
      <c r="J332" s="26"/>
      <c r="K332" s="29"/>
      <c r="L332" s="29"/>
      <c r="M332" s="30" t="str">
        <f t="shared" ca="1" si="72"/>
        <v/>
      </c>
      <c r="N332" s="27"/>
      <c r="O332" s="60"/>
    </row>
    <row r="333" spans="1:15" ht="15" customHeight="1">
      <c r="A333" s="69">
        <v>46216</v>
      </c>
      <c r="B333" s="32">
        <f t="shared" si="73"/>
        <v>0.62499999999999967</v>
      </c>
      <c r="C333" s="26" t="s">
        <v>45</v>
      </c>
      <c r="D333" s="59" t="s">
        <v>30</v>
      </c>
      <c r="E333" s="59" t="s">
        <v>257</v>
      </c>
      <c r="F333" s="27">
        <v>21</v>
      </c>
      <c r="G333" s="34">
        <f t="shared" si="74"/>
        <v>88.2</v>
      </c>
      <c r="H333" s="33"/>
      <c r="I333" s="33"/>
      <c r="J333" s="33"/>
      <c r="K333" s="29"/>
      <c r="L333" s="29"/>
      <c r="M333" s="35" t="str">
        <f t="shared" ca="1" si="72"/>
        <v/>
      </c>
      <c r="N333" s="27"/>
      <c r="O333" s="60"/>
    </row>
    <row r="334" spans="1:15" ht="15" customHeight="1">
      <c r="A334" s="68">
        <v>46216</v>
      </c>
      <c r="B334" s="25">
        <f t="shared" si="73"/>
        <v>0.6666666666666663</v>
      </c>
      <c r="C334" s="26" t="s">
        <v>45</v>
      </c>
      <c r="D334" s="59" t="s">
        <v>30</v>
      </c>
      <c r="E334" s="59" t="s">
        <v>257</v>
      </c>
      <c r="F334" s="27">
        <v>8</v>
      </c>
      <c r="G334" s="28">
        <f t="shared" si="74"/>
        <v>33.6</v>
      </c>
      <c r="H334" s="26"/>
      <c r="I334" s="26"/>
      <c r="J334" s="26"/>
      <c r="K334" s="29"/>
      <c r="L334" s="29"/>
      <c r="M334" s="30" t="str">
        <f t="shared" ca="1" si="72"/>
        <v/>
      </c>
      <c r="N334" s="27"/>
      <c r="O334" s="60"/>
    </row>
    <row r="335" spans="1:15" ht="15" customHeight="1">
      <c r="A335" s="69">
        <v>46216</v>
      </c>
      <c r="B335" s="32">
        <f t="shared" si="73"/>
        <v>0.70833333333333293</v>
      </c>
      <c r="C335" s="26" t="s">
        <v>45</v>
      </c>
      <c r="D335" s="59" t="s">
        <v>30</v>
      </c>
      <c r="E335" s="59" t="s">
        <v>257</v>
      </c>
      <c r="F335" s="27">
        <v>0</v>
      </c>
      <c r="G335" s="34">
        <f t="shared" si="74"/>
        <v>0</v>
      </c>
      <c r="H335" s="33"/>
      <c r="I335" s="33"/>
      <c r="J335" s="33"/>
      <c r="K335" s="29"/>
      <c r="L335" s="29"/>
      <c r="M335" s="35" t="str">
        <f t="shared" ca="1" si="72"/>
        <v/>
      </c>
      <c r="N335" s="27"/>
      <c r="O335" s="60"/>
    </row>
    <row r="336" spans="1:15" ht="15" customHeight="1">
      <c r="A336" s="68">
        <v>46216</v>
      </c>
      <c r="B336" s="25">
        <f t="shared" si="73"/>
        <v>0.74999999999999956</v>
      </c>
      <c r="C336" s="26" t="s">
        <v>45</v>
      </c>
      <c r="D336" s="59" t="s">
        <v>30</v>
      </c>
      <c r="E336" s="59" t="s">
        <v>257</v>
      </c>
      <c r="F336" s="27">
        <v>22</v>
      </c>
      <c r="G336" s="28">
        <f t="shared" si="74"/>
        <v>92.4</v>
      </c>
      <c r="H336" s="26"/>
      <c r="I336" s="26"/>
      <c r="J336" s="26"/>
      <c r="K336" s="29"/>
      <c r="L336" s="29"/>
      <c r="M336" s="30" t="str">
        <f t="shared" ca="1" si="72"/>
        <v/>
      </c>
      <c r="N336" s="27"/>
      <c r="O336" s="60"/>
    </row>
    <row r="337" spans="1:15" ht="15" customHeight="1">
      <c r="A337" s="69">
        <v>46216</v>
      </c>
      <c r="B337" s="32">
        <f t="shared" si="73"/>
        <v>0.79166666666666619</v>
      </c>
      <c r="C337" s="26" t="s">
        <v>45</v>
      </c>
      <c r="D337" s="59" t="s">
        <v>30</v>
      </c>
      <c r="E337" s="59" t="s">
        <v>257</v>
      </c>
      <c r="F337" s="27">
        <v>0</v>
      </c>
      <c r="G337" s="34">
        <f t="shared" si="74"/>
        <v>0</v>
      </c>
      <c r="H337" s="33"/>
      <c r="I337" s="33"/>
      <c r="J337" s="33"/>
      <c r="K337" s="29"/>
      <c r="L337" s="29"/>
      <c r="M337" s="35" t="str">
        <f t="shared" ca="1" si="72"/>
        <v/>
      </c>
      <c r="N337" s="27"/>
      <c r="O337" s="60"/>
    </row>
    <row r="338" spans="1:15" ht="15.75" customHeight="1">
      <c r="A338" s="99" t="s">
        <v>232</v>
      </c>
      <c r="B338" s="100"/>
      <c r="C338" s="100"/>
      <c r="D338" s="100"/>
      <c r="E338" s="101">
        <f>SUM(E327:E337)</f>
        <v>0</v>
      </c>
      <c r="F338" s="36">
        <f>SUM(F326:F337)</f>
        <v>183</v>
      </c>
      <c r="G338" s="36">
        <f>SUM(G326:G337)</f>
        <v>780.6</v>
      </c>
      <c r="H338" s="37"/>
      <c r="I338" s="37"/>
      <c r="J338" s="37"/>
      <c r="K338" s="61"/>
      <c r="L338" s="61"/>
      <c r="M338" s="38">
        <f ca="1">IFERROR(SUM(M326:M337),"")</f>
        <v>0.10902777777777772</v>
      </c>
      <c r="N338" s="36" t="s">
        <v>233</v>
      </c>
      <c r="O338" s="39">
        <v>780000</v>
      </c>
    </row>
    <row r="339" spans="1:15" ht="15" customHeight="1">
      <c r="A339" s="69">
        <v>46216</v>
      </c>
      <c r="B339" s="32">
        <v>0.83333333333333304</v>
      </c>
      <c r="C339" s="33" t="s">
        <v>29</v>
      </c>
      <c r="D339" s="62" t="s">
        <v>30</v>
      </c>
      <c r="E339" s="62" t="s">
        <v>257</v>
      </c>
      <c r="F339" s="27">
        <v>10</v>
      </c>
      <c r="G339" s="34">
        <f t="shared" ref="G339:G350" si="75">IF(F339="","",IF(E339="PC 17",F339*4.2,IF(E339="PC 19",F339*5,"")))</f>
        <v>42</v>
      </c>
      <c r="H339" s="33" t="s">
        <v>19</v>
      </c>
      <c r="I339" s="33" t="s">
        <v>52</v>
      </c>
      <c r="J339" s="33" t="s">
        <v>27</v>
      </c>
      <c r="K339" s="29">
        <v>0.81180555555555556</v>
      </c>
      <c r="L339" s="29">
        <v>0.82361111111111107</v>
      </c>
      <c r="M339" s="35">
        <f t="shared" ref="M339:M350" ca="1" si="76">IFERROR(IF(K339="","",IF(L339="",MOD(NOW()-K339,1),IF(L339&gt;=K339,L339-K339,L339+1-K339))),"")</f>
        <v>1.1805555555555514E-2</v>
      </c>
      <c r="N339" s="27"/>
      <c r="O339" s="60"/>
    </row>
    <row r="340" spans="1:15" ht="15" customHeight="1">
      <c r="A340" s="68">
        <v>46216</v>
      </c>
      <c r="B340" s="25">
        <f t="shared" ref="B340:B350" si="77">B339+TIME(0,60,0)</f>
        <v>0.87499999999999967</v>
      </c>
      <c r="C340" s="33" t="s">
        <v>29</v>
      </c>
      <c r="D340" s="62" t="s">
        <v>30</v>
      </c>
      <c r="E340" s="62" t="s">
        <v>257</v>
      </c>
      <c r="F340" s="27">
        <v>15</v>
      </c>
      <c r="G340" s="28">
        <f t="shared" si="75"/>
        <v>63</v>
      </c>
      <c r="H340" s="26" t="s">
        <v>19</v>
      </c>
      <c r="I340" s="26" t="s">
        <v>57</v>
      </c>
      <c r="J340" s="26" t="s">
        <v>27</v>
      </c>
      <c r="K340" s="29">
        <v>0.81180555555555556</v>
      </c>
      <c r="L340" s="29">
        <v>0.82986111111111116</v>
      </c>
      <c r="M340" s="30">
        <f t="shared" ca="1" si="76"/>
        <v>1.8055555555555602E-2</v>
      </c>
      <c r="N340" s="27"/>
      <c r="O340" s="60"/>
    </row>
    <row r="341" spans="1:15" ht="15" customHeight="1">
      <c r="A341" s="69">
        <v>46216</v>
      </c>
      <c r="B341" s="32">
        <f t="shared" si="77"/>
        <v>0.9166666666666663</v>
      </c>
      <c r="C341" s="33" t="s">
        <v>29</v>
      </c>
      <c r="D341" s="62" t="s">
        <v>30</v>
      </c>
      <c r="E341" s="62" t="s">
        <v>257</v>
      </c>
      <c r="F341" s="27">
        <v>14</v>
      </c>
      <c r="G341" s="34">
        <f t="shared" si="75"/>
        <v>58.800000000000004</v>
      </c>
      <c r="H341" s="33" t="s">
        <v>20</v>
      </c>
      <c r="I341" s="33" t="s">
        <v>57</v>
      </c>
      <c r="J341" s="33" t="s">
        <v>51</v>
      </c>
      <c r="K341" s="29">
        <v>0.89236111111111116</v>
      </c>
      <c r="L341" s="29">
        <v>0.89652777777777781</v>
      </c>
      <c r="M341" s="35">
        <f t="shared" ca="1" si="76"/>
        <v>4.1666666666666519E-3</v>
      </c>
      <c r="N341" s="27"/>
      <c r="O341" s="60"/>
    </row>
    <row r="342" spans="1:15" ht="15" customHeight="1">
      <c r="A342" s="68">
        <v>46216</v>
      </c>
      <c r="B342" s="25">
        <f t="shared" si="77"/>
        <v>0.95833333333333293</v>
      </c>
      <c r="C342" s="33" t="s">
        <v>29</v>
      </c>
      <c r="D342" s="62" t="s">
        <v>30</v>
      </c>
      <c r="E342" s="62" t="s">
        <v>257</v>
      </c>
      <c r="F342" s="27">
        <v>21</v>
      </c>
      <c r="G342" s="28">
        <f t="shared" si="75"/>
        <v>88.2</v>
      </c>
      <c r="H342" s="26" t="s">
        <v>20</v>
      </c>
      <c r="I342" s="26" t="s">
        <v>57</v>
      </c>
      <c r="J342" s="26" t="s">
        <v>51</v>
      </c>
      <c r="K342" s="29">
        <v>0.9</v>
      </c>
      <c r="L342" s="29">
        <v>0.90347222222222223</v>
      </c>
      <c r="M342" s="30">
        <f t="shared" ca="1" si="76"/>
        <v>3.4722222222222099E-3</v>
      </c>
      <c r="N342" s="27"/>
      <c r="O342" s="60"/>
    </row>
    <row r="343" spans="1:15" ht="15" customHeight="1">
      <c r="A343" s="69">
        <v>46216</v>
      </c>
      <c r="B343" s="32">
        <f t="shared" si="77"/>
        <v>0.99999999999999956</v>
      </c>
      <c r="C343" s="33" t="s">
        <v>29</v>
      </c>
      <c r="D343" s="62" t="s">
        <v>30</v>
      </c>
      <c r="E343" s="62" t="s">
        <v>257</v>
      </c>
      <c r="F343" s="27">
        <v>10</v>
      </c>
      <c r="G343" s="34">
        <f t="shared" si="75"/>
        <v>42</v>
      </c>
      <c r="H343" s="33" t="s">
        <v>20</v>
      </c>
      <c r="I343" s="33" t="s">
        <v>57</v>
      </c>
      <c r="J343" s="33" t="s">
        <v>51</v>
      </c>
      <c r="K343" s="29">
        <v>0.90902777777777777</v>
      </c>
      <c r="L343" s="29">
        <v>0.91319444444444442</v>
      </c>
      <c r="M343" s="35">
        <f t="shared" ca="1" si="76"/>
        <v>4.1666666666666519E-3</v>
      </c>
      <c r="N343" s="27"/>
      <c r="O343" s="60"/>
    </row>
    <row r="344" spans="1:15" ht="15" customHeight="1">
      <c r="A344" s="68">
        <v>46216</v>
      </c>
      <c r="B344" s="25">
        <f t="shared" si="77"/>
        <v>1.0416666666666663</v>
      </c>
      <c r="C344" s="33" t="s">
        <v>29</v>
      </c>
      <c r="D344" s="62" t="s">
        <v>30</v>
      </c>
      <c r="E344" s="62" t="s">
        <v>257</v>
      </c>
      <c r="F344" s="27">
        <v>20</v>
      </c>
      <c r="G344" s="28">
        <f t="shared" si="75"/>
        <v>84</v>
      </c>
      <c r="H344" s="26" t="s">
        <v>20</v>
      </c>
      <c r="I344" s="26" t="s">
        <v>154</v>
      </c>
      <c r="J344" s="26" t="s">
        <v>74</v>
      </c>
      <c r="K344" s="29" t="s">
        <v>370</v>
      </c>
      <c r="L344" s="29">
        <v>0.92222222222222228</v>
      </c>
      <c r="M344" s="30" t="str">
        <f t="shared" ca="1" si="76"/>
        <v/>
      </c>
      <c r="N344" s="27"/>
      <c r="O344" s="60"/>
    </row>
    <row r="345" spans="1:15" ht="15" customHeight="1">
      <c r="A345" s="69">
        <v>46216</v>
      </c>
      <c r="B345" s="32">
        <f t="shared" si="77"/>
        <v>1.083333333333333</v>
      </c>
      <c r="C345" s="33" t="s">
        <v>29</v>
      </c>
      <c r="D345" s="62" t="s">
        <v>30</v>
      </c>
      <c r="E345" s="62" t="s">
        <v>257</v>
      </c>
      <c r="F345" s="27">
        <v>5</v>
      </c>
      <c r="G345" s="34">
        <f t="shared" si="75"/>
        <v>21</v>
      </c>
      <c r="H345" s="33" t="s">
        <v>20</v>
      </c>
      <c r="I345" s="33" t="s">
        <v>154</v>
      </c>
      <c r="J345" s="33" t="s">
        <v>74</v>
      </c>
      <c r="K345" s="29">
        <v>0.97986111111111107</v>
      </c>
      <c r="L345" s="29">
        <v>0.98333333333333328</v>
      </c>
      <c r="M345" s="35">
        <f t="shared" ca="1" si="76"/>
        <v>3.4722222222222099E-3</v>
      </c>
      <c r="N345" s="27"/>
      <c r="O345" s="60"/>
    </row>
    <row r="346" spans="1:15" ht="15" customHeight="1">
      <c r="A346" s="68">
        <v>46216</v>
      </c>
      <c r="B346" s="25">
        <f t="shared" si="77"/>
        <v>1.1249999999999998</v>
      </c>
      <c r="C346" s="33" t="s">
        <v>29</v>
      </c>
      <c r="D346" s="62" t="s">
        <v>30</v>
      </c>
      <c r="E346" s="62" t="s">
        <v>257</v>
      </c>
      <c r="F346" s="27">
        <v>25</v>
      </c>
      <c r="G346" s="28">
        <f t="shared" si="75"/>
        <v>105</v>
      </c>
      <c r="H346" s="26" t="s">
        <v>19</v>
      </c>
      <c r="I346" s="26" t="s">
        <v>52</v>
      </c>
      <c r="J346" s="26" t="s">
        <v>95</v>
      </c>
      <c r="K346" s="29">
        <v>0.20277777777777778</v>
      </c>
      <c r="L346" s="29">
        <v>0.23125000000000001</v>
      </c>
      <c r="M346" s="30">
        <f t="shared" ca="1" si="76"/>
        <v>2.8472222222222232E-2</v>
      </c>
      <c r="N346" s="27"/>
      <c r="O346" s="60"/>
    </row>
    <row r="347" spans="1:15" ht="15" customHeight="1">
      <c r="A347" s="69">
        <v>46216</v>
      </c>
      <c r="B347" s="32">
        <f t="shared" si="77"/>
        <v>1.1666666666666665</v>
      </c>
      <c r="C347" s="33" t="s">
        <v>29</v>
      </c>
      <c r="D347" s="62" t="s">
        <v>30</v>
      </c>
      <c r="E347" s="62" t="s">
        <v>257</v>
      </c>
      <c r="F347" s="27">
        <v>15</v>
      </c>
      <c r="G347" s="34">
        <f t="shared" si="75"/>
        <v>63</v>
      </c>
      <c r="H347" s="33" t="s">
        <v>19</v>
      </c>
      <c r="I347" s="33" t="s">
        <v>52</v>
      </c>
      <c r="J347" s="33" t="s">
        <v>35</v>
      </c>
      <c r="K347" s="29">
        <v>0.24583333333333332</v>
      </c>
      <c r="L347" s="29">
        <v>0.26319444444444445</v>
      </c>
      <c r="M347" s="35">
        <f t="shared" ca="1" si="76"/>
        <v>1.7361111111111133E-2</v>
      </c>
      <c r="N347" s="27" t="s">
        <v>371</v>
      </c>
      <c r="O347" s="60"/>
    </row>
    <row r="348" spans="1:15" ht="15" customHeight="1">
      <c r="A348" s="68">
        <v>46216</v>
      </c>
      <c r="B348" s="25">
        <f t="shared" si="77"/>
        <v>1.2083333333333333</v>
      </c>
      <c r="C348" s="33" t="s">
        <v>29</v>
      </c>
      <c r="D348" s="62" t="s">
        <v>30</v>
      </c>
      <c r="E348" s="62" t="s">
        <v>257</v>
      </c>
      <c r="F348" s="27">
        <v>10</v>
      </c>
      <c r="G348" s="28">
        <f t="shared" si="75"/>
        <v>42</v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69">
        <v>46216</v>
      </c>
      <c r="B349" s="32">
        <f t="shared" si="77"/>
        <v>1.25</v>
      </c>
      <c r="C349" s="33" t="s">
        <v>29</v>
      </c>
      <c r="D349" s="62" t="s">
        <v>30</v>
      </c>
      <c r="E349" s="62" t="s">
        <v>257</v>
      </c>
      <c r="F349" s="27">
        <v>0</v>
      </c>
      <c r="G349" s="34">
        <f t="shared" si="75"/>
        <v>0</v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8">
        <v>46216</v>
      </c>
      <c r="B350" s="25">
        <f t="shared" si="77"/>
        <v>1.2916666666666667</v>
      </c>
      <c r="C350" s="33" t="s">
        <v>29</v>
      </c>
      <c r="D350" s="62" t="s">
        <v>30</v>
      </c>
      <c r="E350" s="62" t="s">
        <v>257</v>
      </c>
      <c r="F350" s="27">
        <v>15</v>
      </c>
      <c r="G350" s="28">
        <f t="shared" si="75"/>
        <v>63</v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9" t="s">
        <v>234</v>
      </c>
      <c r="B351" s="100"/>
      <c r="C351" s="100"/>
      <c r="D351" s="100"/>
      <c r="E351" s="101">
        <f>SUM(E339:E350)</f>
        <v>0</v>
      </c>
      <c r="F351" s="36">
        <f>SUM(F339:F350)</f>
        <v>160</v>
      </c>
      <c r="G351" s="36">
        <f>SUM(G339:G350)</f>
        <v>672</v>
      </c>
      <c r="H351" s="37"/>
      <c r="I351" s="37"/>
      <c r="J351" s="37"/>
      <c r="K351" s="61"/>
      <c r="L351" s="61"/>
      <c r="M351" s="38">
        <f ca="1">IFERROR(SUM(M339:M350),"")</f>
        <v>9.0972222222222204E-2</v>
      </c>
      <c r="N351" s="36" t="s">
        <v>233</v>
      </c>
      <c r="O351" s="39">
        <v>696140</v>
      </c>
    </row>
    <row r="352" spans="1:15" ht="18" customHeight="1">
      <c r="A352" s="102" t="s">
        <v>235</v>
      </c>
      <c r="B352" s="103"/>
      <c r="C352" s="103"/>
      <c r="D352" s="103"/>
      <c r="E352" s="104">
        <f>E338+E351</f>
        <v>0</v>
      </c>
      <c r="F352" s="40">
        <f>F338+F351</f>
        <v>343</v>
      </c>
      <c r="G352" s="40">
        <f>G338+G351</f>
        <v>1452.6</v>
      </c>
      <c r="H352" s="41"/>
      <c r="I352" s="41"/>
      <c r="J352" s="41"/>
      <c r="K352" s="63"/>
      <c r="L352" s="63"/>
      <c r="M352" s="42">
        <f ca="1">IFERROR(M338+M351,"")</f>
        <v>0.19999999999999993</v>
      </c>
      <c r="N352" s="40" t="s">
        <v>236</v>
      </c>
      <c r="O352" s="48">
        <f>IFERROR(O338+O351,"")</f>
        <v>1476140</v>
      </c>
    </row>
    <row r="353" spans="1:15" ht="15" customHeight="1">
      <c r="A353" s="69">
        <v>46217</v>
      </c>
      <c r="B353" s="32">
        <v>0.33333333333333298</v>
      </c>
      <c r="C353" s="33" t="s">
        <v>45</v>
      </c>
      <c r="D353" s="62" t="s">
        <v>30</v>
      </c>
      <c r="E353" s="62" t="s">
        <v>257</v>
      </c>
      <c r="F353" s="27">
        <v>0</v>
      </c>
      <c r="G353" s="34">
        <f t="shared" ref="G353:G364" si="78">IF(F353="","",IF(E353="PC 17",F353*4.2,IF(E353="PC 19",F353*5,"")))</f>
        <v>0</v>
      </c>
      <c r="H353" s="33" t="s">
        <v>20</v>
      </c>
      <c r="I353" s="33" t="s">
        <v>57</v>
      </c>
      <c r="J353" s="33" t="s">
        <v>51</v>
      </c>
      <c r="K353" s="29">
        <v>0.39583333333333331</v>
      </c>
      <c r="L353" s="29">
        <v>0.40138888888888891</v>
      </c>
      <c r="M353" s="35">
        <f t="shared" ref="M353:M364" ca="1" si="79">IFERROR(IF(K353="","",IF(L353="",MOD(NOW()-K353,1),IF(L353&gt;=K353,L353-K353,L353+1-K353))),"")</f>
        <v>5.5555555555555913E-3</v>
      </c>
      <c r="N353" s="27"/>
      <c r="O353" s="60"/>
    </row>
    <row r="354" spans="1:15" ht="15" customHeight="1">
      <c r="A354" s="68">
        <v>46217</v>
      </c>
      <c r="B354" s="25">
        <f t="shared" ref="B354:B364" si="80">B353+TIME(0,60,0)</f>
        <v>0.37499999999999967</v>
      </c>
      <c r="C354" s="33" t="s">
        <v>45</v>
      </c>
      <c r="D354" s="62" t="s">
        <v>30</v>
      </c>
      <c r="E354" s="62" t="s">
        <v>257</v>
      </c>
      <c r="F354" s="27">
        <v>11</v>
      </c>
      <c r="G354" s="28">
        <f t="shared" si="78"/>
        <v>46.2</v>
      </c>
      <c r="H354" s="33" t="s">
        <v>20</v>
      </c>
      <c r="I354" s="26" t="s">
        <v>57</v>
      </c>
      <c r="J354" s="33" t="s">
        <v>51</v>
      </c>
      <c r="K354" s="29">
        <v>0.40902777777777777</v>
      </c>
      <c r="L354" s="29">
        <v>0.41041666666666665</v>
      </c>
      <c r="M354" s="30">
        <f t="shared" ca="1" si="79"/>
        <v>1.388888888888884E-3</v>
      </c>
      <c r="N354" s="27"/>
      <c r="O354" s="60"/>
    </row>
    <row r="355" spans="1:15" ht="15" customHeight="1">
      <c r="A355" s="69">
        <v>46217</v>
      </c>
      <c r="B355" s="32">
        <f t="shared" si="80"/>
        <v>0.41666666666666635</v>
      </c>
      <c r="C355" s="33" t="s">
        <v>45</v>
      </c>
      <c r="D355" s="62" t="s">
        <v>30</v>
      </c>
      <c r="E355" s="62" t="s">
        <v>257</v>
      </c>
      <c r="F355" s="27">
        <v>9</v>
      </c>
      <c r="G355" s="34">
        <f t="shared" si="78"/>
        <v>37.800000000000004</v>
      </c>
      <c r="H355" s="33" t="s">
        <v>20</v>
      </c>
      <c r="I355" s="33" t="s">
        <v>52</v>
      </c>
      <c r="J355" s="33" t="s">
        <v>319</v>
      </c>
      <c r="K355" s="29">
        <v>0.41319444444444442</v>
      </c>
      <c r="L355" s="29">
        <v>0.4236111111111111</v>
      </c>
      <c r="M355" s="35">
        <f t="shared" ca="1" si="79"/>
        <v>1.0416666666666685E-2</v>
      </c>
      <c r="N355" s="46"/>
      <c r="O355" s="60"/>
    </row>
    <row r="356" spans="1:15" ht="15" customHeight="1">
      <c r="A356" s="68">
        <v>46217</v>
      </c>
      <c r="B356" s="25">
        <f t="shared" si="80"/>
        <v>0.45833333333333304</v>
      </c>
      <c r="C356" s="33" t="s">
        <v>45</v>
      </c>
      <c r="D356" s="62" t="s">
        <v>30</v>
      </c>
      <c r="E356" s="62" t="s">
        <v>257</v>
      </c>
      <c r="F356" s="27">
        <v>11</v>
      </c>
      <c r="G356" s="28">
        <f t="shared" si="78"/>
        <v>46.2</v>
      </c>
      <c r="H356" s="26" t="s">
        <v>19</v>
      </c>
      <c r="I356" s="26" t="s">
        <v>52</v>
      </c>
      <c r="J356" s="26" t="s">
        <v>27</v>
      </c>
      <c r="K356" s="29">
        <v>0.6020833333333333</v>
      </c>
      <c r="L356" s="29">
        <v>0.625</v>
      </c>
      <c r="M356" s="30">
        <f t="shared" ca="1" si="79"/>
        <v>2.2916666666666696E-2</v>
      </c>
      <c r="N356" s="27"/>
      <c r="O356" s="60"/>
    </row>
    <row r="357" spans="1:15" ht="15" customHeight="1">
      <c r="A357" s="69">
        <v>46217</v>
      </c>
      <c r="B357" s="32">
        <f t="shared" si="80"/>
        <v>0.49999999999999972</v>
      </c>
      <c r="C357" s="33" t="s">
        <v>45</v>
      </c>
      <c r="D357" s="62" t="s">
        <v>30</v>
      </c>
      <c r="E357" s="62" t="s">
        <v>257</v>
      </c>
      <c r="F357" s="27">
        <v>10</v>
      </c>
      <c r="G357" s="34">
        <f t="shared" si="78"/>
        <v>42</v>
      </c>
      <c r="H357" s="33" t="s">
        <v>18</v>
      </c>
      <c r="I357" s="33" t="s">
        <v>137</v>
      </c>
      <c r="J357" s="33" t="s">
        <v>127</v>
      </c>
      <c r="K357" s="29">
        <v>0.6020833333333333</v>
      </c>
      <c r="L357" s="29">
        <v>0.6645833333333333</v>
      </c>
      <c r="M357" s="35">
        <f t="shared" ca="1" si="79"/>
        <v>6.25E-2</v>
      </c>
      <c r="N357" s="27"/>
      <c r="O357" s="60"/>
    </row>
    <row r="358" spans="1:15" ht="15" customHeight="1">
      <c r="A358" s="68">
        <v>46217</v>
      </c>
      <c r="B358" s="25">
        <f t="shared" si="80"/>
        <v>0.54166666666666641</v>
      </c>
      <c r="C358" s="33" t="s">
        <v>45</v>
      </c>
      <c r="D358" s="62" t="s">
        <v>30</v>
      </c>
      <c r="E358" s="62" t="s">
        <v>257</v>
      </c>
      <c r="F358" s="27">
        <v>21</v>
      </c>
      <c r="G358" s="28">
        <f t="shared" si="78"/>
        <v>88.2</v>
      </c>
      <c r="H358" s="26" t="s">
        <v>20</v>
      </c>
      <c r="I358" s="26" t="s">
        <v>57</v>
      </c>
      <c r="J358" s="26" t="s">
        <v>51</v>
      </c>
      <c r="K358" s="29">
        <v>0.6645833333333333</v>
      </c>
      <c r="L358" s="29">
        <v>0.66666666666666663</v>
      </c>
      <c r="M358" s="30">
        <f t="shared" ca="1" si="79"/>
        <v>2.0833333333333259E-3</v>
      </c>
      <c r="N358" s="27"/>
      <c r="O358" s="60"/>
    </row>
    <row r="359" spans="1:15" ht="15" customHeight="1">
      <c r="A359" s="69">
        <v>46217</v>
      </c>
      <c r="B359" s="32">
        <f t="shared" si="80"/>
        <v>0.58333333333333304</v>
      </c>
      <c r="C359" s="33" t="s">
        <v>45</v>
      </c>
      <c r="D359" s="62" t="s">
        <v>30</v>
      </c>
      <c r="E359" s="62" t="s">
        <v>257</v>
      </c>
      <c r="F359" s="27">
        <v>11</v>
      </c>
      <c r="G359" s="34">
        <f t="shared" si="78"/>
        <v>46.2</v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8">
        <v>46217</v>
      </c>
      <c r="B360" s="25">
        <f t="shared" si="80"/>
        <v>0.62499999999999967</v>
      </c>
      <c r="C360" s="33" t="s">
        <v>45</v>
      </c>
      <c r="D360" s="62" t="s">
        <v>30</v>
      </c>
      <c r="E360" s="62" t="s">
        <v>257</v>
      </c>
      <c r="F360" s="27">
        <v>5</v>
      </c>
      <c r="G360" s="28">
        <f t="shared" si="78"/>
        <v>21</v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69">
        <v>46217</v>
      </c>
      <c r="B361" s="32">
        <f t="shared" si="80"/>
        <v>0.6666666666666663</v>
      </c>
      <c r="C361" s="33" t="s">
        <v>45</v>
      </c>
      <c r="D361" s="62" t="s">
        <v>30</v>
      </c>
      <c r="E361" s="62" t="s">
        <v>257</v>
      </c>
      <c r="F361" s="27">
        <v>5</v>
      </c>
      <c r="G361" s="34">
        <f t="shared" si="78"/>
        <v>21</v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8">
        <v>46217</v>
      </c>
      <c r="B362" s="25">
        <f t="shared" si="80"/>
        <v>0.70833333333333293</v>
      </c>
      <c r="C362" s="33" t="s">
        <v>45</v>
      </c>
      <c r="D362" s="62" t="s">
        <v>30</v>
      </c>
      <c r="E362" s="62" t="s">
        <v>257</v>
      </c>
      <c r="F362" s="27">
        <v>17</v>
      </c>
      <c r="G362" s="28">
        <f t="shared" si="78"/>
        <v>71.400000000000006</v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69">
        <v>46217</v>
      </c>
      <c r="B363" s="32">
        <f t="shared" si="80"/>
        <v>0.74999999999999956</v>
      </c>
      <c r="C363" s="33" t="s">
        <v>45</v>
      </c>
      <c r="D363" s="62" t="s">
        <v>30</v>
      </c>
      <c r="E363" s="62" t="s">
        <v>257</v>
      </c>
      <c r="F363" s="27">
        <v>15</v>
      </c>
      <c r="G363" s="34">
        <f t="shared" si="78"/>
        <v>63</v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8">
        <v>46217</v>
      </c>
      <c r="B364" s="25">
        <f t="shared" si="80"/>
        <v>0.79166666666666619</v>
      </c>
      <c r="C364" s="33" t="s">
        <v>45</v>
      </c>
      <c r="D364" s="62" t="s">
        <v>30</v>
      </c>
      <c r="E364" s="62" t="s">
        <v>257</v>
      </c>
      <c r="F364" s="27">
        <v>10</v>
      </c>
      <c r="G364" s="28">
        <f t="shared" si="78"/>
        <v>42</v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87" t="s">
        <v>232</v>
      </c>
      <c r="B365" s="88"/>
      <c r="C365" s="88"/>
      <c r="D365" s="88"/>
      <c r="E365" s="89">
        <f>SUM(E353:E364)</f>
        <v>0</v>
      </c>
      <c r="F365" s="36">
        <f>SUM(F353:F364)</f>
        <v>125</v>
      </c>
      <c r="G365" s="36">
        <f>SUM(G353:G364)</f>
        <v>525</v>
      </c>
      <c r="H365" s="37"/>
      <c r="I365" s="37"/>
      <c r="J365" s="37"/>
      <c r="K365" s="61"/>
      <c r="L365" s="61"/>
      <c r="M365" s="38">
        <f ca="1">IFERROR(SUM(M353:M364),"")</f>
        <v>0.10486111111111118</v>
      </c>
      <c r="N365" s="36" t="s">
        <v>233</v>
      </c>
      <c r="O365" s="39">
        <v>597930</v>
      </c>
    </row>
    <row r="366" spans="1:15" ht="15" customHeight="1">
      <c r="A366" s="68">
        <v>46217</v>
      </c>
      <c r="B366" s="25">
        <v>0.83333333333333304</v>
      </c>
      <c r="C366" s="26" t="s">
        <v>29</v>
      </c>
      <c r="D366" s="59" t="s">
        <v>46</v>
      </c>
      <c r="E366" s="59" t="s">
        <v>257</v>
      </c>
      <c r="F366" s="27">
        <v>20</v>
      </c>
      <c r="G366" s="28">
        <f t="shared" ref="G366:G377" si="81">IF(F366="","",IF(E366="PC 17",F366*4.2,IF(E366="PC 19",F366*5,"")))</f>
        <v>84</v>
      </c>
      <c r="H366" s="26" t="s">
        <v>20</v>
      </c>
      <c r="I366" s="26" t="s">
        <v>52</v>
      </c>
      <c r="J366" s="26" t="s">
        <v>51</v>
      </c>
      <c r="K366" s="29">
        <v>0.83888888888888891</v>
      </c>
      <c r="L366" s="29">
        <v>0.85069444444444442</v>
      </c>
      <c r="M366" s="30">
        <f t="shared" ref="M366:M377" ca="1" si="82">IFERROR(IF(K366="","",IF(L366="",MOD(NOW()-K366,1),IF(L366&gt;=K366,L366-K366,L366+1-K366))),"")</f>
        <v>1.1805555555555514E-2</v>
      </c>
      <c r="N366" s="27"/>
      <c r="O366" s="60"/>
    </row>
    <row r="367" spans="1:15" ht="15" customHeight="1">
      <c r="A367" s="69">
        <v>46217</v>
      </c>
      <c r="B367" s="32">
        <f t="shared" ref="B367:B377" si="83">B366+TIME(0,60,0)</f>
        <v>0.87499999999999967</v>
      </c>
      <c r="C367" s="26" t="s">
        <v>29</v>
      </c>
      <c r="D367" s="59" t="s">
        <v>46</v>
      </c>
      <c r="E367" s="59" t="s">
        <v>257</v>
      </c>
      <c r="F367" s="27">
        <v>12</v>
      </c>
      <c r="G367" s="34">
        <f t="shared" si="81"/>
        <v>50.400000000000006</v>
      </c>
      <c r="H367" s="33" t="s">
        <v>19</v>
      </c>
      <c r="I367" s="33" t="s">
        <v>57</v>
      </c>
      <c r="J367" s="33" t="s">
        <v>27</v>
      </c>
      <c r="K367" s="29">
        <v>0.85069444444444442</v>
      </c>
      <c r="L367" s="29">
        <v>0.85624999999999996</v>
      </c>
      <c r="M367" s="35">
        <f t="shared" ca="1" si="82"/>
        <v>5.5555555555555358E-3</v>
      </c>
      <c r="N367" s="27"/>
      <c r="O367" s="60"/>
    </row>
    <row r="368" spans="1:15" ht="15" customHeight="1">
      <c r="A368" s="68">
        <v>46217</v>
      </c>
      <c r="B368" s="25">
        <f t="shared" si="83"/>
        <v>0.9166666666666663</v>
      </c>
      <c r="C368" s="26" t="s">
        <v>29</v>
      </c>
      <c r="D368" s="59" t="s">
        <v>46</v>
      </c>
      <c r="E368" s="59" t="s">
        <v>257</v>
      </c>
      <c r="F368" s="27">
        <v>18</v>
      </c>
      <c r="G368" s="28">
        <f t="shared" si="81"/>
        <v>75.600000000000009</v>
      </c>
      <c r="H368" s="26" t="s">
        <v>20</v>
      </c>
      <c r="I368" s="26" t="s">
        <v>57</v>
      </c>
      <c r="J368" s="26" t="s">
        <v>51</v>
      </c>
      <c r="K368" s="29" t="s">
        <v>372</v>
      </c>
      <c r="L368" s="29">
        <v>0.89583333333333337</v>
      </c>
      <c r="M368" s="30" t="str">
        <f t="shared" ca="1" si="82"/>
        <v/>
      </c>
      <c r="N368" s="27"/>
      <c r="O368" s="60"/>
    </row>
    <row r="369" spans="1:15" ht="15" customHeight="1">
      <c r="A369" s="69">
        <v>46217</v>
      </c>
      <c r="B369" s="32">
        <f t="shared" si="83"/>
        <v>0.95833333333333293</v>
      </c>
      <c r="C369" s="26" t="s">
        <v>29</v>
      </c>
      <c r="D369" s="59" t="s">
        <v>30</v>
      </c>
      <c r="E369" s="59" t="s">
        <v>257</v>
      </c>
      <c r="F369" s="27">
        <v>22</v>
      </c>
      <c r="G369" s="34">
        <f t="shared" si="81"/>
        <v>92.4</v>
      </c>
      <c r="H369" s="33" t="s">
        <v>20</v>
      </c>
      <c r="I369" s="33" t="s">
        <v>57</v>
      </c>
      <c r="J369" s="33" t="s">
        <v>51</v>
      </c>
      <c r="K369" s="29">
        <v>0.90208333333333335</v>
      </c>
      <c r="L369" s="29">
        <v>0.90555555555555556</v>
      </c>
      <c r="M369" s="35">
        <f t="shared" ca="1" si="82"/>
        <v>3.4722222222222099E-3</v>
      </c>
      <c r="N369" s="27"/>
      <c r="O369" s="60"/>
    </row>
    <row r="370" spans="1:15" ht="15" customHeight="1">
      <c r="A370" s="68">
        <v>46217</v>
      </c>
      <c r="B370" s="25">
        <f t="shared" si="83"/>
        <v>0.99999999999999956</v>
      </c>
      <c r="C370" s="26" t="s">
        <v>29</v>
      </c>
      <c r="D370" s="59" t="s">
        <v>30</v>
      </c>
      <c r="E370" s="59" t="s">
        <v>257</v>
      </c>
      <c r="F370" s="27">
        <v>13</v>
      </c>
      <c r="G370" s="28">
        <f t="shared" si="81"/>
        <v>54.6</v>
      </c>
      <c r="H370" s="26" t="s">
        <v>20</v>
      </c>
      <c r="I370" s="26" t="s">
        <v>52</v>
      </c>
      <c r="J370" s="26" t="s">
        <v>28</v>
      </c>
      <c r="K370" s="29">
        <v>0.92013888888888884</v>
      </c>
      <c r="L370" s="29">
        <v>0.92361111111111116</v>
      </c>
      <c r="M370" s="30">
        <f t="shared" ca="1" si="82"/>
        <v>3.4722222222223209E-3</v>
      </c>
      <c r="N370" s="27"/>
      <c r="O370" s="60"/>
    </row>
    <row r="371" spans="1:15" ht="15" customHeight="1">
      <c r="A371" s="69">
        <v>46217</v>
      </c>
      <c r="B371" s="32">
        <f t="shared" si="83"/>
        <v>1.0416666666666663</v>
      </c>
      <c r="C371" s="26" t="s">
        <v>29</v>
      </c>
      <c r="D371" s="59" t="s">
        <v>30</v>
      </c>
      <c r="E371" s="59" t="s">
        <v>257</v>
      </c>
      <c r="F371" s="27">
        <v>22</v>
      </c>
      <c r="G371" s="34">
        <f t="shared" si="81"/>
        <v>92.4</v>
      </c>
      <c r="H371" s="33" t="s">
        <v>20</v>
      </c>
      <c r="I371" s="33" t="s">
        <v>57</v>
      </c>
      <c r="J371" s="33" t="s">
        <v>36</v>
      </c>
      <c r="K371" s="29">
        <v>0.98124999999999996</v>
      </c>
      <c r="L371" s="29">
        <v>0.99097222222222225</v>
      </c>
      <c r="M371" s="35">
        <f t="shared" ca="1" si="82"/>
        <v>9.7222222222222987E-3</v>
      </c>
      <c r="N371" s="27"/>
      <c r="O371" s="60"/>
    </row>
    <row r="372" spans="1:15" ht="15" customHeight="1">
      <c r="A372" s="68">
        <v>46217</v>
      </c>
      <c r="B372" s="25">
        <f t="shared" si="83"/>
        <v>1.083333333333333</v>
      </c>
      <c r="C372" s="26" t="s">
        <v>29</v>
      </c>
      <c r="D372" s="59" t="s">
        <v>30</v>
      </c>
      <c r="E372" s="59" t="s">
        <v>257</v>
      </c>
      <c r="F372" s="27">
        <v>15</v>
      </c>
      <c r="G372" s="28">
        <f t="shared" si="81"/>
        <v>63</v>
      </c>
      <c r="H372" s="26" t="s">
        <v>20</v>
      </c>
      <c r="I372" s="26" t="s">
        <v>57</v>
      </c>
      <c r="J372" s="26" t="s">
        <v>51</v>
      </c>
      <c r="K372" s="29">
        <v>2.0833333333333333E-3</v>
      </c>
      <c r="L372" s="29">
        <v>5.5555555555555558E-3</v>
      </c>
      <c r="M372" s="30">
        <f t="shared" ca="1" si="82"/>
        <v>3.4722222222222225E-3</v>
      </c>
      <c r="N372" s="27"/>
      <c r="O372" s="60"/>
    </row>
    <row r="373" spans="1:15" ht="15" customHeight="1">
      <c r="A373" s="69">
        <v>46217</v>
      </c>
      <c r="B373" s="32">
        <f t="shared" si="83"/>
        <v>1.1249999999999998</v>
      </c>
      <c r="C373" s="26" t="s">
        <v>29</v>
      </c>
      <c r="D373" s="59" t="s">
        <v>30</v>
      </c>
      <c r="E373" s="59" t="s">
        <v>257</v>
      </c>
      <c r="F373" s="27">
        <v>17</v>
      </c>
      <c r="G373" s="34">
        <f t="shared" si="81"/>
        <v>71.400000000000006</v>
      </c>
      <c r="H373" s="33" t="s">
        <v>20</v>
      </c>
      <c r="I373" s="33" t="s">
        <v>57</v>
      </c>
      <c r="J373" s="33" t="s">
        <v>62</v>
      </c>
      <c r="K373" s="29">
        <v>0.10138888888888889</v>
      </c>
      <c r="L373" s="29">
        <v>0.10625</v>
      </c>
      <c r="M373" s="35">
        <f t="shared" ca="1" si="82"/>
        <v>4.8611111111111077E-3</v>
      </c>
      <c r="N373" s="27"/>
      <c r="O373" s="60"/>
    </row>
    <row r="374" spans="1:15" ht="15" customHeight="1">
      <c r="A374" s="68">
        <v>46217</v>
      </c>
      <c r="B374" s="25">
        <f t="shared" si="83"/>
        <v>1.1666666666666665</v>
      </c>
      <c r="C374" s="26" t="s">
        <v>29</v>
      </c>
      <c r="D374" s="59" t="s">
        <v>30</v>
      </c>
      <c r="E374" s="59" t="s">
        <v>257</v>
      </c>
      <c r="F374" s="27">
        <v>2</v>
      </c>
      <c r="G374" s="28">
        <f t="shared" si="81"/>
        <v>8.4</v>
      </c>
      <c r="H374" s="26" t="s">
        <v>19</v>
      </c>
      <c r="I374" s="26" t="s">
        <v>52</v>
      </c>
      <c r="J374" s="26" t="s">
        <v>27</v>
      </c>
      <c r="K374" s="29">
        <v>0.12013888888888889</v>
      </c>
      <c r="L374" s="29">
        <v>0.13055555555555556</v>
      </c>
      <c r="M374" s="30">
        <f t="shared" ca="1" si="82"/>
        <v>1.0416666666666671E-2</v>
      </c>
      <c r="N374" s="27"/>
      <c r="O374" s="60"/>
    </row>
    <row r="375" spans="1:15" ht="15" customHeight="1">
      <c r="A375" s="69">
        <v>46217</v>
      </c>
      <c r="B375" s="32">
        <f t="shared" si="83"/>
        <v>1.2083333333333333</v>
      </c>
      <c r="C375" s="26" t="s">
        <v>29</v>
      </c>
      <c r="D375" s="59" t="s">
        <v>30</v>
      </c>
      <c r="E375" s="59" t="s">
        <v>257</v>
      </c>
      <c r="F375" s="27">
        <v>10</v>
      </c>
      <c r="G375" s="34">
        <f t="shared" si="81"/>
        <v>42</v>
      </c>
      <c r="H375" s="33" t="s">
        <v>18</v>
      </c>
      <c r="I375" s="33" t="s">
        <v>52</v>
      </c>
      <c r="J375" s="33" t="s">
        <v>118</v>
      </c>
      <c r="K375" s="29">
        <v>0.13055555555555556</v>
      </c>
      <c r="L375" s="29">
        <v>0.13958333333333334</v>
      </c>
      <c r="M375" s="35">
        <f t="shared" ca="1" si="82"/>
        <v>9.0277777777777735E-3</v>
      </c>
      <c r="N375" s="27"/>
      <c r="O375" s="60"/>
    </row>
    <row r="376" spans="1:15" ht="15" customHeight="1">
      <c r="A376" s="68">
        <v>46217</v>
      </c>
      <c r="B376" s="25">
        <f t="shared" si="83"/>
        <v>1.25</v>
      </c>
      <c r="C376" s="26" t="s">
        <v>29</v>
      </c>
      <c r="D376" s="59" t="s">
        <v>30</v>
      </c>
      <c r="E376" s="59" t="s">
        <v>257</v>
      </c>
      <c r="F376" s="27"/>
      <c r="G376" s="28" t="str">
        <f t="shared" si="81"/>
        <v/>
      </c>
      <c r="H376" s="26" t="s">
        <v>19</v>
      </c>
      <c r="I376" s="26" t="s">
        <v>52</v>
      </c>
      <c r="J376" s="26" t="s">
        <v>27</v>
      </c>
      <c r="K376" s="29">
        <v>0.14722222222222223</v>
      </c>
      <c r="L376" s="29">
        <v>0.17222222222222222</v>
      </c>
      <c r="M376" s="30">
        <f t="shared" ca="1" si="82"/>
        <v>2.4999999999999994E-2</v>
      </c>
      <c r="N376" s="27"/>
      <c r="O376" s="60"/>
    </row>
    <row r="377" spans="1:15" ht="15" customHeight="1">
      <c r="A377" s="69">
        <v>46217</v>
      </c>
      <c r="B377" s="32">
        <f t="shared" si="83"/>
        <v>1.2916666666666667</v>
      </c>
      <c r="C377" s="26" t="s">
        <v>29</v>
      </c>
      <c r="D377" s="59" t="s">
        <v>30</v>
      </c>
      <c r="E377" s="59" t="s">
        <v>257</v>
      </c>
      <c r="F377" s="27">
        <v>3</v>
      </c>
      <c r="G377" s="34">
        <f t="shared" si="81"/>
        <v>12.600000000000001</v>
      </c>
      <c r="H377" s="33" t="s">
        <v>18</v>
      </c>
      <c r="I377" s="33" t="s">
        <v>52</v>
      </c>
      <c r="J377" s="33" t="s">
        <v>34</v>
      </c>
      <c r="K377" s="29">
        <v>0.20347222222222222</v>
      </c>
      <c r="L377" s="29">
        <v>0.29166666666666669</v>
      </c>
      <c r="M377" s="35">
        <f t="shared" ca="1" si="82"/>
        <v>8.8194444444444464E-2</v>
      </c>
      <c r="N377" s="27"/>
      <c r="O377" s="60"/>
    </row>
    <row r="378" spans="1:15" ht="15.75" customHeight="1">
      <c r="A378" s="99" t="s">
        <v>234</v>
      </c>
      <c r="B378" s="100"/>
      <c r="C378" s="100"/>
      <c r="D378" s="100"/>
      <c r="E378" s="101">
        <f>SUM(E366:E377)</f>
        <v>0</v>
      </c>
      <c r="F378" s="36">
        <f>SUM(F366:F377)</f>
        <v>154</v>
      </c>
      <c r="G378" s="36">
        <f>SUM(G366:G377)</f>
        <v>646.79999999999995</v>
      </c>
      <c r="H378" s="37"/>
      <c r="I378" s="37"/>
      <c r="J378" s="37"/>
      <c r="K378" s="61"/>
      <c r="L378" s="61"/>
      <c r="M378" s="38">
        <f ca="1">IFERROR(SUM(M366:M377),"")</f>
        <v>0.1750000000000001</v>
      </c>
      <c r="N378" s="36" t="s">
        <v>233</v>
      </c>
      <c r="O378" s="39">
        <v>704750</v>
      </c>
    </row>
    <row r="379" spans="1:15" ht="18" customHeight="1">
      <c r="A379" s="102" t="s">
        <v>235</v>
      </c>
      <c r="B379" s="103"/>
      <c r="C379" s="103"/>
      <c r="D379" s="103"/>
      <c r="E379" s="104">
        <f>E365+E378</f>
        <v>0</v>
      </c>
      <c r="F379" s="40">
        <f>F365+F378</f>
        <v>279</v>
      </c>
      <c r="G379" s="40">
        <f>G365+G378</f>
        <v>1171.8</v>
      </c>
      <c r="H379" s="41"/>
      <c r="I379" s="41"/>
      <c r="J379" s="41"/>
      <c r="K379" s="63"/>
      <c r="L379" s="63"/>
      <c r="M379" s="42">
        <f ca="1">IFERROR(M365+M378,"")</f>
        <v>0.27986111111111128</v>
      </c>
      <c r="N379" s="40" t="s">
        <v>236</v>
      </c>
      <c r="O379" s="48">
        <f>IFERROR(O365+O378,"")</f>
        <v>1302680</v>
      </c>
    </row>
    <row r="380" spans="1:15" ht="15" customHeight="1">
      <c r="A380" s="68">
        <v>46218</v>
      </c>
      <c r="B380" s="25">
        <v>0.33333333333333298</v>
      </c>
      <c r="C380" s="26" t="s">
        <v>45</v>
      </c>
      <c r="D380" s="59" t="s">
        <v>30</v>
      </c>
      <c r="E380" s="59" t="s">
        <v>257</v>
      </c>
      <c r="F380" s="27">
        <v>3</v>
      </c>
      <c r="G380" s="28">
        <f t="shared" ref="G380:G391" si="84">IF(F380="","",IF(E380="PC 17",F380*4.2,IF(E380="PC 19",F380*5,"")))</f>
        <v>12.600000000000001</v>
      </c>
      <c r="H380" s="26" t="s">
        <v>20</v>
      </c>
      <c r="I380" s="26" t="s">
        <v>52</v>
      </c>
      <c r="J380" s="26" t="s">
        <v>28</v>
      </c>
      <c r="K380" s="29">
        <v>0.32291666666666669</v>
      </c>
      <c r="L380" s="29">
        <v>0.33680555555555558</v>
      </c>
      <c r="M380" s="30">
        <f t="shared" ref="M380:M391" ca="1" si="85">IFERROR(IF(K380="","",IF(L380="",MOD(NOW()-K380,1),IF(L380&gt;=K380,L380-K380,L380+1-K380))),"")</f>
        <v>1.3888888888888895E-2</v>
      </c>
      <c r="N380" s="27" t="s">
        <v>373</v>
      </c>
      <c r="O380" s="60"/>
    </row>
    <row r="381" spans="1:15" ht="15" customHeight="1">
      <c r="A381" s="69">
        <v>46218</v>
      </c>
      <c r="B381" s="32">
        <f t="shared" ref="B381:B391" si="86">B380+TIME(0,60,0)</f>
        <v>0.37499999999999967</v>
      </c>
      <c r="C381" s="26" t="s">
        <v>45</v>
      </c>
      <c r="D381" s="59" t="s">
        <v>30</v>
      </c>
      <c r="E381" s="59" t="s">
        <v>257</v>
      </c>
      <c r="F381" s="27">
        <v>10</v>
      </c>
      <c r="G381" s="34">
        <f t="shared" si="84"/>
        <v>42</v>
      </c>
      <c r="H381" s="33" t="s">
        <v>20</v>
      </c>
      <c r="I381" s="33" t="s">
        <v>57</v>
      </c>
      <c r="J381" s="33" t="s">
        <v>28</v>
      </c>
      <c r="K381" s="29">
        <v>0.37222222222222223</v>
      </c>
      <c r="L381" s="29">
        <v>0.3888888888888889</v>
      </c>
      <c r="M381" s="35">
        <f t="shared" ca="1" si="85"/>
        <v>1.6666666666666663E-2</v>
      </c>
      <c r="N381" s="27"/>
      <c r="O381" s="60"/>
    </row>
    <row r="382" spans="1:15" ht="15" customHeight="1">
      <c r="A382" s="68">
        <v>46218</v>
      </c>
      <c r="B382" s="25">
        <f t="shared" si="86"/>
        <v>0.41666666666666635</v>
      </c>
      <c r="C382" s="26" t="s">
        <v>45</v>
      </c>
      <c r="D382" s="59" t="s">
        <v>30</v>
      </c>
      <c r="E382" s="59" t="s">
        <v>257</v>
      </c>
      <c r="F382" s="27">
        <v>17</v>
      </c>
      <c r="G382" s="28">
        <f t="shared" si="84"/>
        <v>71.400000000000006</v>
      </c>
      <c r="H382" s="26" t="s">
        <v>18</v>
      </c>
      <c r="I382" s="26" t="s">
        <v>52</v>
      </c>
      <c r="J382" s="33" t="s">
        <v>34</v>
      </c>
      <c r="K382" s="29">
        <v>0.3888888888888889</v>
      </c>
      <c r="L382" s="29">
        <v>0.5</v>
      </c>
      <c r="M382" s="30">
        <f t="shared" ca="1" si="85"/>
        <v>0.1111111111111111</v>
      </c>
      <c r="N382" s="27" t="s">
        <v>360</v>
      </c>
      <c r="O382" s="60"/>
    </row>
    <row r="383" spans="1:15" ht="15" customHeight="1">
      <c r="A383" s="69">
        <v>46218</v>
      </c>
      <c r="B383" s="32">
        <f t="shared" si="86"/>
        <v>0.45833333333333304</v>
      </c>
      <c r="C383" s="26" t="s">
        <v>45</v>
      </c>
      <c r="D383" s="59" t="s">
        <v>30</v>
      </c>
      <c r="E383" s="59" t="s">
        <v>257</v>
      </c>
      <c r="F383" s="27">
        <v>0</v>
      </c>
      <c r="G383" s="34">
        <f t="shared" si="84"/>
        <v>0</v>
      </c>
      <c r="H383" s="33" t="s">
        <v>18</v>
      </c>
      <c r="I383" s="33" t="s">
        <v>137</v>
      </c>
      <c r="J383" s="33" t="s">
        <v>127</v>
      </c>
      <c r="K383" s="29">
        <v>0.66249999999999998</v>
      </c>
      <c r="L383" s="29">
        <v>0.70347222222222228</v>
      </c>
      <c r="M383" s="35">
        <f t="shared" ca="1" si="85"/>
        <v>4.0972222222222299E-2</v>
      </c>
      <c r="N383" s="27"/>
      <c r="O383" s="60"/>
    </row>
    <row r="384" spans="1:15" ht="15" customHeight="1">
      <c r="A384" s="68">
        <v>46218</v>
      </c>
      <c r="B384" s="25">
        <f t="shared" si="86"/>
        <v>0.49999999999999972</v>
      </c>
      <c r="C384" s="26" t="s">
        <v>45</v>
      </c>
      <c r="D384" s="59" t="s">
        <v>30</v>
      </c>
      <c r="E384" s="59" t="s">
        <v>257</v>
      </c>
      <c r="F384" s="27">
        <v>0</v>
      </c>
      <c r="G384" s="28">
        <f t="shared" si="84"/>
        <v>0</v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69">
        <v>46218</v>
      </c>
      <c r="B385" s="32">
        <f t="shared" si="86"/>
        <v>0.54166666666666641</v>
      </c>
      <c r="C385" s="26" t="s">
        <v>45</v>
      </c>
      <c r="D385" s="59" t="s">
        <v>30</v>
      </c>
      <c r="E385" s="59" t="s">
        <v>257</v>
      </c>
      <c r="F385" s="27">
        <v>25</v>
      </c>
      <c r="G385" s="34">
        <f t="shared" si="84"/>
        <v>105</v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8">
        <v>46218</v>
      </c>
      <c r="B386" s="25">
        <f t="shared" si="86"/>
        <v>0.58333333333333304</v>
      </c>
      <c r="C386" s="26" t="s">
        <v>45</v>
      </c>
      <c r="D386" s="59" t="s">
        <v>30</v>
      </c>
      <c r="E386" s="59" t="s">
        <v>257</v>
      </c>
      <c r="F386" s="27">
        <v>23</v>
      </c>
      <c r="G386" s="28">
        <f t="shared" si="84"/>
        <v>96.600000000000009</v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69">
        <v>46218</v>
      </c>
      <c r="B387" s="32">
        <f t="shared" si="86"/>
        <v>0.62499999999999967</v>
      </c>
      <c r="C387" s="26" t="s">
        <v>45</v>
      </c>
      <c r="D387" s="59" t="s">
        <v>30</v>
      </c>
      <c r="E387" s="59" t="s">
        <v>257</v>
      </c>
      <c r="F387" s="27">
        <v>23</v>
      </c>
      <c r="G387" s="34">
        <f t="shared" si="84"/>
        <v>96.600000000000009</v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8">
        <v>46218</v>
      </c>
      <c r="B388" s="25">
        <f t="shared" si="86"/>
        <v>0.6666666666666663</v>
      </c>
      <c r="C388" s="26" t="s">
        <v>45</v>
      </c>
      <c r="D388" s="59" t="s">
        <v>30</v>
      </c>
      <c r="E388" s="59" t="s">
        <v>257</v>
      </c>
      <c r="F388" s="27">
        <v>17</v>
      </c>
      <c r="G388" s="28">
        <f t="shared" si="84"/>
        <v>71.400000000000006</v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69">
        <v>46218</v>
      </c>
      <c r="B389" s="32">
        <f t="shared" si="86"/>
        <v>0.70833333333333293</v>
      </c>
      <c r="C389" s="26" t="s">
        <v>45</v>
      </c>
      <c r="D389" s="59" t="s">
        <v>30</v>
      </c>
      <c r="E389" s="59" t="s">
        <v>257</v>
      </c>
      <c r="F389" s="27">
        <v>1</v>
      </c>
      <c r="G389" s="34">
        <f t="shared" si="84"/>
        <v>4.2</v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8">
        <v>46218</v>
      </c>
      <c r="B390" s="25">
        <f t="shared" si="86"/>
        <v>0.74999999999999956</v>
      </c>
      <c r="C390" s="26" t="s">
        <v>45</v>
      </c>
      <c r="D390" s="59" t="s">
        <v>30</v>
      </c>
      <c r="E390" s="59" t="s">
        <v>257</v>
      </c>
      <c r="F390" s="27">
        <v>17</v>
      </c>
      <c r="G390" s="28">
        <f t="shared" si="84"/>
        <v>71.400000000000006</v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69">
        <v>46218</v>
      </c>
      <c r="B391" s="32">
        <f t="shared" si="86"/>
        <v>0.79166666666666619</v>
      </c>
      <c r="C391" s="26" t="s">
        <v>45</v>
      </c>
      <c r="D391" s="59" t="s">
        <v>30</v>
      </c>
      <c r="E391" s="59" t="s">
        <v>257</v>
      </c>
      <c r="F391" s="27">
        <v>7</v>
      </c>
      <c r="G391" s="34">
        <f t="shared" si="84"/>
        <v>29.400000000000002</v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9" t="s">
        <v>232</v>
      </c>
      <c r="B392" s="100"/>
      <c r="C392" s="100"/>
      <c r="D392" s="100"/>
      <c r="E392" s="101">
        <f>SUM(E380:E391)</f>
        <v>0</v>
      </c>
      <c r="F392" s="36">
        <f>SUM(F380:F391)</f>
        <v>143</v>
      </c>
      <c r="G392" s="36">
        <f>SUM(G380:G391)</f>
        <v>600.6</v>
      </c>
      <c r="H392" s="37"/>
      <c r="I392" s="37"/>
      <c r="J392" s="37"/>
      <c r="K392" s="61"/>
      <c r="L392" s="61"/>
      <c r="M392" s="38">
        <f ca="1">IFERROR(SUM(M380:M391),"")</f>
        <v>0.18263888888888896</v>
      </c>
      <c r="N392" s="36" t="s">
        <v>233</v>
      </c>
      <c r="O392" s="39">
        <v>565570</v>
      </c>
    </row>
    <row r="393" spans="1:15" ht="15" customHeight="1">
      <c r="A393" s="69">
        <v>46218</v>
      </c>
      <c r="B393" s="32">
        <v>0.83333333333333304</v>
      </c>
      <c r="C393" s="33" t="s">
        <v>29</v>
      </c>
      <c r="D393" s="62" t="s">
        <v>30</v>
      </c>
      <c r="E393" s="62" t="s">
        <v>230</v>
      </c>
      <c r="F393" s="27">
        <v>25</v>
      </c>
      <c r="G393" s="34">
        <f t="shared" ref="G393:G404" si="87">IF(F393="","",IF(E393="PC 17",F393*4.2,IF(E393="PC 19",F393*5,"")))</f>
        <v>125</v>
      </c>
      <c r="H393" s="33" t="s">
        <v>19</v>
      </c>
      <c r="I393" s="33" t="s">
        <v>159</v>
      </c>
      <c r="J393" s="33" t="s">
        <v>27</v>
      </c>
      <c r="K393" s="29">
        <v>0.85416666666666663</v>
      </c>
      <c r="L393" s="29">
        <v>0.87083333333333335</v>
      </c>
      <c r="M393" s="35">
        <f t="shared" ref="M393:M404" ca="1" si="88">IFERROR(IF(K393="","",IF(L393="",MOD(NOW()-K393,1),IF(L393&gt;=K393,L393-K393,L393+1-K393))),"")</f>
        <v>1.6666666666666718E-2</v>
      </c>
      <c r="N393" s="27"/>
      <c r="O393" s="60"/>
    </row>
    <row r="394" spans="1:15" ht="15" customHeight="1">
      <c r="A394" s="68">
        <v>46218</v>
      </c>
      <c r="B394" s="25">
        <f t="shared" ref="B394:B404" si="89">B393+TIME(0,60,0)</f>
        <v>0.87499999999999967</v>
      </c>
      <c r="C394" s="33" t="s">
        <v>29</v>
      </c>
      <c r="D394" s="62" t="s">
        <v>30</v>
      </c>
      <c r="E394" s="62" t="s">
        <v>257</v>
      </c>
      <c r="F394" s="27">
        <v>10</v>
      </c>
      <c r="G394" s="28">
        <f t="shared" si="87"/>
        <v>42</v>
      </c>
      <c r="H394" s="26" t="s">
        <v>20</v>
      </c>
      <c r="I394" s="26" t="s">
        <v>137</v>
      </c>
      <c r="J394" s="26" t="s">
        <v>180</v>
      </c>
      <c r="K394" s="29">
        <v>0.9770833333333333</v>
      </c>
      <c r="L394" s="29">
        <v>1.3194444444444444E-2</v>
      </c>
      <c r="M394" s="30">
        <f t="shared" ca="1" si="88"/>
        <v>3.6111111111111205E-2</v>
      </c>
      <c r="N394" s="27" t="s">
        <v>374</v>
      </c>
      <c r="O394" s="60"/>
    </row>
    <row r="395" spans="1:15" ht="15" customHeight="1">
      <c r="A395" s="69">
        <v>46218</v>
      </c>
      <c r="B395" s="32">
        <f t="shared" si="89"/>
        <v>0.9166666666666663</v>
      </c>
      <c r="C395" s="33" t="s">
        <v>29</v>
      </c>
      <c r="D395" s="62" t="s">
        <v>30</v>
      </c>
      <c r="E395" s="62" t="s">
        <v>257</v>
      </c>
      <c r="F395" s="27">
        <v>8</v>
      </c>
      <c r="G395" s="34">
        <f t="shared" si="87"/>
        <v>33.6</v>
      </c>
      <c r="H395" s="33" t="s">
        <v>17</v>
      </c>
      <c r="I395" s="33"/>
      <c r="J395" s="33" t="s">
        <v>25</v>
      </c>
      <c r="K395" s="29">
        <v>3.6805555555555557E-2</v>
      </c>
      <c r="L395" s="29">
        <v>4.9305555555555554E-2</v>
      </c>
      <c r="M395" s="35">
        <f t="shared" ca="1" si="88"/>
        <v>1.2499999999999997E-2</v>
      </c>
      <c r="N395" s="29"/>
      <c r="O395" s="60"/>
    </row>
    <row r="396" spans="1:15" ht="15" customHeight="1">
      <c r="A396" s="68">
        <v>46218</v>
      </c>
      <c r="B396" s="25">
        <f t="shared" si="89"/>
        <v>0.95833333333333293</v>
      </c>
      <c r="C396" s="33" t="s">
        <v>29</v>
      </c>
      <c r="D396" s="62" t="s">
        <v>30</v>
      </c>
      <c r="E396" s="62" t="s">
        <v>257</v>
      </c>
      <c r="F396" s="27">
        <v>21</v>
      </c>
      <c r="G396" s="28">
        <f t="shared" si="87"/>
        <v>88.2</v>
      </c>
      <c r="H396" s="26" t="s">
        <v>16</v>
      </c>
      <c r="I396" s="26" t="s">
        <v>159</v>
      </c>
      <c r="J396" s="26" t="s">
        <v>40</v>
      </c>
      <c r="K396" s="29">
        <v>4.9305555555555554E-2</v>
      </c>
      <c r="L396" s="29">
        <v>6.5972222222222224E-2</v>
      </c>
      <c r="M396" s="30">
        <f t="shared" ca="1" si="88"/>
        <v>1.666666666666667E-2</v>
      </c>
      <c r="N396" s="27"/>
      <c r="O396" s="60"/>
    </row>
    <row r="397" spans="1:15" ht="15" customHeight="1">
      <c r="A397" s="69">
        <v>46218</v>
      </c>
      <c r="B397" s="32">
        <f t="shared" si="89"/>
        <v>0.99999999999999956</v>
      </c>
      <c r="C397" s="33" t="s">
        <v>29</v>
      </c>
      <c r="D397" s="62" t="s">
        <v>30</v>
      </c>
      <c r="E397" s="62" t="s">
        <v>257</v>
      </c>
      <c r="F397" s="27">
        <v>11</v>
      </c>
      <c r="G397" s="34">
        <f t="shared" si="87"/>
        <v>46.2</v>
      </c>
      <c r="H397" s="33" t="s">
        <v>19</v>
      </c>
      <c r="I397" s="33" t="s">
        <v>52</v>
      </c>
      <c r="J397" s="33" t="s">
        <v>35</v>
      </c>
      <c r="K397" s="29">
        <v>0.11041666666666666</v>
      </c>
      <c r="L397" s="29">
        <v>0.12013888888888889</v>
      </c>
      <c r="M397" s="35">
        <f t="shared" ca="1" si="88"/>
        <v>9.7222222222222293E-3</v>
      </c>
      <c r="N397" s="27"/>
      <c r="O397" s="60"/>
    </row>
    <row r="398" spans="1:15" ht="15" customHeight="1">
      <c r="A398" s="68">
        <v>46218</v>
      </c>
      <c r="B398" s="25">
        <f t="shared" si="89"/>
        <v>1.0416666666666663</v>
      </c>
      <c r="C398" s="33" t="s">
        <v>29</v>
      </c>
      <c r="D398" s="62" t="s">
        <v>30</v>
      </c>
      <c r="E398" s="62" t="s">
        <v>257</v>
      </c>
      <c r="F398" s="27">
        <v>15</v>
      </c>
      <c r="G398" s="28">
        <f t="shared" si="87"/>
        <v>63</v>
      </c>
      <c r="H398" s="26" t="s">
        <v>19</v>
      </c>
      <c r="I398" s="26" t="s">
        <v>159</v>
      </c>
      <c r="J398" s="26" t="s">
        <v>27</v>
      </c>
      <c r="K398" s="29">
        <v>0.23125000000000001</v>
      </c>
      <c r="L398" s="29">
        <v>0.24791666666666667</v>
      </c>
      <c r="M398" s="30">
        <f t="shared" ca="1" si="88"/>
        <v>1.6666666666666663E-2</v>
      </c>
      <c r="N398" s="27" t="s">
        <v>375</v>
      </c>
      <c r="O398" s="60"/>
    </row>
    <row r="399" spans="1:15" ht="15" customHeight="1">
      <c r="A399" s="69">
        <v>46218</v>
      </c>
      <c r="B399" s="32">
        <f t="shared" si="89"/>
        <v>1.083333333333333</v>
      </c>
      <c r="C399" s="33" t="s">
        <v>29</v>
      </c>
      <c r="D399" s="62" t="s">
        <v>30</v>
      </c>
      <c r="E399" s="62" t="s">
        <v>257</v>
      </c>
      <c r="F399" s="27">
        <v>10</v>
      </c>
      <c r="G399" s="34">
        <f t="shared" si="87"/>
        <v>42</v>
      </c>
      <c r="H399" s="33" t="s">
        <v>16</v>
      </c>
      <c r="I399" s="33" t="s">
        <v>63</v>
      </c>
      <c r="J399" s="33" t="s">
        <v>86</v>
      </c>
      <c r="K399" s="29">
        <v>0.25763888888888886</v>
      </c>
      <c r="L399" s="29">
        <v>0.29166666666666669</v>
      </c>
      <c r="M399" s="35">
        <f t="shared" ca="1" si="88"/>
        <v>3.4027777777777823E-2</v>
      </c>
      <c r="N399" s="27"/>
      <c r="O399" s="60"/>
    </row>
    <row r="400" spans="1:15" ht="15" customHeight="1">
      <c r="A400" s="68">
        <v>46218</v>
      </c>
      <c r="B400" s="25">
        <f t="shared" si="89"/>
        <v>1.1249999999999998</v>
      </c>
      <c r="C400" s="33" t="s">
        <v>29</v>
      </c>
      <c r="D400" s="62" t="s">
        <v>30</v>
      </c>
      <c r="E400" s="62" t="s">
        <v>257</v>
      </c>
      <c r="F400" s="27">
        <v>13</v>
      </c>
      <c r="G400" s="28">
        <f t="shared" si="87"/>
        <v>54.6</v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69">
        <v>46218</v>
      </c>
      <c r="B401" s="32">
        <f t="shared" si="89"/>
        <v>1.1666666666666665</v>
      </c>
      <c r="C401" s="33" t="s">
        <v>29</v>
      </c>
      <c r="D401" s="62" t="s">
        <v>30</v>
      </c>
      <c r="E401" s="62" t="s">
        <v>257</v>
      </c>
      <c r="F401" s="27">
        <v>11</v>
      </c>
      <c r="G401" s="34">
        <f t="shared" si="87"/>
        <v>46.2</v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8">
        <v>46218</v>
      </c>
      <c r="B402" s="25">
        <f t="shared" si="89"/>
        <v>1.2083333333333333</v>
      </c>
      <c r="C402" s="33" t="s">
        <v>29</v>
      </c>
      <c r="D402" s="62" t="s">
        <v>30</v>
      </c>
      <c r="E402" s="62" t="s">
        <v>257</v>
      </c>
      <c r="F402" s="27">
        <v>18</v>
      </c>
      <c r="G402" s="28">
        <f t="shared" si="87"/>
        <v>75.600000000000009</v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69">
        <v>46218</v>
      </c>
      <c r="B403" s="32">
        <f t="shared" si="89"/>
        <v>1.25</v>
      </c>
      <c r="C403" s="33" t="s">
        <v>29</v>
      </c>
      <c r="D403" s="62" t="s">
        <v>30</v>
      </c>
      <c r="E403" s="62" t="s">
        <v>257</v>
      </c>
      <c r="F403" s="27">
        <v>0</v>
      </c>
      <c r="G403" s="34">
        <f t="shared" si="87"/>
        <v>0</v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8">
        <v>46218</v>
      </c>
      <c r="B404" s="25">
        <f t="shared" si="89"/>
        <v>1.2916666666666667</v>
      </c>
      <c r="C404" s="33" t="s">
        <v>29</v>
      </c>
      <c r="D404" s="62" t="s">
        <v>30</v>
      </c>
      <c r="E404" s="62" t="s">
        <v>257</v>
      </c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9" t="s">
        <v>234</v>
      </c>
      <c r="B405" s="100"/>
      <c r="C405" s="100"/>
      <c r="D405" s="100"/>
      <c r="E405" s="101">
        <f>SUM(E393:E404)</f>
        <v>0</v>
      </c>
      <c r="F405" s="36">
        <f>SUM(F393:F404)</f>
        <v>142</v>
      </c>
      <c r="G405" s="36">
        <f>SUM(G393:G404)</f>
        <v>616.40000000000009</v>
      </c>
      <c r="H405" s="37"/>
      <c r="I405" s="37"/>
      <c r="J405" s="37"/>
      <c r="K405" s="61"/>
      <c r="L405" s="61"/>
      <c r="M405" s="38">
        <f ca="1">IFERROR(SUM(M393:M404),"")</f>
        <v>0.14236111111111133</v>
      </c>
      <c r="N405" s="36" t="s">
        <v>233</v>
      </c>
      <c r="O405" s="39">
        <v>958130</v>
      </c>
    </row>
    <row r="406" spans="1:15" ht="18" customHeight="1">
      <c r="A406" s="102" t="s">
        <v>235</v>
      </c>
      <c r="B406" s="103"/>
      <c r="C406" s="103"/>
      <c r="D406" s="103"/>
      <c r="E406" s="104">
        <f>E392+E405</f>
        <v>0</v>
      </c>
      <c r="F406" s="40">
        <f>F392+F405</f>
        <v>285</v>
      </c>
      <c r="G406" s="40">
        <f>G392+G405</f>
        <v>1217</v>
      </c>
      <c r="H406" s="41"/>
      <c r="I406" s="41"/>
      <c r="J406" s="41"/>
      <c r="K406" s="63"/>
      <c r="L406" s="63"/>
      <c r="M406" s="42">
        <f ca="1">IFERROR(M392+M405,"")</f>
        <v>0.32500000000000029</v>
      </c>
      <c r="N406" s="40" t="s">
        <v>236</v>
      </c>
      <c r="O406" s="48">
        <f>IFERROR(O392+O405,"")</f>
        <v>1523700</v>
      </c>
    </row>
    <row r="407" spans="1:15" ht="15" customHeight="1">
      <c r="A407" s="69">
        <v>46219</v>
      </c>
      <c r="B407" s="32">
        <v>0.33333333333333298</v>
      </c>
      <c r="C407" s="33" t="s">
        <v>45</v>
      </c>
      <c r="D407" s="62" t="s">
        <v>30</v>
      </c>
      <c r="E407" s="62" t="s">
        <v>257</v>
      </c>
      <c r="F407" s="27">
        <v>5</v>
      </c>
      <c r="G407" s="34">
        <f t="shared" ref="G407:G418" si="90">IF(F407="","",IF(E407="PC 17",F407*4.2,IF(E407="PC 19",F407*5,"")))</f>
        <v>21</v>
      </c>
      <c r="H407" s="33" t="s">
        <v>17</v>
      </c>
      <c r="I407" s="33" t="s">
        <v>75</v>
      </c>
      <c r="J407" s="33" t="s">
        <v>49</v>
      </c>
      <c r="K407" s="29">
        <v>0.29166666666666669</v>
      </c>
      <c r="L407" s="29">
        <v>0.32291666666666669</v>
      </c>
      <c r="M407" s="35">
        <f t="shared" ref="M407:M418" ca="1" si="91">IFERROR(IF(K407="","",IF(L407="",MOD(NOW()-K407,1),IF(L407&gt;=K407,L407-K407,L407+1-K407))),"")</f>
        <v>3.125E-2</v>
      </c>
      <c r="N407" s="27"/>
      <c r="O407" s="60"/>
    </row>
    <row r="408" spans="1:15" ht="15" customHeight="1">
      <c r="A408" s="68">
        <v>46219</v>
      </c>
      <c r="B408" s="25">
        <f t="shared" ref="B408:B418" si="92">B407+TIME(0,60,0)</f>
        <v>0.37499999999999967</v>
      </c>
      <c r="C408" s="33" t="s">
        <v>45</v>
      </c>
      <c r="D408" s="62" t="s">
        <v>30</v>
      </c>
      <c r="E408" s="62" t="s">
        <v>257</v>
      </c>
      <c r="F408" s="27">
        <v>0</v>
      </c>
      <c r="G408" s="28">
        <f t="shared" si="90"/>
        <v>0</v>
      </c>
      <c r="H408" s="26" t="s">
        <v>18</v>
      </c>
      <c r="I408" s="26" t="s">
        <v>52</v>
      </c>
      <c r="J408" s="26" t="s">
        <v>118</v>
      </c>
      <c r="K408" s="29">
        <v>0.34375</v>
      </c>
      <c r="L408" s="29">
        <v>0.39305555555555555</v>
      </c>
      <c r="M408" s="30">
        <f t="shared" ca="1" si="91"/>
        <v>4.9305555555555547E-2</v>
      </c>
      <c r="N408" s="27"/>
      <c r="O408" s="60"/>
    </row>
    <row r="409" spans="1:15" ht="15" customHeight="1">
      <c r="A409" s="69">
        <v>46219</v>
      </c>
      <c r="B409" s="32">
        <f t="shared" si="92"/>
        <v>0.41666666666666635</v>
      </c>
      <c r="C409" s="33" t="s">
        <v>45</v>
      </c>
      <c r="D409" s="62" t="s">
        <v>30</v>
      </c>
      <c r="E409" s="62" t="s">
        <v>257</v>
      </c>
      <c r="F409" s="27">
        <v>11</v>
      </c>
      <c r="G409" s="34">
        <f t="shared" si="90"/>
        <v>46.2</v>
      </c>
      <c r="H409" s="33" t="s">
        <v>17</v>
      </c>
      <c r="I409" s="33"/>
      <c r="J409" s="33" t="s">
        <v>25</v>
      </c>
      <c r="K409" s="29">
        <v>0.47569444444444442</v>
      </c>
      <c r="L409" s="29">
        <v>0.5</v>
      </c>
      <c r="M409" s="35">
        <f t="shared" ca="1" si="91"/>
        <v>2.430555555555558E-2</v>
      </c>
      <c r="N409" s="27"/>
      <c r="O409" s="60"/>
    </row>
    <row r="410" spans="1:15" ht="15" customHeight="1">
      <c r="A410" s="68">
        <v>46219</v>
      </c>
      <c r="B410" s="25">
        <f t="shared" si="92"/>
        <v>0.45833333333333304</v>
      </c>
      <c r="C410" s="33" t="s">
        <v>45</v>
      </c>
      <c r="D410" s="62" t="s">
        <v>30</v>
      </c>
      <c r="E410" s="62" t="s">
        <v>257</v>
      </c>
      <c r="F410" s="27">
        <v>12</v>
      </c>
      <c r="G410" s="28">
        <f t="shared" si="90"/>
        <v>50.400000000000006</v>
      </c>
      <c r="H410" s="26" t="s">
        <v>18</v>
      </c>
      <c r="I410" s="26" t="s">
        <v>137</v>
      </c>
      <c r="J410" s="26" t="s">
        <v>127</v>
      </c>
      <c r="K410" s="29">
        <v>0.61875000000000002</v>
      </c>
      <c r="L410" s="29">
        <v>0.68055555555555558</v>
      </c>
      <c r="M410" s="30">
        <f t="shared" ca="1" si="91"/>
        <v>6.1805555555555558E-2</v>
      </c>
      <c r="N410" s="27"/>
      <c r="O410" s="60"/>
    </row>
    <row r="411" spans="1:15" ht="15" customHeight="1">
      <c r="A411" s="69">
        <v>46219</v>
      </c>
      <c r="B411" s="32">
        <f t="shared" si="92"/>
        <v>0.49999999999999972</v>
      </c>
      <c r="C411" s="33" t="s">
        <v>45</v>
      </c>
      <c r="D411" s="62" t="s">
        <v>30</v>
      </c>
      <c r="E411" s="62" t="s">
        <v>257</v>
      </c>
      <c r="F411" s="27">
        <v>9</v>
      </c>
      <c r="G411" s="34">
        <f t="shared" si="90"/>
        <v>37.800000000000004</v>
      </c>
      <c r="H411" s="33" t="s">
        <v>17</v>
      </c>
      <c r="I411" s="33"/>
      <c r="J411" s="33" t="s">
        <v>25</v>
      </c>
      <c r="K411" s="29">
        <v>0.65694444444444444</v>
      </c>
      <c r="L411" s="29">
        <v>0.68055555555555558</v>
      </c>
      <c r="M411" s="35">
        <f t="shared" ca="1" si="91"/>
        <v>2.3611111111111138E-2</v>
      </c>
      <c r="N411" s="27"/>
      <c r="O411" s="60"/>
    </row>
    <row r="412" spans="1:15" ht="15" customHeight="1">
      <c r="A412" s="68">
        <v>46219</v>
      </c>
      <c r="B412" s="25">
        <f t="shared" si="92"/>
        <v>0.54166666666666641</v>
      </c>
      <c r="C412" s="33" t="s">
        <v>45</v>
      </c>
      <c r="D412" s="62" t="s">
        <v>30</v>
      </c>
      <c r="E412" s="62" t="s">
        <v>257</v>
      </c>
      <c r="F412" s="27">
        <v>18</v>
      </c>
      <c r="G412" s="28">
        <f t="shared" si="90"/>
        <v>75.600000000000009</v>
      </c>
      <c r="H412" s="26" t="s">
        <v>18</v>
      </c>
      <c r="I412" s="26" t="s">
        <v>57</v>
      </c>
      <c r="J412" s="26" t="s">
        <v>34</v>
      </c>
      <c r="K412" s="29">
        <v>0.65694444444444444</v>
      </c>
      <c r="L412" s="29">
        <v>0.7006944444444444</v>
      </c>
      <c r="M412" s="30">
        <f t="shared" ca="1" si="91"/>
        <v>4.3749999999999956E-2</v>
      </c>
      <c r="N412" s="27"/>
      <c r="O412" s="60"/>
    </row>
    <row r="413" spans="1:15" ht="15" customHeight="1">
      <c r="A413" s="69">
        <v>46219</v>
      </c>
      <c r="B413" s="32">
        <f t="shared" si="92"/>
        <v>0.58333333333333304</v>
      </c>
      <c r="C413" s="33" t="s">
        <v>45</v>
      </c>
      <c r="D413" s="62" t="s">
        <v>30</v>
      </c>
      <c r="E413" s="62" t="s">
        <v>257</v>
      </c>
      <c r="F413" s="27">
        <v>20</v>
      </c>
      <c r="G413" s="34">
        <f t="shared" si="90"/>
        <v>84</v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8">
        <v>46219</v>
      </c>
      <c r="B414" s="25">
        <f t="shared" si="92"/>
        <v>0.62499999999999967</v>
      </c>
      <c r="C414" s="33" t="s">
        <v>45</v>
      </c>
      <c r="D414" s="62" t="s">
        <v>30</v>
      </c>
      <c r="E414" s="62" t="s">
        <v>257</v>
      </c>
      <c r="F414" s="27">
        <v>19</v>
      </c>
      <c r="G414" s="28">
        <f t="shared" si="90"/>
        <v>79.8</v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69">
        <v>46219</v>
      </c>
      <c r="B415" s="32">
        <f t="shared" si="92"/>
        <v>0.6666666666666663</v>
      </c>
      <c r="C415" s="33" t="s">
        <v>45</v>
      </c>
      <c r="D415" s="62" t="s">
        <v>30</v>
      </c>
      <c r="E415" s="62" t="s">
        <v>230</v>
      </c>
      <c r="F415" s="27">
        <v>0</v>
      </c>
      <c r="G415" s="34">
        <f t="shared" si="90"/>
        <v>0</v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8">
        <v>46219</v>
      </c>
      <c r="B416" s="25">
        <f t="shared" si="92"/>
        <v>0.70833333333333293</v>
      </c>
      <c r="C416" s="33" t="s">
        <v>45</v>
      </c>
      <c r="D416" s="62" t="s">
        <v>30</v>
      </c>
      <c r="E416" s="62" t="s">
        <v>257</v>
      </c>
      <c r="F416" s="27">
        <v>0</v>
      </c>
      <c r="G416" s="28">
        <f t="shared" si="90"/>
        <v>0</v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69">
        <v>46219</v>
      </c>
      <c r="B417" s="32">
        <f t="shared" si="92"/>
        <v>0.74999999999999956</v>
      </c>
      <c r="C417" s="33" t="s">
        <v>45</v>
      </c>
      <c r="D417" s="62" t="s">
        <v>30</v>
      </c>
      <c r="E417" s="62" t="s">
        <v>257</v>
      </c>
      <c r="F417" s="27">
        <v>16</v>
      </c>
      <c r="G417" s="34">
        <f t="shared" si="90"/>
        <v>67.2</v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8">
        <v>46219</v>
      </c>
      <c r="B418" s="25">
        <f t="shared" si="92"/>
        <v>0.79166666666666619</v>
      </c>
      <c r="C418" s="33" t="s">
        <v>45</v>
      </c>
      <c r="D418" s="62" t="s">
        <v>30</v>
      </c>
      <c r="E418" s="62" t="s">
        <v>230</v>
      </c>
      <c r="F418" s="27">
        <v>4</v>
      </c>
      <c r="G418" s="28">
        <f t="shared" si="90"/>
        <v>20</v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9" t="s">
        <v>232</v>
      </c>
      <c r="B419" s="100"/>
      <c r="C419" s="100"/>
      <c r="D419" s="100"/>
      <c r="E419" s="101">
        <f>SUM(E407:E418)</f>
        <v>0</v>
      </c>
      <c r="F419" s="36">
        <f>SUM(F407:F418)</f>
        <v>114</v>
      </c>
      <c r="G419" s="36">
        <f>SUM(G407:G418)</f>
        <v>482</v>
      </c>
      <c r="H419" s="37"/>
      <c r="I419" s="37"/>
      <c r="J419" s="37"/>
      <c r="K419" s="61"/>
      <c r="L419" s="61"/>
      <c r="M419" s="38">
        <f ca="1">IFERROR(SUM(M407:M418),"")</f>
        <v>0.23402777777777778</v>
      </c>
      <c r="N419" s="36" t="s">
        <v>233</v>
      </c>
      <c r="O419" s="39">
        <v>491520</v>
      </c>
    </row>
    <row r="420" spans="1:15" ht="15" customHeight="1">
      <c r="A420" s="68">
        <v>46219</v>
      </c>
      <c r="B420" s="25">
        <v>0.83333333333333304</v>
      </c>
      <c r="C420" s="26" t="s">
        <v>29</v>
      </c>
      <c r="D420" s="59" t="s">
        <v>30</v>
      </c>
      <c r="E420" s="59" t="s">
        <v>257</v>
      </c>
      <c r="F420" s="27">
        <v>0</v>
      </c>
      <c r="G420" s="28">
        <f t="shared" ref="G420:G431" si="93">IF(F420="","",IF(E420="PC 17",F420*4.2,IF(E420="PC 19",F420*5,"")))</f>
        <v>0</v>
      </c>
      <c r="H420" s="26" t="s">
        <v>18</v>
      </c>
      <c r="I420" s="26" t="s">
        <v>165</v>
      </c>
      <c r="J420" s="26" t="s">
        <v>212</v>
      </c>
      <c r="K420" s="29">
        <v>0.81666666666666665</v>
      </c>
      <c r="L420" s="29">
        <v>0.95138888888888884</v>
      </c>
      <c r="M420" s="30">
        <f t="shared" ref="M420:M431" ca="1" si="94">IFERROR(IF(K420="","",IF(L420="",MOD(NOW()-K420,1),IF(L420&gt;=K420,L420-K420,L420+1-K420))),"")</f>
        <v>0.13472222222222219</v>
      </c>
      <c r="N420" s="27"/>
      <c r="O420" s="60"/>
    </row>
    <row r="421" spans="1:15" ht="15" customHeight="1">
      <c r="A421" s="69">
        <v>46219</v>
      </c>
      <c r="B421" s="32">
        <f t="shared" ref="B421:B431" si="95">B420+TIME(0,60,0)</f>
        <v>0.87499999999999967</v>
      </c>
      <c r="C421" s="26" t="s">
        <v>29</v>
      </c>
      <c r="D421" s="59" t="s">
        <v>30</v>
      </c>
      <c r="E421" s="59" t="s">
        <v>257</v>
      </c>
      <c r="F421" s="27">
        <v>0</v>
      </c>
      <c r="G421" s="34">
        <f t="shared" si="93"/>
        <v>0</v>
      </c>
      <c r="H421" s="33" t="s">
        <v>20</v>
      </c>
      <c r="I421" s="33" t="s">
        <v>154</v>
      </c>
      <c r="J421" s="33" t="s">
        <v>44</v>
      </c>
      <c r="K421" s="29">
        <v>0.97499999999999998</v>
      </c>
      <c r="L421" s="29">
        <v>0.98472222222222228</v>
      </c>
      <c r="M421" s="35">
        <f t="shared" ca="1" si="94"/>
        <v>9.7222222222222987E-3</v>
      </c>
      <c r="N421" s="27"/>
      <c r="O421" s="60"/>
    </row>
    <row r="422" spans="1:15" ht="15" customHeight="1">
      <c r="A422" s="68">
        <v>46219</v>
      </c>
      <c r="B422" s="25">
        <f t="shared" si="95"/>
        <v>0.9166666666666663</v>
      </c>
      <c r="C422" s="26" t="s">
        <v>29</v>
      </c>
      <c r="D422" s="59" t="s">
        <v>30</v>
      </c>
      <c r="E422" s="59" t="s">
        <v>257</v>
      </c>
      <c r="F422" s="27">
        <v>0</v>
      </c>
      <c r="G422" s="28">
        <f t="shared" si="93"/>
        <v>0</v>
      </c>
      <c r="H422" s="26" t="s">
        <v>20</v>
      </c>
      <c r="I422" s="26" t="s">
        <v>138</v>
      </c>
      <c r="J422" s="26" t="s">
        <v>179</v>
      </c>
      <c r="K422" s="29">
        <v>2.0833333333333332E-2</v>
      </c>
      <c r="L422" s="29">
        <v>4.3749999999999997E-2</v>
      </c>
      <c r="M422" s="30">
        <f t="shared" ca="1" si="94"/>
        <v>2.2916666666666665E-2</v>
      </c>
      <c r="N422" s="27"/>
      <c r="O422" s="60"/>
    </row>
    <row r="423" spans="1:15" ht="15" customHeight="1">
      <c r="A423" s="69">
        <v>46219</v>
      </c>
      <c r="B423" s="32">
        <f t="shared" si="95"/>
        <v>0.95833333333333293</v>
      </c>
      <c r="C423" s="26" t="s">
        <v>29</v>
      </c>
      <c r="D423" s="59" t="s">
        <v>30</v>
      </c>
      <c r="E423" s="59" t="s">
        <v>257</v>
      </c>
      <c r="F423" s="27">
        <v>0</v>
      </c>
      <c r="G423" s="34">
        <f t="shared" si="93"/>
        <v>0</v>
      </c>
      <c r="H423" s="33" t="s">
        <v>20</v>
      </c>
      <c r="I423" s="33" t="s">
        <v>154</v>
      </c>
      <c r="J423" s="33" t="s">
        <v>44</v>
      </c>
      <c r="K423" s="29">
        <v>6.7361111111111108E-2</v>
      </c>
      <c r="L423" s="29">
        <v>7.4305555555555555E-2</v>
      </c>
      <c r="M423" s="35">
        <f t="shared" ca="1" si="94"/>
        <v>6.9444444444444475E-3</v>
      </c>
      <c r="N423" s="27"/>
      <c r="O423" s="60"/>
    </row>
    <row r="424" spans="1:15" ht="15" customHeight="1">
      <c r="A424" s="68">
        <v>46219</v>
      </c>
      <c r="B424" s="25">
        <f t="shared" si="95"/>
        <v>0.99999999999999956</v>
      </c>
      <c r="C424" s="26" t="s">
        <v>29</v>
      </c>
      <c r="D424" s="59" t="s">
        <v>30</v>
      </c>
      <c r="E424" s="59" t="s">
        <v>257</v>
      </c>
      <c r="F424" s="27">
        <v>14</v>
      </c>
      <c r="G424" s="28">
        <f t="shared" si="93"/>
        <v>58.800000000000004</v>
      </c>
      <c r="H424" s="26" t="s">
        <v>19</v>
      </c>
      <c r="I424" s="26" t="s">
        <v>52</v>
      </c>
      <c r="J424" s="26" t="s">
        <v>27</v>
      </c>
      <c r="K424" s="29">
        <v>7.4305555555555555E-2</v>
      </c>
      <c r="L424" s="29">
        <v>8.819444444444445E-2</v>
      </c>
      <c r="M424" s="30">
        <f t="shared" ca="1" si="94"/>
        <v>1.3888888888888895E-2</v>
      </c>
      <c r="N424" s="27"/>
      <c r="O424" s="60"/>
    </row>
    <row r="425" spans="1:15" ht="15" customHeight="1">
      <c r="A425" s="69">
        <v>46219</v>
      </c>
      <c r="B425" s="32">
        <f t="shared" si="95"/>
        <v>1.0416666666666663</v>
      </c>
      <c r="C425" s="26" t="s">
        <v>29</v>
      </c>
      <c r="D425" s="59" t="s">
        <v>30</v>
      </c>
      <c r="E425" s="59" t="s">
        <v>257</v>
      </c>
      <c r="F425" s="27">
        <v>21</v>
      </c>
      <c r="G425" s="34">
        <f t="shared" si="93"/>
        <v>88.2</v>
      </c>
      <c r="H425" s="33" t="s">
        <v>20</v>
      </c>
      <c r="I425" s="33" t="s">
        <v>57</v>
      </c>
      <c r="J425" s="33" t="s">
        <v>56</v>
      </c>
      <c r="K425" s="29">
        <v>7.9166666666666663E-2</v>
      </c>
      <c r="L425" s="29">
        <v>9.0972222222222218E-2</v>
      </c>
      <c r="M425" s="35">
        <f t="shared" ca="1" si="94"/>
        <v>1.1805555555555555E-2</v>
      </c>
      <c r="N425" s="27" t="s">
        <v>376</v>
      </c>
      <c r="O425" s="60"/>
    </row>
    <row r="426" spans="1:15" ht="15" customHeight="1">
      <c r="A426" s="68">
        <v>46219</v>
      </c>
      <c r="B426" s="25">
        <f t="shared" si="95"/>
        <v>1.083333333333333</v>
      </c>
      <c r="C426" s="26" t="s">
        <v>29</v>
      </c>
      <c r="D426" s="59" t="s">
        <v>30</v>
      </c>
      <c r="E426" s="59" t="s">
        <v>257</v>
      </c>
      <c r="F426" s="27">
        <v>16</v>
      </c>
      <c r="G426" s="28">
        <f t="shared" si="93"/>
        <v>67.2</v>
      </c>
      <c r="H426" s="26" t="s">
        <v>18</v>
      </c>
      <c r="I426" s="26" t="s">
        <v>57</v>
      </c>
      <c r="J426" s="26" t="s">
        <v>163</v>
      </c>
      <c r="K426" s="29">
        <v>0.21111111111111111</v>
      </c>
      <c r="L426" s="29">
        <v>0.21527777777777779</v>
      </c>
      <c r="M426" s="30">
        <f t="shared" ca="1" si="94"/>
        <v>4.1666666666666796E-3</v>
      </c>
      <c r="N426" s="27"/>
      <c r="O426" s="60"/>
    </row>
    <row r="427" spans="1:15" ht="15" customHeight="1">
      <c r="A427" s="69">
        <v>46219</v>
      </c>
      <c r="B427" s="32">
        <f t="shared" si="95"/>
        <v>1.1249999999999998</v>
      </c>
      <c r="C427" s="26" t="s">
        <v>29</v>
      </c>
      <c r="D427" s="59" t="s">
        <v>30</v>
      </c>
      <c r="E427" s="59" t="s">
        <v>257</v>
      </c>
      <c r="F427" s="27">
        <v>10</v>
      </c>
      <c r="G427" s="34">
        <f t="shared" si="93"/>
        <v>42</v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8">
        <v>46219</v>
      </c>
      <c r="B428" s="25">
        <f t="shared" si="95"/>
        <v>1.1666666666666665</v>
      </c>
      <c r="C428" s="26" t="s">
        <v>29</v>
      </c>
      <c r="D428" s="59" t="s">
        <v>30</v>
      </c>
      <c r="E428" s="59" t="s">
        <v>257</v>
      </c>
      <c r="F428" s="27">
        <v>26</v>
      </c>
      <c r="G428" s="28">
        <f t="shared" si="93"/>
        <v>109.2</v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69">
        <v>46219</v>
      </c>
      <c r="B429" s="32">
        <f t="shared" si="95"/>
        <v>1.2083333333333333</v>
      </c>
      <c r="C429" s="26" t="s">
        <v>29</v>
      </c>
      <c r="D429" s="59" t="s">
        <v>30</v>
      </c>
      <c r="E429" s="59" t="s">
        <v>257</v>
      </c>
      <c r="F429" s="27">
        <v>18</v>
      </c>
      <c r="G429" s="34">
        <f t="shared" si="93"/>
        <v>75.600000000000009</v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8">
        <v>46219</v>
      </c>
      <c r="B430" s="25">
        <f t="shared" si="95"/>
        <v>1.25</v>
      </c>
      <c r="C430" s="26" t="s">
        <v>29</v>
      </c>
      <c r="D430" s="59" t="s">
        <v>30</v>
      </c>
      <c r="E430" s="59" t="s">
        <v>257</v>
      </c>
      <c r="F430" s="27">
        <v>16</v>
      </c>
      <c r="G430" s="28">
        <f t="shared" si="93"/>
        <v>67.2</v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69">
        <v>46219</v>
      </c>
      <c r="B431" s="32">
        <f t="shared" si="95"/>
        <v>1.2916666666666667</v>
      </c>
      <c r="C431" s="26" t="s">
        <v>29</v>
      </c>
      <c r="D431" s="59" t="s">
        <v>30</v>
      </c>
      <c r="E431" s="59" t="s">
        <v>257</v>
      </c>
      <c r="F431" s="27">
        <v>7</v>
      </c>
      <c r="G431" s="34">
        <f t="shared" si="93"/>
        <v>29.400000000000002</v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9" t="s">
        <v>234</v>
      </c>
      <c r="B432" s="100"/>
      <c r="C432" s="100"/>
      <c r="D432" s="100"/>
      <c r="E432" s="101">
        <f>SUM(E420:E431)</f>
        <v>0</v>
      </c>
      <c r="F432" s="36">
        <f>SUM(F420:F431)</f>
        <v>128</v>
      </c>
      <c r="G432" s="36">
        <f>SUM(G420:G431)</f>
        <v>537.6</v>
      </c>
      <c r="H432" s="37"/>
      <c r="I432" s="37"/>
      <c r="J432" s="37"/>
      <c r="K432" s="61"/>
      <c r="L432" s="61"/>
      <c r="M432" s="38">
        <f ca="1">IFERROR(SUM(M420:M431),"")</f>
        <v>0.20416666666666675</v>
      </c>
      <c r="N432" s="36" t="s">
        <v>233</v>
      </c>
      <c r="O432" s="39">
        <v>605220</v>
      </c>
    </row>
    <row r="433" spans="1:17" ht="18" customHeight="1">
      <c r="A433" s="102" t="s">
        <v>235</v>
      </c>
      <c r="B433" s="103"/>
      <c r="C433" s="103"/>
      <c r="D433" s="103"/>
      <c r="E433" s="104">
        <f>E419+E432</f>
        <v>0</v>
      </c>
      <c r="F433" s="40">
        <f>F419+F432</f>
        <v>242</v>
      </c>
      <c r="G433" s="40">
        <f>G419+G432</f>
        <v>1019.6</v>
      </c>
      <c r="H433" s="41"/>
      <c r="I433" s="41"/>
      <c r="J433" s="41"/>
      <c r="K433" s="63"/>
      <c r="L433" s="63"/>
      <c r="M433" s="42">
        <f ca="1">IFERROR(M419+M432,"")</f>
        <v>0.43819444444444455</v>
      </c>
      <c r="N433" s="40" t="s">
        <v>236</v>
      </c>
      <c r="O433" s="48">
        <f>IFERROR(O419+O432,"")</f>
        <v>1096740</v>
      </c>
    </row>
    <row r="434" spans="1:17" ht="15" customHeight="1">
      <c r="A434" s="68">
        <v>46220</v>
      </c>
      <c r="B434" s="25">
        <v>0.33333333333333298</v>
      </c>
      <c r="C434" s="26" t="s">
        <v>21</v>
      </c>
      <c r="D434" s="59" t="s">
        <v>30</v>
      </c>
      <c r="E434" s="59" t="s">
        <v>257</v>
      </c>
      <c r="F434" s="27">
        <v>28</v>
      </c>
      <c r="G434" s="28">
        <f t="shared" ref="G434:G445" si="96">IF(F434="","",IF(E434="PC 17",F434*4.2,IF(E434="PC 19",F434*5,"")))</f>
        <v>117.60000000000001</v>
      </c>
      <c r="H434" s="26" t="s">
        <v>18</v>
      </c>
      <c r="I434" s="26" t="s">
        <v>57</v>
      </c>
      <c r="J434" s="26" t="s">
        <v>213</v>
      </c>
      <c r="K434" s="29">
        <v>0.33333333333333331</v>
      </c>
      <c r="L434" s="29">
        <v>0.35416666666666669</v>
      </c>
      <c r="M434" s="30">
        <f t="shared" ref="M434:M445" ca="1" si="97">IFERROR(IF(K434="","",IF(L434="",MOD(NOW()-K434,1),IF(L434&gt;=K434,L434-K434,L434+1-K434))),"")</f>
        <v>2.083333333333337E-2</v>
      </c>
      <c r="N434" s="27"/>
      <c r="O434" s="60"/>
    </row>
    <row r="435" spans="1:17" ht="15" customHeight="1">
      <c r="A435" s="69">
        <v>46220</v>
      </c>
      <c r="B435" s="32">
        <f t="shared" ref="B435:B445" si="98">B434+TIME(0,60,0)</f>
        <v>0.37499999999999967</v>
      </c>
      <c r="C435" s="26" t="s">
        <v>21</v>
      </c>
      <c r="D435" s="59" t="s">
        <v>30</v>
      </c>
      <c r="E435" s="59" t="s">
        <v>257</v>
      </c>
      <c r="F435" s="27">
        <v>6</v>
      </c>
      <c r="G435" s="28">
        <f t="shared" si="96"/>
        <v>25.200000000000003</v>
      </c>
      <c r="H435" s="33" t="s">
        <v>19</v>
      </c>
      <c r="I435" s="33" t="s">
        <v>159</v>
      </c>
      <c r="J435" s="33" t="s">
        <v>27</v>
      </c>
      <c r="K435" s="29">
        <v>0.60416666666666663</v>
      </c>
      <c r="L435" s="29">
        <v>0.6166666666666667</v>
      </c>
      <c r="M435" s="35">
        <f t="shared" ca="1" si="97"/>
        <v>1.2500000000000067E-2</v>
      </c>
      <c r="N435" s="27"/>
      <c r="O435" s="60"/>
    </row>
    <row r="436" spans="1:17" ht="15" customHeight="1">
      <c r="A436" s="68">
        <v>46220</v>
      </c>
      <c r="B436" s="25">
        <f t="shared" si="98"/>
        <v>0.41666666666666635</v>
      </c>
      <c r="C436" s="26" t="s">
        <v>21</v>
      </c>
      <c r="D436" s="59" t="s">
        <v>30</v>
      </c>
      <c r="E436" s="59" t="s">
        <v>257</v>
      </c>
      <c r="F436" s="27">
        <v>23</v>
      </c>
      <c r="G436" s="28">
        <f t="shared" si="96"/>
        <v>96.600000000000009</v>
      </c>
      <c r="H436" s="26" t="s">
        <v>20</v>
      </c>
      <c r="I436" s="26" t="s">
        <v>137</v>
      </c>
      <c r="J436" s="26" t="s">
        <v>74</v>
      </c>
      <c r="K436" s="29">
        <v>0.66319444444444442</v>
      </c>
      <c r="L436" s="29">
        <v>0.67708333333333337</v>
      </c>
      <c r="M436" s="30">
        <f t="shared" ca="1" si="97"/>
        <v>1.3888888888888951E-2</v>
      </c>
      <c r="N436" s="27"/>
      <c r="O436" s="60"/>
    </row>
    <row r="437" spans="1:17" ht="15" customHeight="1">
      <c r="A437" s="69">
        <v>46220</v>
      </c>
      <c r="B437" s="32">
        <f t="shared" si="98"/>
        <v>0.45833333333333304</v>
      </c>
      <c r="C437" s="26" t="s">
        <v>21</v>
      </c>
      <c r="D437" s="59" t="s">
        <v>30</v>
      </c>
      <c r="E437" s="59" t="s">
        <v>257</v>
      </c>
      <c r="F437" s="27">
        <v>17</v>
      </c>
      <c r="G437" s="34">
        <f t="shared" si="96"/>
        <v>71.400000000000006</v>
      </c>
      <c r="H437" s="33" t="s">
        <v>20</v>
      </c>
      <c r="I437" s="33" t="s">
        <v>39</v>
      </c>
      <c r="J437" s="33" t="s">
        <v>51</v>
      </c>
      <c r="K437" s="29">
        <v>0.76875000000000004</v>
      </c>
      <c r="L437" s="29">
        <v>0.77222222222222225</v>
      </c>
      <c r="M437" s="35">
        <f t="shared" ca="1" si="97"/>
        <v>3.4722222222222099E-3</v>
      </c>
      <c r="N437" s="27"/>
      <c r="O437" s="60"/>
    </row>
    <row r="438" spans="1:17" ht="15" customHeight="1">
      <c r="A438" s="68">
        <v>46220</v>
      </c>
      <c r="B438" s="25">
        <f t="shared" si="98"/>
        <v>0.49999999999999972</v>
      </c>
      <c r="C438" s="26" t="s">
        <v>21</v>
      </c>
      <c r="D438" s="59" t="s">
        <v>30</v>
      </c>
      <c r="E438" s="59" t="s">
        <v>257</v>
      </c>
      <c r="F438" s="27">
        <v>21</v>
      </c>
      <c r="G438" s="28">
        <f t="shared" si="96"/>
        <v>88.2</v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69">
        <v>46220</v>
      </c>
      <c r="B439" s="32">
        <f t="shared" si="98"/>
        <v>0.54166666666666641</v>
      </c>
      <c r="C439" s="26" t="s">
        <v>21</v>
      </c>
      <c r="D439" s="59" t="s">
        <v>30</v>
      </c>
      <c r="E439" s="59" t="s">
        <v>257</v>
      </c>
      <c r="F439" s="27">
        <v>20</v>
      </c>
      <c r="G439" s="34">
        <f t="shared" si="96"/>
        <v>84</v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8">
        <v>46220</v>
      </c>
      <c r="B440" s="25">
        <f t="shared" si="98"/>
        <v>0.58333333333333304</v>
      </c>
      <c r="C440" s="26" t="s">
        <v>21</v>
      </c>
      <c r="D440" s="59" t="s">
        <v>30</v>
      </c>
      <c r="E440" s="59" t="s">
        <v>257</v>
      </c>
      <c r="F440" s="27">
        <v>13</v>
      </c>
      <c r="G440" s="28">
        <f t="shared" si="96"/>
        <v>54.6</v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69">
        <v>46220</v>
      </c>
      <c r="B441" s="32">
        <f t="shared" si="98"/>
        <v>0.62499999999999967</v>
      </c>
      <c r="C441" s="26" t="s">
        <v>21</v>
      </c>
      <c r="D441" s="59" t="s">
        <v>30</v>
      </c>
      <c r="E441" s="59" t="s">
        <v>257</v>
      </c>
      <c r="F441" s="27">
        <v>14</v>
      </c>
      <c r="G441" s="34">
        <f t="shared" si="96"/>
        <v>58.800000000000004</v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8">
        <v>46220</v>
      </c>
      <c r="B442" s="25">
        <f t="shared" si="98"/>
        <v>0.6666666666666663</v>
      </c>
      <c r="C442" s="26" t="s">
        <v>21</v>
      </c>
      <c r="D442" s="59" t="s">
        <v>30</v>
      </c>
      <c r="E442" s="59" t="s">
        <v>257</v>
      </c>
      <c r="F442" s="27">
        <v>19</v>
      </c>
      <c r="G442" s="28">
        <f t="shared" si="96"/>
        <v>79.8</v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69">
        <v>46220</v>
      </c>
      <c r="B443" s="32">
        <f t="shared" si="98"/>
        <v>0.70833333333333293</v>
      </c>
      <c r="C443" s="26" t="s">
        <v>21</v>
      </c>
      <c r="D443" s="59" t="s">
        <v>38</v>
      </c>
      <c r="E443" s="59" t="s">
        <v>257</v>
      </c>
      <c r="F443" s="27">
        <v>21</v>
      </c>
      <c r="G443" s="34">
        <f t="shared" si="96"/>
        <v>88.2</v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8">
        <v>46220</v>
      </c>
      <c r="B444" s="25">
        <f t="shared" si="98"/>
        <v>0.74999999999999956</v>
      </c>
      <c r="C444" s="26" t="s">
        <v>21</v>
      </c>
      <c r="D444" s="59" t="s">
        <v>38</v>
      </c>
      <c r="E444" s="59" t="s">
        <v>257</v>
      </c>
      <c r="F444" s="27">
        <v>8</v>
      </c>
      <c r="G444" s="28">
        <f t="shared" si="96"/>
        <v>33.6</v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69">
        <v>46220</v>
      </c>
      <c r="B445" s="32">
        <f t="shared" si="98"/>
        <v>0.79166666666666619</v>
      </c>
      <c r="C445" s="26" t="s">
        <v>21</v>
      </c>
      <c r="D445" s="59" t="s">
        <v>38</v>
      </c>
      <c r="E445" s="59" t="s">
        <v>257</v>
      </c>
      <c r="F445" s="27">
        <v>5</v>
      </c>
      <c r="G445" s="34">
        <f t="shared" si="96"/>
        <v>21</v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9" t="s">
        <v>232</v>
      </c>
      <c r="B446" s="100"/>
      <c r="C446" s="100"/>
      <c r="D446" s="100"/>
      <c r="E446" s="101">
        <f>SUM(E434:E445)</f>
        <v>0</v>
      </c>
      <c r="F446" s="36">
        <f>SUM(F434:F445)</f>
        <v>195</v>
      </c>
      <c r="G446" s="36">
        <f>SUM(G434:G445)</f>
        <v>819</v>
      </c>
      <c r="H446" s="37"/>
      <c r="I446" s="37"/>
      <c r="J446" s="37"/>
      <c r="K446" s="61"/>
      <c r="L446" s="61"/>
      <c r="M446" s="38">
        <f ca="1">IFERROR(SUM(M434:M445),"")</f>
        <v>5.0694444444444597E-2</v>
      </c>
      <c r="N446" s="36" t="s">
        <v>233</v>
      </c>
      <c r="O446" s="39">
        <v>878370</v>
      </c>
    </row>
    <row r="447" spans="1:17" ht="15" customHeight="1">
      <c r="A447" s="69">
        <v>46220</v>
      </c>
      <c r="B447" s="32">
        <v>0.83333333333333304</v>
      </c>
      <c r="C447" s="33" t="s">
        <v>45</v>
      </c>
      <c r="D447" s="62" t="s">
        <v>30</v>
      </c>
      <c r="E447" s="62" t="s">
        <v>230</v>
      </c>
      <c r="F447" s="27">
        <v>0</v>
      </c>
      <c r="G447" s="34">
        <f t="shared" ref="G447:G458" si="99">IF(F447="","",IF(E447="PC 17",F447*4.2,IF(E447="PC 19",F447*5,"")))</f>
        <v>0</v>
      </c>
      <c r="H447" s="33" t="s">
        <v>20</v>
      </c>
      <c r="I447" s="33" t="s">
        <v>57</v>
      </c>
      <c r="J447" s="33" t="s">
        <v>51</v>
      </c>
      <c r="K447" s="29">
        <v>0.79166666666666663</v>
      </c>
      <c r="L447" s="29">
        <v>0.80694444444444446</v>
      </c>
      <c r="M447" s="35">
        <f t="shared" ref="M447:M458" ca="1" si="100">IFERROR(IF(K447="","",IF(L447="",MOD(NOW()-K447,1),IF(L447&gt;=K447,L447-K447,L447+1-K447))),"")</f>
        <v>1.5277777777777835E-2</v>
      </c>
      <c r="N447" s="27"/>
      <c r="O447" s="60"/>
    </row>
    <row r="448" spans="1:17" ht="15" customHeight="1">
      <c r="A448" s="68">
        <v>46220</v>
      </c>
      <c r="B448" s="25">
        <f t="shared" ref="B448:B458" si="101">B447+TIME(0,60,0)</f>
        <v>0.87499999999999967</v>
      </c>
      <c r="C448" s="33" t="s">
        <v>45</v>
      </c>
      <c r="D448" s="62" t="s">
        <v>30</v>
      </c>
      <c r="E448" s="62" t="s">
        <v>230</v>
      </c>
      <c r="F448" s="27">
        <v>4</v>
      </c>
      <c r="G448" s="28">
        <f t="shared" si="99"/>
        <v>20</v>
      </c>
      <c r="H448" s="26" t="s">
        <v>20</v>
      </c>
      <c r="I448" s="26" t="s">
        <v>52</v>
      </c>
      <c r="J448" s="26" t="s">
        <v>51</v>
      </c>
      <c r="K448" s="29">
        <v>0.81458333333333333</v>
      </c>
      <c r="L448" s="29">
        <v>0.81805555555555554</v>
      </c>
      <c r="M448" s="30">
        <f t="shared" ca="1" si="100"/>
        <v>3.4722222222222099E-3</v>
      </c>
      <c r="N448" s="27"/>
      <c r="O448" s="60"/>
      <c r="Q448" s="66"/>
    </row>
    <row r="449" spans="1:15" ht="15" customHeight="1">
      <c r="A449" s="69">
        <v>46220</v>
      </c>
      <c r="B449" s="32">
        <f t="shared" si="101"/>
        <v>0.9166666666666663</v>
      </c>
      <c r="C449" s="33" t="s">
        <v>45</v>
      </c>
      <c r="D449" s="62" t="s">
        <v>30</v>
      </c>
      <c r="E449" s="62" t="s">
        <v>230</v>
      </c>
      <c r="F449" s="27">
        <v>6</v>
      </c>
      <c r="G449" s="34">
        <f t="shared" si="99"/>
        <v>30</v>
      </c>
      <c r="H449" s="33" t="s">
        <v>18</v>
      </c>
      <c r="I449" s="33" t="s">
        <v>137</v>
      </c>
      <c r="J449" s="33" t="s">
        <v>127</v>
      </c>
      <c r="K449" s="29">
        <v>0.81944444444444442</v>
      </c>
      <c r="L449" s="29">
        <v>0.86250000000000004</v>
      </c>
      <c r="M449" s="35">
        <f t="shared" ca="1" si="100"/>
        <v>4.3055555555555625E-2</v>
      </c>
      <c r="N449" s="27"/>
      <c r="O449" s="60"/>
    </row>
    <row r="450" spans="1:15" ht="15" customHeight="1">
      <c r="A450" s="68">
        <v>46220</v>
      </c>
      <c r="B450" s="25">
        <f t="shared" si="101"/>
        <v>0.95833333333333293</v>
      </c>
      <c r="C450" s="33" t="s">
        <v>45</v>
      </c>
      <c r="D450" s="62" t="s">
        <v>30</v>
      </c>
      <c r="E450" s="57" t="s">
        <v>310</v>
      </c>
      <c r="F450" s="27">
        <v>9</v>
      </c>
      <c r="G450" s="28">
        <f>IF(F450="","",IF(E451="PC 17",F450*4.2,IF(E451="PC 19",F450*5,"")))</f>
        <v>45</v>
      </c>
      <c r="H450" s="26" t="s">
        <v>20</v>
      </c>
      <c r="I450" s="26" t="s">
        <v>52</v>
      </c>
      <c r="J450" s="26" t="s">
        <v>56</v>
      </c>
      <c r="K450" s="29">
        <v>0.84166666666666667</v>
      </c>
      <c r="L450" s="29">
        <v>0.86805555555555558</v>
      </c>
      <c r="M450" s="30">
        <f t="shared" ca="1" si="100"/>
        <v>2.6388888888888906E-2</v>
      </c>
      <c r="N450" s="27"/>
      <c r="O450" s="60"/>
    </row>
    <row r="451" spans="1:15" ht="15" customHeight="1">
      <c r="A451" s="69">
        <v>46220</v>
      </c>
      <c r="B451" s="32">
        <f t="shared" si="101"/>
        <v>0.99999999999999956</v>
      </c>
      <c r="C451" s="33" t="s">
        <v>45</v>
      </c>
      <c r="D451" s="62" t="s">
        <v>30</v>
      </c>
      <c r="E451" s="62" t="s">
        <v>230</v>
      </c>
      <c r="F451" s="27">
        <v>14</v>
      </c>
      <c r="G451" s="34">
        <v>59</v>
      </c>
      <c r="H451" s="33" t="s">
        <v>20</v>
      </c>
      <c r="I451" s="33" t="s">
        <v>52</v>
      </c>
      <c r="J451" s="33" t="s">
        <v>51</v>
      </c>
      <c r="K451" s="29">
        <v>0.92638888888888893</v>
      </c>
      <c r="L451" s="29">
        <v>0.9291666666666667</v>
      </c>
      <c r="M451" s="35">
        <f t="shared" ca="1" si="100"/>
        <v>2.7777777777777679E-3</v>
      </c>
      <c r="N451" s="27"/>
      <c r="O451" s="60"/>
    </row>
    <row r="452" spans="1:15" ht="15" customHeight="1">
      <c r="A452" s="68">
        <v>46220</v>
      </c>
      <c r="B452" s="25">
        <f t="shared" si="101"/>
        <v>1.0416666666666663</v>
      </c>
      <c r="C452" s="33" t="s">
        <v>45</v>
      </c>
      <c r="D452" s="62" t="s">
        <v>30</v>
      </c>
      <c r="E452" s="62" t="s">
        <v>230</v>
      </c>
      <c r="F452" s="27">
        <v>10</v>
      </c>
      <c r="G452" s="28">
        <f t="shared" si="99"/>
        <v>50</v>
      </c>
      <c r="H452" s="26" t="s">
        <v>20</v>
      </c>
      <c r="I452" s="26" t="s">
        <v>52</v>
      </c>
      <c r="J452" s="26" t="s">
        <v>56</v>
      </c>
      <c r="K452" s="29">
        <v>3.8194444444444448E-2</v>
      </c>
      <c r="L452" s="29">
        <v>6.805555555555555E-2</v>
      </c>
      <c r="M452" s="30">
        <f t="shared" ca="1" si="100"/>
        <v>2.9861111111111102E-2</v>
      </c>
      <c r="N452" s="27"/>
      <c r="O452" s="60"/>
    </row>
    <row r="453" spans="1:15" ht="15" customHeight="1">
      <c r="A453" s="69">
        <v>46220</v>
      </c>
      <c r="B453" s="32">
        <f t="shared" si="101"/>
        <v>1.083333333333333</v>
      </c>
      <c r="C453" s="33" t="s">
        <v>45</v>
      </c>
      <c r="D453" s="62" t="s">
        <v>30</v>
      </c>
      <c r="E453" s="62" t="s">
        <v>230</v>
      </c>
      <c r="F453" s="27">
        <v>3</v>
      </c>
      <c r="G453" s="34">
        <f t="shared" si="99"/>
        <v>15</v>
      </c>
      <c r="H453" s="33" t="s">
        <v>20</v>
      </c>
      <c r="I453" s="33" t="s">
        <v>149</v>
      </c>
      <c r="J453" s="33" t="s">
        <v>179</v>
      </c>
      <c r="K453" s="29">
        <v>8.3333333333333329E-2</v>
      </c>
      <c r="L453" s="29">
        <v>0.10625</v>
      </c>
      <c r="M453" s="35">
        <f t="shared" ca="1" si="100"/>
        <v>2.2916666666666669E-2</v>
      </c>
      <c r="N453" s="27"/>
      <c r="O453" s="60"/>
    </row>
    <row r="454" spans="1:15" ht="15" customHeight="1">
      <c r="A454" s="68">
        <v>46220</v>
      </c>
      <c r="B454" s="25">
        <f t="shared" si="101"/>
        <v>1.1249999999999998</v>
      </c>
      <c r="C454" s="33" t="s">
        <v>45</v>
      </c>
      <c r="D454" s="62" t="s">
        <v>30</v>
      </c>
      <c r="E454" s="62" t="s">
        <v>230</v>
      </c>
      <c r="F454" s="27">
        <v>12</v>
      </c>
      <c r="G454" s="28">
        <f t="shared" si="99"/>
        <v>60</v>
      </c>
      <c r="H454" s="26" t="s">
        <v>18</v>
      </c>
      <c r="I454" s="26" t="s">
        <v>137</v>
      </c>
      <c r="J454" s="26" t="s">
        <v>127</v>
      </c>
      <c r="K454" s="29">
        <v>0.22222222222222221</v>
      </c>
      <c r="L454" s="29">
        <v>0.24444444444444444</v>
      </c>
      <c r="M454" s="30">
        <f t="shared" ca="1" si="100"/>
        <v>2.2222222222222227E-2</v>
      </c>
      <c r="N454" s="27"/>
      <c r="O454" s="60"/>
    </row>
    <row r="455" spans="1:15" ht="15" customHeight="1">
      <c r="A455" s="69">
        <v>46220</v>
      </c>
      <c r="B455" s="32">
        <f t="shared" si="101"/>
        <v>1.1666666666666665</v>
      </c>
      <c r="C455" s="33" t="s">
        <v>45</v>
      </c>
      <c r="D455" s="62" t="s">
        <v>30</v>
      </c>
      <c r="E455" s="62" t="s">
        <v>230</v>
      </c>
      <c r="F455" s="27">
        <v>19</v>
      </c>
      <c r="G455" s="34">
        <f t="shared" si="99"/>
        <v>95</v>
      </c>
      <c r="H455" s="33" t="s">
        <v>18</v>
      </c>
      <c r="I455" s="33"/>
      <c r="J455" s="33" t="s">
        <v>216</v>
      </c>
      <c r="K455" s="29">
        <v>0.25833333333333336</v>
      </c>
      <c r="L455" s="29">
        <v>0.28402777777777777</v>
      </c>
      <c r="M455" s="35">
        <f t="shared" ca="1" si="100"/>
        <v>2.5694444444444409E-2</v>
      </c>
      <c r="N455" s="27"/>
      <c r="O455" s="60"/>
    </row>
    <row r="456" spans="1:15" ht="15" customHeight="1">
      <c r="A456" s="68">
        <v>46220</v>
      </c>
      <c r="B456" s="25">
        <f t="shared" si="101"/>
        <v>1.2083333333333333</v>
      </c>
      <c r="C456" s="33" t="s">
        <v>45</v>
      </c>
      <c r="D456" s="62" t="s">
        <v>30</v>
      </c>
      <c r="E456" s="62" t="s">
        <v>230</v>
      </c>
      <c r="F456" s="27">
        <v>18</v>
      </c>
      <c r="G456" s="28">
        <f t="shared" si="99"/>
        <v>90</v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69">
        <v>46220</v>
      </c>
      <c r="B457" s="32">
        <f t="shared" si="101"/>
        <v>1.25</v>
      </c>
      <c r="C457" s="33" t="s">
        <v>45</v>
      </c>
      <c r="D457" s="62" t="s">
        <v>30</v>
      </c>
      <c r="E457" s="62" t="s">
        <v>230</v>
      </c>
      <c r="F457" s="27">
        <v>12</v>
      </c>
      <c r="G457" s="34">
        <f t="shared" si="99"/>
        <v>60</v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8">
        <v>46220</v>
      </c>
      <c r="B458" s="25">
        <f t="shared" si="101"/>
        <v>1.2916666666666667</v>
      </c>
      <c r="C458" s="33" t="s">
        <v>45</v>
      </c>
      <c r="D458" s="62" t="s">
        <v>30</v>
      </c>
      <c r="E458" s="62" t="s">
        <v>230</v>
      </c>
      <c r="F458" s="27">
        <v>6</v>
      </c>
      <c r="G458" s="28">
        <f t="shared" si="99"/>
        <v>30</v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9" t="s">
        <v>234</v>
      </c>
      <c r="B459" s="100"/>
      <c r="C459" s="100"/>
      <c r="D459" s="100"/>
      <c r="E459" s="101">
        <f>SUM(E447:E458)</f>
        <v>0</v>
      </c>
      <c r="F459" s="36">
        <f>SUM(F447:F458)</f>
        <v>113</v>
      </c>
      <c r="G459" s="36">
        <f>SUM(G447:G458)</f>
        <v>554</v>
      </c>
      <c r="H459" s="37"/>
      <c r="I459" s="37"/>
      <c r="J459" s="37"/>
      <c r="K459" s="61"/>
      <c r="L459" s="61"/>
      <c r="M459" s="38">
        <f ca="1">IFERROR(SUM(M447:M458),"")</f>
        <v>0.19166666666666674</v>
      </c>
      <c r="N459" s="36" t="s">
        <v>233</v>
      </c>
      <c r="O459" s="39">
        <v>615330</v>
      </c>
    </row>
    <row r="460" spans="1:15" ht="18" customHeight="1">
      <c r="A460" s="102" t="s">
        <v>235</v>
      </c>
      <c r="B460" s="103"/>
      <c r="C460" s="103"/>
      <c r="D460" s="103"/>
      <c r="E460" s="104">
        <f>E446+E459</f>
        <v>0</v>
      </c>
      <c r="F460" s="40">
        <f>F446+F459</f>
        <v>308</v>
      </c>
      <c r="G460" s="40">
        <f>G446+G459</f>
        <v>1373</v>
      </c>
      <c r="H460" s="41"/>
      <c r="I460" s="41"/>
      <c r="J460" s="41"/>
      <c r="K460" s="63"/>
      <c r="L460" s="63"/>
      <c r="M460" s="42">
        <f ca="1">IFERROR(M446+M459,"")</f>
        <v>0.24236111111111133</v>
      </c>
      <c r="N460" s="40" t="s">
        <v>236</v>
      </c>
      <c r="O460" s="48">
        <f>IFERROR(O446+O459,"")</f>
        <v>1493700</v>
      </c>
    </row>
    <row r="461" spans="1:15" ht="15" customHeight="1">
      <c r="A461" s="69">
        <v>46221</v>
      </c>
      <c r="B461" s="32">
        <v>0.33333333333333298</v>
      </c>
      <c r="C461" s="33" t="s">
        <v>21</v>
      </c>
      <c r="D461" s="62" t="s">
        <v>30</v>
      </c>
      <c r="E461" s="62" t="s">
        <v>230</v>
      </c>
      <c r="F461" s="27">
        <v>5</v>
      </c>
      <c r="G461" s="34">
        <f t="shared" ref="G461:G472" si="102">IF(F461="","",IF(E461="PC 17",F461*4.2,IF(E461="PC 19",F461*5,"")))</f>
        <v>25</v>
      </c>
      <c r="H461" s="33" t="s">
        <v>18</v>
      </c>
      <c r="I461" s="33" t="s">
        <v>57</v>
      </c>
      <c r="J461" s="33" t="s">
        <v>127</v>
      </c>
      <c r="K461" s="29">
        <v>0.3263888888888889</v>
      </c>
      <c r="L461" s="29">
        <v>0.40277777777777779</v>
      </c>
      <c r="M461" s="35">
        <f t="shared" ref="M461:M472" ca="1" si="103">IFERROR(IF(K461="","",IF(L461="",MOD(NOW()-K461,1),IF(L461&gt;=K461,L461-K461,L461+1-K461))),"")</f>
        <v>7.6388888888888895E-2</v>
      </c>
      <c r="N461" s="27" t="s">
        <v>377</v>
      </c>
      <c r="O461" s="60"/>
    </row>
    <row r="462" spans="1:15" ht="15" customHeight="1">
      <c r="A462" s="68">
        <v>46221</v>
      </c>
      <c r="B462" s="25">
        <f t="shared" ref="B462:B472" si="104">B461+TIME(0,60,0)</f>
        <v>0.37499999999999967</v>
      </c>
      <c r="C462" s="33" t="s">
        <v>21</v>
      </c>
      <c r="D462" s="62" t="s">
        <v>30</v>
      </c>
      <c r="E462" s="62" t="s">
        <v>230</v>
      </c>
      <c r="F462" s="27">
        <v>0</v>
      </c>
      <c r="G462" s="28">
        <f t="shared" si="102"/>
        <v>0</v>
      </c>
      <c r="H462" s="26" t="s">
        <v>20</v>
      </c>
      <c r="I462" s="26" t="s">
        <v>52</v>
      </c>
      <c r="J462" s="26" t="s">
        <v>56</v>
      </c>
      <c r="K462" s="29">
        <v>0.47222222222222221</v>
      </c>
      <c r="L462" s="29">
        <v>0.4861111111111111</v>
      </c>
      <c r="M462" s="30">
        <f t="shared" ca="1" si="103"/>
        <v>1.3888888888888895E-2</v>
      </c>
      <c r="N462" s="27" t="s">
        <v>378</v>
      </c>
      <c r="O462" s="60"/>
    </row>
    <row r="463" spans="1:15" ht="15" customHeight="1">
      <c r="A463" s="69">
        <v>46221</v>
      </c>
      <c r="B463" s="32">
        <f t="shared" si="104"/>
        <v>0.41666666666666635</v>
      </c>
      <c r="C463" s="33" t="s">
        <v>21</v>
      </c>
      <c r="D463" s="62" t="s">
        <v>30</v>
      </c>
      <c r="E463" s="62" t="s">
        <v>230</v>
      </c>
      <c r="F463" s="27">
        <v>4</v>
      </c>
      <c r="G463" s="34">
        <f t="shared" si="102"/>
        <v>20</v>
      </c>
      <c r="H463" s="33" t="s">
        <v>20</v>
      </c>
      <c r="I463" s="33" t="s">
        <v>138</v>
      </c>
      <c r="J463" s="33" t="s">
        <v>74</v>
      </c>
      <c r="K463" s="29">
        <v>0.57986111111111116</v>
      </c>
      <c r="L463" s="29">
        <v>0.60069444444444442</v>
      </c>
      <c r="M463" s="35">
        <f t="shared" ca="1" si="103"/>
        <v>2.0833333333333259E-2</v>
      </c>
      <c r="N463" s="27"/>
      <c r="O463" s="60"/>
    </row>
    <row r="464" spans="1:15" ht="15" customHeight="1">
      <c r="A464" s="68">
        <v>46221</v>
      </c>
      <c r="B464" s="25">
        <f t="shared" si="104"/>
        <v>0.45833333333333304</v>
      </c>
      <c r="C464" s="33" t="s">
        <v>21</v>
      </c>
      <c r="D464" s="62" t="s">
        <v>30</v>
      </c>
      <c r="E464" s="62" t="s">
        <v>230</v>
      </c>
      <c r="F464" s="27">
        <v>20</v>
      </c>
      <c r="G464" s="28">
        <f t="shared" si="102"/>
        <v>100</v>
      </c>
      <c r="H464" s="26" t="s">
        <v>18</v>
      </c>
      <c r="I464" s="26" t="s">
        <v>138</v>
      </c>
      <c r="J464" s="26" t="s">
        <v>100</v>
      </c>
      <c r="K464" s="29">
        <v>0.60069444444444442</v>
      </c>
      <c r="L464" s="29">
        <v>0.60763888888888884</v>
      </c>
      <c r="M464" s="30">
        <f t="shared" ca="1" si="103"/>
        <v>6.9444444444444198E-3</v>
      </c>
      <c r="N464" s="27"/>
      <c r="O464" s="60"/>
    </row>
    <row r="465" spans="1:15" ht="15" customHeight="1">
      <c r="A465" s="69">
        <v>46221</v>
      </c>
      <c r="B465" s="32">
        <f t="shared" si="104"/>
        <v>0.49999999999999972</v>
      </c>
      <c r="C465" s="33" t="s">
        <v>21</v>
      </c>
      <c r="D465" s="62" t="s">
        <v>30</v>
      </c>
      <c r="E465" s="62" t="s">
        <v>230</v>
      </c>
      <c r="F465" s="27">
        <v>4</v>
      </c>
      <c r="G465" s="34">
        <f t="shared" si="102"/>
        <v>20</v>
      </c>
      <c r="H465" s="33" t="s">
        <v>20</v>
      </c>
      <c r="I465" s="33" t="s">
        <v>57</v>
      </c>
      <c r="J465" s="33" t="s">
        <v>164</v>
      </c>
      <c r="K465" s="29">
        <v>0.64930555555555558</v>
      </c>
      <c r="L465" s="29">
        <v>0.67222222222222228</v>
      </c>
      <c r="M465" s="35">
        <f t="shared" ca="1" si="103"/>
        <v>2.2916666666666696E-2</v>
      </c>
      <c r="N465" s="27" t="s">
        <v>353</v>
      </c>
      <c r="O465" s="60"/>
    </row>
    <row r="466" spans="1:15" ht="15" customHeight="1">
      <c r="A466" s="68">
        <v>46221</v>
      </c>
      <c r="B466" s="25">
        <f t="shared" si="104"/>
        <v>0.54166666666666641</v>
      </c>
      <c r="C466" s="33" t="s">
        <v>21</v>
      </c>
      <c r="D466" s="62" t="s">
        <v>30</v>
      </c>
      <c r="E466" s="62" t="s">
        <v>230</v>
      </c>
      <c r="F466" s="27">
        <v>21</v>
      </c>
      <c r="G466" s="28">
        <f t="shared" si="102"/>
        <v>105</v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69">
        <v>46221</v>
      </c>
      <c r="B467" s="32">
        <f t="shared" si="104"/>
        <v>0.58333333333333304</v>
      </c>
      <c r="C467" s="33" t="s">
        <v>21</v>
      </c>
      <c r="D467" s="62" t="s">
        <v>30</v>
      </c>
      <c r="E467" s="62" t="s">
        <v>230</v>
      </c>
      <c r="F467" s="27">
        <v>9</v>
      </c>
      <c r="G467" s="34">
        <f t="shared" si="102"/>
        <v>45</v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8">
        <v>46221</v>
      </c>
      <c r="B468" s="25">
        <f t="shared" si="104"/>
        <v>0.62499999999999967</v>
      </c>
      <c r="C468" s="33" t="s">
        <v>21</v>
      </c>
      <c r="D468" s="62" t="s">
        <v>30</v>
      </c>
      <c r="E468" s="62" t="s">
        <v>230</v>
      </c>
      <c r="F468" s="27">
        <v>12</v>
      </c>
      <c r="G468" s="28">
        <f t="shared" si="102"/>
        <v>60</v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69">
        <v>46221</v>
      </c>
      <c r="B469" s="32">
        <f t="shared" si="104"/>
        <v>0.6666666666666663</v>
      </c>
      <c r="C469" s="33" t="s">
        <v>21</v>
      </c>
      <c r="D469" s="62" t="s">
        <v>30</v>
      </c>
      <c r="E469" s="62" t="s">
        <v>230</v>
      </c>
      <c r="F469" s="27">
        <v>10</v>
      </c>
      <c r="G469" s="34">
        <f t="shared" si="102"/>
        <v>50</v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8">
        <v>46221</v>
      </c>
      <c r="B470" s="25">
        <f t="shared" si="104"/>
        <v>0.70833333333333293</v>
      </c>
      <c r="C470" s="33" t="s">
        <v>21</v>
      </c>
      <c r="D470" s="62" t="s">
        <v>30</v>
      </c>
      <c r="E470" s="62" t="s">
        <v>230</v>
      </c>
      <c r="F470" s="27">
        <v>16</v>
      </c>
      <c r="G470" s="28">
        <f t="shared" si="102"/>
        <v>80</v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69">
        <v>46221</v>
      </c>
      <c r="B471" s="32">
        <f t="shared" si="104"/>
        <v>0.74999999999999956</v>
      </c>
      <c r="C471" s="33" t="s">
        <v>21</v>
      </c>
      <c r="D471" s="62" t="s">
        <v>30</v>
      </c>
      <c r="E471" s="62" t="s">
        <v>230</v>
      </c>
      <c r="F471" s="27">
        <v>10</v>
      </c>
      <c r="G471" s="34">
        <f t="shared" si="102"/>
        <v>50</v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8">
        <v>46221</v>
      </c>
      <c r="B472" s="25">
        <f t="shared" si="104"/>
        <v>0.79166666666666619</v>
      </c>
      <c r="C472" s="33" t="s">
        <v>21</v>
      </c>
      <c r="D472" s="62" t="s">
        <v>30</v>
      </c>
      <c r="E472" s="62" t="s">
        <v>230</v>
      </c>
      <c r="F472" s="27">
        <v>4</v>
      </c>
      <c r="G472" s="28">
        <f t="shared" si="102"/>
        <v>20</v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9" t="s">
        <v>232</v>
      </c>
      <c r="B473" s="100"/>
      <c r="C473" s="100"/>
      <c r="D473" s="100"/>
      <c r="E473" s="101">
        <f>SUM(E461:E472)</f>
        <v>0</v>
      </c>
      <c r="F473" s="36">
        <f>SUM(F461:F472)</f>
        <v>115</v>
      </c>
      <c r="G473" s="36">
        <f>SUM(G461:G472)</f>
        <v>575</v>
      </c>
      <c r="H473" s="37"/>
      <c r="I473" s="37"/>
      <c r="J473" s="37"/>
      <c r="K473" s="61"/>
      <c r="L473" s="61"/>
      <c r="M473" s="38">
        <f ca="1">IFERROR(SUM(M461:M472),"")</f>
        <v>0.14097222222222217</v>
      </c>
      <c r="N473" s="36" t="s">
        <v>233</v>
      </c>
      <c r="O473" s="39">
        <v>774200</v>
      </c>
    </row>
    <row r="474" spans="1:15" ht="15" customHeight="1">
      <c r="A474" s="68">
        <v>46221</v>
      </c>
      <c r="B474" s="25">
        <v>0.83333333333333304</v>
      </c>
      <c r="C474" s="26" t="s">
        <v>45</v>
      </c>
      <c r="D474" s="59" t="s">
        <v>30</v>
      </c>
      <c r="E474" s="59" t="s">
        <v>230</v>
      </c>
      <c r="F474" s="27">
        <v>20</v>
      </c>
      <c r="G474" s="28">
        <f t="shared" ref="G474:G485" si="105">IF(F474="","",IF(E474="PC 17",F474*4.2,IF(E474="PC 19",F474*5,"")))</f>
        <v>100</v>
      </c>
      <c r="H474" s="26" t="s">
        <v>19</v>
      </c>
      <c r="I474" s="26" t="s">
        <v>159</v>
      </c>
      <c r="J474" s="26" t="s">
        <v>27</v>
      </c>
      <c r="K474" s="29">
        <v>0.17847222222222223</v>
      </c>
      <c r="L474" s="29">
        <v>0.19444444444444445</v>
      </c>
      <c r="M474" s="30">
        <f t="shared" ref="M474:M485" ca="1" si="106">IFERROR(IF(K474="","",IF(L474="",MOD(NOW()-K474,1),IF(L474&gt;=K474,L474-K474,L474+1-K474))),"")</f>
        <v>1.5972222222222221E-2</v>
      </c>
      <c r="N474" s="27"/>
      <c r="O474" s="60"/>
    </row>
    <row r="475" spans="1:15" ht="15" customHeight="1">
      <c r="A475" s="69">
        <v>46221</v>
      </c>
      <c r="B475" s="32">
        <f t="shared" ref="B475:B485" si="107">B474+TIME(0,60,0)</f>
        <v>0.87499999999999967</v>
      </c>
      <c r="C475" s="26" t="s">
        <v>45</v>
      </c>
      <c r="D475" s="59" t="s">
        <v>30</v>
      </c>
      <c r="E475" s="59" t="s">
        <v>230</v>
      </c>
      <c r="F475" s="27">
        <v>18</v>
      </c>
      <c r="G475" s="34">
        <f t="shared" si="105"/>
        <v>90</v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8">
        <v>46221</v>
      </c>
      <c r="B476" s="25">
        <f t="shared" si="107"/>
        <v>0.9166666666666663</v>
      </c>
      <c r="C476" s="26" t="s">
        <v>45</v>
      </c>
      <c r="D476" s="59" t="s">
        <v>30</v>
      </c>
      <c r="E476" s="59" t="s">
        <v>230</v>
      </c>
      <c r="F476" s="27">
        <v>10</v>
      </c>
      <c r="G476" s="28">
        <f t="shared" si="105"/>
        <v>50</v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69">
        <v>46221</v>
      </c>
      <c r="B477" s="32">
        <f t="shared" si="107"/>
        <v>0.95833333333333293</v>
      </c>
      <c r="C477" s="26" t="s">
        <v>45</v>
      </c>
      <c r="D477" s="59" t="s">
        <v>30</v>
      </c>
      <c r="E477" s="59" t="s">
        <v>230</v>
      </c>
      <c r="F477" s="27">
        <v>10</v>
      </c>
      <c r="G477" s="34">
        <f t="shared" si="105"/>
        <v>50</v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8">
        <v>46221</v>
      </c>
      <c r="B478" s="25">
        <f t="shared" si="107"/>
        <v>0.99999999999999956</v>
      </c>
      <c r="C478" s="26" t="s">
        <v>45</v>
      </c>
      <c r="D478" s="59" t="s">
        <v>30</v>
      </c>
      <c r="E478" s="59" t="s">
        <v>230</v>
      </c>
      <c r="F478" s="27">
        <v>15</v>
      </c>
      <c r="G478" s="28">
        <f t="shared" si="105"/>
        <v>75</v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69">
        <v>46221</v>
      </c>
      <c r="B479" s="32">
        <f t="shared" si="107"/>
        <v>1.0416666666666663</v>
      </c>
      <c r="C479" s="26" t="s">
        <v>45</v>
      </c>
      <c r="D479" s="59" t="s">
        <v>30</v>
      </c>
      <c r="E479" s="59" t="s">
        <v>230</v>
      </c>
      <c r="F479" s="27">
        <v>13</v>
      </c>
      <c r="G479" s="34">
        <f t="shared" si="105"/>
        <v>65</v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8">
        <v>46221</v>
      </c>
      <c r="B480" s="25">
        <f t="shared" si="107"/>
        <v>1.083333333333333</v>
      </c>
      <c r="C480" s="26" t="s">
        <v>45</v>
      </c>
      <c r="D480" s="59" t="s">
        <v>30</v>
      </c>
      <c r="E480" s="59" t="s">
        <v>230</v>
      </c>
      <c r="F480" s="27">
        <v>15</v>
      </c>
      <c r="G480" s="28">
        <f t="shared" si="105"/>
        <v>75</v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69">
        <v>46221</v>
      </c>
      <c r="B481" s="32">
        <f t="shared" si="107"/>
        <v>1.1249999999999998</v>
      </c>
      <c r="C481" s="26" t="s">
        <v>45</v>
      </c>
      <c r="D481" s="59" t="s">
        <v>30</v>
      </c>
      <c r="E481" s="59" t="s">
        <v>230</v>
      </c>
      <c r="F481" s="27">
        <v>7</v>
      </c>
      <c r="G481" s="34">
        <f t="shared" si="105"/>
        <v>35</v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8">
        <v>46221</v>
      </c>
      <c r="B482" s="25">
        <f t="shared" si="107"/>
        <v>1.1666666666666665</v>
      </c>
      <c r="C482" s="26" t="s">
        <v>45</v>
      </c>
      <c r="D482" s="59" t="s">
        <v>30</v>
      </c>
      <c r="E482" s="59" t="s">
        <v>230</v>
      </c>
      <c r="F482" s="27">
        <v>16</v>
      </c>
      <c r="G482" s="28">
        <f t="shared" si="105"/>
        <v>80</v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69">
        <v>46221</v>
      </c>
      <c r="B483" s="32">
        <f t="shared" si="107"/>
        <v>1.2083333333333333</v>
      </c>
      <c r="C483" s="26" t="s">
        <v>45</v>
      </c>
      <c r="D483" s="59" t="s">
        <v>30</v>
      </c>
      <c r="E483" s="59" t="s">
        <v>230</v>
      </c>
      <c r="F483" s="27">
        <v>0</v>
      </c>
      <c r="G483" s="34">
        <f t="shared" si="105"/>
        <v>0</v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8">
        <v>46221</v>
      </c>
      <c r="B484" s="25">
        <f t="shared" si="107"/>
        <v>1.25</v>
      </c>
      <c r="C484" s="26" t="s">
        <v>45</v>
      </c>
      <c r="D484" s="59" t="s">
        <v>30</v>
      </c>
      <c r="E484" s="59" t="s">
        <v>230</v>
      </c>
      <c r="F484" s="27">
        <v>15</v>
      </c>
      <c r="G484" s="28">
        <f t="shared" si="105"/>
        <v>75</v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69">
        <v>46221</v>
      </c>
      <c r="B485" s="32">
        <f t="shared" si="107"/>
        <v>1.2916666666666667</v>
      </c>
      <c r="C485" s="26" t="s">
        <v>45</v>
      </c>
      <c r="D485" s="59" t="s">
        <v>30</v>
      </c>
      <c r="E485" s="59" t="s">
        <v>230</v>
      </c>
      <c r="F485" s="27">
        <v>8</v>
      </c>
      <c r="G485" s="34">
        <f t="shared" si="105"/>
        <v>40</v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9" t="s">
        <v>234</v>
      </c>
      <c r="B486" s="100"/>
      <c r="C486" s="100"/>
      <c r="D486" s="100"/>
      <c r="E486" s="101">
        <f>SUM(E474:E485)</f>
        <v>0</v>
      </c>
      <c r="F486" s="36">
        <f>SUM(F474:F485)</f>
        <v>147</v>
      </c>
      <c r="G486" s="36">
        <f>SUM(G474:G485)</f>
        <v>735</v>
      </c>
      <c r="H486" s="37"/>
      <c r="I486" s="37"/>
      <c r="J486" s="37"/>
      <c r="K486" s="61"/>
      <c r="L486" s="61"/>
      <c r="M486" s="38">
        <f ca="1">IFERROR(SUM(M474:M485),"")</f>
        <v>1.5972222222222221E-2</v>
      </c>
      <c r="N486" s="36" t="s">
        <v>233</v>
      </c>
      <c r="O486" s="39">
        <v>1120830</v>
      </c>
    </row>
    <row r="487" spans="1:15" ht="18" customHeight="1">
      <c r="A487" s="102" t="s">
        <v>235</v>
      </c>
      <c r="B487" s="103"/>
      <c r="C487" s="103"/>
      <c r="D487" s="103"/>
      <c r="E487" s="104">
        <f>E473+E486</f>
        <v>0</v>
      </c>
      <c r="F487" s="40">
        <f>F473+F486</f>
        <v>262</v>
      </c>
      <c r="G487" s="40">
        <f>G473+G486</f>
        <v>1310</v>
      </c>
      <c r="H487" s="41"/>
      <c r="I487" s="41"/>
      <c r="J487" s="41"/>
      <c r="K487" s="63"/>
      <c r="L487" s="63"/>
      <c r="M487" s="42">
        <f ca="1">IFERROR(M473+M486,"")</f>
        <v>0.15694444444444439</v>
      </c>
      <c r="N487" s="40" t="s">
        <v>236</v>
      </c>
      <c r="O487" s="48">
        <f>IFERROR(O473+O486,"")</f>
        <v>1895030</v>
      </c>
    </row>
    <row r="488" spans="1:15" ht="15" customHeight="1">
      <c r="A488" s="68">
        <v>46222</v>
      </c>
      <c r="B488" s="25">
        <v>0.33333333333333298</v>
      </c>
      <c r="C488" s="26" t="s">
        <v>21</v>
      </c>
      <c r="D488" s="59" t="s">
        <v>30</v>
      </c>
      <c r="E488" s="59" t="s">
        <v>230</v>
      </c>
      <c r="F488" s="27">
        <v>10</v>
      </c>
      <c r="G488" s="28">
        <f t="shared" ref="G488:G499" si="108">IF(F488="","",IF(E488="PC 17",F488*4.2,IF(E488="PC 19",F488*5,"")))</f>
        <v>50</v>
      </c>
      <c r="H488" s="26" t="s">
        <v>20</v>
      </c>
      <c r="I488" s="26" t="s">
        <v>57</v>
      </c>
      <c r="J488" s="26" t="s">
        <v>62</v>
      </c>
      <c r="K488" s="29">
        <v>0.40625</v>
      </c>
      <c r="L488" s="29">
        <v>0.40833333333333333</v>
      </c>
      <c r="M488" s="30">
        <f ca="1">IFERROR(IF(K488="","",IF(L488="",MOD(NOW()-K488,1),IF(L488&gt;=K488,L488-K488,L488+1-K488))),"")</f>
        <v>2.0833333333333259E-3</v>
      </c>
      <c r="N488" s="27"/>
      <c r="O488" s="60"/>
    </row>
    <row r="489" spans="1:15" ht="15" customHeight="1">
      <c r="A489" s="69">
        <v>46222</v>
      </c>
      <c r="B489" s="32">
        <f t="shared" ref="B489:B499" si="109">B488+TIME(0,60,0)</f>
        <v>0.37499999999999967</v>
      </c>
      <c r="C489" s="26" t="s">
        <v>21</v>
      </c>
      <c r="D489" s="59" t="s">
        <v>30</v>
      </c>
      <c r="E489" s="59" t="s">
        <v>230</v>
      </c>
      <c r="F489" s="27">
        <v>15</v>
      </c>
      <c r="G489" s="34">
        <f t="shared" si="108"/>
        <v>75</v>
      </c>
      <c r="H489" s="33" t="s">
        <v>20</v>
      </c>
      <c r="I489" s="33" t="s">
        <v>57</v>
      </c>
      <c r="J489" s="33" t="s">
        <v>164</v>
      </c>
      <c r="K489" s="29">
        <v>0.44236111111111109</v>
      </c>
      <c r="L489" s="29">
        <v>0.45833333333333331</v>
      </c>
      <c r="M489" s="35">
        <f ca="1">IFERROR(IF(K489="","",IF(L489="",MOD(NOW()-K489,1),IF(L489&gt;=K489,L489-K489,L489+1-K489))),"")</f>
        <v>1.5972222222222221E-2</v>
      </c>
      <c r="N489" s="27" t="s">
        <v>353</v>
      </c>
      <c r="O489" s="60"/>
    </row>
    <row r="490" spans="1:15" ht="15" customHeight="1">
      <c r="A490" s="68">
        <v>46222</v>
      </c>
      <c r="B490" s="25">
        <f t="shared" si="109"/>
        <v>0.41666666666666635</v>
      </c>
      <c r="C490" s="26" t="s">
        <v>21</v>
      </c>
      <c r="D490" s="59" t="s">
        <v>30</v>
      </c>
      <c r="E490" s="59" t="s">
        <v>230</v>
      </c>
      <c r="F490" s="27">
        <v>17</v>
      </c>
      <c r="G490" s="28">
        <f t="shared" si="108"/>
        <v>85</v>
      </c>
      <c r="H490" s="26" t="s">
        <v>20</v>
      </c>
      <c r="I490" s="26" t="s">
        <v>57</v>
      </c>
      <c r="J490" s="26" t="s">
        <v>51</v>
      </c>
      <c r="K490" s="29">
        <v>0.48055555555555557</v>
      </c>
      <c r="L490" s="29">
        <v>0.48402777777777778</v>
      </c>
      <c r="M490" s="30">
        <f ca="1">IFERROR(IF(K490="","",IF(L490="",MOD(NOW()-K490,1),IF(L490&gt;=K490,L490-K490,L490+1-K490))),"")</f>
        <v>3.4722222222222099E-3</v>
      </c>
      <c r="N490" s="27"/>
      <c r="O490" s="60"/>
    </row>
    <row r="491" spans="1:15" ht="15" customHeight="1">
      <c r="A491" s="69">
        <v>46222</v>
      </c>
      <c r="B491" s="32">
        <f t="shared" si="109"/>
        <v>0.45833333333333304</v>
      </c>
      <c r="C491" s="26" t="s">
        <v>21</v>
      </c>
      <c r="D491" s="59" t="s">
        <v>30</v>
      </c>
      <c r="E491" s="59" t="s">
        <v>230</v>
      </c>
      <c r="F491" s="27">
        <v>12</v>
      </c>
      <c r="G491" s="34">
        <f t="shared" si="108"/>
        <v>60</v>
      </c>
      <c r="H491" s="33" t="s">
        <v>20</v>
      </c>
      <c r="I491" s="33" t="s">
        <v>52</v>
      </c>
      <c r="J491" s="33" t="s">
        <v>51</v>
      </c>
      <c r="K491" s="29">
        <v>0.61111111111111116</v>
      </c>
      <c r="L491" s="29">
        <v>0.63888888888888884</v>
      </c>
      <c r="M491" s="35">
        <f ca="1">IFERROR(IF(K491="","",IF(L491="",MOD(NOW()-K491,1),IF(L491&gt;=K491,L491-K491,L491+1-K491))),"")</f>
        <v>2.7777777777777679E-2</v>
      </c>
      <c r="N491" s="27"/>
      <c r="O491" s="60"/>
    </row>
    <row r="492" spans="1:15" ht="15" customHeight="1">
      <c r="A492" s="68">
        <v>46222</v>
      </c>
      <c r="B492" s="25">
        <f t="shared" si="109"/>
        <v>0.49999999999999972</v>
      </c>
      <c r="C492" s="26" t="s">
        <v>21</v>
      </c>
      <c r="D492" s="59" t="s">
        <v>30</v>
      </c>
      <c r="E492" s="59" t="s">
        <v>230</v>
      </c>
      <c r="F492" s="27">
        <v>13</v>
      </c>
      <c r="G492" s="28">
        <f t="shared" si="108"/>
        <v>65</v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69">
        <v>46222</v>
      </c>
      <c r="B493" s="32">
        <f t="shared" si="109"/>
        <v>0.54166666666666641</v>
      </c>
      <c r="C493" s="26" t="s">
        <v>21</v>
      </c>
      <c r="D493" s="59" t="s">
        <v>30</v>
      </c>
      <c r="E493" s="59" t="s">
        <v>230</v>
      </c>
      <c r="F493" s="27">
        <v>12</v>
      </c>
      <c r="G493" s="34">
        <f t="shared" si="108"/>
        <v>60</v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8">
        <v>46222</v>
      </c>
      <c r="B494" s="25">
        <f t="shared" si="109"/>
        <v>0.58333333333333304</v>
      </c>
      <c r="C494" s="26" t="s">
        <v>21</v>
      </c>
      <c r="D494" s="59" t="s">
        <v>30</v>
      </c>
      <c r="E494" s="59" t="s">
        <v>257</v>
      </c>
      <c r="F494" s="27">
        <v>18</v>
      </c>
      <c r="G494" s="28">
        <f t="shared" si="108"/>
        <v>75.600000000000009</v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69">
        <v>46222</v>
      </c>
      <c r="B495" s="32">
        <f t="shared" si="109"/>
        <v>0.62499999999999967</v>
      </c>
      <c r="C495" s="26" t="s">
        <v>21</v>
      </c>
      <c r="D495" s="59" t="s">
        <v>30</v>
      </c>
      <c r="E495" s="59" t="s">
        <v>257</v>
      </c>
      <c r="F495" s="27">
        <v>10</v>
      </c>
      <c r="G495" s="34">
        <f t="shared" si="108"/>
        <v>42</v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8">
        <v>46222</v>
      </c>
      <c r="B496" s="25">
        <f t="shared" si="109"/>
        <v>0.6666666666666663</v>
      </c>
      <c r="C496" s="26" t="s">
        <v>21</v>
      </c>
      <c r="D496" s="59" t="s">
        <v>30</v>
      </c>
      <c r="E496" s="59" t="s">
        <v>257</v>
      </c>
      <c r="F496" s="27">
        <v>11</v>
      </c>
      <c r="G496" s="28">
        <f t="shared" si="108"/>
        <v>46.2</v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69">
        <v>46222</v>
      </c>
      <c r="B497" s="32">
        <f t="shared" si="109"/>
        <v>0.70833333333333293</v>
      </c>
      <c r="C497" s="26" t="s">
        <v>21</v>
      </c>
      <c r="D497" s="59" t="s">
        <v>30</v>
      </c>
      <c r="E497" s="59" t="s">
        <v>257</v>
      </c>
      <c r="F497" s="27">
        <v>16</v>
      </c>
      <c r="G497" s="34">
        <f t="shared" si="108"/>
        <v>67.2</v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8">
        <v>46222</v>
      </c>
      <c r="B498" s="25">
        <f t="shared" si="109"/>
        <v>0.74999999999999956</v>
      </c>
      <c r="C498" s="26" t="s">
        <v>21</v>
      </c>
      <c r="D498" s="59" t="s">
        <v>30</v>
      </c>
      <c r="E498" s="59" t="s">
        <v>257</v>
      </c>
      <c r="F498" s="27">
        <v>15</v>
      </c>
      <c r="G498" s="28">
        <f t="shared" si="108"/>
        <v>63</v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69">
        <v>46222</v>
      </c>
      <c r="B499" s="32">
        <f t="shared" si="109"/>
        <v>0.79166666666666619</v>
      </c>
      <c r="C499" s="26" t="s">
        <v>21</v>
      </c>
      <c r="D499" s="59" t="s">
        <v>30</v>
      </c>
      <c r="E499" s="59" t="s">
        <v>257</v>
      </c>
      <c r="F499" s="27">
        <v>6</v>
      </c>
      <c r="G499" s="34">
        <f t="shared" si="108"/>
        <v>25.200000000000003</v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9" t="s">
        <v>232</v>
      </c>
      <c r="B500" s="100"/>
      <c r="C500" s="100"/>
      <c r="D500" s="100"/>
      <c r="E500" s="101">
        <f>SUM(E488:E499)</f>
        <v>0</v>
      </c>
      <c r="F500" s="36">
        <f>SUM(F488:F499)</f>
        <v>155</v>
      </c>
      <c r="G500" s="36">
        <f>SUM(G488:G499)</f>
        <v>714.20000000000016</v>
      </c>
      <c r="H500" s="37"/>
      <c r="I500" s="37"/>
      <c r="J500" s="37"/>
      <c r="K500" s="61"/>
      <c r="L500" s="61"/>
      <c r="M500" s="38">
        <f ca="1">IFERROR(SUM(M488:M499),"")</f>
        <v>4.9305555555555436E-2</v>
      </c>
      <c r="N500" s="36" t="s">
        <v>233</v>
      </c>
      <c r="O500" s="39">
        <v>1031150</v>
      </c>
    </row>
    <row r="501" spans="1:15" ht="15" customHeight="1">
      <c r="A501" s="69">
        <v>46222</v>
      </c>
      <c r="B501" s="32">
        <v>0.83333333333333304</v>
      </c>
      <c r="C501" s="33" t="s">
        <v>45</v>
      </c>
      <c r="D501" s="62" t="s">
        <v>30</v>
      </c>
      <c r="E501" s="62" t="s">
        <v>257</v>
      </c>
      <c r="F501" s="27">
        <v>22</v>
      </c>
      <c r="G501" s="34">
        <f t="shared" ref="G501:G512" si="111">IF(F501="","",IF(E501="PC 17",F501*4.2,IF(E501="PC 19",F501*5,"")))</f>
        <v>92.4</v>
      </c>
      <c r="H501" s="33" t="s">
        <v>19</v>
      </c>
      <c r="I501" s="33" t="s">
        <v>159</v>
      </c>
      <c r="J501" s="33" t="s">
        <v>27</v>
      </c>
      <c r="K501" s="29">
        <v>0.83333333333333337</v>
      </c>
      <c r="L501" s="29">
        <v>0.86250000000000004</v>
      </c>
      <c r="M501" s="35">
        <f t="shared" ref="M501:M512" ca="1" si="112">IFERROR(IF(K501="","",IF(L501="",MOD(NOW()-K501,1),IF(L501&gt;=K501,L501-K501,L501+1-K501))),"")</f>
        <v>2.9166666666666674E-2</v>
      </c>
      <c r="N501" s="27"/>
      <c r="O501" s="60"/>
    </row>
    <row r="502" spans="1:15" ht="15" customHeight="1">
      <c r="A502" s="68">
        <v>46222</v>
      </c>
      <c r="B502" s="25">
        <f t="shared" ref="B502:B512" si="113">B501+TIME(0,60,0)</f>
        <v>0.87499999999999967</v>
      </c>
      <c r="C502" s="33" t="s">
        <v>45</v>
      </c>
      <c r="D502" s="62" t="s">
        <v>30</v>
      </c>
      <c r="E502" s="62" t="s">
        <v>230</v>
      </c>
      <c r="F502" s="27">
        <v>6</v>
      </c>
      <c r="G502" s="28">
        <f t="shared" si="111"/>
        <v>30</v>
      </c>
      <c r="H502" s="26" t="s">
        <v>20</v>
      </c>
      <c r="I502" s="26" t="s">
        <v>129</v>
      </c>
      <c r="J502" s="26" t="s">
        <v>113</v>
      </c>
      <c r="K502" s="29">
        <v>0.98819444444444449</v>
      </c>
      <c r="L502" s="29">
        <v>1.7361111111111112E-2</v>
      </c>
      <c r="M502" s="30">
        <f t="shared" ca="1" si="112"/>
        <v>2.9166666666666674E-2</v>
      </c>
      <c r="N502" s="27"/>
      <c r="O502" s="60"/>
    </row>
    <row r="503" spans="1:15" ht="15" customHeight="1">
      <c r="A503" s="69">
        <v>46222</v>
      </c>
      <c r="B503" s="32">
        <f t="shared" si="113"/>
        <v>0.9166666666666663</v>
      </c>
      <c r="C503" s="33" t="s">
        <v>45</v>
      </c>
      <c r="D503" s="62" t="s">
        <v>30</v>
      </c>
      <c r="E503" s="62" t="s">
        <v>257</v>
      </c>
      <c r="F503" s="27">
        <v>10</v>
      </c>
      <c r="G503" s="34">
        <f t="shared" si="111"/>
        <v>42</v>
      </c>
      <c r="H503" s="33" t="s">
        <v>20</v>
      </c>
      <c r="I503" s="33" t="s">
        <v>129</v>
      </c>
      <c r="J503" s="33" t="s">
        <v>113</v>
      </c>
      <c r="K503" s="29">
        <v>0.14374999999999999</v>
      </c>
      <c r="L503" s="29">
        <v>0.28472222222222221</v>
      </c>
      <c r="M503" s="35">
        <f t="shared" ca="1" si="112"/>
        <v>0.14097222222222222</v>
      </c>
      <c r="N503" s="27" t="s">
        <v>379</v>
      </c>
      <c r="O503" s="60"/>
    </row>
    <row r="504" spans="1:15" ht="15" customHeight="1">
      <c r="A504" s="68">
        <v>46222</v>
      </c>
      <c r="B504" s="25">
        <f t="shared" si="113"/>
        <v>0.95833333333333293</v>
      </c>
      <c r="C504" s="33" t="s">
        <v>45</v>
      </c>
      <c r="D504" s="62" t="s">
        <v>30</v>
      </c>
      <c r="E504" s="62" t="s">
        <v>257</v>
      </c>
      <c r="F504" s="27">
        <v>10</v>
      </c>
      <c r="G504" s="28">
        <f t="shared" si="111"/>
        <v>42</v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69">
        <v>46222</v>
      </c>
      <c r="B505" s="32">
        <f t="shared" si="113"/>
        <v>0.99999999999999956</v>
      </c>
      <c r="C505" s="33" t="s">
        <v>45</v>
      </c>
      <c r="D505" s="62" t="s">
        <v>30</v>
      </c>
      <c r="E505" s="62" t="s">
        <v>257</v>
      </c>
      <c r="F505" s="27">
        <v>0</v>
      </c>
      <c r="G505" s="34">
        <f t="shared" si="111"/>
        <v>0</v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8">
        <v>46222</v>
      </c>
      <c r="B506" s="25">
        <f t="shared" si="113"/>
        <v>1.0416666666666663</v>
      </c>
      <c r="C506" s="33" t="s">
        <v>45</v>
      </c>
      <c r="D506" s="62" t="s">
        <v>30</v>
      </c>
      <c r="E506" s="62" t="s">
        <v>257</v>
      </c>
      <c r="F506" s="27">
        <v>15</v>
      </c>
      <c r="G506" s="28">
        <f t="shared" si="111"/>
        <v>63</v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69">
        <v>46222</v>
      </c>
      <c r="B507" s="32">
        <f t="shared" si="113"/>
        <v>1.083333333333333</v>
      </c>
      <c r="C507" s="33" t="s">
        <v>45</v>
      </c>
      <c r="D507" s="62" t="s">
        <v>30</v>
      </c>
      <c r="E507" s="62" t="s">
        <v>257</v>
      </c>
      <c r="F507" s="27">
        <v>17</v>
      </c>
      <c r="G507" s="34">
        <f t="shared" si="111"/>
        <v>71.400000000000006</v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8">
        <v>46222</v>
      </c>
      <c r="B508" s="25">
        <f t="shared" si="113"/>
        <v>1.1249999999999998</v>
      </c>
      <c r="C508" s="33" t="s">
        <v>45</v>
      </c>
      <c r="D508" s="62" t="s">
        <v>30</v>
      </c>
      <c r="E508" s="62" t="s">
        <v>257</v>
      </c>
      <c r="F508" s="27">
        <v>10</v>
      </c>
      <c r="G508" s="28">
        <f t="shared" si="111"/>
        <v>42</v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69">
        <v>46222</v>
      </c>
      <c r="B509" s="32">
        <f t="shared" si="113"/>
        <v>1.1666666666666665</v>
      </c>
      <c r="C509" s="33" t="s">
        <v>45</v>
      </c>
      <c r="D509" s="62" t="s">
        <v>30</v>
      </c>
      <c r="E509" s="62" t="s">
        <v>257</v>
      </c>
      <c r="F509" s="27">
        <v>5</v>
      </c>
      <c r="G509" s="34">
        <f t="shared" si="111"/>
        <v>21</v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8">
        <v>46222</v>
      </c>
      <c r="B510" s="25">
        <f t="shared" si="113"/>
        <v>1.2083333333333333</v>
      </c>
      <c r="C510" s="33" t="s">
        <v>45</v>
      </c>
      <c r="D510" s="62" t="s">
        <v>30</v>
      </c>
      <c r="E510" s="62" t="s">
        <v>257</v>
      </c>
      <c r="F510" s="27">
        <v>0</v>
      </c>
      <c r="G510" s="28">
        <f t="shared" si="111"/>
        <v>0</v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69">
        <v>46222</v>
      </c>
      <c r="B511" s="32">
        <f t="shared" si="113"/>
        <v>1.25</v>
      </c>
      <c r="C511" s="33" t="s">
        <v>45</v>
      </c>
      <c r="D511" s="62" t="s">
        <v>30</v>
      </c>
      <c r="E511" s="62" t="s">
        <v>257</v>
      </c>
      <c r="F511" s="27">
        <v>0</v>
      </c>
      <c r="G511" s="34">
        <f t="shared" si="111"/>
        <v>0</v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8">
        <v>46222</v>
      </c>
      <c r="B512" s="25">
        <f t="shared" si="113"/>
        <v>1.2916666666666667</v>
      </c>
      <c r="C512" s="33" t="s">
        <v>45</v>
      </c>
      <c r="D512" s="62" t="s">
        <v>30</v>
      </c>
      <c r="E512" s="62" t="s">
        <v>257</v>
      </c>
      <c r="F512" s="27">
        <v>0</v>
      </c>
      <c r="G512" s="28">
        <f t="shared" si="111"/>
        <v>0</v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9" t="s">
        <v>234</v>
      </c>
      <c r="B513" s="100"/>
      <c r="C513" s="100"/>
      <c r="D513" s="100"/>
      <c r="E513" s="101">
        <f>SUM(E501:E512)</f>
        <v>0</v>
      </c>
      <c r="F513" s="36">
        <f>SUM(F501:F512)</f>
        <v>95</v>
      </c>
      <c r="G513" s="36">
        <f>SUM(G501:G512)</f>
        <v>403.79999999999995</v>
      </c>
      <c r="H513" s="37"/>
      <c r="I513" s="37"/>
      <c r="J513" s="37"/>
      <c r="K513" s="61"/>
      <c r="L513" s="61"/>
      <c r="M513" s="38">
        <f ca="1">IFERROR(SUM(M501:M512),"")</f>
        <v>0.19930555555555557</v>
      </c>
      <c r="N513" s="36" t="s">
        <v>233</v>
      </c>
      <c r="O513" s="39">
        <v>416720</v>
      </c>
    </row>
    <row r="514" spans="1:15" ht="18" customHeight="1">
      <c r="A514" s="102" t="s">
        <v>235</v>
      </c>
      <c r="B514" s="103"/>
      <c r="C514" s="103"/>
      <c r="D514" s="103"/>
      <c r="E514" s="104">
        <f>E500+E513</f>
        <v>0</v>
      </c>
      <c r="F514" s="40">
        <f>F500+F513</f>
        <v>250</v>
      </c>
      <c r="G514" s="40">
        <f>G500+G513</f>
        <v>1118</v>
      </c>
      <c r="H514" s="41"/>
      <c r="I514" s="41"/>
      <c r="J514" s="41"/>
      <c r="K514" s="63"/>
      <c r="L514" s="63"/>
      <c r="M514" s="42">
        <f ca="1">IFERROR(M500+M513,"")</f>
        <v>0.24861111111111101</v>
      </c>
      <c r="N514" s="40" t="s">
        <v>236</v>
      </c>
      <c r="O514" s="48">
        <f>IFERROR(O500+O513,"")</f>
        <v>1447870</v>
      </c>
    </row>
    <row r="515" spans="1:15" ht="15" customHeight="1">
      <c r="A515" s="69">
        <v>46223</v>
      </c>
      <c r="B515" s="32">
        <v>0.33333333333333298</v>
      </c>
      <c r="C515" s="33" t="s">
        <v>21</v>
      </c>
      <c r="D515" s="62" t="s">
        <v>30</v>
      </c>
      <c r="E515" s="62" t="s">
        <v>257</v>
      </c>
      <c r="F515" s="27">
        <v>0</v>
      </c>
      <c r="G515" s="34">
        <f t="shared" ref="G515:G526" si="114">IF(F515="","",IF(E515="PC 17",F515*4.2,IF(E515="PC 19",F515*5,"")))</f>
        <v>0</v>
      </c>
      <c r="H515" s="33" t="s">
        <v>18</v>
      </c>
      <c r="I515" s="33" t="s">
        <v>75</v>
      </c>
      <c r="J515" s="33" t="s">
        <v>217</v>
      </c>
      <c r="K515" s="29">
        <v>0.29166666666666669</v>
      </c>
      <c r="L515" s="29">
        <v>0.56597222222222221</v>
      </c>
      <c r="M515" s="35">
        <f t="shared" ref="M515:M526" ca="1" si="115">IFERROR(IF(K515="","",IF(L515="",MOD(NOW()-K515,1),IF(L515&gt;=K515,L515-K515,L515+1-K515))),"")</f>
        <v>0.27430555555555552</v>
      </c>
      <c r="N515" s="27" t="s">
        <v>380</v>
      </c>
      <c r="O515" s="60"/>
    </row>
    <row r="516" spans="1:15" ht="15" customHeight="1">
      <c r="A516" s="68">
        <v>46223</v>
      </c>
      <c r="B516" s="25">
        <f t="shared" ref="B516:B526" si="116">B515+TIME(0,60,0)</f>
        <v>0.37499999999999967</v>
      </c>
      <c r="C516" s="33" t="s">
        <v>21</v>
      </c>
      <c r="D516" s="62" t="s">
        <v>30</v>
      </c>
      <c r="E516" s="62" t="s">
        <v>257</v>
      </c>
      <c r="F516" s="27">
        <v>0</v>
      </c>
      <c r="G516" s="28">
        <f t="shared" si="114"/>
        <v>0</v>
      </c>
      <c r="H516" s="49" t="s">
        <v>20</v>
      </c>
      <c r="I516" s="26"/>
      <c r="J516" s="49" t="s">
        <v>44</v>
      </c>
      <c r="K516" s="29">
        <v>0.57986111111111116</v>
      </c>
      <c r="L516" s="29">
        <v>0.59305555555555556</v>
      </c>
      <c r="M516" s="30">
        <f t="shared" ca="1" si="115"/>
        <v>1.3194444444444398E-2</v>
      </c>
      <c r="N516" s="27"/>
      <c r="O516" s="60"/>
    </row>
    <row r="517" spans="1:15" ht="15" customHeight="1">
      <c r="A517" s="69">
        <v>46223</v>
      </c>
      <c r="B517" s="32">
        <f t="shared" si="116"/>
        <v>0.41666666666666635</v>
      </c>
      <c r="C517" s="33" t="s">
        <v>21</v>
      </c>
      <c r="D517" s="62" t="s">
        <v>30</v>
      </c>
      <c r="E517" s="62" t="s">
        <v>257</v>
      </c>
      <c r="F517" s="27">
        <v>0</v>
      </c>
      <c r="G517" s="34">
        <f t="shared" si="114"/>
        <v>0</v>
      </c>
      <c r="H517" s="33" t="s">
        <v>20</v>
      </c>
      <c r="I517" s="33" t="s">
        <v>57</v>
      </c>
      <c r="J517" s="33" t="s">
        <v>164</v>
      </c>
      <c r="K517" s="29">
        <v>0.63680555555555551</v>
      </c>
      <c r="L517" s="29">
        <v>0.65347222222222223</v>
      </c>
      <c r="M517" s="35">
        <f t="shared" ca="1" si="115"/>
        <v>1.6666666666666718E-2</v>
      </c>
      <c r="N517" s="27" t="s">
        <v>381</v>
      </c>
      <c r="O517" s="60"/>
    </row>
    <row r="518" spans="1:15" ht="15" customHeight="1">
      <c r="A518" s="68">
        <v>46223</v>
      </c>
      <c r="B518" s="25">
        <f t="shared" si="116"/>
        <v>0.45833333333333304</v>
      </c>
      <c r="C518" s="33" t="s">
        <v>21</v>
      </c>
      <c r="D518" s="62" t="s">
        <v>30</v>
      </c>
      <c r="E518" s="62" t="s">
        <v>257</v>
      </c>
      <c r="F518" s="27">
        <v>0</v>
      </c>
      <c r="G518" s="28">
        <f t="shared" si="114"/>
        <v>0</v>
      </c>
      <c r="H518" s="33" t="s">
        <v>20</v>
      </c>
      <c r="I518" s="26" t="s">
        <v>57</v>
      </c>
      <c r="J518" s="26" t="s">
        <v>28</v>
      </c>
      <c r="K518" s="29">
        <v>0.73472222222222228</v>
      </c>
      <c r="L518" s="29">
        <v>0.74236111111111114</v>
      </c>
      <c r="M518" s="30">
        <f t="shared" ca="1" si="115"/>
        <v>7.6388888888888618E-3</v>
      </c>
      <c r="N518" s="27"/>
      <c r="O518" s="60"/>
    </row>
    <row r="519" spans="1:15" ht="15" customHeight="1">
      <c r="A519" s="69">
        <v>46223</v>
      </c>
      <c r="B519" s="32">
        <f t="shared" si="116"/>
        <v>0.49999999999999972</v>
      </c>
      <c r="C519" s="33" t="s">
        <v>21</v>
      </c>
      <c r="D519" s="62" t="s">
        <v>30</v>
      </c>
      <c r="E519" s="62" t="s">
        <v>257</v>
      </c>
      <c r="F519" s="27">
        <v>0</v>
      </c>
      <c r="G519" s="34">
        <f t="shared" si="114"/>
        <v>0</v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8">
        <v>46223</v>
      </c>
      <c r="B520" s="25">
        <f t="shared" si="116"/>
        <v>0.54166666666666641</v>
      </c>
      <c r="C520" s="33" t="s">
        <v>21</v>
      </c>
      <c r="D520" s="62" t="s">
        <v>30</v>
      </c>
      <c r="E520" s="62" t="s">
        <v>257</v>
      </c>
      <c r="F520" s="27">
        <v>8</v>
      </c>
      <c r="G520" s="28">
        <f t="shared" si="114"/>
        <v>33.6</v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69">
        <v>46223</v>
      </c>
      <c r="B521" s="32">
        <f t="shared" si="116"/>
        <v>0.58333333333333304</v>
      </c>
      <c r="C521" s="33" t="s">
        <v>21</v>
      </c>
      <c r="D521" s="62" t="s">
        <v>30</v>
      </c>
      <c r="E521" s="62" t="s">
        <v>257</v>
      </c>
      <c r="F521" s="27">
        <v>3</v>
      </c>
      <c r="G521" s="34">
        <f t="shared" si="114"/>
        <v>12.600000000000001</v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8">
        <v>46223</v>
      </c>
      <c r="B522" s="25">
        <f t="shared" si="116"/>
        <v>0.62499999999999967</v>
      </c>
      <c r="C522" s="33" t="s">
        <v>21</v>
      </c>
      <c r="D522" s="62" t="s">
        <v>30</v>
      </c>
      <c r="E522" s="62" t="s">
        <v>257</v>
      </c>
      <c r="F522" s="27">
        <v>13</v>
      </c>
      <c r="G522" s="28">
        <f t="shared" si="114"/>
        <v>54.6</v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69">
        <v>46223</v>
      </c>
      <c r="B523" s="32">
        <f t="shared" si="116"/>
        <v>0.6666666666666663</v>
      </c>
      <c r="C523" s="33" t="s">
        <v>21</v>
      </c>
      <c r="D523" s="62" t="s">
        <v>30</v>
      </c>
      <c r="E523" s="62" t="s">
        <v>257</v>
      </c>
      <c r="F523" s="27">
        <v>12</v>
      </c>
      <c r="G523" s="34">
        <f t="shared" si="114"/>
        <v>50.400000000000006</v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8">
        <v>46223</v>
      </c>
      <c r="B524" s="25">
        <f t="shared" si="116"/>
        <v>0.70833333333333293</v>
      </c>
      <c r="C524" s="33" t="s">
        <v>21</v>
      </c>
      <c r="D524" s="62" t="s">
        <v>30</v>
      </c>
      <c r="E524" s="62" t="s">
        <v>257</v>
      </c>
      <c r="F524" s="27">
        <v>22</v>
      </c>
      <c r="G524" s="28">
        <f t="shared" si="114"/>
        <v>92.4</v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69">
        <v>46223</v>
      </c>
      <c r="B525" s="32">
        <f t="shared" si="116"/>
        <v>0.74999999999999956</v>
      </c>
      <c r="C525" s="33" t="s">
        <v>21</v>
      </c>
      <c r="D525" s="62" t="s">
        <v>30</v>
      </c>
      <c r="E525" s="62" t="s">
        <v>257</v>
      </c>
      <c r="F525" s="27">
        <v>13</v>
      </c>
      <c r="G525" s="34">
        <f t="shared" si="114"/>
        <v>54.6</v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8">
        <v>46223</v>
      </c>
      <c r="B526" s="25">
        <f t="shared" si="116"/>
        <v>0.79166666666666619</v>
      </c>
      <c r="C526" s="33" t="s">
        <v>21</v>
      </c>
      <c r="D526" s="62" t="s">
        <v>30</v>
      </c>
      <c r="E526" s="62" t="s">
        <v>257</v>
      </c>
      <c r="F526" s="27">
        <v>9</v>
      </c>
      <c r="G526" s="28">
        <f t="shared" si="114"/>
        <v>37.800000000000004</v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9" t="s">
        <v>232</v>
      </c>
      <c r="B527" s="100"/>
      <c r="C527" s="100"/>
      <c r="D527" s="100"/>
      <c r="E527" s="101">
        <f>SUM(E515:E526)</f>
        <v>0</v>
      </c>
      <c r="F527" s="36">
        <f>SUM(F515:F526)</f>
        <v>80</v>
      </c>
      <c r="G527" s="36">
        <f>SUM(G515:G526)</f>
        <v>336.00000000000006</v>
      </c>
      <c r="H527" s="37"/>
      <c r="I527" s="37"/>
      <c r="J527" s="37"/>
      <c r="K527" s="61"/>
      <c r="L527" s="61"/>
      <c r="M527" s="38">
        <f ca="1">IFERROR(SUM(M515:M526),"")</f>
        <v>0.3118055555555555</v>
      </c>
      <c r="N527" s="36" t="s">
        <v>233</v>
      </c>
      <c r="O527" s="39">
        <v>362510</v>
      </c>
    </row>
    <row r="528" spans="1:15" ht="15" customHeight="1">
      <c r="A528" s="68">
        <v>46223</v>
      </c>
      <c r="B528" s="25">
        <v>0.83333333333333304</v>
      </c>
      <c r="C528" s="26" t="s">
        <v>45</v>
      </c>
      <c r="D528" s="59" t="s">
        <v>30</v>
      </c>
      <c r="E528" s="59" t="s">
        <v>257</v>
      </c>
      <c r="F528" s="27">
        <v>20</v>
      </c>
      <c r="G528" s="28">
        <f t="shared" ref="G528:G539" si="117">IF(F528="","",IF(E528="PC 17",F528*4.2,IF(E528="PC 19",F528*5,"")))</f>
        <v>84</v>
      </c>
      <c r="H528" s="26" t="s">
        <v>20</v>
      </c>
      <c r="I528" s="26" t="s">
        <v>57</v>
      </c>
      <c r="J528" s="26" t="s">
        <v>28</v>
      </c>
      <c r="K528" s="29">
        <v>0.85972222222222228</v>
      </c>
      <c r="L528" s="29">
        <v>0.86458333333333337</v>
      </c>
      <c r="M528" s="30">
        <f t="shared" ref="M528:M539" ca="1" si="118">IFERROR(IF(K528="","",IF(L528="",MOD(NOW()-K528,1),IF(L528&gt;=K528,L528-K528,L528+1-K528))),"")</f>
        <v>4.8611111111110938E-3</v>
      </c>
      <c r="N528" s="27"/>
      <c r="O528" s="60"/>
    </row>
    <row r="529" spans="1:15" ht="15" customHeight="1">
      <c r="A529" s="69">
        <v>46223</v>
      </c>
      <c r="B529" s="32">
        <f t="shared" ref="B529:B539" si="119">B528+TIME(0,60,0)</f>
        <v>0.87499999999999967</v>
      </c>
      <c r="C529" s="26" t="s">
        <v>45</v>
      </c>
      <c r="D529" s="59" t="s">
        <v>30</v>
      </c>
      <c r="E529" s="59" t="s">
        <v>257</v>
      </c>
      <c r="F529" s="27">
        <v>7</v>
      </c>
      <c r="G529" s="34">
        <f t="shared" si="117"/>
        <v>29.400000000000002</v>
      </c>
      <c r="H529" s="33" t="s">
        <v>20</v>
      </c>
      <c r="I529" s="33" t="s">
        <v>57</v>
      </c>
      <c r="J529" s="33" t="s">
        <v>56</v>
      </c>
      <c r="K529" s="29">
        <v>0.89930555555555558</v>
      </c>
      <c r="L529" s="29">
        <v>0.92777777777777781</v>
      </c>
      <c r="M529" s="35">
        <f t="shared" ca="1" si="118"/>
        <v>2.8472222222222232E-2</v>
      </c>
      <c r="N529" s="27"/>
      <c r="O529" s="60"/>
    </row>
    <row r="530" spans="1:15" ht="15" customHeight="1">
      <c r="A530" s="68">
        <v>46223</v>
      </c>
      <c r="B530" s="25">
        <f t="shared" si="119"/>
        <v>0.9166666666666663</v>
      </c>
      <c r="C530" s="26" t="s">
        <v>45</v>
      </c>
      <c r="D530" s="59" t="s">
        <v>30</v>
      </c>
      <c r="E530" s="59" t="s">
        <v>257</v>
      </c>
      <c r="F530" s="27">
        <v>5</v>
      </c>
      <c r="G530" s="28">
        <f t="shared" si="117"/>
        <v>21</v>
      </c>
      <c r="H530" s="26" t="s">
        <v>19</v>
      </c>
      <c r="I530" s="26" t="s">
        <v>159</v>
      </c>
      <c r="J530" s="26" t="s">
        <v>27</v>
      </c>
      <c r="K530" s="29">
        <v>2.0833333333333332E-2</v>
      </c>
      <c r="L530" s="29">
        <v>4.3055555555555555E-2</v>
      </c>
      <c r="M530" s="30">
        <f t="shared" ca="1" si="118"/>
        <v>2.2222222222222223E-2</v>
      </c>
      <c r="N530" s="27"/>
      <c r="O530" s="60"/>
    </row>
    <row r="531" spans="1:15" ht="15" customHeight="1">
      <c r="A531" s="69">
        <v>46223</v>
      </c>
      <c r="B531" s="32">
        <f t="shared" si="119"/>
        <v>0.95833333333333293</v>
      </c>
      <c r="C531" s="26" t="s">
        <v>45</v>
      </c>
      <c r="D531" s="59" t="s">
        <v>30</v>
      </c>
      <c r="E531" s="59" t="s">
        <v>257</v>
      </c>
      <c r="F531" s="27">
        <v>0</v>
      </c>
      <c r="G531" s="34">
        <f t="shared" si="117"/>
        <v>0</v>
      </c>
      <c r="H531" s="33" t="s">
        <v>20</v>
      </c>
      <c r="I531" s="33" t="s">
        <v>57</v>
      </c>
      <c r="J531" s="33" t="s">
        <v>62</v>
      </c>
      <c r="K531" s="29">
        <v>7.8472222222222221E-2</v>
      </c>
      <c r="L531" s="29">
        <v>0.11458333333333333</v>
      </c>
      <c r="M531" s="35">
        <f t="shared" ca="1" si="118"/>
        <v>3.6111111111111108E-2</v>
      </c>
      <c r="N531" s="27"/>
      <c r="O531" s="60"/>
    </row>
    <row r="532" spans="1:15" ht="15" customHeight="1">
      <c r="A532" s="68">
        <v>46223</v>
      </c>
      <c r="B532" s="25">
        <f t="shared" si="119"/>
        <v>0.99999999999999956</v>
      </c>
      <c r="C532" s="26" t="s">
        <v>45</v>
      </c>
      <c r="D532" s="59" t="s">
        <v>30</v>
      </c>
      <c r="E532" s="59" t="s">
        <v>257</v>
      </c>
      <c r="F532" s="27">
        <v>10</v>
      </c>
      <c r="G532" s="28">
        <f t="shared" si="117"/>
        <v>42</v>
      </c>
      <c r="H532" s="26" t="s">
        <v>20</v>
      </c>
      <c r="I532" s="26" t="s">
        <v>57</v>
      </c>
      <c r="J532" s="26" t="s">
        <v>56</v>
      </c>
      <c r="K532" s="29">
        <v>0.18055555555555555</v>
      </c>
      <c r="L532" s="29">
        <v>0.19583333333333333</v>
      </c>
      <c r="M532" s="30">
        <f t="shared" ca="1" si="118"/>
        <v>1.5277777777777779E-2</v>
      </c>
      <c r="N532" s="27"/>
      <c r="O532" s="60"/>
    </row>
    <row r="533" spans="1:15" ht="15" customHeight="1">
      <c r="A533" s="69">
        <v>46223</v>
      </c>
      <c r="B533" s="32">
        <f t="shared" si="119"/>
        <v>1.0416666666666663</v>
      </c>
      <c r="C533" s="26" t="s">
        <v>45</v>
      </c>
      <c r="D533" s="59" t="s">
        <v>30</v>
      </c>
      <c r="E533" s="59" t="s">
        <v>257</v>
      </c>
      <c r="F533" s="27">
        <v>10</v>
      </c>
      <c r="G533" s="34">
        <f t="shared" si="117"/>
        <v>42</v>
      </c>
      <c r="H533" s="33" t="s">
        <v>20</v>
      </c>
      <c r="I533" s="33" t="s">
        <v>52</v>
      </c>
      <c r="J533" s="33" t="s">
        <v>193</v>
      </c>
      <c r="K533" s="29">
        <v>0.2361111111111111</v>
      </c>
      <c r="L533" s="29">
        <v>0.24027777777777778</v>
      </c>
      <c r="M533" s="35">
        <f t="shared" ca="1" si="118"/>
        <v>4.1666666666666796E-3</v>
      </c>
      <c r="N533" s="27"/>
      <c r="O533" s="60"/>
    </row>
    <row r="534" spans="1:15" ht="15" customHeight="1">
      <c r="A534" s="68">
        <v>46223</v>
      </c>
      <c r="B534" s="25">
        <f t="shared" si="119"/>
        <v>1.083333333333333</v>
      </c>
      <c r="C534" s="26" t="s">
        <v>45</v>
      </c>
      <c r="D534" s="59" t="s">
        <v>30</v>
      </c>
      <c r="E534" s="59" t="s">
        <v>257</v>
      </c>
      <c r="F534" s="27">
        <v>10</v>
      </c>
      <c r="G534" s="28">
        <f t="shared" si="117"/>
        <v>42</v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69">
        <v>46223</v>
      </c>
      <c r="B535" s="32">
        <f t="shared" si="119"/>
        <v>1.1249999999999998</v>
      </c>
      <c r="C535" s="26" t="s">
        <v>45</v>
      </c>
      <c r="D535" s="59" t="s">
        <v>30</v>
      </c>
      <c r="E535" s="59" t="s">
        <v>257</v>
      </c>
      <c r="F535" s="27">
        <v>0</v>
      </c>
      <c r="G535" s="34">
        <f t="shared" si="117"/>
        <v>0</v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8">
        <v>46223</v>
      </c>
      <c r="B536" s="25">
        <f t="shared" si="119"/>
        <v>1.1666666666666665</v>
      </c>
      <c r="C536" s="26" t="s">
        <v>45</v>
      </c>
      <c r="D536" s="59" t="s">
        <v>30</v>
      </c>
      <c r="E536" s="59" t="s">
        <v>257</v>
      </c>
      <c r="F536" s="27">
        <v>5</v>
      </c>
      <c r="G536" s="28">
        <f t="shared" si="117"/>
        <v>21</v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69">
        <v>46223</v>
      </c>
      <c r="B537" s="32">
        <f t="shared" si="119"/>
        <v>1.2083333333333333</v>
      </c>
      <c r="C537" s="26" t="s">
        <v>45</v>
      </c>
      <c r="D537" s="59" t="s">
        <v>30</v>
      </c>
      <c r="E537" s="59" t="s">
        <v>257</v>
      </c>
      <c r="F537" s="27">
        <v>0</v>
      </c>
      <c r="G537" s="34">
        <f t="shared" si="117"/>
        <v>0</v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8">
        <v>46223</v>
      </c>
      <c r="B538" s="25">
        <f t="shared" si="119"/>
        <v>1.25</v>
      </c>
      <c r="C538" s="26" t="s">
        <v>45</v>
      </c>
      <c r="D538" s="59" t="s">
        <v>30</v>
      </c>
      <c r="E538" s="59" t="s">
        <v>257</v>
      </c>
      <c r="F538" s="27">
        <v>20</v>
      </c>
      <c r="G538" s="28">
        <f t="shared" si="117"/>
        <v>84</v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69">
        <v>46223</v>
      </c>
      <c r="B539" s="32">
        <f t="shared" si="119"/>
        <v>1.2916666666666667</v>
      </c>
      <c r="C539" s="26" t="s">
        <v>45</v>
      </c>
      <c r="D539" s="59" t="s">
        <v>30</v>
      </c>
      <c r="E539" s="59" t="s">
        <v>257</v>
      </c>
      <c r="F539" s="27">
        <v>25</v>
      </c>
      <c r="G539" s="34">
        <f t="shared" si="117"/>
        <v>105</v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9" t="s">
        <v>234</v>
      </c>
      <c r="B540" s="100"/>
      <c r="C540" s="100"/>
      <c r="D540" s="100"/>
      <c r="E540" s="101">
        <f>SUM(E528:E539)</f>
        <v>0</v>
      </c>
      <c r="F540" s="36">
        <f>SUM(F528:F539)</f>
        <v>112</v>
      </c>
      <c r="G540" s="36">
        <f>SUM(G528:G539)</f>
        <v>470.4</v>
      </c>
      <c r="H540" s="37"/>
      <c r="I540" s="37"/>
      <c r="J540" s="37"/>
      <c r="K540" s="61"/>
      <c r="L540" s="61"/>
      <c r="M540" s="38">
        <f ca="1">IFERROR(SUM(M528:M539),"")</f>
        <v>0.11111111111111112</v>
      </c>
      <c r="N540" s="36" t="s">
        <v>233</v>
      </c>
      <c r="O540" s="39">
        <v>404370</v>
      </c>
    </row>
    <row r="541" spans="1:15" ht="18" customHeight="1">
      <c r="A541" s="102" t="s">
        <v>235</v>
      </c>
      <c r="B541" s="103"/>
      <c r="C541" s="103"/>
      <c r="D541" s="103"/>
      <c r="E541" s="104">
        <f>E527+E540</f>
        <v>0</v>
      </c>
      <c r="F541" s="40">
        <f>F527+F540</f>
        <v>192</v>
      </c>
      <c r="G541" s="40">
        <f>G527+G540</f>
        <v>806.40000000000009</v>
      </c>
      <c r="H541" s="41"/>
      <c r="I541" s="41"/>
      <c r="J541" s="41"/>
      <c r="K541" s="63"/>
      <c r="L541" s="63"/>
      <c r="M541" s="42">
        <f ca="1">IFERROR(M527+M540,"")</f>
        <v>0.42291666666666661</v>
      </c>
      <c r="N541" s="40" t="s">
        <v>236</v>
      </c>
      <c r="O541" s="48">
        <f>IFERROR(O527+O540,"")</f>
        <v>766880</v>
      </c>
    </row>
    <row r="542" spans="1:15" ht="15" customHeight="1">
      <c r="A542" s="68">
        <v>46224</v>
      </c>
      <c r="B542" s="25">
        <v>0.33333333333333298</v>
      </c>
      <c r="C542" s="26" t="s">
        <v>21</v>
      </c>
      <c r="D542" s="59" t="s">
        <v>30</v>
      </c>
      <c r="E542" s="59" t="s">
        <v>257</v>
      </c>
      <c r="F542" s="27">
        <v>17</v>
      </c>
      <c r="G542" s="28">
        <f t="shared" ref="G542:G553" si="120">IF(F542="","",IF(E542="PC 17",F542*4.2,IF(E542="PC 19",F542*5,"")))</f>
        <v>71.400000000000006</v>
      </c>
      <c r="H542" s="26" t="s">
        <v>20</v>
      </c>
      <c r="I542" s="26" t="s">
        <v>137</v>
      </c>
      <c r="J542" s="26" t="s">
        <v>74</v>
      </c>
      <c r="K542" s="29">
        <v>0.30902777777777779</v>
      </c>
      <c r="L542" s="29">
        <v>0.32361111111111113</v>
      </c>
      <c r="M542" s="30">
        <f t="shared" ref="M542:M553" ca="1" si="121">IFERROR(IF(K542="","",IF(L542="",MOD(NOW()-K542,1),IF(L542&gt;=K542,L542-K542,L542+1-K542))),"")</f>
        <v>1.4583333333333337E-2</v>
      </c>
      <c r="N542" s="27" t="s">
        <v>382</v>
      </c>
      <c r="O542" s="60"/>
    </row>
    <row r="543" spans="1:15" ht="15" customHeight="1">
      <c r="A543" s="69">
        <v>46224</v>
      </c>
      <c r="B543" s="32">
        <f t="shared" ref="B543:B553" si="122">B542+TIME(0,60,0)</f>
        <v>0.37499999999999967</v>
      </c>
      <c r="C543" s="26" t="s">
        <v>21</v>
      </c>
      <c r="D543" s="59" t="s">
        <v>30</v>
      </c>
      <c r="E543" s="59" t="s">
        <v>257</v>
      </c>
      <c r="F543" s="27">
        <v>23</v>
      </c>
      <c r="G543" s="34">
        <f t="shared" si="120"/>
        <v>96.600000000000009</v>
      </c>
      <c r="H543" s="33" t="s">
        <v>18</v>
      </c>
      <c r="I543" s="33" t="s">
        <v>57</v>
      </c>
      <c r="J543" s="33" t="s">
        <v>127</v>
      </c>
      <c r="K543" s="29">
        <v>0.43333333333333335</v>
      </c>
      <c r="L543" s="29">
        <v>0.45</v>
      </c>
      <c r="M543" s="35">
        <f t="shared" ca="1" si="121"/>
        <v>1.6666666666666663E-2</v>
      </c>
      <c r="N543" s="27" t="s">
        <v>383</v>
      </c>
      <c r="O543" s="60"/>
    </row>
    <row r="544" spans="1:15" ht="15" customHeight="1">
      <c r="A544" s="68">
        <v>46224</v>
      </c>
      <c r="B544" s="25">
        <f t="shared" si="122"/>
        <v>0.41666666666666635</v>
      </c>
      <c r="C544" s="26" t="s">
        <v>21</v>
      </c>
      <c r="D544" s="59" t="s">
        <v>30</v>
      </c>
      <c r="E544" s="59" t="s">
        <v>257</v>
      </c>
      <c r="F544" s="27">
        <v>23</v>
      </c>
      <c r="G544" s="28">
        <f t="shared" si="120"/>
        <v>96.600000000000009</v>
      </c>
      <c r="H544" s="26" t="s">
        <v>18</v>
      </c>
      <c r="I544" s="26" t="s">
        <v>57</v>
      </c>
      <c r="J544" s="26" t="s">
        <v>144</v>
      </c>
      <c r="K544" s="29">
        <v>0.54166666666666663</v>
      </c>
      <c r="L544" s="29">
        <v>0.57291666666666663</v>
      </c>
      <c r="M544" s="30">
        <f t="shared" ca="1" si="121"/>
        <v>3.125E-2</v>
      </c>
      <c r="N544" s="27" t="s">
        <v>384</v>
      </c>
      <c r="O544" s="60"/>
    </row>
    <row r="545" spans="1:15" ht="15" customHeight="1">
      <c r="A545" s="69">
        <v>46224</v>
      </c>
      <c r="B545" s="32">
        <f t="shared" si="122"/>
        <v>0.45833333333333304</v>
      </c>
      <c r="C545" s="26" t="s">
        <v>21</v>
      </c>
      <c r="D545" s="59" t="s">
        <v>30</v>
      </c>
      <c r="E545" s="59" t="s">
        <v>257</v>
      </c>
      <c r="F545" s="27">
        <v>12</v>
      </c>
      <c r="G545" s="34">
        <f t="shared" si="120"/>
        <v>50.400000000000006</v>
      </c>
      <c r="H545" s="33" t="s">
        <v>18</v>
      </c>
      <c r="I545" s="33" t="s">
        <v>57</v>
      </c>
      <c r="J545" s="33" t="s">
        <v>34</v>
      </c>
      <c r="K545" s="29">
        <v>0.67500000000000004</v>
      </c>
      <c r="L545" s="29">
        <v>0.79166666666666663</v>
      </c>
      <c r="M545" s="35">
        <f t="shared" ca="1" si="121"/>
        <v>0.11666666666666659</v>
      </c>
      <c r="N545" s="27"/>
      <c r="O545" s="60"/>
    </row>
    <row r="546" spans="1:15" ht="15" customHeight="1">
      <c r="A546" s="68">
        <v>46224</v>
      </c>
      <c r="B546" s="25">
        <f t="shared" si="122"/>
        <v>0.49999999999999972</v>
      </c>
      <c r="C546" s="26" t="s">
        <v>21</v>
      </c>
      <c r="D546" s="59" t="s">
        <v>30</v>
      </c>
      <c r="E546" s="59" t="s">
        <v>257</v>
      </c>
      <c r="F546" s="27">
        <v>25</v>
      </c>
      <c r="G546" s="28">
        <f t="shared" si="120"/>
        <v>105</v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69">
        <v>46224</v>
      </c>
      <c r="B547" s="32">
        <f t="shared" si="122"/>
        <v>0.54166666666666641</v>
      </c>
      <c r="C547" s="26" t="s">
        <v>21</v>
      </c>
      <c r="D547" s="59" t="s">
        <v>38</v>
      </c>
      <c r="E547" s="59" t="s">
        <v>257</v>
      </c>
      <c r="F547" s="27">
        <v>16</v>
      </c>
      <c r="G547" s="34">
        <f t="shared" si="120"/>
        <v>67.2</v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8">
        <v>46224</v>
      </c>
      <c r="B548" s="25">
        <f t="shared" si="122"/>
        <v>0.58333333333333304</v>
      </c>
      <c r="C548" s="26" t="s">
        <v>21</v>
      </c>
      <c r="D548" s="59" t="s">
        <v>38</v>
      </c>
      <c r="E548" s="59" t="s">
        <v>257</v>
      </c>
      <c r="F548" s="27">
        <v>9</v>
      </c>
      <c r="G548" s="28">
        <f t="shared" si="120"/>
        <v>37.800000000000004</v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69">
        <v>46224</v>
      </c>
      <c r="B549" s="32">
        <f t="shared" si="122"/>
        <v>0.62499999999999967</v>
      </c>
      <c r="C549" s="26" t="s">
        <v>21</v>
      </c>
      <c r="D549" s="59" t="s">
        <v>38</v>
      </c>
      <c r="E549" s="59" t="s">
        <v>257</v>
      </c>
      <c r="F549" s="27">
        <v>5</v>
      </c>
      <c r="G549" s="34">
        <f t="shared" si="120"/>
        <v>21</v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8">
        <v>46224</v>
      </c>
      <c r="B550" s="25">
        <f t="shared" si="122"/>
        <v>0.6666666666666663</v>
      </c>
      <c r="C550" s="26" t="s">
        <v>21</v>
      </c>
      <c r="D550" s="59" t="s">
        <v>38</v>
      </c>
      <c r="E550" s="59" t="s">
        <v>257</v>
      </c>
      <c r="F550" s="27">
        <v>18</v>
      </c>
      <c r="G550" s="28">
        <f t="shared" si="120"/>
        <v>75.600000000000009</v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69">
        <v>46224</v>
      </c>
      <c r="B551" s="32">
        <f t="shared" si="122"/>
        <v>0.70833333333333293</v>
      </c>
      <c r="C551" s="26" t="s">
        <v>21</v>
      </c>
      <c r="D551" s="59" t="s">
        <v>38</v>
      </c>
      <c r="E551" s="59" t="s">
        <v>257</v>
      </c>
      <c r="F551" s="27">
        <v>2</v>
      </c>
      <c r="G551" s="34">
        <f t="shared" si="120"/>
        <v>8.4</v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8">
        <v>46224</v>
      </c>
      <c r="B552" s="25">
        <f t="shared" si="122"/>
        <v>0.74999999999999956</v>
      </c>
      <c r="C552" s="26" t="s">
        <v>21</v>
      </c>
      <c r="D552" s="59" t="s">
        <v>38</v>
      </c>
      <c r="E552" s="59" t="s">
        <v>257</v>
      </c>
      <c r="F552" s="27">
        <v>0</v>
      </c>
      <c r="G552" s="28">
        <f t="shared" si="120"/>
        <v>0</v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69">
        <v>46224</v>
      </c>
      <c r="B553" s="32">
        <f t="shared" si="122"/>
        <v>0.79166666666666619</v>
      </c>
      <c r="C553" s="26" t="s">
        <v>21</v>
      </c>
      <c r="D553" s="59" t="s">
        <v>38</v>
      </c>
      <c r="E553" s="59" t="s">
        <v>257</v>
      </c>
      <c r="F553" s="27">
        <v>0</v>
      </c>
      <c r="G553" s="34">
        <f t="shared" si="120"/>
        <v>0</v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9" t="s">
        <v>232</v>
      </c>
      <c r="B554" s="100"/>
      <c r="C554" s="100"/>
      <c r="D554" s="100"/>
      <c r="E554" s="101">
        <f>SUM(E542:E553)</f>
        <v>0</v>
      </c>
      <c r="F554" s="36">
        <f>SUM(F542:F553)</f>
        <v>150</v>
      </c>
      <c r="G554" s="36">
        <f>SUM(G542:G553)</f>
        <v>630</v>
      </c>
      <c r="H554" s="37"/>
      <c r="I554" s="37"/>
      <c r="J554" s="37"/>
      <c r="K554" s="61"/>
      <c r="L554" s="61"/>
      <c r="M554" s="38">
        <f ca="1">IFERROR(SUM(M542:M553),"")</f>
        <v>0.17916666666666659</v>
      </c>
      <c r="N554" s="36" t="s">
        <v>233</v>
      </c>
      <c r="O554" s="39">
        <v>583380</v>
      </c>
    </row>
    <row r="555" spans="1:15" ht="15" customHeight="1">
      <c r="A555" s="69">
        <v>46224</v>
      </c>
      <c r="B555" s="32">
        <v>0.83333333333333304</v>
      </c>
      <c r="C555" s="33" t="s">
        <v>45</v>
      </c>
      <c r="D555" s="62" t="s">
        <v>30</v>
      </c>
      <c r="E555" s="62" t="s">
        <v>257</v>
      </c>
      <c r="F555" s="27">
        <v>0</v>
      </c>
      <c r="G555" s="34">
        <f t="shared" ref="G555:G566" si="123">IF(F555="","",IF(E555="PC 17",F555*4.2,IF(E555="PC 19",F555*5,"")))</f>
        <v>0</v>
      </c>
      <c r="H555" s="33" t="s">
        <v>18</v>
      </c>
      <c r="I555" s="33" t="s">
        <v>57</v>
      </c>
      <c r="J555" s="33" t="s">
        <v>127</v>
      </c>
      <c r="K555" s="29">
        <v>0.29166666666666669</v>
      </c>
      <c r="L555" s="29">
        <v>0.83333333333333337</v>
      </c>
      <c r="M555" s="35">
        <v>2.7777777777777776E-2</v>
      </c>
      <c r="N555" s="27"/>
      <c r="O555" s="60"/>
    </row>
    <row r="556" spans="1:15" ht="15" customHeight="1">
      <c r="A556" s="68">
        <v>46224</v>
      </c>
      <c r="B556" s="25">
        <f t="shared" ref="B556:B566" si="124">B555+TIME(0,60,0)</f>
        <v>0.87499999999999967</v>
      </c>
      <c r="C556" s="33" t="s">
        <v>45</v>
      </c>
      <c r="D556" s="62" t="s">
        <v>30</v>
      </c>
      <c r="E556" s="62" t="s">
        <v>257</v>
      </c>
      <c r="F556" s="27">
        <v>5</v>
      </c>
      <c r="G556" s="28">
        <f t="shared" si="123"/>
        <v>21</v>
      </c>
      <c r="H556" s="26" t="s">
        <v>20</v>
      </c>
      <c r="I556" s="26" t="s">
        <v>138</v>
      </c>
      <c r="J556" s="26" t="s">
        <v>74</v>
      </c>
      <c r="K556" s="29">
        <v>0.97777777777777775</v>
      </c>
      <c r="L556" s="29">
        <v>0.98958333333333337</v>
      </c>
      <c r="M556" s="30">
        <f t="shared" ref="M555:M566" ca="1" si="125">IFERROR(IF(K556="","",IF(L556="",MOD(NOW()-K556,1),IF(L556&gt;=K556,L556-K556,L556+1-K556))),"")</f>
        <v>1.1805555555555625E-2</v>
      </c>
      <c r="N556" s="27"/>
      <c r="O556" s="60"/>
    </row>
    <row r="557" spans="1:15" ht="15" customHeight="1">
      <c r="A557" s="69">
        <v>46224</v>
      </c>
      <c r="B557" s="32">
        <f t="shared" si="124"/>
        <v>0.9166666666666663</v>
      </c>
      <c r="C557" s="33" t="s">
        <v>45</v>
      </c>
      <c r="D557" s="62" t="s">
        <v>30</v>
      </c>
      <c r="E557" s="62" t="s">
        <v>257</v>
      </c>
      <c r="F557" s="27">
        <v>27</v>
      </c>
      <c r="G557" s="34">
        <f t="shared" si="123"/>
        <v>113.4</v>
      </c>
      <c r="H557" s="33" t="s">
        <v>20</v>
      </c>
      <c r="I557" s="33"/>
      <c r="J557" s="33" t="s">
        <v>180</v>
      </c>
      <c r="K557" s="29">
        <v>0.125</v>
      </c>
      <c r="L557" s="29">
        <v>0.28402777777777777</v>
      </c>
      <c r="M557" s="35">
        <f t="shared" ca="1" si="125"/>
        <v>0.15902777777777777</v>
      </c>
      <c r="N557" s="27" t="s">
        <v>385</v>
      </c>
      <c r="O557" s="60"/>
    </row>
    <row r="558" spans="1:15" ht="15" customHeight="1">
      <c r="A558" s="68">
        <v>46224</v>
      </c>
      <c r="B558" s="25">
        <f t="shared" si="124"/>
        <v>0.95833333333333293</v>
      </c>
      <c r="C558" s="33" t="s">
        <v>45</v>
      </c>
      <c r="D558" s="62" t="s">
        <v>30</v>
      </c>
      <c r="E558" s="62" t="s">
        <v>257</v>
      </c>
      <c r="F558" s="27">
        <v>19</v>
      </c>
      <c r="G558" s="28">
        <f t="shared" si="123"/>
        <v>79.8</v>
      </c>
      <c r="H558" s="26"/>
      <c r="I558" s="26"/>
      <c r="J558" s="26"/>
      <c r="K558" s="29"/>
      <c r="L558" s="29"/>
      <c r="M558" s="30" t="str">
        <f t="shared" ca="1" si="125"/>
        <v/>
      </c>
      <c r="N558" s="27"/>
      <c r="O558" s="60"/>
    </row>
    <row r="559" spans="1:15" ht="15" customHeight="1">
      <c r="A559" s="69">
        <v>46224</v>
      </c>
      <c r="B559" s="32">
        <f t="shared" si="124"/>
        <v>0.99999999999999956</v>
      </c>
      <c r="C559" s="33" t="s">
        <v>45</v>
      </c>
      <c r="D559" s="62" t="s">
        <v>30</v>
      </c>
      <c r="E559" s="62" t="s">
        <v>257</v>
      </c>
      <c r="F559" s="27">
        <v>14</v>
      </c>
      <c r="G559" s="34">
        <f t="shared" si="123"/>
        <v>58.800000000000004</v>
      </c>
      <c r="H559" s="33"/>
      <c r="I559" s="33"/>
      <c r="J559" s="33"/>
      <c r="K559" s="29"/>
      <c r="L559" s="29"/>
      <c r="M559" s="35" t="str">
        <f t="shared" ca="1" si="125"/>
        <v/>
      </c>
      <c r="N559" s="27"/>
      <c r="O559" s="60"/>
    </row>
    <row r="560" spans="1:15" ht="15" customHeight="1">
      <c r="A560" s="68">
        <v>46224</v>
      </c>
      <c r="B560" s="25">
        <f t="shared" si="124"/>
        <v>1.0416666666666663</v>
      </c>
      <c r="C560" s="33" t="s">
        <v>45</v>
      </c>
      <c r="D560" s="62" t="s">
        <v>30</v>
      </c>
      <c r="E560" s="62" t="s">
        <v>257</v>
      </c>
      <c r="F560" s="27">
        <v>15</v>
      </c>
      <c r="G560" s="28">
        <f t="shared" si="123"/>
        <v>63</v>
      </c>
      <c r="H560" s="26"/>
      <c r="I560" s="26"/>
      <c r="J560" s="26"/>
      <c r="K560" s="29"/>
      <c r="L560" s="29"/>
      <c r="M560" s="30" t="str">
        <f t="shared" ca="1" si="125"/>
        <v/>
      </c>
      <c r="N560" s="27"/>
      <c r="O560" s="60"/>
    </row>
    <row r="561" spans="1:15" ht="15" customHeight="1">
      <c r="A561" s="69">
        <v>46224</v>
      </c>
      <c r="B561" s="32">
        <f t="shared" si="124"/>
        <v>1.083333333333333</v>
      </c>
      <c r="C561" s="33" t="s">
        <v>45</v>
      </c>
      <c r="D561" s="62" t="s">
        <v>30</v>
      </c>
      <c r="E561" s="62" t="s">
        <v>257</v>
      </c>
      <c r="F561" s="27">
        <v>15</v>
      </c>
      <c r="G561" s="34">
        <f t="shared" si="123"/>
        <v>63</v>
      </c>
      <c r="H561" s="33"/>
      <c r="I561" s="33"/>
      <c r="J561" s="33"/>
      <c r="K561" s="29"/>
      <c r="L561" s="29"/>
      <c r="M561" s="35" t="str">
        <f t="shared" ca="1" si="125"/>
        <v/>
      </c>
      <c r="N561" s="27"/>
      <c r="O561" s="60"/>
    </row>
    <row r="562" spans="1:15" ht="15" customHeight="1">
      <c r="A562" s="68">
        <v>46224</v>
      </c>
      <c r="B562" s="25">
        <f t="shared" si="124"/>
        <v>1.1249999999999998</v>
      </c>
      <c r="C562" s="33" t="s">
        <v>45</v>
      </c>
      <c r="D562" s="62" t="s">
        <v>30</v>
      </c>
      <c r="E562" s="62" t="s">
        <v>257</v>
      </c>
      <c r="F562" s="27">
        <v>5</v>
      </c>
      <c r="G562" s="28">
        <f t="shared" si="123"/>
        <v>21</v>
      </c>
      <c r="H562" s="26"/>
      <c r="I562" s="26"/>
      <c r="J562" s="26"/>
      <c r="K562" s="29"/>
      <c r="L562" s="29"/>
      <c r="M562" s="30" t="str">
        <f t="shared" ca="1" si="125"/>
        <v/>
      </c>
      <c r="N562" s="27"/>
      <c r="O562" s="60"/>
    </row>
    <row r="563" spans="1:15" ht="15" customHeight="1">
      <c r="A563" s="69">
        <v>46224</v>
      </c>
      <c r="B563" s="32">
        <f t="shared" si="124"/>
        <v>1.1666666666666665</v>
      </c>
      <c r="C563" s="33" t="s">
        <v>45</v>
      </c>
      <c r="D563" s="62" t="s">
        <v>30</v>
      </c>
      <c r="E563" s="62" t="s">
        <v>257</v>
      </c>
      <c r="F563" s="27">
        <v>5</v>
      </c>
      <c r="G563" s="34">
        <f t="shared" si="123"/>
        <v>21</v>
      </c>
      <c r="H563" s="33"/>
      <c r="I563" s="33"/>
      <c r="J563" s="33"/>
      <c r="K563" s="29"/>
      <c r="L563" s="29"/>
      <c r="M563" s="35" t="str">
        <f t="shared" ca="1" si="125"/>
        <v/>
      </c>
      <c r="N563" s="27"/>
      <c r="O563" s="60"/>
    </row>
    <row r="564" spans="1:15" ht="15" customHeight="1">
      <c r="A564" s="68">
        <v>46224</v>
      </c>
      <c r="B564" s="25">
        <f t="shared" si="124"/>
        <v>1.2083333333333333</v>
      </c>
      <c r="C564" s="33" t="s">
        <v>45</v>
      </c>
      <c r="D564" s="62" t="s">
        <v>30</v>
      </c>
      <c r="E564" s="62" t="s">
        <v>257</v>
      </c>
      <c r="F564" s="27">
        <v>0</v>
      </c>
      <c r="G564" s="28">
        <f t="shared" si="123"/>
        <v>0</v>
      </c>
      <c r="H564" s="26"/>
      <c r="I564" s="26"/>
      <c r="J564" s="26"/>
      <c r="K564" s="29"/>
      <c r="L564" s="29"/>
      <c r="M564" s="30" t="str">
        <f t="shared" ca="1" si="125"/>
        <v/>
      </c>
      <c r="N564" s="27"/>
      <c r="O564" s="60"/>
    </row>
    <row r="565" spans="1:15" ht="15" customHeight="1">
      <c r="A565" s="69">
        <v>46224</v>
      </c>
      <c r="B565" s="32">
        <f t="shared" si="124"/>
        <v>1.25</v>
      </c>
      <c r="C565" s="33" t="s">
        <v>45</v>
      </c>
      <c r="D565" s="62" t="s">
        <v>30</v>
      </c>
      <c r="E565" s="62" t="s">
        <v>257</v>
      </c>
      <c r="F565" s="27">
        <v>0</v>
      </c>
      <c r="G565" s="34">
        <f t="shared" si="123"/>
        <v>0</v>
      </c>
      <c r="H565" s="33"/>
      <c r="I565" s="33"/>
      <c r="J565" s="33"/>
      <c r="K565" s="29"/>
      <c r="L565" s="29"/>
      <c r="M565" s="35" t="str">
        <f t="shared" ca="1" si="125"/>
        <v/>
      </c>
      <c r="N565" s="27"/>
      <c r="O565" s="60"/>
    </row>
    <row r="566" spans="1:15" ht="15" customHeight="1">
      <c r="A566" s="68">
        <v>46224</v>
      </c>
      <c r="B566" s="25">
        <f t="shared" si="124"/>
        <v>1.2916666666666667</v>
      </c>
      <c r="C566" s="33" t="s">
        <v>45</v>
      </c>
      <c r="D566" s="62" t="s">
        <v>30</v>
      </c>
      <c r="E566" s="62" t="s">
        <v>257</v>
      </c>
      <c r="F566" s="27">
        <v>0</v>
      </c>
      <c r="G566" s="28">
        <f t="shared" si="123"/>
        <v>0</v>
      </c>
      <c r="H566" s="26"/>
      <c r="I566" s="26"/>
      <c r="J566" s="26"/>
      <c r="K566" s="29"/>
      <c r="L566" s="29"/>
      <c r="M566" s="30" t="str">
        <f t="shared" ca="1" si="125"/>
        <v/>
      </c>
      <c r="N566" s="27"/>
      <c r="O566" s="60"/>
    </row>
    <row r="567" spans="1:15" ht="15.75" customHeight="1">
      <c r="A567" s="99" t="s">
        <v>234</v>
      </c>
      <c r="B567" s="100"/>
      <c r="C567" s="100"/>
      <c r="D567" s="100"/>
      <c r="E567" s="101">
        <f>SUM(E555:E566)</f>
        <v>0</v>
      </c>
      <c r="F567" s="36">
        <f>SUM(F555:F566)</f>
        <v>105</v>
      </c>
      <c r="G567" s="36">
        <f>SUM(G555:G566)</f>
        <v>441</v>
      </c>
      <c r="H567" s="37"/>
      <c r="I567" s="37"/>
      <c r="J567" s="37"/>
      <c r="K567" s="61"/>
      <c r="L567" s="61"/>
      <c r="M567" s="38">
        <f ca="1">IFERROR(SUM(M555:M566),"")</f>
        <v>0.19861111111111118</v>
      </c>
      <c r="N567" s="36" t="s">
        <v>233</v>
      </c>
      <c r="O567" s="39">
        <v>499820</v>
      </c>
    </row>
    <row r="568" spans="1:15" ht="18" customHeight="1">
      <c r="A568" s="102" t="s">
        <v>235</v>
      </c>
      <c r="B568" s="103"/>
      <c r="C568" s="103"/>
      <c r="D568" s="103"/>
      <c r="E568" s="104">
        <f>E554+E567</f>
        <v>0</v>
      </c>
      <c r="F568" s="40">
        <f>F554+F567</f>
        <v>255</v>
      </c>
      <c r="G568" s="40">
        <f>G554+G567</f>
        <v>1071</v>
      </c>
      <c r="H568" s="41"/>
      <c r="I568" s="41"/>
      <c r="J568" s="41"/>
      <c r="K568" s="63"/>
      <c r="L568" s="63"/>
      <c r="M568" s="42">
        <f ca="1">IFERROR(M554+M567,"")</f>
        <v>0.37777777777777777</v>
      </c>
      <c r="N568" s="40" t="s">
        <v>236</v>
      </c>
      <c r="O568" s="48">
        <f>IFERROR(O554+O567,"")</f>
        <v>1083200</v>
      </c>
    </row>
    <row r="569" spans="1:15" ht="15" customHeight="1">
      <c r="A569" s="69">
        <v>46225</v>
      </c>
      <c r="B569" s="32">
        <v>0.33333333333333298</v>
      </c>
      <c r="C569" s="33" t="s">
        <v>21</v>
      </c>
      <c r="D569" s="62" t="s">
        <v>30</v>
      </c>
      <c r="E569" s="62" t="s">
        <v>257</v>
      </c>
      <c r="F569" s="27"/>
      <c r="G569" s="34" t="str">
        <f t="shared" ref="G569:G580" si="126">IF(F569="","",IF(E569="PC 17",F569*4.2,IF(E569="PC 19",F569*5,"")))</f>
        <v/>
      </c>
      <c r="H569" s="33" t="s">
        <v>18</v>
      </c>
      <c r="I569" s="33" t="s">
        <v>75</v>
      </c>
      <c r="J569" s="33" t="s">
        <v>106</v>
      </c>
      <c r="K569" s="29">
        <v>0.29166666666666669</v>
      </c>
      <c r="L569" s="29">
        <v>0.79166666666666663</v>
      </c>
      <c r="M569" s="35">
        <f t="shared" ref="M569:M574" ca="1" si="127">IFERROR(IF(K569="","",IF(L569="",MOD(NOW()-K569,1),IF(L569&gt;=K569,L569-K569,L569+1-K569))),"")</f>
        <v>0.49999999999999994</v>
      </c>
      <c r="N569" s="27" t="s">
        <v>386</v>
      </c>
      <c r="O569" s="60"/>
    </row>
    <row r="570" spans="1:15" ht="15" customHeight="1">
      <c r="A570" s="68">
        <v>46225</v>
      </c>
      <c r="B570" s="25">
        <f t="shared" ref="B570:B580" si="128">B569+TIME(0,60,0)</f>
        <v>0.37499999999999967</v>
      </c>
      <c r="C570" s="33" t="s">
        <v>21</v>
      </c>
      <c r="D570" s="62" t="s">
        <v>30</v>
      </c>
      <c r="E570" s="62" t="s">
        <v>257</v>
      </c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69">
        <v>46225</v>
      </c>
      <c r="B571" s="32">
        <f t="shared" si="128"/>
        <v>0.41666666666666635</v>
      </c>
      <c r="C571" s="33" t="s">
        <v>21</v>
      </c>
      <c r="D571" s="62" t="s">
        <v>30</v>
      </c>
      <c r="E571" s="62" t="s">
        <v>257</v>
      </c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8">
        <v>46225</v>
      </c>
      <c r="B572" s="25">
        <f t="shared" si="128"/>
        <v>0.45833333333333304</v>
      </c>
      <c r="C572" s="33" t="s">
        <v>21</v>
      </c>
      <c r="D572" s="62" t="s">
        <v>30</v>
      </c>
      <c r="E572" s="62" t="s">
        <v>257</v>
      </c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69">
        <v>46225</v>
      </c>
      <c r="B573" s="32">
        <f t="shared" si="128"/>
        <v>0.49999999999999972</v>
      </c>
      <c r="C573" s="33" t="s">
        <v>21</v>
      </c>
      <c r="D573" s="62" t="s">
        <v>30</v>
      </c>
      <c r="E573" s="62" t="s">
        <v>257</v>
      </c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8">
        <v>46225</v>
      </c>
      <c r="B574" s="25">
        <f t="shared" si="128"/>
        <v>0.54166666666666641</v>
      </c>
      <c r="C574" s="33" t="s">
        <v>21</v>
      </c>
      <c r="D574" s="62" t="s">
        <v>30</v>
      </c>
      <c r="E574" s="62" t="s">
        <v>257</v>
      </c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69">
        <v>46225</v>
      </c>
      <c r="B575" s="32">
        <f t="shared" si="128"/>
        <v>0.58333333333333304</v>
      </c>
      <c r="C575" s="33" t="s">
        <v>21</v>
      </c>
      <c r="D575" s="62" t="s">
        <v>30</v>
      </c>
      <c r="E575" s="62" t="s">
        <v>257</v>
      </c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8">
        <v>46225</v>
      </c>
      <c r="B576" s="25">
        <f t="shared" si="128"/>
        <v>0.62499999999999967</v>
      </c>
      <c r="C576" s="33" t="s">
        <v>21</v>
      </c>
      <c r="D576" s="62" t="s">
        <v>30</v>
      </c>
      <c r="E576" s="62" t="s">
        <v>257</v>
      </c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69">
        <v>46225</v>
      </c>
      <c r="B577" s="32">
        <f t="shared" si="128"/>
        <v>0.6666666666666663</v>
      </c>
      <c r="C577" s="33" t="s">
        <v>21</v>
      </c>
      <c r="D577" s="62" t="s">
        <v>30</v>
      </c>
      <c r="E577" s="62" t="s">
        <v>257</v>
      </c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8">
        <v>46225</v>
      </c>
      <c r="B578" s="25">
        <f t="shared" si="128"/>
        <v>0.70833333333333293</v>
      </c>
      <c r="C578" s="33" t="s">
        <v>21</v>
      </c>
      <c r="D578" s="62" t="s">
        <v>30</v>
      </c>
      <c r="E578" s="62" t="s">
        <v>257</v>
      </c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69">
        <v>46225</v>
      </c>
      <c r="B579" s="32">
        <f t="shared" si="128"/>
        <v>0.74999999999999956</v>
      </c>
      <c r="C579" s="33" t="s">
        <v>21</v>
      </c>
      <c r="D579" s="62" t="s">
        <v>30</v>
      </c>
      <c r="E579" s="62" t="s">
        <v>257</v>
      </c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8">
        <v>46225</v>
      </c>
      <c r="B580" s="25">
        <f t="shared" si="128"/>
        <v>0.79166666666666619</v>
      </c>
      <c r="C580" s="33" t="s">
        <v>21</v>
      </c>
      <c r="D580" s="62" t="s">
        <v>30</v>
      </c>
      <c r="E580" s="62" t="s">
        <v>257</v>
      </c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9" t="s">
        <v>232</v>
      </c>
      <c r="B581" s="100"/>
      <c r="C581" s="100"/>
      <c r="D581" s="100"/>
      <c r="E581" s="101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0.49999999999999994</v>
      </c>
      <c r="N581" s="36" t="s">
        <v>233</v>
      </c>
      <c r="O581" s="39">
        <v>0</v>
      </c>
    </row>
    <row r="582" spans="1:15" ht="15" customHeight="1">
      <c r="A582" s="68">
        <v>46225</v>
      </c>
      <c r="B582" s="25">
        <v>0.83333333333333304</v>
      </c>
      <c r="C582" s="26" t="s">
        <v>45</v>
      </c>
      <c r="D582" s="59" t="s">
        <v>30</v>
      </c>
      <c r="E582" s="59" t="s">
        <v>257</v>
      </c>
      <c r="F582" s="27">
        <v>0</v>
      </c>
      <c r="G582" s="28">
        <f t="shared" ref="G582:G593" si="129">IF(F582="","",IF(E582="PC 17",F582*4.2,IF(E582="PC 19",F582*5,"")))</f>
        <v>0</v>
      </c>
      <c r="H582" s="26" t="s">
        <v>18</v>
      </c>
      <c r="I582" s="26" t="s">
        <v>75</v>
      </c>
      <c r="J582" s="26" t="s">
        <v>106</v>
      </c>
      <c r="K582" s="29">
        <v>0.79166666666666663</v>
      </c>
      <c r="L582" s="29">
        <v>0.90833333333333333</v>
      </c>
      <c r="M582" s="30"/>
      <c r="N582" s="27"/>
      <c r="O582" s="60"/>
    </row>
    <row r="583" spans="1:15" ht="15" customHeight="1">
      <c r="A583" s="69">
        <v>46225</v>
      </c>
      <c r="B583" s="32">
        <f t="shared" ref="B583:B593" si="130">B582+TIME(0,60,0)</f>
        <v>0.87499999999999967</v>
      </c>
      <c r="C583" s="26" t="s">
        <v>45</v>
      </c>
      <c r="D583" s="59" t="s">
        <v>30</v>
      </c>
      <c r="E583" s="59" t="s">
        <v>257</v>
      </c>
      <c r="F583" s="27">
        <v>5</v>
      </c>
      <c r="G583" s="34">
        <f t="shared" si="129"/>
        <v>21</v>
      </c>
      <c r="H583" s="33" t="s">
        <v>19</v>
      </c>
      <c r="I583" s="33" t="s">
        <v>159</v>
      </c>
      <c r="J583" s="33" t="s">
        <v>27</v>
      </c>
      <c r="K583" s="29">
        <v>0.23125000000000001</v>
      </c>
      <c r="L583" s="29">
        <v>0.25277777777777777</v>
      </c>
      <c r="M583" s="35">
        <f t="shared" ref="M582:M593" ca="1" si="131">IFERROR(IF(K583="","",IF(L583="",MOD(NOW()-K583,1),IF(L583&gt;=K583,L583-K583,L583+1-K583))),"")</f>
        <v>2.1527777777777757E-2</v>
      </c>
      <c r="N583" s="27"/>
      <c r="O583" s="60"/>
    </row>
    <row r="584" spans="1:15" ht="15" customHeight="1">
      <c r="A584" s="68">
        <v>46225</v>
      </c>
      <c r="B584" s="25">
        <f t="shared" si="130"/>
        <v>0.9166666666666663</v>
      </c>
      <c r="C584" s="26" t="s">
        <v>45</v>
      </c>
      <c r="D584" s="59" t="s">
        <v>30</v>
      </c>
      <c r="E584" s="59" t="s">
        <v>257</v>
      </c>
      <c r="F584" s="27">
        <v>5</v>
      </c>
      <c r="G584" s="28">
        <f t="shared" si="129"/>
        <v>21</v>
      </c>
      <c r="H584" s="26"/>
      <c r="I584" s="26"/>
      <c r="J584" s="26"/>
      <c r="K584" s="29"/>
      <c r="L584" s="29"/>
      <c r="M584" s="30" t="str">
        <f t="shared" ca="1" si="131"/>
        <v/>
      </c>
      <c r="N584" s="27"/>
      <c r="O584" s="60"/>
    </row>
    <row r="585" spans="1:15" ht="15" customHeight="1">
      <c r="A585" s="69">
        <v>46225</v>
      </c>
      <c r="B585" s="32">
        <f t="shared" si="130"/>
        <v>0.95833333333333293</v>
      </c>
      <c r="C585" s="26" t="s">
        <v>45</v>
      </c>
      <c r="D585" s="59" t="s">
        <v>30</v>
      </c>
      <c r="E585" s="59" t="s">
        <v>257</v>
      </c>
      <c r="F585" s="27">
        <v>15</v>
      </c>
      <c r="G585" s="34">
        <f t="shared" si="129"/>
        <v>63</v>
      </c>
      <c r="H585" s="33"/>
      <c r="I585" s="33"/>
      <c r="J585" s="33"/>
      <c r="K585" s="29"/>
      <c r="L585" s="29"/>
      <c r="M585" s="35" t="str">
        <f t="shared" ca="1" si="131"/>
        <v/>
      </c>
      <c r="N585" s="27"/>
      <c r="O585" s="60"/>
    </row>
    <row r="586" spans="1:15" ht="15" customHeight="1">
      <c r="A586" s="68">
        <v>46225</v>
      </c>
      <c r="B586" s="25">
        <f t="shared" si="130"/>
        <v>0.99999999999999956</v>
      </c>
      <c r="C586" s="26" t="s">
        <v>45</v>
      </c>
      <c r="D586" s="59" t="s">
        <v>30</v>
      </c>
      <c r="E586" s="59" t="s">
        <v>257</v>
      </c>
      <c r="F586" s="27">
        <v>23</v>
      </c>
      <c r="G586" s="28">
        <f t="shared" si="129"/>
        <v>96.600000000000009</v>
      </c>
      <c r="H586" s="26"/>
      <c r="I586" s="26"/>
      <c r="J586" s="26"/>
      <c r="K586" s="29"/>
      <c r="L586" s="29"/>
      <c r="M586" s="30" t="str">
        <f t="shared" ca="1" si="131"/>
        <v/>
      </c>
      <c r="N586" s="27"/>
      <c r="O586" s="60"/>
    </row>
    <row r="587" spans="1:15" ht="15" customHeight="1">
      <c r="A587" s="69">
        <v>46225</v>
      </c>
      <c r="B587" s="32">
        <f t="shared" si="130"/>
        <v>1.0416666666666663</v>
      </c>
      <c r="C587" s="26" t="s">
        <v>45</v>
      </c>
      <c r="D587" s="59" t="s">
        <v>30</v>
      </c>
      <c r="E587" s="57" t="s">
        <v>257</v>
      </c>
      <c r="F587" s="27">
        <v>26</v>
      </c>
      <c r="G587" s="34">
        <f>IF(F587="","",IF(E588="PC 17",F587*4.2,IF(E588="PC 19",F587*5,"")))</f>
        <v>109.2</v>
      </c>
      <c r="H587" s="33"/>
      <c r="I587" s="33"/>
      <c r="J587" s="33"/>
      <c r="K587" s="29"/>
      <c r="L587" s="29"/>
      <c r="M587" s="35" t="str">
        <f t="shared" ca="1" si="131"/>
        <v/>
      </c>
      <c r="N587" s="27"/>
      <c r="O587" s="60"/>
    </row>
    <row r="588" spans="1:15" ht="15" customHeight="1">
      <c r="A588" s="68">
        <v>46225</v>
      </c>
      <c r="B588" s="25">
        <f t="shared" si="130"/>
        <v>1.083333333333333</v>
      </c>
      <c r="C588" s="26" t="s">
        <v>45</v>
      </c>
      <c r="D588" s="59" t="s">
        <v>30</v>
      </c>
      <c r="E588" s="59" t="s">
        <v>257</v>
      </c>
      <c r="F588" s="27">
        <v>8</v>
      </c>
      <c r="G588" s="28">
        <v>34</v>
      </c>
      <c r="H588" s="26"/>
      <c r="I588" s="26"/>
      <c r="J588" s="26"/>
      <c r="K588" s="29"/>
      <c r="L588" s="29"/>
      <c r="M588" s="30" t="str">
        <f t="shared" ca="1" si="131"/>
        <v/>
      </c>
      <c r="N588" s="27"/>
      <c r="O588" s="60"/>
    </row>
    <row r="589" spans="1:15" ht="15" customHeight="1">
      <c r="A589" s="69">
        <v>46225</v>
      </c>
      <c r="B589" s="32">
        <f t="shared" si="130"/>
        <v>1.1249999999999998</v>
      </c>
      <c r="C589" s="26" t="s">
        <v>45</v>
      </c>
      <c r="D589" s="59" t="s">
        <v>30</v>
      </c>
      <c r="E589" s="59" t="s">
        <v>257</v>
      </c>
      <c r="F589" s="27">
        <v>15</v>
      </c>
      <c r="G589" s="34">
        <f t="shared" si="129"/>
        <v>63</v>
      </c>
      <c r="H589" s="33"/>
      <c r="I589" s="33"/>
      <c r="J589" s="33"/>
      <c r="K589" s="29"/>
      <c r="L589" s="29"/>
      <c r="M589" s="35" t="str">
        <f t="shared" ca="1" si="131"/>
        <v/>
      </c>
      <c r="N589" s="27"/>
      <c r="O589" s="60"/>
    </row>
    <row r="590" spans="1:15" ht="15" customHeight="1">
      <c r="A590" s="68">
        <v>46225</v>
      </c>
      <c r="B590" s="25">
        <f t="shared" si="130"/>
        <v>1.1666666666666665</v>
      </c>
      <c r="C590" s="26" t="s">
        <v>45</v>
      </c>
      <c r="D590" s="59" t="s">
        <v>30</v>
      </c>
      <c r="E590" s="59" t="s">
        <v>257</v>
      </c>
      <c r="F590" s="27">
        <v>15</v>
      </c>
      <c r="G590" s="28">
        <f t="shared" si="129"/>
        <v>63</v>
      </c>
      <c r="H590" s="26"/>
      <c r="I590" s="26"/>
      <c r="J590" s="26"/>
      <c r="K590" s="29"/>
      <c r="L590" s="29"/>
      <c r="M590" s="30" t="str">
        <f t="shared" ca="1" si="131"/>
        <v/>
      </c>
      <c r="N590" s="27"/>
      <c r="O590" s="60"/>
    </row>
    <row r="591" spans="1:15" ht="15" customHeight="1">
      <c r="A591" s="69">
        <v>46225</v>
      </c>
      <c r="B591" s="32">
        <f t="shared" si="130"/>
        <v>1.2083333333333333</v>
      </c>
      <c r="C591" s="26" t="s">
        <v>45</v>
      </c>
      <c r="D591" s="59" t="s">
        <v>30</v>
      </c>
      <c r="E591" s="59" t="s">
        <v>257</v>
      </c>
      <c r="F591" s="27">
        <v>17</v>
      </c>
      <c r="G591" s="34">
        <f t="shared" si="129"/>
        <v>71.400000000000006</v>
      </c>
      <c r="H591" s="33"/>
      <c r="I591" s="33"/>
      <c r="J591" s="33"/>
      <c r="K591" s="29"/>
      <c r="L591" s="29"/>
      <c r="M591" s="35" t="str">
        <f t="shared" ca="1" si="131"/>
        <v/>
      </c>
      <c r="N591" s="27"/>
      <c r="O591" s="60"/>
    </row>
    <row r="592" spans="1:15" ht="15" customHeight="1">
      <c r="A592" s="68">
        <v>46225</v>
      </c>
      <c r="B592" s="25">
        <f t="shared" si="130"/>
        <v>1.25</v>
      </c>
      <c r="C592" s="26" t="s">
        <v>45</v>
      </c>
      <c r="D592" s="59" t="s">
        <v>30</v>
      </c>
      <c r="E592" s="59" t="s">
        <v>257</v>
      </c>
      <c r="F592" s="27">
        <v>0</v>
      </c>
      <c r="G592" s="28">
        <f t="shared" si="129"/>
        <v>0</v>
      </c>
      <c r="H592" s="26"/>
      <c r="I592" s="26"/>
      <c r="J592" s="26"/>
      <c r="K592" s="29"/>
      <c r="L592" s="29"/>
      <c r="M592" s="30" t="str">
        <f t="shared" ca="1" si="131"/>
        <v/>
      </c>
      <c r="N592" s="27"/>
      <c r="O592" s="60"/>
    </row>
    <row r="593" spans="1:15" ht="15" customHeight="1">
      <c r="A593" s="69">
        <v>46225</v>
      </c>
      <c r="B593" s="32">
        <f t="shared" si="130"/>
        <v>1.2916666666666667</v>
      </c>
      <c r="C593" s="26" t="s">
        <v>45</v>
      </c>
      <c r="D593" s="59" t="s">
        <v>30</v>
      </c>
      <c r="E593" s="59" t="s">
        <v>257</v>
      </c>
      <c r="F593" s="27">
        <v>0</v>
      </c>
      <c r="G593" s="34">
        <f t="shared" si="129"/>
        <v>0</v>
      </c>
      <c r="H593" s="33"/>
      <c r="I593" s="33"/>
      <c r="J593" s="33"/>
      <c r="K593" s="29"/>
      <c r="L593" s="29"/>
      <c r="M593" s="35" t="str">
        <f t="shared" ca="1" si="131"/>
        <v/>
      </c>
      <c r="N593" s="27"/>
      <c r="O593" s="60"/>
    </row>
    <row r="594" spans="1:15" ht="15.75" customHeight="1">
      <c r="A594" s="99" t="s">
        <v>234</v>
      </c>
      <c r="B594" s="100"/>
      <c r="C594" s="100"/>
      <c r="D594" s="100"/>
      <c r="E594" s="101">
        <f>SUM(E582:E593)</f>
        <v>0</v>
      </c>
      <c r="F594" s="36">
        <f>SUM(F582:F593)</f>
        <v>129</v>
      </c>
      <c r="G594" s="36">
        <f>SUM(G582:G593)</f>
        <v>542.20000000000005</v>
      </c>
      <c r="H594" s="37"/>
      <c r="I594" s="37"/>
      <c r="J594" s="37"/>
      <c r="K594" s="61"/>
      <c r="L594" s="61"/>
      <c r="M594" s="38">
        <f ca="1">IFERROR(SUM(M582:M593),"")</f>
        <v>2.1527777777777757E-2</v>
      </c>
      <c r="N594" s="36" t="s">
        <v>233</v>
      </c>
      <c r="O594" s="39">
        <v>572580</v>
      </c>
    </row>
    <row r="595" spans="1:15" ht="18" customHeight="1">
      <c r="A595" s="102" t="s">
        <v>235</v>
      </c>
      <c r="B595" s="103"/>
      <c r="C595" s="103"/>
      <c r="D595" s="103"/>
      <c r="E595" s="104">
        <f>E581+E594</f>
        <v>0</v>
      </c>
      <c r="F595" s="40">
        <f>F581+F594</f>
        <v>129</v>
      </c>
      <c r="G595" s="40">
        <f>G581+G594</f>
        <v>542.20000000000005</v>
      </c>
      <c r="H595" s="41"/>
      <c r="I595" s="41"/>
      <c r="J595" s="41"/>
      <c r="K595" s="63"/>
      <c r="L595" s="63"/>
      <c r="M595" s="42">
        <f ca="1">IFERROR(M581+M594,"")</f>
        <v>0.5215277777777777</v>
      </c>
      <c r="N595" s="40" t="s">
        <v>236</v>
      </c>
      <c r="O595" s="48">
        <f>IFERROR(O581+O594,"")</f>
        <v>572580</v>
      </c>
    </row>
    <row r="596" spans="1:15" ht="15" customHeight="1">
      <c r="A596" s="68">
        <v>46226</v>
      </c>
      <c r="B596" s="25">
        <v>0.33333333333333298</v>
      </c>
      <c r="C596" s="26" t="s">
        <v>29</v>
      </c>
      <c r="D596" s="59" t="s">
        <v>30</v>
      </c>
      <c r="E596" s="59" t="s">
        <v>257</v>
      </c>
      <c r="F596" s="27">
        <v>27</v>
      </c>
      <c r="G596" s="28">
        <f t="shared" ref="G596:G607" si="132">IF(F596="","",IF(E596="PC 17",F596*4.2,IF(E596="PC 19",F596*5,"")))</f>
        <v>113.4</v>
      </c>
      <c r="H596" s="26" t="s">
        <v>18</v>
      </c>
      <c r="I596" s="26" t="s">
        <v>75</v>
      </c>
      <c r="J596" s="26" t="s">
        <v>218</v>
      </c>
      <c r="K596" s="29">
        <v>0.31944444444444442</v>
      </c>
      <c r="L596" s="29">
        <v>0.3347222222222222</v>
      </c>
      <c r="M596" s="30">
        <f t="shared" ref="M596:M607" ca="1" si="133">IFERROR(IF(K596="","",IF(L596="",MOD(NOW()-K596,1),IF(L596&gt;=K596,L596-K596,L596+1-K596))),"")</f>
        <v>1.5277777777777779E-2</v>
      </c>
      <c r="N596" s="27"/>
      <c r="O596" s="60"/>
    </row>
    <row r="597" spans="1:15" ht="15" customHeight="1">
      <c r="A597" s="69">
        <v>46226</v>
      </c>
      <c r="B597" s="32">
        <f t="shared" ref="B597:B607" si="134">B596+TIME(0,60,0)</f>
        <v>0.37499999999999967</v>
      </c>
      <c r="C597" s="26" t="s">
        <v>29</v>
      </c>
      <c r="D597" s="59" t="s">
        <v>30</v>
      </c>
      <c r="E597" s="59" t="s">
        <v>257</v>
      </c>
      <c r="F597" s="27">
        <v>13</v>
      </c>
      <c r="G597" s="34">
        <f t="shared" si="132"/>
        <v>54.6</v>
      </c>
      <c r="H597" s="33" t="s">
        <v>20</v>
      </c>
      <c r="I597" s="33" t="s">
        <v>57</v>
      </c>
      <c r="J597" s="33" t="s">
        <v>51</v>
      </c>
      <c r="K597" s="29">
        <v>0.35069444444444442</v>
      </c>
      <c r="L597" s="29">
        <v>0.35416666666666669</v>
      </c>
      <c r="M597" s="35">
        <f t="shared" ca="1" si="133"/>
        <v>3.4722222222222654E-3</v>
      </c>
      <c r="N597" s="27"/>
      <c r="O597" s="60"/>
    </row>
    <row r="598" spans="1:15" ht="15" customHeight="1">
      <c r="A598" s="68">
        <v>46226</v>
      </c>
      <c r="B598" s="25">
        <f t="shared" si="134"/>
        <v>0.41666666666666635</v>
      </c>
      <c r="C598" s="26" t="s">
        <v>29</v>
      </c>
      <c r="D598" s="59" t="s">
        <v>30</v>
      </c>
      <c r="E598" s="59" t="s">
        <v>257</v>
      </c>
      <c r="F598" s="27">
        <v>16</v>
      </c>
      <c r="G598" s="28">
        <f t="shared" si="132"/>
        <v>67.2</v>
      </c>
      <c r="H598" s="26" t="s">
        <v>20</v>
      </c>
      <c r="I598" s="26" t="s">
        <v>126</v>
      </c>
      <c r="J598" s="26" t="s">
        <v>113</v>
      </c>
      <c r="K598" s="29">
        <v>0.37708333333333333</v>
      </c>
      <c r="L598" s="29">
        <v>0.38124999999999998</v>
      </c>
      <c r="M598" s="30">
        <f t="shared" ca="1" si="133"/>
        <v>4.1666666666666519E-3</v>
      </c>
      <c r="N598" s="27"/>
      <c r="O598" s="60"/>
    </row>
    <row r="599" spans="1:15" ht="15" customHeight="1">
      <c r="A599" s="69">
        <v>46226</v>
      </c>
      <c r="B599" s="32">
        <f t="shared" si="134"/>
        <v>0.45833333333333304</v>
      </c>
      <c r="C599" s="26" t="s">
        <v>29</v>
      </c>
      <c r="D599" s="59" t="s">
        <v>30</v>
      </c>
      <c r="E599" s="59" t="s">
        <v>257</v>
      </c>
      <c r="F599" s="27">
        <v>20</v>
      </c>
      <c r="G599" s="34">
        <f t="shared" si="132"/>
        <v>84</v>
      </c>
      <c r="H599" s="33" t="s">
        <v>20</v>
      </c>
      <c r="I599" s="33" t="s">
        <v>154</v>
      </c>
      <c r="J599" s="33" t="s">
        <v>74</v>
      </c>
      <c r="K599" s="29">
        <v>0.47430555555555554</v>
      </c>
      <c r="L599" s="29">
        <v>0.47916666666666669</v>
      </c>
      <c r="M599" s="35">
        <f t="shared" ca="1" si="133"/>
        <v>4.8611111111111494E-3</v>
      </c>
      <c r="N599" s="27"/>
      <c r="O599" s="60"/>
    </row>
    <row r="600" spans="1:15" ht="15" customHeight="1">
      <c r="A600" s="68">
        <v>46226</v>
      </c>
      <c r="B600" s="25">
        <f t="shared" si="134"/>
        <v>0.49999999999999972</v>
      </c>
      <c r="C600" s="26" t="s">
        <v>29</v>
      </c>
      <c r="D600" s="59" t="s">
        <v>30</v>
      </c>
      <c r="E600" s="59" t="s">
        <v>257</v>
      </c>
      <c r="F600" s="27">
        <v>5</v>
      </c>
      <c r="G600" s="28">
        <f t="shared" si="132"/>
        <v>21</v>
      </c>
      <c r="H600" s="26" t="s">
        <v>20</v>
      </c>
      <c r="I600" s="26" t="s">
        <v>154</v>
      </c>
      <c r="J600" s="33" t="s">
        <v>74</v>
      </c>
      <c r="K600" s="29">
        <v>0.49722222222222223</v>
      </c>
      <c r="L600" s="29">
        <v>0.5</v>
      </c>
      <c r="M600" s="30">
        <f t="shared" ca="1" si="133"/>
        <v>2.7777777777777679E-3</v>
      </c>
      <c r="N600" s="27"/>
      <c r="O600" s="60"/>
    </row>
    <row r="601" spans="1:15" ht="15" customHeight="1">
      <c r="A601" s="69">
        <v>46226</v>
      </c>
      <c r="B601" s="32">
        <f t="shared" si="134"/>
        <v>0.54166666666666641</v>
      </c>
      <c r="C601" s="26" t="s">
        <v>29</v>
      </c>
      <c r="D601" s="59" t="s">
        <v>30</v>
      </c>
      <c r="E601" s="59" t="s">
        <v>257</v>
      </c>
      <c r="F601" s="27">
        <v>17</v>
      </c>
      <c r="G601" s="34">
        <f t="shared" si="132"/>
        <v>71.400000000000006</v>
      </c>
      <c r="H601" s="26" t="s">
        <v>19</v>
      </c>
      <c r="I601" s="33" t="s">
        <v>159</v>
      </c>
      <c r="J601" s="33" t="s">
        <v>27</v>
      </c>
      <c r="K601" s="29">
        <v>0.59791666666666665</v>
      </c>
      <c r="L601" s="29">
        <v>0.62222222222222223</v>
      </c>
      <c r="M601" s="35">
        <f t="shared" ca="1" si="133"/>
        <v>2.430555555555558E-2</v>
      </c>
      <c r="N601" s="27" t="s">
        <v>387</v>
      </c>
      <c r="O601" s="60"/>
    </row>
    <row r="602" spans="1:15" ht="15" customHeight="1">
      <c r="A602" s="68">
        <v>46226</v>
      </c>
      <c r="B602" s="25">
        <f t="shared" si="134"/>
        <v>0.58333333333333304</v>
      </c>
      <c r="C602" s="26" t="s">
        <v>29</v>
      </c>
      <c r="D602" s="59" t="s">
        <v>30</v>
      </c>
      <c r="E602" s="59" t="s">
        <v>257</v>
      </c>
      <c r="F602" s="27">
        <v>19</v>
      </c>
      <c r="G602" s="28">
        <f t="shared" si="132"/>
        <v>79.8</v>
      </c>
      <c r="H602" s="26" t="s">
        <v>18</v>
      </c>
      <c r="I602" s="26" t="s">
        <v>75</v>
      </c>
      <c r="J602" s="26" t="s">
        <v>100</v>
      </c>
      <c r="K602" s="29">
        <v>0.70833333333333337</v>
      </c>
      <c r="L602" s="29">
        <v>0.79166666666666663</v>
      </c>
      <c r="M602" s="30">
        <f t="shared" ca="1" si="133"/>
        <v>8.3333333333333259E-2</v>
      </c>
      <c r="N602" s="27"/>
      <c r="O602" s="60"/>
    </row>
    <row r="603" spans="1:15" ht="15" customHeight="1">
      <c r="A603" s="69">
        <v>46226</v>
      </c>
      <c r="B603" s="32">
        <f t="shared" si="134"/>
        <v>0.62499999999999967</v>
      </c>
      <c r="C603" s="26" t="s">
        <v>29</v>
      </c>
      <c r="D603" s="59" t="s">
        <v>30</v>
      </c>
      <c r="E603" s="59" t="s">
        <v>257</v>
      </c>
      <c r="F603" s="27">
        <v>5</v>
      </c>
      <c r="G603" s="34">
        <f t="shared" si="132"/>
        <v>21</v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8">
        <v>46226</v>
      </c>
      <c r="B604" s="25">
        <f t="shared" si="134"/>
        <v>0.6666666666666663</v>
      </c>
      <c r="C604" s="26" t="s">
        <v>29</v>
      </c>
      <c r="D604" s="59" t="s">
        <v>30</v>
      </c>
      <c r="E604" s="59" t="s">
        <v>257</v>
      </c>
      <c r="F604" s="27">
        <v>14</v>
      </c>
      <c r="G604" s="28">
        <f t="shared" si="132"/>
        <v>58.800000000000004</v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69">
        <v>46226</v>
      </c>
      <c r="B605" s="32">
        <f t="shared" si="134"/>
        <v>0.70833333333333293</v>
      </c>
      <c r="C605" s="26" t="s">
        <v>29</v>
      </c>
      <c r="D605" s="59" t="s">
        <v>30</v>
      </c>
      <c r="E605" s="59" t="s">
        <v>257</v>
      </c>
      <c r="F605" s="27">
        <v>24</v>
      </c>
      <c r="G605" s="34">
        <f t="shared" si="132"/>
        <v>100.80000000000001</v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8">
        <v>46226</v>
      </c>
      <c r="B606" s="25">
        <f t="shared" si="134"/>
        <v>0.74999999999999956</v>
      </c>
      <c r="C606" s="26" t="s">
        <v>29</v>
      </c>
      <c r="D606" s="59" t="s">
        <v>30</v>
      </c>
      <c r="E606" s="59" t="s">
        <v>257</v>
      </c>
      <c r="F606" s="27">
        <v>0</v>
      </c>
      <c r="G606" s="28">
        <f t="shared" si="132"/>
        <v>0</v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69">
        <v>46226</v>
      </c>
      <c r="B607" s="32">
        <f t="shared" si="134"/>
        <v>0.79166666666666619</v>
      </c>
      <c r="C607" s="26" t="s">
        <v>29</v>
      </c>
      <c r="D607" s="59" t="s">
        <v>30</v>
      </c>
      <c r="E607" s="59" t="s">
        <v>257</v>
      </c>
      <c r="F607" s="27">
        <v>0</v>
      </c>
      <c r="G607" s="34">
        <f t="shared" si="132"/>
        <v>0</v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9" t="s">
        <v>232</v>
      </c>
      <c r="B608" s="100"/>
      <c r="C608" s="100"/>
      <c r="D608" s="100"/>
      <c r="E608" s="101">
        <f>SUM(E596:E607)</f>
        <v>0</v>
      </c>
      <c r="F608" s="36">
        <f>SUM(F596:F607)</f>
        <v>160</v>
      </c>
      <c r="G608" s="36">
        <f>SUM(G596:G607)</f>
        <v>672</v>
      </c>
      <c r="H608" s="37"/>
      <c r="I608" s="37"/>
      <c r="J608" s="37"/>
      <c r="K608" s="61"/>
      <c r="L608" s="61"/>
      <c r="M608" s="38">
        <f ca="1">IFERROR(SUM(M596:M607),"")</f>
        <v>0.13819444444444445</v>
      </c>
      <c r="N608" s="36" t="s">
        <v>233</v>
      </c>
      <c r="O608" s="39">
        <v>685860</v>
      </c>
    </row>
    <row r="609" spans="1:15" ht="15" customHeight="1">
      <c r="A609" s="69">
        <v>46226</v>
      </c>
      <c r="B609" s="32">
        <v>0.83333333333333304</v>
      </c>
      <c r="C609" s="33" t="s">
        <v>45</v>
      </c>
      <c r="D609" s="62" t="s">
        <v>30</v>
      </c>
      <c r="E609" s="62" t="s">
        <v>257</v>
      </c>
      <c r="F609" s="27">
        <v>0</v>
      </c>
      <c r="G609" s="34">
        <f t="shared" ref="G609:G614" si="135">IF(F609="","",IF(E609="PC 17",F609*4.2,IF(E609="PC 19",F609*5,"")))</f>
        <v>0</v>
      </c>
      <c r="H609" s="33" t="s">
        <v>18</v>
      </c>
      <c r="I609" s="33" t="s">
        <v>75</v>
      </c>
      <c r="J609" s="33" t="s">
        <v>100</v>
      </c>
      <c r="K609" s="29">
        <v>0.79166666666666663</v>
      </c>
      <c r="L609" s="29">
        <v>0.875</v>
      </c>
      <c r="M609" s="35">
        <f t="shared" ref="M609:M620" ca="1" si="136">IFERROR(IF(K609="","",IF(L609="",MOD(NOW()-K609,1),IF(L609&gt;=K609,L609-K609,L609+1-K609))),"")</f>
        <v>8.333333333333337E-2</v>
      </c>
      <c r="N609" s="27"/>
      <c r="O609" s="60"/>
    </row>
    <row r="610" spans="1:15" ht="15" customHeight="1">
      <c r="A610" s="68">
        <v>46226</v>
      </c>
      <c r="B610" s="25">
        <f t="shared" ref="B610:B620" si="137">B609+TIME(0,60,0)</f>
        <v>0.87499999999999967</v>
      </c>
      <c r="C610" s="33" t="s">
        <v>45</v>
      </c>
      <c r="D610" s="62" t="s">
        <v>30</v>
      </c>
      <c r="E610" s="62" t="s">
        <v>257</v>
      </c>
      <c r="F610" s="27">
        <v>0</v>
      </c>
      <c r="G610" s="28">
        <f t="shared" si="135"/>
        <v>0</v>
      </c>
      <c r="H610" s="26" t="s">
        <v>19</v>
      </c>
      <c r="I610" s="26" t="s">
        <v>57</v>
      </c>
      <c r="J610" s="26" t="s">
        <v>27</v>
      </c>
      <c r="K610" s="29">
        <v>6.0416666666666667E-2</v>
      </c>
      <c r="L610" s="29">
        <v>7.7777777777777779E-2</v>
      </c>
      <c r="M610" s="30">
        <f t="shared" ca="1" si="136"/>
        <v>1.7361111111111112E-2</v>
      </c>
      <c r="N610" s="27"/>
      <c r="O610" s="60"/>
    </row>
    <row r="611" spans="1:15" ht="15" customHeight="1">
      <c r="A611" s="69">
        <v>46226</v>
      </c>
      <c r="B611" s="32">
        <f t="shared" si="137"/>
        <v>0.9166666666666663</v>
      </c>
      <c r="C611" s="33" t="s">
        <v>45</v>
      </c>
      <c r="D611" s="62" t="s">
        <v>30</v>
      </c>
      <c r="E611" s="62" t="s">
        <v>230</v>
      </c>
      <c r="F611" s="27">
        <v>8</v>
      </c>
      <c r="G611" s="34">
        <f t="shared" si="135"/>
        <v>40</v>
      </c>
      <c r="H611" s="33" t="s">
        <v>19</v>
      </c>
      <c r="I611" s="33" t="s">
        <v>52</v>
      </c>
      <c r="J611" s="33" t="s">
        <v>27</v>
      </c>
      <c r="K611" s="29">
        <v>0.17569444444444443</v>
      </c>
      <c r="L611" s="29">
        <v>0.19166666666666668</v>
      </c>
      <c r="M611" s="35">
        <f t="shared" ca="1" si="136"/>
        <v>1.5972222222222249E-2</v>
      </c>
      <c r="N611" s="27"/>
      <c r="O611" s="60"/>
    </row>
    <row r="612" spans="1:15" ht="15" customHeight="1">
      <c r="A612" s="68">
        <v>46226</v>
      </c>
      <c r="B612" s="25">
        <f t="shared" si="137"/>
        <v>0.95833333333333293</v>
      </c>
      <c r="C612" s="33" t="s">
        <v>45</v>
      </c>
      <c r="D612" s="62" t="s">
        <v>30</v>
      </c>
      <c r="E612" s="62" t="s">
        <v>257</v>
      </c>
      <c r="F612" s="27">
        <v>3</v>
      </c>
      <c r="G612" s="28">
        <f t="shared" si="135"/>
        <v>12.600000000000001</v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69">
        <v>46226</v>
      </c>
      <c r="B613" s="32">
        <f t="shared" si="137"/>
        <v>0.99999999999999956</v>
      </c>
      <c r="C613" s="33" t="s">
        <v>45</v>
      </c>
      <c r="D613" s="62" t="s">
        <v>30</v>
      </c>
      <c r="E613" s="62" t="s">
        <v>257</v>
      </c>
      <c r="F613" s="27">
        <v>9</v>
      </c>
      <c r="G613" s="34">
        <f t="shared" si="135"/>
        <v>37.800000000000004</v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8">
        <v>46226</v>
      </c>
      <c r="B614" s="25">
        <f t="shared" si="137"/>
        <v>1.0416666666666663</v>
      </c>
      <c r="C614" s="33" t="s">
        <v>45</v>
      </c>
      <c r="D614" s="62" t="s">
        <v>30</v>
      </c>
      <c r="E614" s="62" t="s">
        <v>257</v>
      </c>
      <c r="F614" s="27">
        <v>12</v>
      </c>
      <c r="G614" s="28">
        <f t="shared" si="135"/>
        <v>50.400000000000006</v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69">
        <v>46226</v>
      </c>
      <c r="B615" s="32">
        <f t="shared" si="137"/>
        <v>1.083333333333333</v>
      </c>
      <c r="C615" s="33" t="s">
        <v>45</v>
      </c>
      <c r="D615" s="62" t="s">
        <v>30</v>
      </c>
      <c r="E615" s="62" t="s">
        <v>257</v>
      </c>
      <c r="F615" s="27">
        <v>0</v>
      </c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8">
        <v>46226</v>
      </c>
      <c r="B616" s="25">
        <f t="shared" si="137"/>
        <v>1.1249999999999998</v>
      </c>
      <c r="C616" s="33" t="s">
        <v>45</v>
      </c>
      <c r="D616" s="62" t="s">
        <v>30</v>
      </c>
      <c r="E616" s="62" t="s">
        <v>257</v>
      </c>
      <c r="F616" s="27">
        <v>12</v>
      </c>
      <c r="G616" s="28">
        <f>IF(F616="","",IF(E616="PC 17",F616*4.2,IF(E616="PC 19",F616*5,"")))</f>
        <v>50.400000000000006</v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69">
        <v>46226</v>
      </c>
      <c r="B617" s="32">
        <f t="shared" si="137"/>
        <v>1.1666666666666665</v>
      </c>
      <c r="C617" s="33" t="s">
        <v>45</v>
      </c>
      <c r="D617" s="62" t="s">
        <v>30</v>
      </c>
      <c r="E617" s="62" t="s">
        <v>257</v>
      </c>
      <c r="F617" s="27">
        <v>9</v>
      </c>
      <c r="G617" s="34">
        <f>IF(F617="","",IF(E617="PC 17",F617*4.2,IF(E617="PC 19",F617*5,"")))</f>
        <v>37.800000000000004</v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8">
        <v>46226</v>
      </c>
      <c r="B618" s="25">
        <f t="shared" si="137"/>
        <v>1.2083333333333333</v>
      </c>
      <c r="C618" s="33" t="s">
        <v>45</v>
      </c>
      <c r="D618" s="62" t="s">
        <v>30</v>
      </c>
      <c r="E618" s="62" t="s">
        <v>257</v>
      </c>
      <c r="F618" s="27">
        <v>10</v>
      </c>
      <c r="G618" s="28">
        <f>IF(F618="","",IF(E618="PC 17",F618*4.2,IF(E618="PC 19",F618*5,"")))</f>
        <v>42</v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69">
        <v>46226</v>
      </c>
      <c r="B619" s="32">
        <f t="shared" si="137"/>
        <v>1.25</v>
      </c>
      <c r="C619" s="33" t="s">
        <v>45</v>
      </c>
      <c r="D619" s="62" t="s">
        <v>30</v>
      </c>
      <c r="E619" s="62" t="s">
        <v>257</v>
      </c>
      <c r="F619" s="27">
        <v>19</v>
      </c>
      <c r="G619" s="34">
        <f>IF(F619="","",IF(E619="PC 17",F619*4.2,IF(E619="PC 19",F619*5,"")))</f>
        <v>79.8</v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8">
        <v>46226</v>
      </c>
      <c r="B620" s="25">
        <f t="shared" si="137"/>
        <v>1.2916666666666667</v>
      </c>
      <c r="C620" s="33" t="s">
        <v>45</v>
      </c>
      <c r="D620" s="62" t="s">
        <v>30</v>
      </c>
      <c r="E620" s="62" t="s">
        <v>257</v>
      </c>
      <c r="F620" s="27">
        <v>0</v>
      </c>
      <c r="G620" s="28">
        <f>IF(F620="","",IF(E620="PC 17",F620*4.2,IF(E620="PC 19",F620*5,"")))</f>
        <v>0</v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9" t="s">
        <v>234</v>
      </c>
      <c r="B621" s="100"/>
      <c r="C621" s="100"/>
      <c r="D621" s="100"/>
      <c r="E621" s="101">
        <f>SUM(E609:E620)</f>
        <v>0</v>
      </c>
      <c r="F621" s="36">
        <f>SUM(F609:F620)</f>
        <v>82</v>
      </c>
      <c r="G621" s="36">
        <f>SUM(G609:G620)</f>
        <v>350.8</v>
      </c>
      <c r="H621" s="37"/>
      <c r="I621" s="37"/>
      <c r="J621" s="37"/>
      <c r="K621" s="61"/>
      <c r="L621" s="61"/>
      <c r="M621" s="38">
        <f ca="1">IFERROR(SUM(M609:M620),"")</f>
        <v>0.11666666666666672</v>
      </c>
      <c r="N621" s="36" t="s">
        <v>233</v>
      </c>
      <c r="O621" s="39">
        <v>414860</v>
      </c>
    </row>
    <row r="622" spans="1:15" ht="18" customHeight="1">
      <c r="A622" s="102" t="s">
        <v>235</v>
      </c>
      <c r="B622" s="103"/>
      <c r="C622" s="103"/>
      <c r="D622" s="103"/>
      <c r="E622" s="104">
        <f>E608+E621</f>
        <v>0</v>
      </c>
      <c r="F622" s="40">
        <f>F608+F621</f>
        <v>242</v>
      </c>
      <c r="G622" s="40">
        <f>G608+G621</f>
        <v>1022.8</v>
      </c>
      <c r="H622" s="41"/>
      <c r="I622" s="41"/>
      <c r="J622" s="41"/>
      <c r="K622" s="63"/>
      <c r="L622" s="63"/>
      <c r="M622" s="42">
        <f ca="1">IFERROR(M608+M621,"")</f>
        <v>0.2548611111111112</v>
      </c>
      <c r="N622" s="40" t="s">
        <v>236</v>
      </c>
      <c r="O622" s="48">
        <f>IFERROR(O608+O621,"")</f>
        <v>1100720</v>
      </c>
    </row>
    <row r="623" spans="1:15" ht="15" customHeight="1">
      <c r="A623" s="69">
        <v>46227</v>
      </c>
      <c r="B623" s="32">
        <v>0.33333333333333298</v>
      </c>
      <c r="C623" s="33" t="s">
        <v>29</v>
      </c>
      <c r="D623" s="62" t="s">
        <v>30</v>
      </c>
      <c r="E623" s="62" t="s">
        <v>257</v>
      </c>
      <c r="F623" s="27">
        <v>18</v>
      </c>
      <c r="G623" s="34">
        <f t="shared" ref="G623:G634" si="138">IF(F623="","",IF(E623="PC 17",F623*4.2,IF(E623="PC 19",F623*5,"")))</f>
        <v>75.600000000000009</v>
      </c>
      <c r="H623" s="33" t="s">
        <v>18</v>
      </c>
      <c r="I623" s="33" t="s">
        <v>75</v>
      </c>
      <c r="J623" s="33" t="s">
        <v>208</v>
      </c>
      <c r="K623" s="29">
        <v>0.45833333333333331</v>
      </c>
      <c r="L623" s="29">
        <v>0.46180555555555558</v>
      </c>
      <c r="M623" s="35">
        <f t="shared" ref="M623:M634" ca="1" si="139">IFERROR(IF(K623="","",IF(L623="",MOD(NOW()-K623,1),IF(L623&gt;=K623,L623-K623,L623+1-K623))),"")</f>
        <v>3.4722222222222654E-3</v>
      </c>
      <c r="N623" s="27"/>
      <c r="O623" s="60"/>
    </row>
    <row r="624" spans="1:15" ht="15" customHeight="1">
      <c r="A624" s="68">
        <v>46227</v>
      </c>
      <c r="B624" s="25">
        <f t="shared" ref="B624:B634" si="140">B623+TIME(0,60,0)</f>
        <v>0.37499999999999967</v>
      </c>
      <c r="C624" s="33" t="s">
        <v>29</v>
      </c>
      <c r="D624" s="62" t="s">
        <v>30</v>
      </c>
      <c r="E624" s="62" t="s">
        <v>257</v>
      </c>
      <c r="F624" s="27">
        <v>11</v>
      </c>
      <c r="G624" s="28">
        <f t="shared" si="138"/>
        <v>46.2</v>
      </c>
      <c r="H624" s="26" t="s">
        <v>20</v>
      </c>
      <c r="I624" s="26" t="s">
        <v>57</v>
      </c>
      <c r="J624" s="26" t="s">
        <v>28</v>
      </c>
      <c r="K624" s="29">
        <v>0.57291666666666663</v>
      </c>
      <c r="L624" s="29">
        <v>0.57916666666666672</v>
      </c>
      <c r="M624" s="30">
        <f t="shared" ca="1" si="139"/>
        <v>6.2500000000000888E-3</v>
      </c>
      <c r="N624" s="27"/>
      <c r="O624" s="60"/>
    </row>
    <row r="625" spans="1:15" ht="15" customHeight="1">
      <c r="A625" s="69">
        <v>46227</v>
      </c>
      <c r="B625" s="32">
        <f t="shared" si="140"/>
        <v>0.41666666666666635</v>
      </c>
      <c r="C625" s="33" t="s">
        <v>29</v>
      </c>
      <c r="D625" s="62" t="s">
        <v>30</v>
      </c>
      <c r="E625" s="62" t="s">
        <v>257</v>
      </c>
      <c r="F625" s="27">
        <v>14</v>
      </c>
      <c r="G625" s="34">
        <f t="shared" si="138"/>
        <v>58.800000000000004</v>
      </c>
      <c r="H625" s="33" t="s">
        <v>18</v>
      </c>
      <c r="I625" s="33" t="s">
        <v>75</v>
      </c>
      <c r="J625" s="33" t="s">
        <v>218</v>
      </c>
      <c r="K625" s="29">
        <v>0.58333333333333337</v>
      </c>
      <c r="L625" s="29">
        <v>0.59444444444444444</v>
      </c>
      <c r="M625" s="35">
        <f t="shared" ca="1" si="139"/>
        <v>1.1111111111111072E-2</v>
      </c>
      <c r="N625" s="27"/>
      <c r="O625" s="60"/>
    </row>
    <row r="626" spans="1:15" ht="15" customHeight="1">
      <c r="A626" s="68">
        <v>46227</v>
      </c>
      <c r="B626" s="25">
        <f t="shared" si="140"/>
        <v>0.45833333333333304</v>
      </c>
      <c r="C626" s="33" t="s">
        <v>29</v>
      </c>
      <c r="D626" s="62" t="s">
        <v>30</v>
      </c>
      <c r="E626" s="62" t="s">
        <v>257</v>
      </c>
      <c r="F626" s="27">
        <v>11</v>
      </c>
      <c r="G626" s="28">
        <f t="shared" si="138"/>
        <v>46.2</v>
      </c>
      <c r="H626" s="26" t="s">
        <v>18</v>
      </c>
      <c r="I626" s="26" t="s">
        <v>75</v>
      </c>
      <c r="J626" s="26" t="s">
        <v>111</v>
      </c>
      <c r="K626" s="29">
        <v>0.59861111111111109</v>
      </c>
      <c r="L626" s="29">
        <v>0.62361111111111112</v>
      </c>
      <c r="M626" s="30">
        <f t="shared" ca="1" si="139"/>
        <v>2.5000000000000022E-2</v>
      </c>
      <c r="N626" s="27"/>
      <c r="O626" s="60"/>
    </row>
    <row r="627" spans="1:15" ht="15" customHeight="1">
      <c r="A627" s="69">
        <v>46227</v>
      </c>
      <c r="B627" s="32">
        <f t="shared" si="140"/>
        <v>0.49999999999999972</v>
      </c>
      <c r="C627" s="33" t="s">
        <v>29</v>
      </c>
      <c r="D627" s="62" t="s">
        <v>30</v>
      </c>
      <c r="E627" s="62" t="s">
        <v>257</v>
      </c>
      <c r="F627" s="27">
        <v>10</v>
      </c>
      <c r="G627" s="34">
        <f t="shared" si="138"/>
        <v>42</v>
      </c>
      <c r="H627" s="33" t="s">
        <v>20</v>
      </c>
      <c r="I627" s="33" t="s">
        <v>152</v>
      </c>
      <c r="J627" s="33"/>
      <c r="K627" s="29">
        <v>0.64583333333333337</v>
      </c>
      <c r="L627" s="29">
        <v>0.67291666666666672</v>
      </c>
      <c r="M627" s="35">
        <f t="shared" ca="1" si="139"/>
        <v>2.7083333333333348E-2</v>
      </c>
      <c r="N627" s="27" t="s">
        <v>388</v>
      </c>
      <c r="O627" s="60"/>
    </row>
    <row r="628" spans="1:15" ht="15" customHeight="1">
      <c r="A628" s="68">
        <v>46227</v>
      </c>
      <c r="B628" s="25">
        <f t="shared" si="140"/>
        <v>0.54166666666666641</v>
      </c>
      <c r="C628" s="33" t="s">
        <v>29</v>
      </c>
      <c r="D628" s="62" t="s">
        <v>30</v>
      </c>
      <c r="E628" s="62" t="s">
        <v>257</v>
      </c>
      <c r="F628" s="27">
        <v>17</v>
      </c>
      <c r="G628" s="28">
        <f t="shared" si="138"/>
        <v>71.400000000000006</v>
      </c>
      <c r="H628" s="26" t="s">
        <v>18</v>
      </c>
      <c r="I628" s="26" t="s">
        <v>75</v>
      </c>
      <c r="J628" s="26" t="s">
        <v>218</v>
      </c>
      <c r="K628" s="29">
        <v>0.68819444444444444</v>
      </c>
      <c r="L628" s="29">
        <v>0.79166666666666663</v>
      </c>
      <c r="M628" s="30">
        <f t="shared" ca="1" si="139"/>
        <v>0.10347222222222219</v>
      </c>
      <c r="N628" s="27"/>
      <c r="O628" s="60"/>
    </row>
    <row r="629" spans="1:15" ht="15" customHeight="1">
      <c r="A629" s="69">
        <v>46227</v>
      </c>
      <c r="B629" s="32">
        <f t="shared" si="140"/>
        <v>0.58333333333333304</v>
      </c>
      <c r="C629" s="33" t="s">
        <v>29</v>
      </c>
      <c r="D629" s="62" t="s">
        <v>30</v>
      </c>
      <c r="E629" s="62" t="s">
        <v>257</v>
      </c>
      <c r="F629" s="27">
        <v>1</v>
      </c>
      <c r="G629" s="34">
        <f t="shared" si="138"/>
        <v>4.2</v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8">
        <v>46227</v>
      </c>
      <c r="B630" s="25">
        <f t="shared" si="140"/>
        <v>0.62499999999999967</v>
      </c>
      <c r="C630" s="33" t="s">
        <v>29</v>
      </c>
      <c r="D630" s="62" t="s">
        <v>30</v>
      </c>
      <c r="E630" s="62" t="s">
        <v>257</v>
      </c>
      <c r="F630" s="27">
        <v>1</v>
      </c>
      <c r="G630" s="28">
        <f t="shared" si="138"/>
        <v>4.2</v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69">
        <v>46227</v>
      </c>
      <c r="B631" s="32">
        <f t="shared" si="140"/>
        <v>0.6666666666666663</v>
      </c>
      <c r="C631" s="33" t="s">
        <v>29</v>
      </c>
      <c r="D631" s="62" t="s">
        <v>30</v>
      </c>
      <c r="E631" s="62" t="s">
        <v>257</v>
      </c>
      <c r="F631" s="27">
        <v>3</v>
      </c>
      <c r="G631" s="34">
        <f t="shared" si="138"/>
        <v>12.600000000000001</v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8">
        <v>46227</v>
      </c>
      <c r="B632" s="25">
        <f t="shared" si="140"/>
        <v>0.70833333333333293</v>
      </c>
      <c r="C632" s="33" t="s">
        <v>29</v>
      </c>
      <c r="D632" s="62" t="s">
        <v>30</v>
      </c>
      <c r="E632" s="62" t="s">
        <v>257</v>
      </c>
      <c r="F632" s="27">
        <v>0</v>
      </c>
      <c r="G632" s="28">
        <f t="shared" si="138"/>
        <v>0</v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69">
        <v>46227</v>
      </c>
      <c r="B633" s="32">
        <f t="shared" si="140"/>
        <v>0.74999999999999956</v>
      </c>
      <c r="C633" s="33" t="s">
        <v>29</v>
      </c>
      <c r="D633" s="62" t="s">
        <v>30</v>
      </c>
      <c r="E633" s="62" t="s">
        <v>257</v>
      </c>
      <c r="F633" s="27">
        <v>0</v>
      </c>
      <c r="G633" s="34">
        <f t="shared" si="138"/>
        <v>0</v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8">
        <v>46227</v>
      </c>
      <c r="B634" s="25">
        <f t="shared" si="140"/>
        <v>0.79166666666666619</v>
      </c>
      <c r="C634" s="33" t="s">
        <v>29</v>
      </c>
      <c r="D634" s="62" t="s">
        <v>30</v>
      </c>
      <c r="E634" s="62" t="s">
        <v>257</v>
      </c>
      <c r="F634" s="27">
        <v>0</v>
      </c>
      <c r="G634" s="28">
        <f t="shared" si="138"/>
        <v>0</v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9" t="s">
        <v>232</v>
      </c>
      <c r="B635" s="100"/>
      <c r="C635" s="100"/>
      <c r="D635" s="100"/>
      <c r="E635" s="101">
        <f>SUM(E623:E634)</f>
        <v>0</v>
      </c>
      <c r="F635" s="36">
        <f>SUM(F623:F634)</f>
        <v>86</v>
      </c>
      <c r="G635" s="36">
        <f>SUM(G623:G634)</f>
        <v>361.20000000000005</v>
      </c>
      <c r="H635" s="37"/>
      <c r="I635" s="37"/>
      <c r="J635" s="37"/>
      <c r="K635" s="61"/>
      <c r="L635" s="61"/>
      <c r="M635" s="38">
        <f ca="1">IFERROR(SUM(M623:M634),"")</f>
        <v>0.17638888888888898</v>
      </c>
      <c r="N635" s="36" t="s">
        <v>233</v>
      </c>
      <c r="O635" s="39">
        <v>360420</v>
      </c>
    </row>
    <row r="636" spans="1:15" ht="15" customHeight="1">
      <c r="A636" s="68">
        <v>46227</v>
      </c>
      <c r="B636" s="25">
        <v>0.83333333333333304</v>
      </c>
      <c r="C636" s="26" t="s">
        <v>21</v>
      </c>
      <c r="D636" s="59" t="s">
        <v>30</v>
      </c>
      <c r="E636" s="59" t="s">
        <v>257</v>
      </c>
      <c r="F636" s="27">
        <v>0</v>
      </c>
      <c r="G636" s="28">
        <f t="shared" ref="G636:G647" si="141">IF(F636="","",IF(E636="PC 17",F636*4.2,IF(E636="PC 19",F636*5,"")))</f>
        <v>0</v>
      </c>
      <c r="H636" s="26" t="s">
        <v>18</v>
      </c>
      <c r="I636" s="26" t="s">
        <v>75</v>
      </c>
      <c r="J636" s="26" t="s">
        <v>106</v>
      </c>
      <c r="K636" s="29">
        <v>0.79166666666666663</v>
      </c>
      <c r="L636" s="29">
        <v>0.96666666666666667</v>
      </c>
      <c r="M636" s="30">
        <f t="shared" ref="M636:M647" ca="1" si="142">IFERROR(IF(K636="","",IF(L636="",MOD(NOW()-K636,1),IF(L636&gt;=K636,L636-K636,L636+1-K636))),"")</f>
        <v>0.17500000000000004</v>
      </c>
      <c r="N636" s="27" t="s">
        <v>389</v>
      </c>
      <c r="O636" s="60"/>
    </row>
    <row r="637" spans="1:15" ht="15" customHeight="1">
      <c r="A637" s="69">
        <v>46227</v>
      </c>
      <c r="B637" s="32">
        <f t="shared" ref="B637:B647" si="143">B636+TIME(0,60,0)</f>
        <v>0.87499999999999967</v>
      </c>
      <c r="C637" s="26" t="s">
        <v>21</v>
      </c>
      <c r="D637" s="59" t="s">
        <v>30</v>
      </c>
      <c r="E637" s="59" t="s">
        <v>257</v>
      </c>
      <c r="F637" s="27">
        <v>0</v>
      </c>
      <c r="G637" s="34">
        <f t="shared" si="141"/>
        <v>0</v>
      </c>
      <c r="H637" s="26" t="s">
        <v>18</v>
      </c>
      <c r="I637" s="26" t="s">
        <v>75</v>
      </c>
      <c r="J637" s="26" t="s">
        <v>106</v>
      </c>
      <c r="K637" s="29">
        <v>0.99791666666666667</v>
      </c>
      <c r="L637" s="29">
        <v>5.8333333333333334E-2</v>
      </c>
      <c r="M637" s="35">
        <f t="shared" ca="1" si="142"/>
        <v>6.0416666666666674E-2</v>
      </c>
      <c r="N637" s="27"/>
      <c r="O637" s="60"/>
    </row>
    <row r="638" spans="1:15" ht="15" customHeight="1">
      <c r="A638" s="68">
        <v>46227</v>
      </c>
      <c r="B638" s="25">
        <f t="shared" si="143"/>
        <v>0.9166666666666663</v>
      </c>
      <c r="C638" s="26" t="s">
        <v>21</v>
      </c>
      <c r="D638" s="59" t="s">
        <v>30</v>
      </c>
      <c r="E638" s="59" t="s">
        <v>257</v>
      </c>
      <c r="F638" s="27">
        <v>0</v>
      </c>
      <c r="G638" s="28">
        <f t="shared" si="141"/>
        <v>0</v>
      </c>
      <c r="H638" s="26" t="s">
        <v>20</v>
      </c>
      <c r="I638" s="26" t="s">
        <v>57</v>
      </c>
      <c r="J638" s="26" t="s">
        <v>56</v>
      </c>
      <c r="K638" s="29">
        <v>0.11458333333333333</v>
      </c>
      <c r="L638" s="29">
        <v>0.125</v>
      </c>
      <c r="M638" s="30">
        <f t="shared" ca="1" si="142"/>
        <v>1.0416666666666671E-2</v>
      </c>
      <c r="N638" s="27"/>
      <c r="O638" s="60"/>
    </row>
    <row r="639" spans="1:15" ht="15" customHeight="1">
      <c r="A639" s="69">
        <v>46227</v>
      </c>
      <c r="B639" s="32">
        <f t="shared" si="143"/>
        <v>0.95833333333333293</v>
      </c>
      <c r="C639" s="26" t="s">
        <v>21</v>
      </c>
      <c r="D639" s="59" t="s">
        <v>30</v>
      </c>
      <c r="E639" s="59" t="s">
        <v>257</v>
      </c>
      <c r="F639" s="27">
        <v>0</v>
      </c>
      <c r="G639" s="34">
        <f t="shared" si="141"/>
        <v>0</v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8">
        <v>46227</v>
      </c>
      <c r="B640" s="25">
        <f t="shared" si="143"/>
        <v>0.99999999999999956</v>
      </c>
      <c r="C640" s="26" t="s">
        <v>21</v>
      </c>
      <c r="D640" s="59" t="s">
        <v>30</v>
      </c>
      <c r="E640" s="59" t="s">
        <v>257</v>
      </c>
      <c r="F640" s="27">
        <v>12</v>
      </c>
      <c r="G640" s="28">
        <f t="shared" si="141"/>
        <v>50.400000000000006</v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69">
        <v>46227</v>
      </c>
      <c r="B641" s="32">
        <f t="shared" si="143"/>
        <v>1.0416666666666663</v>
      </c>
      <c r="C641" s="26" t="s">
        <v>21</v>
      </c>
      <c r="D641" s="59" t="s">
        <v>30</v>
      </c>
      <c r="E641" s="59" t="s">
        <v>257</v>
      </c>
      <c r="F641" s="27">
        <v>0</v>
      </c>
      <c r="G641" s="34">
        <f t="shared" si="141"/>
        <v>0</v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8">
        <v>46227</v>
      </c>
      <c r="B642" s="25">
        <f t="shared" si="143"/>
        <v>1.083333333333333</v>
      </c>
      <c r="C642" s="26" t="s">
        <v>21</v>
      </c>
      <c r="D642" s="59" t="s">
        <v>30</v>
      </c>
      <c r="E642" s="59" t="s">
        <v>257</v>
      </c>
      <c r="F642" s="27">
        <v>10</v>
      </c>
      <c r="G642" s="28">
        <f t="shared" si="141"/>
        <v>42</v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69">
        <v>46227</v>
      </c>
      <c r="B643" s="32">
        <f t="shared" si="143"/>
        <v>1.1249999999999998</v>
      </c>
      <c r="C643" s="26" t="s">
        <v>21</v>
      </c>
      <c r="D643" s="59" t="s">
        <v>30</v>
      </c>
      <c r="E643" s="59" t="s">
        <v>257</v>
      </c>
      <c r="F643" s="27">
        <v>5</v>
      </c>
      <c r="G643" s="34">
        <f t="shared" si="141"/>
        <v>21</v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8">
        <v>46227</v>
      </c>
      <c r="B644" s="25">
        <f t="shared" si="143"/>
        <v>1.1666666666666665</v>
      </c>
      <c r="C644" s="26" t="s">
        <v>21</v>
      </c>
      <c r="D644" s="59" t="s">
        <v>30</v>
      </c>
      <c r="E644" s="59" t="s">
        <v>257</v>
      </c>
      <c r="F644" s="27">
        <v>10</v>
      </c>
      <c r="G644" s="28">
        <f t="shared" si="141"/>
        <v>42</v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69">
        <v>46227</v>
      </c>
      <c r="B645" s="32">
        <f t="shared" si="143"/>
        <v>1.2083333333333333</v>
      </c>
      <c r="C645" s="26" t="s">
        <v>21</v>
      </c>
      <c r="D645" s="59" t="s">
        <v>30</v>
      </c>
      <c r="E645" s="59" t="s">
        <v>257</v>
      </c>
      <c r="F645" s="27">
        <v>20</v>
      </c>
      <c r="G645" s="34">
        <f t="shared" si="141"/>
        <v>84</v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8">
        <v>46227</v>
      </c>
      <c r="B646" s="25">
        <f t="shared" si="143"/>
        <v>1.25</v>
      </c>
      <c r="C646" s="26" t="s">
        <v>21</v>
      </c>
      <c r="D646" s="59" t="s">
        <v>30</v>
      </c>
      <c r="E646" s="59" t="s">
        <v>257</v>
      </c>
      <c r="F646" s="27">
        <v>12</v>
      </c>
      <c r="G646" s="28">
        <f t="shared" si="141"/>
        <v>50.400000000000006</v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69">
        <v>46227</v>
      </c>
      <c r="B647" s="32">
        <f t="shared" si="143"/>
        <v>1.2916666666666667</v>
      </c>
      <c r="C647" s="26" t="s">
        <v>21</v>
      </c>
      <c r="D647" s="59" t="s">
        <v>30</v>
      </c>
      <c r="E647" s="59" t="s">
        <v>257</v>
      </c>
      <c r="F647" s="27">
        <v>0</v>
      </c>
      <c r="G647" s="34">
        <f t="shared" si="141"/>
        <v>0</v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9" t="s">
        <v>234</v>
      </c>
      <c r="B648" s="100"/>
      <c r="C648" s="100"/>
      <c r="D648" s="100"/>
      <c r="E648" s="101">
        <f>SUM(E636:E647)</f>
        <v>0</v>
      </c>
      <c r="F648" s="36">
        <f>SUM(F636:F647)</f>
        <v>69</v>
      </c>
      <c r="G648" s="36">
        <f>SUM(G636:G647)</f>
        <v>289.8</v>
      </c>
      <c r="H648" s="37"/>
      <c r="I648" s="37"/>
      <c r="J648" s="37"/>
      <c r="K648" s="61"/>
      <c r="L648" s="61"/>
      <c r="M648" s="38">
        <f ca="1">IFERROR(SUM(M636:M647),"")</f>
        <v>0.2458333333333334</v>
      </c>
      <c r="N648" s="36" t="s">
        <v>233</v>
      </c>
      <c r="O648" s="39">
        <v>284850</v>
      </c>
    </row>
    <row r="649" spans="1:15" ht="18" customHeight="1">
      <c r="A649" s="102" t="s">
        <v>235</v>
      </c>
      <c r="B649" s="103"/>
      <c r="C649" s="103"/>
      <c r="D649" s="103"/>
      <c r="E649" s="104">
        <f>E635+E648</f>
        <v>0</v>
      </c>
      <c r="F649" s="40">
        <f>F635+F648</f>
        <v>155</v>
      </c>
      <c r="G649" s="40">
        <f>G635+G648</f>
        <v>651</v>
      </c>
      <c r="H649" s="41"/>
      <c r="I649" s="41"/>
      <c r="J649" s="41"/>
      <c r="K649" s="63"/>
      <c r="L649" s="63"/>
      <c r="M649" s="42">
        <f ca="1">IFERROR(M635+M648,"")</f>
        <v>0.42222222222222239</v>
      </c>
      <c r="N649" s="40" t="s">
        <v>236</v>
      </c>
      <c r="O649" s="48">
        <f>IFERROR(O635+O648,"")</f>
        <v>645270</v>
      </c>
    </row>
    <row r="650" spans="1:15" ht="15" customHeight="1">
      <c r="A650" s="68">
        <v>46228</v>
      </c>
      <c r="B650" s="25">
        <v>0.33333333333333298</v>
      </c>
      <c r="C650" s="26" t="s">
        <v>29</v>
      </c>
      <c r="D650" s="59" t="s">
        <v>30</v>
      </c>
      <c r="E650" s="59"/>
      <c r="F650" s="27">
        <v>0</v>
      </c>
      <c r="G650" s="28" t="str">
        <f t="shared" ref="G650:G661" si="144">IF(F650="","",IF(E650="PC 17",F650*4.2,IF(E650="PC 19",F650*5,"")))</f>
        <v/>
      </c>
      <c r="H650" s="26" t="s">
        <v>18</v>
      </c>
      <c r="I650" s="26" t="s">
        <v>75</v>
      </c>
      <c r="J650" s="26" t="s">
        <v>218</v>
      </c>
      <c r="K650" s="29">
        <v>0.29166666666666669</v>
      </c>
      <c r="L650" s="29"/>
      <c r="M650" s="30">
        <f t="shared" ref="M650:M661" ca="1" si="145">IFERROR(IF(K650="","",IF(L650="",MOD(NOW()-K650,1),IF(L650&gt;=K650,L650-K650,L650+1-K650))),"")</f>
        <v>0.29443715277739102</v>
      </c>
      <c r="N650" s="27" t="s">
        <v>390</v>
      </c>
      <c r="O650" s="60"/>
    </row>
    <row r="651" spans="1:15" ht="15" customHeight="1">
      <c r="A651" s="69">
        <v>46228</v>
      </c>
      <c r="B651" s="32">
        <f t="shared" ref="B651:B661" si="146">B650+TIME(0,60,0)</f>
        <v>0.37499999999999967</v>
      </c>
      <c r="C651" s="26" t="s">
        <v>29</v>
      </c>
      <c r="D651" s="59" t="s">
        <v>30</v>
      </c>
      <c r="E651" s="59"/>
      <c r="F651" s="27">
        <v>0</v>
      </c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8">
        <v>46228</v>
      </c>
      <c r="B652" s="25">
        <f t="shared" si="146"/>
        <v>0.41666666666666635</v>
      </c>
      <c r="C652" s="26" t="s">
        <v>29</v>
      </c>
      <c r="D652" s="59" t="s">
        <v>30</v>
      </c>
      <c r="E652" s="59"/>
      <c r="F652" s="27">
        <v>0</v>
      </c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69">
        <v>46228</v>
      </c>
      <c r="B653" s="32">
        <f t="shared" si="146"/>
        <v>0.45833333333333304</v>
      </c>
      <c r="C653" s="26" t="s">
        <v>29</v>
      </c>
      <c r="D653" s="59" t="s">
        <v>30</v>
      </c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8">
        <v>46228</v>
      </c>
      <c r="B654" s="25">
        <f t="shared" si="146"/>
        <v>0.49999999999999972</v>
      </c>
      <c r="C654" s="26" t="s">
        <v>29</v>
      </c>
      <c r="D654" s="59" t="s">
        <v>30</v>
      </c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69">
        <v>46228</v>
      </c>
      <c r="B655" s="32">
        <f t="shared" si="146"/>
        <v>0.54166666666666641</v>
      </c>
      <c r="C655" s="26" t="s">
        <v>29</v>
      </c>
      <c r="D655" s="59" t="s">
        <v>30</v>
      </c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8">
        <v>46228</v>
      </c>
      <c r="B656" s="25">
        <f t="shared" si="146"/>
        <v>0.58333333333333304</v>
      </c>
      <c r="C656" s="26" t="s">
        <v>29</v>
      </c>
      <c r="D656" s="59" t="s">
        <v>30</v>
      </c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69">
        <v>46228</v>
      </c>
      <c r="B657" s="32">
        <f t="shared" si="146"/>
        <v>0.62499999999999967</v>
      </c>
      <c r="C657" s="26" t="s">
        <v>29</v>
      </c>
      <c r="D657" s="59" t="s">
        <v>30</v>
      </c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8">
        <v>46228</v>
      </c>
      <c r="B658" s="25">
        <f t="shared" si="146"/>
        <v>0.6666666666666663</v>
      </c>
      <c r="C658" s="26" t="s">
        <v>29</v>
      </c>
      <c r="D658" s="59" t="s">
        <v>30</v>
      </c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69">
        <v>46228</v>
      </c>
      <c r="B659" s="32">
        <f t="shared" si="146"/>
        <v>0.70833333333333293</v>
      </c>
      <c r="C659" s="26" t="s">
        <v>29</v>
      </c>
      <c r="D659" s="59" t="s">
        <v>30</v>
      </c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8">
        <v>46228</v>
      </c>
      <c r="B660" s="25">
        <f t="shared" si="146"/>
        <v>0.74999999999999956</v>
      </c>
      <c r="C660" s="26" t="s">
        <v>29</v>
      </c>
      <c r="D660" s="59" t="s">
        <v>30</v>
      </c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69">
        <v>46228</v>
      </c>
      <c r="B661" s="32">
        <f t="shared" si="146"/>
        <v>0.79166666666666619</v>
      </c>
      <c r="C661" s="26" t="s">
        <v>29</v>
      </c>
      <c r="D661" s="59" t="s">
        <v>30</v>
      </c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9" t="s">
        <v>232</v>
      </c>
      <c r="B662" s="100"/>
      <c r="C662" s="100"/>
      <c r="D662" s="100"/>
      <c r="E662" s="101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0.29443715277739102</v>
      </c>
      <c r="N662" s="36" t="s">
        <v>233</v>
      </c>
      <c r="O662" s="39"/>
    </row>
    <row r="663" spans="1:15" ht="15" customHeight="1">
      <c r="A663" s="69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8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69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8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69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8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69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8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69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8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69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8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9" t="s">
        <v>234</v>
      </c>
      <c r="B675" s="100"/>
      <c r="C675" s="100"/>
      <c r="D675" s="100"/>
      <c r="E675" s="101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233</v>
      </c>
      <c r="O675" s="39"/>
    </row>
    <row r="676" spans="1:15" ht="18" customHeight="1">
      <c r="A676" s="102" t="s">
        <v>235</v>
      </c>
      <c r="B676" s="103"/>
      <c r="C676" s="103"/>
      <c r="D676" s="103"/>
      <c r="E676" s="104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0.29443715277739102</v>
      </c>
      <c r="N676" s="40" t="s">
        <v>236</v>
      </c>
      <c r="O676" s="48">
        <f>IFERROR(O662+O675,"")</f>
        <v>0</v>
      </c>
    </row>
    <row r="677" spans="1:15" ht="15" customHeight="1">
      <c r="A677" s="69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8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69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8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69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8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69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8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69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8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69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8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9" t="s">
        <v>232</v>
      </c>
      <c r="B689" s="100"/>
      <c r="C689" s="100"/>
      <c r="D689" s="100"/>
      <c r="E689" s="101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233</v>
      </c>
      <c r="O689" s="39"/>
    </row>
    <row r="690" spans="1:15" ht="15" customHeight="1">
      <c r="A690" s="68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69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8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69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8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69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8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69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8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69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8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69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9" t="s">
        <v>234</v>
      </c>
      <c r="B702" s="100"/>
      <c r="C702" s="100"/>
      <c r="D702" s="100"/>
      <c r="E702" s="101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233</v>
      </c>
      <c r="O702" s="39"/>
    </row>
    <row r="703" spans="1:15" ht="18" customHeight="1">
      <c r="A703" s="102" t="s">
        <v>235</v>
      </c>
      <c r="B703" s="103"/>
      <c r="C703" s="103"/>
      <c r="D703" s="103"/>
      <c r="E703" s="104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236</v>
      </c>
      <c r="O703" s="48">
        <f>IFERROR(O689+O702,"")</f>
        <v>0</v>
      </c>
    </row>
    <row r="704" spans="1:15" ht="15" customHeight="1">
      <c r="A704" s="68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69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8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69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8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69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8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69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8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69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8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69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9" t="s">
        <v>232</v>
      </c>
      <c r="B716" s="100"/>
      <c r="C716" s="100"/>
      <c r="D716" s="100"/>
      <c r="E716" s="101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233</v>
      </c>
      <c r="O716" s="39"/>
    </row>
    <row r="717" spans="1:15" ht="15" customHeight="1">
      <c r="A717" s="69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8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69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8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69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8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69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8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69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8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69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8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9" t="s">
        <v>234</v>
      </c>
      <c r="B729" s="100"/>
      <c r="C729" s="100"/>
      <c r="D729" s="100"/>
      <c r="E729" s="101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233</v>
      </c>
      <c r="O729" s="39"/>
    </row>
    <row r="730" spans="1:15" ht="18" customHeight="1">
      <c r="A730" s="102" t="s">
        <v>235</v>
      </c>
      <c r="B730" s="103"/>
      <c r="C730" s="103"/>
      <c r="D730" s="103"/>
      <c r="E730" s="104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236</v>
      </c>
      <c r="O730" s="48">
        <f>IFERROR(O716+O729,"")</f>
        <v>0</v>
      </c>
    </row>
    <row r="731" spans="1:15" ht="15" customHeight="1">
      <c r="A731" s="69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8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69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8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69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8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69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8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69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8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69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8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9" t="s">
        <v>232</v>
      </c>
      <c r="B743" s="100"/>
      <c r="C743" s="100"/>
      <c r="D743" s="100"/>
      <c r="E743" s="101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233</v>
      </c>
      <c r="O743" s="39"/>
    </row>
    <row r="744" spans="1:15" ht="15" customHeight="1">
      <c r="A744" s="68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69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8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69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8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69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8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69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8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69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8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69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9" t="s">
        <v>234</v>
      </c>
      <c r="B756" s="100"/>
      <c r="C756" s="100"/>
      <c r="D756" s="100"/>
      <c r="E756" s="101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233</v>
      </c>
      <c r="O756" s="39"/>
    </row>
    <row r="757" spans="1:15" ht="18" customHeight="1">
      <c r="A757" s="102" t="s">
        <v>235</v>
      </c>
      <c r="B757" s="103"/>
      <c r="C757" s="103"/>
      <c r="D757" s="103"/>
      <c r="E757" s="104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236</v>
      </c>
      <c r="O757" s="48">
        <f>IFERROR(O743+O756,"")</f>
        <v>0</v>
      </c>
    </row>
    <row r="758" spans="1:15" ht="15" customHeight="1">
      <c r="A758" s="68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69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8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69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8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69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8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69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8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69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8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69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9" t="s">
        <v>232</v>
      </c>
      <c r="B770" s="100"/>
      <c r="C770" s="100"/>
      <c r="D770" s="100"/>
      <c r="E770" s="101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233</v>
      </c>
      <c r="O770" s="39"/>
    </row>
    <row r="771" spans="1:15" ht="15" customHeight="1">
      <c r="A771" s="69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8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69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8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69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8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69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8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69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8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69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8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9" t="s">
        <v>234</v>
      </c>
      <c r="B783" s="100"/>
      <c r="C783" s="100"/>
      <c r="D783" s="100"/>
      <c r="E783" s="101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233</v>
      </c>
      <c r="O783" s="39"/>
    </row>
    <row r="784" spans="1:15" ht="18" customHeight="1">
      <c r="A784" s="102" t="s">
        <v>235</v>
      </c>
      <c r="B784" s="103"/>
      <c r="C784" s="103"/>
      <c r="D784" s="103"/>
      <c r="E784" s="104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236</v>
      </c>
      <c r="O784" s="48">
        <f>IFERROR(O770+O783,"")</f>
        <v>0</v>
      </c>
    </row>
    <row r="785" spans="1:15" ht="15" customHeight="1">
      <c r="A785" s="69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8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69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8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69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8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69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8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69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8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69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8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9" t="s">
        <v>232</v>
      </c>
      <c r="B797" s="100"/>
      <c r="C797" s="100"/>
      <c r="D797" s="100"/>
      <c r="E797" s="101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233</v>
      </c>
      <c r="O797" s="39"/>
    </row>
    <row r="798" spans="1:15" ht="15" customHeight="1">
      <c r="A798" s="68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69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8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69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8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69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8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69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8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69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8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69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9" t="s">
        <v>234</v>
      </c>
      <c r="B810" s="100"/>
      <c r="C810" s="100"/>
      <c r="D810" s="100"/>
      <c r="E810" s="101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233</v>
      </c>
      <c r="O810" s="39"/>
    </row>
    <row r="811" spans="1:15" ht="18" customHeight="1">
      <c r="A811" s="102" t="s">
        <v>235</v>
      </c>
      <c r="B811" s="103"/>
      <c r="C811" s="103"/>
      <c r="D811" s="103"/>
      <c r="E811" s="104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236</v>
      </c>
      <c r="O811" s="43">
        <f>IFERROR(O797+O810,"")</f>
        <v>0</v>
      </c>
    </row>
  </sheetData>
  <mergeCells count="89"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756:E756"/>
    <mergeCell ref="A757:E757"/>
    <mergeCell ref="A770:E770"/>
    <mergeCell ref="A783:E783"/>
    <mergeCell ref="A784:E784"/>
    <mergeCell ref="A703:E703"/>
    <mergeCell ref="A716:E716"/>
    <mergeCell ref="A729:E729"/>
    <mergeCell ref="A730:E730"/>
    <mergeCell ref="A743:E743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446:E446"/>
    <mergeCell ref="A459:E459"/>
    <mergeCell ref="A460:E460"/>
    <mergeCell ref="A473:E473"/>
    <mergeCell ref="A486:E486"/>
    <mergeCell ref="A405:E405"/>
    <mergeCell ref="A406:E406"/>
    <mergeCell ref="A419:E419"/>
    <mergeCell ref="A432:E432"/>
    <mergeCell ref="A433:E433"/>
    <mergeCell ref="A352:E352"/>
    <mergeCell ref="A378:E378"/>
    <mergeCell ref="A379:E379"/>
    <mergeCell ref="A392:E392"/>
    <mergeCell ref="A311:E311"/>
    <mergeCell ref="A324:E324"/>
    <mergeCell ref="A325:E325"/>
    <mergeCell ref="A338:E338"/>
    <mergeCell ref="A351:E351"/>
    <mergeCell ref="A270:E270"/>
    <mergeCell ref="A271:E271"/>
    <mergeCell ref="A284:E284"/>
    <mergeCell ref="A297:E297"/>
    <mergeCell ref="A298:E298"/>
    <mergeCell ref="A217:E217"/>
    <mergeCell ref="A230:E230"/>
    <mergeCell ref="A243:E243"/>
    <mergeCell ref="A244:E244"/>
    <mergeCell ref="A257:E257"/>
    <mergeCell ref="A176:E176"/>
    <mergeCell ref="A189:E189"/>
    <mergeCell ref="A190:E190"/>
    <mergeCell ref="A203:E203"/>
    <mergeCell ref="A216:E216"/>
    <mergeCell ref="A135:E135"/>
    <mergeCell ref="A136:E136"/>
    <mergeCell ref="A149:E149"/>
    <mergeCell ref="A162:E162"/>
    <mergeCell ref="A163:E163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325 E327:E449 E451:E586 E588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C29:C364 C366:C900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C365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2878EAE7-5404-4D83-90A8-98DF7BC2EF45}"/>
</file>

<file path=customXml/itemProps2.xml><?xml version="1.0" encoding="utf-8"?>
<ds:datastoreItem xmlns:ds="http://schemas.openxmlformats.org/officeDocument/2006/customXml" ds:itemID="{60A38338-7112-4F45-BCE1-49C5EC8DDAF1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2026-07-25T18:05:18Z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