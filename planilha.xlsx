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81" documentId="8_{C51EB6CB-002B-4D6B-B68F-DDEBDB4460C0}" xr6:coauthVersionLast="47" xr6:coauthVersionMax="47" xr10:uidLastSave="{649F6461-BFFF-46E8-9166-66A3FDE7328E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<sst xmlns="http://schemas.openxmlformats.org/spreadsheetml/2006/main" count="5221" uniqueCount="327">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</sst>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2" sqref="L2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19",F272*5,IF(E272="CB",F272*35,""))))</f>
        <v/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/>
      <c r="M272" s="30">
        <f t="shared" ref="M272:M283" ca="1" si="61">IFERROR(IF(K272="","",IF(L272="",MOD(NOW()-K272,1),IF(L272&gt;=K272,L272-K272,L272+1-K272))),"")</f>
        <v>2.0324074066593312E-3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2.0324074066593312E-3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2.0324074066593312E-3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3" sqref="F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0.21522685184754664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0.35411574073643554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0.43883796295865785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>
        <v>7</v>
      </c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3" sqref="F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297</v>
      </c>
      <c r="M222" s="30" t="str">
        <f t="shared" ca="1" si="49"/>
        <v/>
      </c>
      <c r="N222" s="27" t="s">
        <v>298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0.14231018518330529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0.20411574073886085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0.26522685184997202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>
        <v>4</v>
      </c>
      <c r="G272" s="28" t="str">
        <f t="shared" ref="G272:G283" si="60">IF(F272="","",IF(E272="PC 17",F272*4.2,IF(E272="PC 19",F272*5,IF(E272="CB",F272*24,""))))</f>
        <v/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F273" sqref="F2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20</v>
      </c>
      <c r="G284" s="36">
        <f>SUM(G272:G283)</f>
        <v>84</v>
      </c>
      <c r="H284" s="37"/>
      <c r="I284" s="37"/>
      <c r="J284" s="37"/>
      <c r="K284" s="61"/>
      <c r="L284" s="61"/>
      <c r="M284" s="38">
        <f ca="1">IFERROR(SUM(M272:M283),"")</f>
        <v>7.6388888888888618E-3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>
        <v>20</v>
      </c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20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40</v>
      </c>
      <c r="G298" s="40">
        <f>G284+G297</f>
        <v>84</v>
      </c>
      <c r="H298" s="41"/>
      <c r="I298" s="41"/>
      <c r="J298" s="41"/>
      <c r="K298" s="63"/>
      <c r="L298" s="63"/>
      <c r="M298" s="42">
        <f ca="1">IFERROR(M284+M297,"")</f>
        <v>7.6388888888888618E-3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2026-08-11T12:04:57Z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