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917" documentId="8_{AF585B22-221D-4780-BB9C-493D365A6A02}" xr6:coauthVersionLast="47" xr6:coauthVersionMax="47" xr10:uidLastSave="{DE650A81-F487-469F-9DEE-3CAB6EBECF6B}"/>
  <bookViews>
    <workbookView xWindow="-110" yWindow="-110" windowWidth="25820" windowHeight="15500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<sst xmlns="http://schemas.openxmlformats.org/spreadsheetml/2006/main" count="2941" uniqueCount="251">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</sst>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zoomScale="85" zoomScaleNormal="85" workbookViewId="0">
      <selection activeCell="I14" sqref="I1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/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97"/>
      <c r="I15" s="17"/>
      <c r="J15" s="17" t="s">
        <v>92</v>
      </c>
      <c r="K15" s="17" t="s">
        <v>93</v>
      </c>
      <c r="L15" s="17" t="s">
        <v>94</v>
      </c>
      <c r="M15" s="17" t="s">
        <v>95</v>
      </c>
    </row>
    <row r="16" spans="1:13" ht="15.75" customHeight="1">
      <c r="A16" s="16"/>
      <c r="C16" s="16"/>
      <c r="E16" s="16"/>
      <c r="G16" s="16" t="s">
        <v>96</v>
      </c>
      <c r="H16" s="97"/>
      <c r="I16" s="16"/>
      <c r="J16" s="16"/>
      <c r="K16" s="16" t="s">
        <v>97</v>
      </c>
      <c r="L16" s="16" t="s">
        <v>98</v>
      </c>
      <c r="M16" s="16" t="s">
        <v>99</v>
      </c>
    </row>
    <row r="17" spans="1:13" ht="15.75" customHeight="1">
      <c r="A17" s="17"/>
      <c r="C17" s="17"/>
      <c r="E17" s="17"/>
      <c r="G17" s="17" t="s">
        <v>100</v>
      </c>
      <c r="H17" s="97"/>
      <c r="I17" s="17"/>
      <c r="J17" s="17"/>
      <c r="K17" s="17" t="s">
        <v>101</v>
      </c>
      <c r="L17" s="17" t="s">
        <v>102</v>
      </c>
      <c r="M17" s="17" t="s">
        <v>103</v>
      </c>
    </row>
    <row r="18" spans="1:13" ht="15.75" customHeight="1">
      <c r="A18" s="16"/>
      <c r="C18" s="16"/>
      <c r="E18" s="16"/>
      <c r="G18" s="16" t="s">
        <v>104</v>
      </c>
      <c r="H18" s="97"/>
      <c r="I18" s="16"/>
      <c r="J18" s="16"/>
      <c r="K18" s="16" t="s">
        <v>105</v>
      </c>
      <c r="L18" s="16" t="s">
        <v>106</v>
      </c>
      <c r="M18" s="16" t="s">
        <v>107</v>
      </c>
    </row>
    <row r="19" spans="1:13" ht="15.75" customHeight="1">
      <c r="A19" s="17"/>
      <c r="C19" s="17"/>
      <c r="E19" s="17"/>
      <c r="G19" s="17" t="s">
        <v>108</v>
      </c>
      <c r="H19" s="97"/>
      <c r="I19" s="17"/>
      <c r="J19" s="17"/>
      <c r="K19" s="17" t="s">
        <v>109</v>
      </c>
      <c r="L19" s="17"/>
      <c r="M19" s="17" t="s">
        <v>110</v>
      </c>
    </row>
    <row r="20" spans="1:13" ht="15.75" customHeight="1">
      <c r="A20" s="16"/>
      <c r="C20" s="16"/>
      <c r="E20" s="16"/>
      <c r="G20" s="16" t="s">
        <v>111</v>
      </c>
      <c r="H20" s="97"/>
      <c r="I20" s="16"/>
      <c r="J20" s="16"/>
      <c r="K20" s="16" t="s">
        <v>112</v>
      </c>
      <c r="L20" s="16"/>
      <c r="M20" s="16" t="s">
        <v>113</v>
      </c>
    </row>
    <row r="21" spans="1:13" ht="15.75" customHeight="1">
      <c r="A21" s="17"/>
      <c r="C21" s="17"/>
      <c r="E21" s="17"/>
      <c r="G21" s="17" t="s">
        <v>114</v>
      </c>
      <c r="H21" s="97"/>
      <c r="I21" s="17"/>
      <c r="J21" s="17"/>
      <c r="K21" s="17" t="s">
        <v>115</v>
      </c>
      <c r="L21" s="17"/>
      <c r="M21" s="17" t="s">
        <v>116</v>
      </c>
    </row>
    <row r="22" spans="1:13" ht="15.75" customHeight="1">
      <c r="A22" s="16"/>
      <c r="C22" s="16"/>
      <c r="E22" s="16"/>
      <c r="G22" s="16" t="s">
        <v>117</v>
      </c>
      <c r="H22" s="97"/>
      <c r="I22" s="16"/>
      <c r="J22" s="16"/>
      <c r="K22" s="16" t="s">
        <v>118</v>
      </c>
      <c r="L22" s="16"/>
      <c r="M22" s="16" t="s">
        <v>119</v>
      </c>
    </row>
    <row r="23" spans="1:13" ht="15.75" customHeight="1">
      <c r="A23" s="17"/>
      <c r="C23" s="17"/>
      <c r="E23" s="17"/>
      <c r="G23" s="17" t="s">
        <v>120</v>
      </c>
      <c r="H23" s="97"/>
      <c r="I23" s="17"/>
      <c r="J23" s="17"/>
      <c r="K23" s="17" t="s">
        <v>121</v>
      </c>
      <c r="L23" s="17"/>
      <c r="M23" s="17" t="s">
        <v>122</v>
      </c>
    </row>
    <row r="24" spans="1:13" ht="15.75" customHeight="1">
      <c r="A24" s="16"/>
      <c r="C24" s="16"/>
      <c r="E24" s="16"/>
      <c r="G24" s="16" t="s">
        <v>123</v>
      </c>
      <c r="H24" s="97"/>
      <c r="I24" s="16"/>
      <c r="J24" s="16"/>
      <c r="K24" s="16" t="s">
        <v>124</v>
      </c>
      <c r="L24" s="16"/>
      <c r="M24" s="16" t="s">
        <v>125</v>
      </c>
    </row>
    <row r="25" spans="1:13" ht="15.75" customHeight="1">
      <c r="A25" s="17"/>
      <c r="C25" s="17"/>
      <c r="E25" s="17"/>
      <c r="G25" s="17" t="s">
        <v>126</v>
      </c>
      <c r="H25" s="97"/>
      <c r="I25" s="17"/>
      <c r="J25" s="17"/>
      <c r="K25" s="17" t="s">
        <v>127</v>
      </c>
      <c r="L25" s="17"/>
      <c r="M25" s="17" t="s">
        <v>128</v>
      </c>
    </row>
    <row r="26" spans="1:13" ht="15.75" customHeight="1">
      <c r="A26" s="16"/>
      <c r="C26" s="16"/>
      <c r="E26" s="16"/>
      <c r="G26" s="16" t="s">
        <v>129</v>
      </c>
      <c r="H26" s="97"/>
      <c r="I26" s="16"/>
      <c r="J26" s="16"/>
      <c r="K26" s="16" t="s">
        <v>130</v>
      </c>
      <c r="L26" s="16"/>
      <c r="M26" s="16"/>
    </row>
    <row r="27" spans="1:13" ht="15.75" customHeight="1">
      <c r="A27" s="17"/>
      <c r="C27" s="17"/>
      <c r="E27" s="17"/>
      <c r="G27" s="17" t="s">
        <v>131</v>
      </c>
      <c r="H27" s="97"/>
      <c r="I27" s="17"/>
      <c r="J27" s="17"/>
      <c r="K27" s="17" t="s">
        <v>122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132</v>
      </c>
      <c r="H28" s="97"/>
      <c r="I28" s="16"/>
      <c r="J28" s="16"/>
      <c r="K28" s="16" t="s">
        <v>125</v>
      </c>
      <c r="L28" s="16"/>
      <c r="M28" s="16" t="s">
        <v>133</v>
      </c>
    </row>
    <row r="29" spans="1:13" ht="15.75" customHeight="1">
      <c r="A29" s="17"/>
      <c r="C29" s="17"/>
      <c r="E29" s="17"/>
      <c r="G29" s="17" t="s">
        <v>134</v>
      </c>
      <c r="H29" s="97"/>
      <c r="I29" s="17"/>
      <c r="J29" s="17"/>
      <c r="K29" s="17" t="s">
        <v>135</v>
      </c>
      <c r="L29" s="17"/>
      <c r="M29" s="17" t="s">
        <v>136</v>
      </c>
    </row>
    <row r="30" spans="1:13" ht="15.75" customHeight="1">
      <c r="A30" s="16"/>
      <c r="C30" s="16"/>
      <c r="E30" s="16"/>
      <c r="G30" s="16" t="s">
        <v>137</v>
      </c>
      <c r="H30" s="97"/>
      <c r="I30" s="16"/>
      <c r="J30" s="16"/>
      <c r="K30" s="16" t="s">
        <v>138</v>
      </c>
      <c r="L30" s="16"/>
      <c r="M30" s="16" t="s">
        <v>139</v>
      </c>
    </row>
    <row r="31" spans="1:13" ht="15.75" customHeight="1">
      <c r="A31" s="17"/>
      <c r="C31" s="17"/>
      <c r="E31" s="17"/>
      <c r="G31" s="17" t="s">
        <v>140</v>
      </c>
      <c r="H31" s="97"/>
      <c r="I31" s="17"/>
      <c r="J31" s="17"/>
      <c r="K31" s="18" t="s">
        <v>141</v>
      </c>
      <c r="L31" s="17"/>
      <c r="M31" s="17" t="s">
        <v>142</v>
      </c>
    </row>
    <row r="32" spans="1:13" ht="15.75" customHeight="1">
      <c r="A32" s="16"/>
      <c r="C32" s="16"/>
      <c r="E32" s="16"/>
      <c r="G32" s="16" t="s">
        <v>143</v>
      </c>
      <c r="H32" s="97"/>
      <c r="I32" s="16"/>
      <c r="J32" s="16"/>
      <c r="K32" s="16" t="s">
        <v>144</v>
      </c>
      <c r="L32" s="16"/>
      <c r="M32" t="s">
        <v>145</v>
      </c>
    </row>
    <row r="33" spans="1:13" ht="15.75" customHeight="1">
      <c r="A33" s="17"/>
      <c r="C33" s="17"/>
      <c r="E33" s="17"/>
      <c r="G33" s="17" t="s">
        <v>146</v>
      </c>
      <c r="H33" s="97"/>
      <c r="I33" s="17"/>
      <c r="J33" s="17"/>
      <c r="K33" s="18" t="s">
        <v>147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148</v>
      </c>
      <c r="H34" s="97"/>
      <c r="I34" s="16"/>
      <c r="J34" s="16"/>
      <c r="K34" s="16" t="s">
        <v>79</v>
      </c>
      <c r="L34" s="16"/>
      <c r="M34" s="16" t="s">
        <v>149</v>
      </c>
    </row>
    <row r="35" spans="1:13" ht="15.75" customHeight="1">
      <c r="A35" s="17"/>
      <c r="C35" s="17"/>
      <c r="E35" s="17"/>
      <c r="G35" s="17" t="s">
        <v>150</v>
      </c>
      <c r="H35" s="97"/>
      <c r="I35" s="17"/>
      <c r="J35" s="17"/>
      <c r="K35" s="17" t="s">
        <v>151</v>
      </c>
      <c r="L35" s="17"/>
      <c r="M35" s="17" t="s">
        <v>152</v>
      </c>
    </row>
    <row r="36" spans="1:13" ht="15.75" customHeight="1">
      <c r="A36" s="16"/>
      <c r="C36" s="16"/>
      <c r="E36" s="16"/>
      <c r="G36" s="16" t="s">
        <v>153</v>
      </c>
      <c r="H36" s="97"/>
      <c r="I36" s="16"/>
      <c r="J36" s="16"/>
      <c r="K36" s="16" t="s">
        <v>154</v>
      </c>
      <c r="L36" s="16"/>
      <c r="M36" s="16" t="s">
        <v>155</v>
      </c>
    </row>
    <row r="37" spans="1:13" ht="15.75" customHeight="1">
      <c r="A37" s="17"/>
      <c r="C37" s="17"/>
      <c r="E37" s="17"/>
      <c r="G37" s="17" t="s">
        <v>156</v>
      </c>
      <c r="H37" s="97"/>
      <c r="I37" s="17"/>
      <c r="J37" s="17"/>
      <c r="K37" s="17" t="s">
        <v>157</v>
      </c>
      <c r="L37" s="17"/>
      <c r="M37" s="17" t="s">
        <v>158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159</v>
      </c>
      <c r="L38" s="16"/>
      <c r="M38" s="16" t="s">
        <v>160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161</v>
      </c>
      <c r="L39" s="17"/>
      <c r="M39" s="17" t="s">
        <v>162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163</v>
      </c>
      <c r="L40" s="16"/>
      <c r="M40" s="16" t="s">
        <v>164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165</v>
      </c>
      <c r="L41" s="17"/>
      <c r="M41" s="17" t="s">
        <v>166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167</v>
      </c>
      <c r="L42" s="16"/>
      <c r="M42" s="16" t="s">
        <v>168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169</v>
      </c>
      <c r="L43" s="17"/>
      <c r="M43" s="17" t="s">
        <v>170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171</v>
      </c>
      <c r="L44" s="16"/>
      <c r="M44" s="16" t="s">
        <v>172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173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174</v>
      </c>
      <c r="L46" s="16"/>
      <c r="M46" s="16" t="s">
        <v>175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176</v>
      </c>
      <c r="L47" s="17"/>
      <c r="M47" s="17" t="s">
        <v>177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178</v>
      </c>
      <c r="L48" s="16"/>
      <c r="M48" s="16" t="s">
        <v>179</v>
      </c>
    </row>
    <row r="49" spans="1:13" ht="18" customHeight="1">
      <c r="H49" s="97"/>
      <c r="I49" s="17"/>
      <c r="J49" s="17"/>
      <c r="K49" s="17" t="s">
        <v>180</v>
      </c>
      <c r="L49" s="17"/>
      <c r="M49" s="17" t="s">
        <v>181</v>
      </c>
    </row>
    <row r="50" spans="1:13" ht="21" customHeight="1">
      <c r="A50" s="19" t="s">
        <v>182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183</v>
      </c>
      <c r="L50" s="16"/>
      <c r="M50" s="16" t="s">
        <v>184</v>
      </c>
    </row>
    <row r="51" spans="1:13" ht="24" customHeight="1">
      <c r="H51" s="97"/>
      <c r="I51" s="17"/>
      <c r="J51" s="17"/>
      <c r="K51" s="17" t="s">
        <v>185</v>
      </c>
      <c r="L51" s="17"/>
      <c r="M51" s="17" t="s">
        <v>186</v>
      </c>
    </row>
    <row r="52" spans="1:13" ht="24" customHeight="1">
      <c r="H52" s="97"/>
      <c r="I52" s="16"/>
      <c r="J52" s="16"/>
      <c r="K52" s="16" t="s">
        <v>187</v>
      </c>
      <c r="L52" s="16"/>
      <c r="M52" s="16"/>
    </row>
    <row r="53" spans="1:13" ht="36" customHeight="1">
      <c r="H53" s="97"/>
      <c r="I53" s="17"/>
      <c r="J53" s="17"/>
      <c r="K53" s="17" t="s">
        <v>188</v>
      </c>
      <c r="L53" s="17"/>
      <c r="M53" s="17"/>
    </row>
    <row r="54" spans="1:13" ht="15" customHeight="1">
      <c r="H54" s="97"/>
      <c r="I54" s="16"/>
      <c r="J54" s="16"/>
      <c r="K54" s="16" t="s">
        <v>189</v>
      </c>
      <c r="L54" s="16"/>
      <c r="M54" s="16"/>
    </row>
    <row r="55" spans="1:13" ht="15" customHeight="1">
      <c r="H55" s="97"/>
      <c r="I55" s="17"/>
      <c r="J55" s="17"/>
      <c r="K55" s="17" t="s">
        <v>190</v>
      </c>
      <c r="L55" s="17"/>
      <c r="M55" s="17"/>
    </row>
    <row r="56" spans="1:13" ht="15" customHeight="1">
      <c r="H56" s="97"/>
      <c r="I56" s="16"/>
      <c r="J56" s="16"/>
      <c r="K56" s="16" t="s">
        <v>191</v>
      </c>
      <c r="L56" s="16"/>
      <c r="M56" s="16"/>
    </row>
    <row r="57" spans="1:13" ht="15" customHeight="1">
      <c r="H57" s="97"/>
      <c r="I57" s="17"/>
      <c r="J57" s="17"/>
      <c r="K57" s="17"/>
      <c r="L57" s="17"/>
      <c r="M57" s="17"/>
    </row>
    <row r="58" spans="1:13" ht="15" customHeight="1">
      <c r="H58" s="97"/>
      <c r="I58" s="16"/>
      <c r="J58" s="16"/>
      <c r="K58" s="16"/>
      <c r="L58" s="16"/>
      <c r="M58" s="16"/>
    </row>
    <row r="59" spans="1:13" ht="15" customHeight="1">
      <c r="H59" s="97"/>
      <c r="I59" s="17"/>
      <c r="J59" s="17"/>
      <c r="K59" s="17"/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2" activePane="bottomLeft" state="frozen"/>
      <selection pane="bottomLeft" activeCell="F149" sqref="F14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202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102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136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206</v>
      </c>
      <c r="O27" s="39">
        <v>1183060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176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206</v>
      </c>
      <c r="O54" s="39">
        <v>959290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173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125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206</v>
      </c>
      <c r="O81" s="39">
        <v>878050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159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 t="s">
        <v>20</v>
      </c>
      <c r="I85" s="33" t="s">
        <v>137</v>
      </c>
      <c r="J85" s="33" t="s">
        <v>122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185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206</v>
      </c>
      <c r="O108" s="39">
        <v>1700000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179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181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206</v>
      </c>
      <c r="O135" s="39">
        <v>862330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179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102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74</v>
      </c>
      <c r="G149" s="36">
        <f>SUM(G137:G148)</f>
        <v>370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206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4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74</v>
      </c>
      <c r="G163" s="40">
        <f>G149+G162</f>
        <v>370</v>
      </c>
      <c r="H163" s="41"/>
      <c r="I163" s="41"/>
      <c r="J163" s="41"/>
      <c r="K163" s="41"/>
      <c r="L163" s="41"/>
      <c r="M163" s="42">
        <f ca="1">IFERROR(M149+M162,"")</f>
        <v>0.21666666666666645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F148" sqref="F1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10</v>
      </c>
      <c r="G3" s="34">
        <f t="shared" si="0"/>
        <v>42</v>
      </c>
      <c r="H3" s="33" t="s">
        <v>19</v>
      </c>
      <c r="I3" s="33" t="s">
        <v>150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8</v>
      </c>
      <c r="G4" s="28">
        <f t="shared" si="0"/>
        <v>33.6</v>
      </c>
      <c r="H4" s="26" t="s">
        <v>19</v>
      </c>
      <c r="I4" s="26" t="s">
        <v>150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150</v>
      </c>
      <c r="J15" s="33" t="s">
        <v>157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206</v>
      </c>
      <c r="O27" s="78">
        <v>393200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185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158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97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214</v>
      </c>
      <c r="F45" s="27">
        <v>0</v>
      </c>
      <c r="G45" s="28">
        <f t="shared" si="9"/>
        <v>0</v>
      </c>
      <c r="H45" s="33" t="s">
        <v>20</v>
      </c>
      <c r="I45" s="33" t="s">
        <v>150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85">
        <v>276360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97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18</v>
      </c>
      <c r="G70" s="28">
        <f t="shared" si="15"/>
        <v>75.600000000000009</v>
      </c>
      <c r="H70" s="26" t="s">
        <v>19</v>
      </c>
      <c r="I70" s="26" t="s">
        <v>150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206</v>
      </c>
      <c r="O81" s="54">
        <v>787860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177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138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147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206</v>
      </c>
      <c r="O108" s="54">
        <v>1087080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97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158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157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147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147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226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 t="s">
        <v>18</v>
      </c>
      <c r="I127" s="33" t="s">
        <v>150</v>
      </c>
      <c r="J127" s="33" t="s">
        <v>157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184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206</v>
      </c>
      <c r="O135" s="54">
        <v>794480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189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228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87</v>
      </c>
      <c r="G149" s="36">
        <f>SUM(G137:G148)</f>
        <v>435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206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54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87</v>
      </c>
      <c r="G163" s="40">
        <f>G149+G162</f>
        <v>435</v>
      </c>
      <c r="H163" s="41"/>
      <c r="I163" s="41"/>
      <c r="J163" s="41"/>
      <c r="K163" s="41"/>
      <c r="L163" s="41"/>
      <c r="M163" s="42">
        <f ca="1">IFERROR(M149+M162,"")</f>
        <v>0.21111111111111108</v>
      </c>
      <c r="N163" s="40" t="s">
        <v>209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78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78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78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78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78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78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78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78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78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78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78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78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78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78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78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78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78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78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78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78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78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07" activePane="bottomLeft" state="frozen"/>
      <selection pane="bottomLeft" activeCell="F148" sqref="F14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170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229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230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157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206</v>
      </c>
      <c r="O27" s="39">
        <v>308500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158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231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206</v>
      </c>
      <c r="O54" s="39">
        <v>124290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232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158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233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206</v>
      </c>
      <c r="O81" s="39">
        <v>396340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234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206</v>
      </c>
      <c r="O108" s="39">
        <v>41230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184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206</v>
      </c>
      <c r="O135" s="39">
        <v>381250</v>
      </c>
    </row>
    <row r="136" spans="1:15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186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235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113</v>
      </c>
      <c r="G149" s="36">
        <f>SUM(G137:G148)</f>
        <v>565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113</v>
      </c>
      <c r="G163" s="40">
        <f>G149+G162</f>
        <v>565</v>
      </c>
      <c r="H163" s="41"/>
      <c r="I163" s="41"/>
      <c r="J163" s="41"/>
      <c r="K163" s="41"/>
      <c r="L163" s="41"/>
      <c r="M163" s="42">
        <f ca="1">IFERROR(M149+M162,"")</f>
        <v>5.5555555555555636E-2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206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206</v>
      </c>
      <c r="O216" s="39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206</v>
      </c>
      <c r="O432" s="39"/>
    </row>
    <row r="433" spans="1:15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07" activePane="bottomLeft" state="frozen"/>
      <selection pane="bottomLeft" activeCell="F148" sqref="F14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192</v>
      </c>
      <c r="C1" s="23" t="s">
        <v>12</v>
      </c>
      <c r="D1" s="22" t="s">
        <v>13</v>
      </c>
      <c r="E1" s="22" t="s">
        <v>193</v>
      </c>
      <c r="F1" s="23" t="s">
        <v>194</v>
      </c>
      <c r="G1" s="23" t="s">
        <v>195</v>
      </c>
      <c r="H1" s="23" t="s">
        <v>14</v>
      </c>
      <c r="I1" s="23" t="s">
        <v>15</v>
      </c>
      <c r="J1" s="23" t="s">
        <v>196</v>
      </c>
      <c r="K1" s="23" t="s">
        <v>197</v>
      </c>
      <c r="L1" s="23" t="s">
        <v>198</v>
      </c>
      <c r="M1" s="24" t="s">
        <v>199</v>
      </c>
      <c r="N1" s="23" t="s">
        <v>200</v>
      </c>
      <c r="O1" s="23" t="s">
        <v>201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132</v>
      </c>
      <c r="J2" s="26" t="s">
        <v>97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214</v>
      </c>
      <c r="F3" s="27">
        <v>0</v>
      </c>
      <c r="G3" s="34">
        <f t="shared" si="0"/>
        <v>0</v>
      </c>
      <c r="H3" s="33" t="s">
        <v>18</v>
      </c>
      <c r="I3" s="33" t="s">
        <v>153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233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183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7" t="s">
        <v>205</v>
      </c>
      <c r="B14" s="88"/>
      <c r="C14" s="88"/>
      <c r="D14" s="88"/>
      <c r="E14" s="8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7" t="s">
        <v>207</v>
      </c>
      <c r="B27" s="88"/>
      <c r="C27" s="88"/>
      <c r="D27" s="88"/>
      <c r="E27" s="89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206</v>
      </c>
      <c r="O27" s="39">
        <v>202230</v>
      </c>
    </row>
    <row r="28" spans="1:15" ht="18" customHeight="1">
      <c r="A28" s="90" t="s">
        <v>208</v>
      </c>
      <c r="B28" s="91"/>
      <c r="C28" s="91"/>
      <c r="D28" s="91"/>
      <c r="E28" s="9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120</v>
      </c>
      <c r="J29" s="33" t="s">
        <v>187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214</v>
      </c>
      <c r="F35" s="27">
        <v>0</v>
      </c>
      <c r="G35" s="28">
        <f t="shared" si="6"/>
        <v>0</v>
      </c>
      <c r="H35" s="33" t="s">
        <v>20</v>
      </c>
      <c r="I35" s="33" t="s">
        <v>143</v>
      </c>
      <c r="J35" s="33" t="s">
        <v>172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214</v>
      </c>
      <c r="F36" s="27">
        <v>0</v>
      </c>
      <c r="G36" s="34">
        <f t="shared" si="6"/>
        <v>0</v>
      </c>
      <c r="H36" s="26" t="s">
        <v>20</v>
      </c>
      <c r="I36" s="26" t="s">
        <v>143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7" t="s">
        <v>205</v>
      </c>
      <c r="B41" s="88"/>
      <c r="C41" s="88"/>
      <c r="D41" s="88"/>
      <c r="E41" s="89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7" t="s">
        <v>207</v>
      </c>
      <c r="B54" s="88"/>
      <c r="C54" s="88"/>
      <c r="D54" s="88"/>
      <c r="E54" s="89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206</v>
      </c>
      <c r="O54" s="39">
        <v>473910</v>
      </c>
    </row>
    <row r="55" spans="1:15" ht="18" customHeight="1">
      <c r="A55" s="90" t="s">
        <v>208</v>
      </c>
      <c r="B55" s="91"/>
      <c r="C55" s="91"/>
      <c r="D55" s="91"/>
      <c r="E55" s="9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240</v>
      </c>
      <c r="L58" s="29">
        <v>0.54097222222222219</v>
      </c>
      <c r="M58" s="30" t="str">
        <f t="shared" ca="1" si="13"/>
        <v/>
      </c>
      <c r="N58" s="27" t="s">
        <v>241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7" t="s">
        <v>205</v>
      </c>
      <c r="B68" s="88"/>
      <c r="C68" s="88"/>
      <c r="D68" s="88"/>
      <c r="E68" s="89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229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214</v>
      </c>
      <c r="F71" s="27">
        <v>12</v>
      </c>
      <c r="G71" s="34">
        <f t="shared" si="15"/>
        <v>50.400000000000006</v>
      </c>
      <c r="H71" s="33" t="s">
        <v>18</v>
      </c>
      <c r="I71" s="33" t="s">
        <v>120</v>
      </c>
      <c r="J71" s="33" t="s">
        <v>188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158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242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158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158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214</v>
      </c>
      <c r="F76" s="27">
        <v>1</v>
      </c>
      <c r="G76" s="28">
        <f t="shared" si="15"/>
        <v>4.2</v>
      </c>
      <c r="H76" s="26" t="s">
        <v>20</v>
      </c>
      <c r="I76" s="26" t="s">
        <v>143</v>
      </c>
      <c r="J76" s="26" t="s">
        <v>175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7" t="s">
        <v>207</v>
      </c>
      <c r="B81" s="88"/>
      <c r="C81" s="88"/>
      <c r="D81" s="88"/>
      <c r="E81" s="89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206</v>
      </c>
      <c r="O81" s="39">
        <v>565120</v>
      </c>
    </row>
    <row r="82" spans="1:15" ht="18" customHeight="1">
      <c r="A82" s="90" t="s">
        <v>208</v>
      </c>
      <c r="B82" s="91"/>
      <c r="C82" s="91"/>
      <c r="D82" s="91"/>
      <c r="E82" s="9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7" t="s">
        <v>205</v>
      </c>
      <c r="B95" s="88"/>
      <c r="C95" s="88"/>
      <c r="D95" s="88"/>
      <c r="E95" s="89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153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7" t="s">
        <v>207</v>
      </c>
      <c r="B108" s="88"/>
      <c r="C108" s="88"/>
      <c r="D108" s="88"/>
      <c r="E108" s="89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206</v>
      </c>
      <c r="O108" s="39">
        <v>558590</v>
      </c>
    </row>
    <row r="109" spans="1:15" ht="18" customHeight="1">
      <c r="A109" s="90" t="s">
        <v>208</v>
      </c>
      <c r="B109" s="91"/>
      <c r="C109" s="91"/>
      <c r="D109" s="91"/>
      <c r="E109" s="9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7" t="s">
        <v>205</v>
      </c>
      <c r="B122" s="88"/>
      <c r="C122" s="88"/>
      <c r="D122" s="88"/>
      <c r="E122" s="89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97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203</v>
      </c>
      <c r="F125" s="27">
        <v>20</v>
      </c>
      <c r="G125" s="34">
        <f t="shared" si="27"/>
        <v>100</v>
      </c>
      <c r="H125" s="33" t="s">
        <v>18</v>
      </c>
      <c r="I125" s="33" t="s">
        <v>120</v>
      </c>
      <c r="J125" s="33" t="s">
        <v>191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203</v>
      </c>
      <c r="F126" s="27">
        <v>23</v>
      </c>
      <c r="G126" s="28">
        <f t="shared" si="27"/>
        <v>115</v>
      </c>
      <c r="H126" s="26" t="s">
        <v>19</v>
      </c>
      <c r="I126" s="26" t="s">
        <v>153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184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0.51243912037170958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227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7" t="s">
        <v>207</v>
      </c>
      <c r="B135" s="88"/>
      <c r="C135" s="88"/>
      <c r="D135" s="88"/>
      <c r="E135" s="89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0.7117446759272652</v>
      </c>
      <c r="N135" s="36" t="s">
        <v>206</v>
      </c>
      <c r="O135" s="39">
        <v>729290</v>
      </c>
    </row>
    <row r="136" spans="1:18" ht="18" customHeight="1">
      <c r="A136" s="90" t="s">
        <v>208</v>
      </c>
      <c r="B136" s="91"/>
      <c r="C136" s="91"/>
      <c r="D136" s="91"/>
      <c r="E136" s="9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1.0791057870383762</v>
      </c>
      <c r="N136" s="40" t="s">
        <v>209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203</v>
      </c>
      <c r="F139" s="27">
        <v>28</v>
      </c>
      <c r="G139" s="34">
        <f t="shared" si="30"/>
        <v>140</v>
      </c>
      <c r="H139" s="33" t="s">
        <v>19</v>
      </c>
      <c r="I139" s="33" t="s">
        <v>153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203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205</v>
      </c>
      <c r="B149" s="88"/>
      <c r="C149" s="88"/>
      <c r="D149" s="88"/>
      <c r="E149" s="89">
        <f>SUM(E137:E148)</f>
        <v>0</v>
      </c>
      <c r="F149" s="36">
        <f>SUM(F137:F148)</f>
        <v>211</v>
      </c>
      <c r="G149" s="36">
        <f>SUM(G137:G148)</f>
        <v>1055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206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7" t="s">
        <v>207</v>
      </c>
      <c r="B162" s="88"/>
      <c r="C162" s="88"/>
      <c r="D162" s="88"/>
      <c r="E162" s="8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206</v>
      </c>
      <c r="O162" s="39"/>
    </row>
    <row r="163" spans="1:15" ht="18" customHeight="1">
      <c r="A163" s="90" t="s">
        <v>208</v>
      </c>
      <c r="B163" s="91"/>
      <c r="C163" s="91"/>
      <c r="D163" s="91"/>
      <c r="E163" s="92">
        <f>E149+E162</f>
        <v>0</v>
      </c>
      <c r="F163" s="40">
        <f>F149+F162</f>
        <v>211</v>
      </c>
      <c r="G163" s="40">
        <f>G149+G162</f>
        <v>1055</v>
      </c>
      <c r="H163" s="41"/>
      <c r="I163" s="41"/>
      <c r="J163" s="41"/>
      <c r="K163" s="63"/>
      <c r="L163" s="63"/>
      <c r="M163" s="42">
        <f ca="1">IFERROR(M149+M162,"")</f>
        <v>6.5277777777777823E-2</v>
      </c>
      <c r="N163" s="40" t="s">
        <v>209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7" t="s">
        <v>205</v>
      </c>
      <c r="B176" s="88"/>
      <c r="C176" s="88"/>
      <c r="D176" s="88"/>
      <c r="E176" s="8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206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7" t="s">
        <v>207</v>
      </c>
      <c r="B189" s="88"/>
      <c r="C189" s="88"/>
      <c r="D189" s="88"/>
      <c r="E189" s="8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206</v>
      </c>
      <c r="O189" s="39"/>
    </row>
    <row r="190" spans="1:15" ht="18" customHeight="1">
      <c r="A190" s="90" t="s">
        <v>208</v>
      </c>
      <c r="B190" s="91"/>
      <c r="C190" s="91"/>
      <c r="D190" s="91"/>
      <c r="E190" s="9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209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7" t="s">
        <v>205</v>
      </c>
      <c r="B203" s="88"/>
      <c r="C203" s="88"/>
      <c r="D203" s="88"/>
      <c r="E203" s="8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206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7" t="s">
        <v>207</v>
      </c>
      <c r="B216" s="88"/>
      <c r="C216" s="88"/>
      <c r="D216" s="88"/>
      <c r="E216" s="8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206</v>
      </c>
      <c r="O216" s="45"/>
    </row>
    <row r="217" spans="1:15" ht="18" customHeight="1">
      <c r="A217" s="90" t="s">
        <v>208</v>
      </c>
      <c r="B217" s="91"/>
      <c r="C217" s="91"/>
      <c r="D217" s="91"/>
      <c r="E217" s="9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209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7" t="s">
        <v>205</v>
      </c>
      <c r="B230" s="88"/>
      <c r="C230" s="88"/>
      <c r="D230" s="88"/>
      <c r="E230" s="8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206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7" t="s">
        <v>207</v>
      </c>
      <c r="B243" s="88"/>
      <c r="C243" s="88"/>
      <c r="D243" s="88"/>
      <c r="E243" s="8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206</v>
      </c>
      <c r="O243" s="39"/>
    </row>
    <row r="244" spans="1:15" ht="18" customHeight="1">
      <c r="A244" s="90" t="s">
        <v>208</v>
      </c>
      <c r="B244" s="91"/>
      <c r="C244" s="91"/>
      <c r="D244" s="91"/>
      <c r="E244" s="9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209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7" t="s">
        <v>205</v>
      </c>
      <c r="B257" s="88"/>
      <c r="C257" s="88"/>
      <c r="D257" s="88"/>
      <c r="E257" s="8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206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7" t="s">
        <v>207</v>
      </c>
      <c r="B270" s="88"/>
      <c r="C270" s="88"/>
      <c r="D270" s="88"/>
      <c r="E270" s="8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206</v>
      </c>
      <c r="O270" s="39"/>
    </row>
    <row r="271" spans="1:15" ht="18" customHeight="1">
      <c r="A271" s="90" t="s">
        <v>208</v>
      </c>
      <c r="B271" s="91"/>
      <c r="C271" s="91"/>
      <c r="D271" s="91"/>
      <c r="E271" s="9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209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7" t="s">
        <v>205</v>
      </c>
      <c r="B284" s="88"/>
      <c r="C284" s="88"/>
      <c r="D284" s="88"/>
      <c r="E284" s="8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7" t="s">
        <v>207</v>
      </c>
      <c r="B297" s="88"/>
      <c r="C297" s="88"/>
      <c r="D297" s="88"/>
      <c r="E297" s="8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206</v>
      </c>
      <c r="O297" s="39"/>
    </row>
    <row r="298" spans="1:15" ht="18" customHeight="1">
      <c r="A298" s="90" t="s">
        <v>208</v>
      </c>
      <c r="B298" s="91"/>
      <c r="C298" s="91"/>
      <c r="D298" s="91"/>
      <c r="E298" s="9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7" t="s">
        <v>205</v>
      </c>
      <c r="B311" s="88"/>
      <c r="C311" s="88"/>
      <c r="D311" s="88"/>
      <c r="E311" s="8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7" t="s">
        <v>207</v>
      </c>
      <c r="B324" s="88"/>
      <c r="C324" s="88"/>
      <c r="D324" s="88"/>
      <c r="E324" s="8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206</v>
      </c>
      <c r="O324" s="39"/>
    </row>
    <row r="325" spans="1:15" ht="18" customHeight="1">
      <c r="A325" s="90" t="s">
        <v>208</v>
      </c>
      <c r="B325" s="91"/>
      <c r="C325" s="91"/>
      <c r="D325" s="91"/>
      <c r="E325" s="9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7" t="s">
        <v>205</v>
      </c>
      <c r="B338" s="88"/>
      <c r="C338" s="88"/>
      <c r="D338" s="88"/>
      <c r="E338" s="8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7" t="s">
        <v>207</v>
      </c>
      <c r="B351" s="88"/>
      <c r="C351" s="88"/>
      <c r="D351" s="88"/>
      <c r="E351" s="8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206</v>
      </c>
      <c r="O351" s="39"/>
    </row>
    <row r="352" spans="1:15" ht="18" customHeight="1">
      <c r="A352" s="90" t="s">
        <v>208</v>
      </c>
      <c r="B352" s="91"/>
      <c r="C352" s="91"/>
      <c r="D352" s="91"/>
      <c r="E352" s="9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205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7" t="s">
        <v>207</v>
      </c>
      <c r="B378" s="88"/>
      <c r="C378" s="88"/>
      <c r="D378" s="88"/>
      <c r="E378" s="8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206</v>
      </c>
      <c r="O378" s="39"/>
    </row>
    <row r="379" spans="1:15" ht="18" customHeight="1">
      <c r="A379" s="90" t="s">
        <v>208</v>
      </c>
      <c r="B379" s="91"/>
      <c r="C379" s="91"/>
      <c r="D379" s="91"/>
      <c r="E379" s="9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7" t="s">
        <v>205</v>
      </c>
      <c r="B392" s="88"/>
      <c r="C392" s="88"/>
      <c r="D392" s="88"/>
      <c r="E392" s="8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7" t="s">
        <v>207</v>
      </c>
      <c r="B405" s="88"/>
      <c r="C405" s="88"/>
      <c r="D405" s="88"/>
      <c r="E405" s="8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206</v>
      </c>
      <c r="O405" s="39"/>
    </row>
    <row r="406" spans="1:15" ht="18" customHeight="1">
      <c r="A406" s="90" t="s">
        <v>208</v>
      </c>
      <c r="B406" s="91"/>
      <c r="C406" s="91"/>
      <c r="D406" s="91"/>
      <c r="E406" s="9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7" t="s">
        <v>205</v>
      </c>
      <c r="B419" s="88"/>
      <c r="C419" s="88"/>
      <c r="D419" s="88"/>
      <c r="E419" s="8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7" t="s">
        <v>207</v>
      </c>
      <c r="B432" s="88"/>
      <c r="C432" s="88"/>
      <c r="D432" s="88"/>
      <c r="E432" s="8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206</v>
      </c>
      <c r="O432" s="39"/>
    </row>
    <row r="433" spans="1:17" ht="18" customHeight="1">
      <c r="A433" s="90" t="s">
        <v>208</v>
      </c>
      <c r="B433" s="91"/>
      <c r="C433" s="91"/>
      <c r="D433" s="91"/>
      <c r="E433" s="9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7" t="s">
        <v>205</v>
      </c>
      <c r="B446" s="88"/>
      <c r="C446" s="88"/>
      <c r="D446" s="88"/>
      <c r="E446" s="8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7" t="s">
        <v>207</v>
      </c>
      <c r="B459" s="88"/>
      <c r="C459" s="88"/>
      <c r="D459" s="88"/>
      <c r="E459" s="8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206</v>
      </c>
      <c r="O459" s="39"/>
    </row>
    <row r="460" spans="1:15" ht="18" customHeight="1">
      <c r="A460" s="90" t="s">
        <v>208</v>
      </c>
      <c r="B460" s="91"/>
      <c r="C460" s="91"/>
      <c r="D460" s="91"/>
      <c r="E460" s="9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7" t="s">
        <v>205</v>
      </c>
      <c r="B473" s="88"/>
      <c r="C473" s="88"/>
      <c r="D473" s="88"/>
      <c r="E473" s="8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7" t="s">
        <v>207</v>
      </c>
      <c r="B486" s="88"/>
      <c r="C486" s="88"/>
      <c r="D486" s="88"/>
      <c r="E486" s="8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206</v>
      </c>
      <c r="O486" s="39"/>
    </row>
    <row r="487" spans="1:15" ht="18" customHeight="1">
      <c r="A487" s="90" t="s">
        <v>208</v>
      </c>
      <c r="B487" s="91"/>
      <c r="C487" s="91"/>
      <c r="D487" s="91"/>
      <c r="E487" s="9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7" t="s">
        <v>205</v>
      </c>
      <c r="B500" s="88"/>
      <c r="C500" s="88"/>
      <c r="D500" s="88"/>
      <c r="E500" s="8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7" t="s">
        <v>207</v>
      </c>
      <c r="B513" s="88"/>
      <c r="C513" s="88"/>
      <c r="D513" s="88"/>
      <c r="E513" s="8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206</v>
      </c>
      <c r="O513" s="39"/>
    </row>
    <row r="514" spans="1:15" ht="18" customHeight="1">
      <c r="A514" s="90" t="s">
        <v>208</v>
      </c>
      <c r="B514" s="91"/>
      <c r="C514" s="91"/>
      <c r="D514" s="91"/>
      <c r="E514" s="9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7" t="s">
        <v>205</v>
      </c>
      <c r="B527" s="88"/>
      <c r="C527" s="88"/>
      <c r="D527" s="88"/>
      <c r="E527" s="8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7" t="s">
        <v>207</v>
      </c>
      <c r="B540" s="88"/>
      <c r="C540" s="88"/>
      <c r="D540" s="88"/>
      <c r="E540" s="8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206</v>
      </c>
      <c r="O540" s="39"/>
    </row>
    <row r="541" spans="1:15" ht="18" customHeight="1">
      <c r="A541" s="90" t="s">
        <v>208</v>
      </c>
      <c r="B541" s="91"/>
      <c r="C541" s="91"/>
      <c r="D541" s="91"/>
      <c r="E541" s="9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7" t="s">
        <v>205</v>
      </c>
      <c r="B554" s="88"/>
      <c r="C554" s="88"/>
      <c r="D554" s="88"/>
      <c r="E554" s="8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7" t="s">
        <v>207</v>
      </c>
      <c r="B567" s="88"/>
      <c r="C567" s="88"/>
      <c r="D567" s="88"/>
      <c r="E567" s="8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206</v>
      </c>
      <c r="O567" s="39"/>
    </row>
    <row r="568" spans="1:15" ht="18" customHeight="1">
      <c r="A568" s="90" t="s">
        <v>208</v>
      </c>
      <c r="B568" s="91"/>
      <c r="C568" s="91"/>
      <c r="D568" s="91"/>
      <c r="E568" s="9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7" t="s">
        <v>205</v>
      </c>
      <c r="B581" s="88"/>
      <c r="C581" s="88"/>
      <c r="D581" s="88"/>
      <c r="E581" s="8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7" t="s">
        <v>207</v>
      </c>
      <c r="B594" s="88"/>
      <c r="C594" s="88"/>
      <c r="D594" s="88"/>
      <c r="E594" s="8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206</v>
      </c>
      <c r="O594" s="39"/>
    </row>
    <row r="595" spans="1:15" ht="18" customHeight="1">
      <c r="A595" s="90" t="s">
        <v>208</v>
      </c>
      <c r="B595" s="91"/>
      <c r="C595" s="91"/>
      <c r="D595" s="91"/>
      <c r="E595" s="9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7" t="s">
        <v>205</v>
      </c>
      <c r="B608" s="88"/>
      <c r="C608" s="88"/>
      <c r="D608" s="88"/>
      <c r="E608" s="8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7" t="s">
        <v>207</v>
      </c>
      <c r="B621" s="88"/>
      <c r="C621" s="88"/>
      <c r="D621" s="88"/>
      <c r="E621" s="8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206</v>
      </c>
      <c r="O621" s="39"/>
    </row>
    <row r="622" spans="1:15" ht="18" customHeight="1">
      <c r="A622" s="90" t="s">
        <v>208</v>
      </c>
      <c r="B622" s="91"/>
      <c r="C622" s="91"/>
      <c r="D622" s="91"/>
      <c r="E622" s="9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7" t="s">
        <v>205</v>
      </c>
      <c r="B635" s="88"/>
      <c r="C635" s="88"/>
      <c r="D635" s="88"/>
      <c r="E635" s="8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7" t="s">
        <v>207</v>
      </c>
      <c r="B648" s="88"/>
      <c r="C648" s="88"/>
      <c r="D648" s="88"/>
      <c r="E648" s="8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206</v>
      </c>
      <c r="O648" s="39"/>
    </row>
    <row r="649" spans="1:15" ht="18" customHeight="1">
      <c r="A649" s="90" t="s">
        <v>208</v>
      </c>
      <c r="B649" s="91"/>
      <c r="C649" s="91"/>
      <c r="D649" s="91"/>
      <c r="E649" s="9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7" t="s">
        <v>205</v>
      </c>
      <c r="B662" s="88"/>
      <c r="C662" s="88"/>
      <c r="D662" s="88"/>
      <c r="E662" s="8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7" t="s">
        <v>207</v>
      </c>
      <c r="B675" s="88"/>
      <c r="C675" s="88"/>
      <c r="D675" s="88"/>
      <c r="E675" s="8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206</v>
      </c>
      <c r="O675" s="39"/>
    </row>
    <row r="676" spans="1:15" ht="18" customHeight="1">
      <c r="A676" s="90" t="s">
        <v>208</v>
      </c>
      <c r="B676" s="91"/>
      <c r="C676" s="91"/>
      <c r="D676" s="91"/>
      <c r="E676" s="9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7" t="s">
        <v>205</v>
      </c>
      <c r="B689" s="88"/>
      <c r="C689" s="88"/>
      <c r="D689" s="88"/>
      <c r="E689" s="8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7" t="s">
        <v>207</v>
      </c>
      <c r="B702" s="88"/>
      <c r="C702" s="88"/>
      <c r="D702" s="88"/>
      <c r="E702" s="8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206</v>
      </c>
      <c r="O702" s="39"/>
    </row>
    <row r="703" spans="1:15" ht="18" customHeight="1">
      <c r="A703" s="90" t="s">
        <v>208</v>
      </c>
      <c r="B703" s="91"/>
      <c r="C703" s="91"/>
      <c r="D703" s="91"/>
      <c r="E703" s="9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7" t="s">
        <v>205</v>
      </c>
      <c r="B716" s="88"/>
      <c r="C716" s="88"/>
      <c r="D716" s="88"/>
      <c r="E716" s="8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7" t="s">
        <v>207</v>
      </c>
      <c r="B729" s="88"/>
      <c r="C729" s="88"/>
      <c r="D729" s="88"/>
      <c r="E729" s="8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206</v>
      </c>
      <c r="O729" s="39"/>
    </row>
    <row r="730" spans="1:15" ht="18" customHeight="1">
      <c r="A730" s="90" t="s">
        <v>208</v>
      </c>
      <c r="B730" s="91"/>
      <c r="C730" s="91"/>
      <c r="D730" s="91"/>
      <c r="E730" s="9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7" t="s">
        <v>205</v>
      </c>
      <c r="B743" s="88"/>
      <c r="C743" s="88"/>
      <c r="D743" s="88"/>
      <c r="E743" s="8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7" t="s">
        <v>207</v>
      </c>
      <c r="B756" s="88"/>
      <c r="C756" s="88"/>
      <c r="D756" s="88"/>
      <c r="E756" s="8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206</v>
      </c>
      <c r="O756" s="39"/>
    </row>
    <row r="757" spans="1:15" ht="18" customHeight="1">
      <c r="A757" s="90" t="s">
        <v>208</v>
      </c>
      <c r="B757" s="91"/>
      <c r="C757" s="91"/>
      <c r="D757" s="91"/>
      <c r="E757" s="9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7" t="s">
        <v>205</v>
      </c>
      <c r="B770" s="88"/>
      <c r="C770" s="88"/>
      <c r="D770" s="88"/>
      <c r="E770" s="8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7" t="s">
        <v>207</v>
      </c>
      <c r="B783" s="88"/>
      <c r="C783" s="88"/>
      <c r="D783" s="88"/>
      <c r="E783" s="8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206</v>
      </c>
      <c r="O783" s="39"/>
    </row>
    <row r="784" spans="1:15" ht="18" customHeight="1">
      <c r="A784" s="90" t="s">
        <v>208</v>
      </c>
      <c r="B784" s="91"/>
      <c r="C784" s="91"/>
      <c r="D784" s="91"/>
      <c r="E784" s="9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7" t="s">
        <v>205</v>
      </c>
      <c r="B797" s="88"/>
      <c r="C797" s="88"/>
      <c r="D797" s="88"/>
      <c r="E797" s="8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7" t="s">
        <v>207</v>
      </c>
      <c r="B810" s="88"/>
      <c r="C810" s="88"/>
      <c r="D810" s="88"/>
      <c r="E810" s="8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206</v>
      </c>
      <c r="O810" s="39"/>
    </row>
    <row r="811" spans="1:15" ht="18" customHeight="1">
      <c r="A811" s="90" t="s">
        <v>208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2026-07-06T22:17:28Z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