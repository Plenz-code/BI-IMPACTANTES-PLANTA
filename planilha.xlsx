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25" documentId="8_{AF585B22-221D-4780-BB9C-493D365A6A02}" xr6:coauthVersionLast="47" xr6:coauthVersionMax="47" xr10:uidLastSave="{11AEB6E8-05D3-4945-8F53-9E2810EDEB4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<sst xmlns="http://schemas.openxmlformats.org/spreadsheetml/2006/main" count="12203" uniqueCount="439">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</sst>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1422870</v>
      </c>
      <c r="E33" s="11">
        <f>IFERROR('Linha 2'!O811,"")</f>
        <v>711440</v>
      </c>
      <c r="F33" s="11">
        <f>IFERROR('Linha 3'!O811,"")</f>
        <v>873880</v>
      </c>
      <c r="G33" s="12">
        <f t="shared" si="0"/>
        <v>3008190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92221798</v>
      </c>
      <c r="D35" s="13">
        <f>IFERROR(SUM(D4:D34),"")</f>
        <v>37515690</v>
      </c>
      <c r="E35" s="13">
        <f>IFERROR(SUM(E4:E34),"")</f>
        <v>20853980</v>
      </c>
      <c r="F35" s="13">
        <f>IFERROR(SUM(F4:F34),"")</f>
        <v>37663880</v>
      </c>
      <c r="G35" s="13">
        <f>IFERROR(SUM(G4:G34),"")</f>
        <v>96033550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7" activePane="bottomLeft" state="frozen"/>
      <selection pane="bottomLeft" activeCell="F810" sqref="F8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7" activePane="bottomLeft" state="frozen"/>
      <selection pane="bottomLeft" activeCell="O810" sqref="O8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3.1651273144234437E-2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0.18929016203312332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0.29901238425534549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1.0123495369043667E-2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0.18095682870237703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0.32609571759126588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6</v>
      </c>
      <c r="G809" s="34">
        <f t="shared" si="176"/>
        <v>25.200000000000003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171</v>
      </c>
      <c r="G810" s="36">
        <f>SUM(G798:G809)</f>
        <v>718.20000000000016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774840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325</v>
      </c>
      <c r="G811" s="40">
        <f>G797+G810</f>
        <v>1370.6000000000001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1422870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77" zoomScale="50" zoomScaleNormal="50" workbookViewId="0">
      <selection activeCell="O811" sqref="O8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92" activePane="bottomLeft" state="frozen"/>
      <selection pane="bottomLeft" activeCell="O811" sqref="O8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2.1929050926701166E-2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0.22123460648225679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0.58859571759336782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6</v>
      </c>
      <c r="G809" s="34">
        <f t="shared" si="176"/>
        <v>25.200000000000003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158</v>
      </c>
      <c r="G810" s="36">
        <f>SUM(G798:G809)</f>
        <v>663.60000000000014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774840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180</v>
      </c>
      <c r="G811" s="40">
        <f>G797+G810</f>
        <v>756.00000000000011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873880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2026-07-31T10:31:05Z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