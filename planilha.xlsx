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911" documentId="8_{AF585B22-221D-4780-BB9C-493D365A6A02}" xr6:coauthVersionLast="47" xr6:coauthVersionMax="47" xr10:uidLastSave="{92C06CEC-2981-4497-8433-3B28E41E6EF8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<sst xmlns="http://schemas.openxmlformats.org/spreadsheetml/2006/main" count="2941" uniqueCount="251">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</sst>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12463770</v>
      </c>
      <c r="D35" s="13">
        <f>IFERROR(SUM(D4:D34),"")</f>
        <v>5764850</v>
      </c>
      <c r="E35" s="13">
        <f>IFERROR(SUM(E4:E34),"")</f>
        <v>2778590</v>
      </c>
      <c r="F35" s="13">
        <f>IFERROR(SUM(F4:F34),"")</f>
        <v>4975930</v>
      </c>
      <c r="G35" s="13">
        <f>IFERROR(SUM(G4:G34),"")</f>
        <v>13519370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zoomScale="85" zoomScaleNormal="85" workbookViewId="0">
      <selection activeCell="I14" sqref="I1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/>
      <c r="L57" s="17"/>
      <c r="M57" s="17"/>
    </row>
    <row r="58" spans="1:13" ht="15" customHeight="1">
      <c r="H58" s="97"/>
      <c r="I58" s="16"/>
      <c r="J58" s="16"/>
      <c r="K58" s="16"/>
      <c r="L58" s="16"/>
      <c r="M58" s="16"/>
    </row>
    <row r="59" spans="1:13" ht="15" customHeight="1">
      <c r="H59" s="97"/>
      <c r="I59" s="17"/>
      <c r="J59" s="17"/>
      <c r="K59" s="17"/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22" activePane="bottomLeft" state="frozen"/>
      <selection pane="bottomLeft" activeCell="E137" sqref="E137:E14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202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206</v>
      </c>
      <c r="O27" s="39">
        <v>1183060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206</v>
      </c>
      <c r="O54" s="39">
        <v>959290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206</v>
      </c>
      <c r="O81" s="39">
        <v>878050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206</v>
      </c>
      <c r="O108" s="39">
        <v>1700000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206</v>
      </c>
      <c r="O135" s="39">
        <v>862330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7</v>
      </c>
      <c r="G138" s="28">
        <f t="shared" si="30"/>
        <v>35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48</v>
      </c>
      <c r="G149" s="36">
        <f>SUM(G137:G148)</f>
        <v>240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206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4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48</v>
      </c>
      <c r="G163" s="40">
        <f>G149+G162</f>
        <v>240</v>
      </c>
      <c r="H163" s="41"/>
      <c r="I163" s="41"/>
      <c r="J163" s="41"/>
      <c r="K163" s="41"/>
      <c r="L163" s="41"/>
      <c r="M163" s="42">
        <f ca="1">IFERROR(M149+M162,"")</f>
        <v>0.21666666666666645</v>
      </c>
      <c r="N163" s="40" t="s">
        <v>209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08" activePane="bottomLeft" state="frozen"/>
      <selection pane="bottomLeft" activeCell="F139" sqref="F13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206</v>
      </c>
      <c r="O27" s="78">
        <v>393200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214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85">
        <v>276360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206</v>
      </c>
      <c r="O81" s="54">
        <v>787860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206</v>
      </c>
      <c r="O108" s="54">
        <v>1087080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206</v>
      </c>
      <c r="O135" s="54">
        <v>794480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228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87</v>
      </c>
      <c r="G149" s="36">
        <f>SUM(G137:G148)</f>
        <v>435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206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5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87</v>
      </c>
      <c r="G163" s="40">
        <f>G149+G162</f>
        <v>435</v>
      </c>
      <c r="H163" s="41"/>
      <c r="I163" s="41"/>
      <c r="J163" s="41"/>
      <c r="K163" s="41"/>
      <c r="L163" s="41"/>
      <c r="M163" s="42">
        <f ca="1">IFERROR(M149+M162,"")</f>
        <v>0.21111111111111108</v>
      </c>
      <c r="N163" s="40" t="s">
        <v>209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78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78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78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78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78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78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78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78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78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78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78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78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78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78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78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78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78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78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78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78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78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07" activePane="bottomLeft" state="frozen"/>
      <selection pane="bottomLeft" activeCell="F140" sqref="F14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206</v>
      </c>
      <c r="O27" s="39">
        <v>308500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39">
        <v>124290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206</v>
      </c>
      <c r="O81" s="39">
        <v>396340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206</v>
      </c>
      <c r="O108" s="39">
        <v>41230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206</v>
      </c>
      <c r="O135" s="39">
        <v>381250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203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203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113</v>
      </c>
      <c r="G149" s="36">
        <f>SUM(G137:G148)</f>
        <v>565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206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113</v>
      </c>
      <c r="G163" s="40">
        <f>G149+G162</f>
        <v>565</v>
      </c>
      <c r="H163" s="41"/>
      <c r="I163" s="41"/>
      <c r="J163" s="41"/>
      <c r="K163" s="41"/>
      <c r="L163" s="41"/>
      <c r="M163" s="42">
        <f ca="1">IFERROR(M149+M162,"")</f>
        <v>5.5555555555555636E-2</v>
      </c>
      <c r="N163" s="40" t="s">
        <v>209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39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07" activePane="bottomLeft" state="frozen"/>
      <selection pane="bottomLeft" activeCell="F140" sqref="F14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206</v>
      </c>
      <c r="O27" s="39">
        <v>202230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206</v>
      </c>
      <c r="O54" s="39">
        <v>473910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240</v>
      </c>
      <c r="L58" s="29">
        <v>0.54097222222222219</v>
      </c>
      <c r="M58" s="30" t="str">
        <f t="shared" ca="1" si="13"/>
        <v/>
      </c>
      <c r="N58" s="27" t="s">
        <v>241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206</v>
      </c>
      <c r="O81" s="39">
        <v>565120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206</v>
      </c>
      <c r="O108" s="39">
        <v>558590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0.5081239583378192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0.70742951389337483</v>
      </c>
      <c r="N135" s="36" t="s">
        <v>206</v>
      </c>
      <c r="O135" s="39">
        <v>729290</v>
      </c>
    </row>
    <row r="136" spans="1:18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1.0747906250044859</v>
      </c>
      <c r="N136" s="40" t="s">
        <v>209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211</v>
      </c>
      <c r="G149" s="36">
        <f>SUM(G137:G148)</f>
        <v>1055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206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211</v>
      </c>
      <c r="G163" s="40">
        <f>G149+G162</f>
        <v>1055</v>
      </c>
      <c r="H163" s="41"/>
      <c r="I163" s="41"/>
      <c r="J163" s="41"/>
      <c r="K163" s="63"/>
      <c r="L163" s="63"/>
      <c r="M163" s="42">
        <f ca="1">IFERROR(M149+M162,"")</f>
        <v>6.5277777777777823E-2</v>
      </c>
      <c r="N163" s="40" t="s">
        <v>209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206</v>
      </c>
      <c r="O432" s="39"/>
    </row>
    <row r="433" spans="1:17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2026-07-06T22:10:57Z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