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67" documentId="8_{C51EB6CB-002B-4D6B-B68F-DDEBDB4460C0}" xr6:coauthVersionLast="47" xr6:coauthVersionMax="47" xr10:uidLastSave="{1D80FE92-3180-477A-AFE8-2EEEF8574459}"/>
  <bookViews>
    <workbookView xWindow="-108" yWindow="-108" windowWidth="23256" windowHeight="12456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E55" i="6" s="1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E41" i="6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E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G41" i="5"/>
  <c r="G55" i="5" s="1"/>
  <c r="F41" i="5"/>
  <c r="F55" i="5" s="1"/>
  <c r="E41" i="5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O28" i="5"/>
  <c r="F27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E55" i="3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6" l="1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<sst xmlns="http://schemas.openxmlformats.org/spreadsheetml/2006/main" count="1420" uniqueCount="242">
  <si>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</si>
  <si>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</si>
  <si>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</si>
  <si>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</si>
  <si>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</si>
  <si>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</si>
  <si>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</si>
  <si>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</si>
  <si>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</si>
  <si>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</si>
  <si>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</si>
  <si>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</si>
  <si>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</si>
  <si>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</si>
  <si>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</si>
  <si>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</si>
  <si>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</si>
  <si>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</si>
  <si>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</si>
  <si>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</si>
  <si>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</si>
  <si>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</si>
  <si>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</si>
  <si>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</si>
  <si>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</si>
  <si>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</si>
  <si>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</si>
  <si>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</si>
  <si>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</si>
  <si>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</si>
  <si>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</si>
  <si>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</si>
  <si>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</si>
  <si>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</si>
  <si>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</si>
  <si>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</si>
  <si>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</si>
  <si>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</si>
  <si>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</si>
  <si>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</si>
  <si>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</si>
  <si>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</si>
  <si>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</si>
  <si>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</si>
  <si>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</si>
  <si>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</si>
  <si>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</si>
  <si>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</si>
  <si>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</si>
  <si>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</si>
  <si>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</si>
  <si>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</si>
  <si>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</si>
  <si>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</si>
  <si>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</si>
  <si>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</si>
  <si>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</si>
  <si>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</si>
  <si>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</si>
  <si>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</si>
  <si>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</si>
  <si>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</si>
  <si>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</si>
  <si>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</si>
  <si>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</si>
  <si>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</si>
  <si>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</si>
  <si>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</si>
  <si>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</si>
  <si>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</si>
  <si>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</si>
  <si>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</si>
  <si>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</si>
  <si>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</si>
  <si>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</si>
  <si>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</si>
  <si>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</si>
  <si>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</si>
  <si>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</si>
  <si>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</si>
  <si>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</si>
  <si>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</si>
  <si>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</si>
  <si>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</si>
  <si>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</si>
  <si>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</si>
  <si>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</si>
  <si>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</si>
  <si>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</si>
  <si>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</si>
  <si>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</si>
  <si>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</si>
  <si>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</si>
  <si>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</si>
  <si>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</si>
  <si>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</si>
  <si>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</si>
  <si>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</si>
  <si>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</si>
  <si>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</si>
  <si>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</si>
  <si>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</si>
  <si>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</si>
  <si>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</si>
  <si>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</si>
  <si>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</si>
  <si>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</si>
  <si>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</si>
  <si>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</si>
  <si>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</si>
  <si>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</si>
  <si>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</si>
  <si>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</si>
  <si>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</si>
  <si>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</si>
  <si>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</si>
  <si>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</si>
  <si>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</si>
  <si>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</si>
  <si>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</si>
  <si>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</si>
  <si>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</si>
  <si>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</si>
  <si>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</si>
  <si>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</si>
  <si>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</si>
  <si>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</si>
  <si>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</si>
  <si>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</si>
  <si>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</si>
  <si>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</si>
  <si>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</si>
  <si>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</si>
  <si>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</si>
  <si>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</si>
  <si>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</si>
  <si>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</si>
  <si>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</si>
  <si>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</si>
  <si>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</si>
  <si>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</si>
  <si>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</si>
  <si>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</si>
  <si>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</si>
  <si>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</si>
  <si>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</si>
  <si>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</si>
  <si>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</si>
  <si>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</si>
  <si>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</si>
  <si>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</si>
  <si>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</si>
  <si>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</si>
  <si>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</si>
  <si>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</si>
  <si>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</si>
  <si>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</si>
  <si>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</si>
  <si>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</si>
  <si>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</si>
  <si>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</si>
  <si>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</si>
  <si>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</si>
  <si>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</si>
  <si>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</si>
  <si>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</si>
  <si>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</si>
  <si>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</si>
  <si>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</si>
  <si>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</si>
  <si>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</si>
  <si>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</si>
  <si>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</si>
  <si>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</si>
  <si>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</si>
  <si>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</si>
  <si>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</si>
  <si>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</si>
  <si>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</si>
  <si>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</si>
  <si>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</si>
  <si>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</si>
  <si>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</si>
  <si>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</si>
  <si>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</si>
  <si>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</si>
  <si>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</si>
  <si>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</si>
  <si>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</si>
  <si>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</si>
  <si>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</si>
  <si>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</si>
  <si>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</si>
  <si>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</si>
  <si>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</si>
  <si>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</si>
  <si>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</si>
  <si>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</si>
  <si>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</si>
  <si>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</si>
  <si>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</si>
  <si>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</si>
  <si>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</si>
  <si>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</si>
  <si>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</si>
  <si>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</si>
  <si>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</si>
  <si>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</si>
  <si>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</si>
  <si>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</si>
  <si>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</si>
  <si>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</si>
  <si>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</si>
  <si>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</si>
  <si>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</si>
  <si>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</si>
  <si>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</si>
  <si>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</si>
  <si>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</si>
  <si>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</si>
  <si>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</si>
  <si>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</si>
  <si>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</si>
  <si>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</si>
  <si>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</si>
  <si>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</si>
  <si>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</si>
  <si>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</si>
  <si>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</si>
  <si>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</si>
  <si>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</si>
  <si>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</si>
  <si>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</si>
  <si>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</si>
  <si>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</si>
  <si>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</si>
  <si>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</si>
  <si>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</si>
  <si>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solda no queixo</t>
  </si>
  <si>
    <t>colocar chapa na bica</t>
  </si>
  <si>
    <t>martelo soltou</t>
  </si>
  <si>
    <t>solda no queixo ,revestimento gasto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</si>
</sst>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797765</v>
      </c>
      <c r="D4" s="8">
        <f>IFERROR('Linha 1'!O28,"")</f>
        <v>481280</v>
      </c>
      <c r="E4" s="8">
        <f>IFERROR('Linha 2'!O28,"")</f>
        <v>326520</v>
      </c>
      <c r="F4" s="8">
        <f>IFERROR('Linha 3'!O28,"")</f>
        <v>561420</v>
      </c>
      <c r="G4" s="9">
        <f t="shared" ref="G4:G34" si="0">IFERROR(D4+E4+F4,"")</f>
        <v>1369220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797765</v>
      </c>
      <c r="D35" s="13">
        <f>IFERROR(SUM(D4:D34),"")</f>
        <v>481280</v>
      </c>
      <c r="E35" s="13">
        <f>IFERROR(SUM(E4:E34),"")</f>
        <v>326520</v>
      </c>
      <c r="F35" s="13">
        <f>IFERROR(SUM(F4:F34),"")</f>
        <v>561420</v>
      </c>
      <c r="G35" s="13">
        <f>IFERROR(SUM(G4:G34),"")</f>
        <v>1369220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" activePane="bottomLeft" state="frozen"/>
      <selection pane="bottomLeft" activeCell="L15" sqref="L1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/>
      <c r="M15" s="35">
        <f t="shared" ref="M15:M26" ca="1" si="4">IFERROR(IF(K15="","",IF(L15="",MOD(NOW()-K15,1),IF(L15&gt;=K15,L15-K15,L15+1-K15))),"")</f>
        <v>2.3577662039315328E-2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/>
      <c r="G22" s="34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134</v>
      </c>
      <c r="G27" s="36">
        <f>SUM(G15:G26)</f>
        <v>670</v>
      </c>
      <c r="H27" s="37"/>
      <c r="I27" s="37"/>
      <c r="J27" s="37"/>
      <c r="K27" s="37"/>
      <c r="L27" s="37"/>
      <c r="M27" s="38">
        <f ca="1">IFERROR(SUM(M15:M26),"")</f>
        <v>2.3577662039315328E-2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330</v>
      </c>
      <c r="G28" s="40">
        <f>G14+G27</f>
        <v>1650</v>
      </c>
      <c r="H28" s="41"/>
      <c r="I28" s="41"/>
      <c r="J28" s="41"/>
      <c r="K28" s="41"/>
      <c r="L28" s="41"/>
      <c r="M28" s="42">
        <f ca="1">IFERROR(M14+M27,"")</f>
        <v>8.9549884261537538E-2</v>
      </c>
      <c r="N28" s="40" t="s">
        <v>232</v>
      </c>
      <c r="O28" s="43">
        <f>IFERROR(O14+O27,"")</f>
        <v>797765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19",F29*5,IF(E29="CB",F29*35,""))))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0" t="s">
        <v>231</v>
      </c>
      <c r="B811" s="111"/>
      <c r="C811" s="111"/>
      <c r="D811" s="111"/>
      <c r="E811" s="112">
        <f>E797+E810</f>
        <v>0</v>
      </c>
      <c r="F811" s="113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452 E454:E838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8" activePane="bottomLeft" state="frozen"/>
      <selection pane="bottomLeft" activeCell="N20" sqref="N2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234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235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236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237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14</v>
      </c>
      <c r="G20" s="34">
        <f t="shared" si="3"/>
        <v>58.800000000000004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/>
      <c r="G22" s="34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76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76</v>
      </c>
      <c r="G27" s="36">
        <f>SUM(G15:G26)</f>
        <v>319.2</v>
      </c>
      <c r="H27" s="37"/>
      <c r="I27" s="37"/>
      <c r="J27" s="37"/>
      <c r="K27" s="37"/>
      <c r="L27" s="37"/>
      <c r="M27" s="38">
        <f ca="1">IFERROR(SUM(M15:M26),"")</f>
        <v>2.1527777777777729E-2</v>
      </c>
      <c r="N27" s="36" t="s">
        <v>229</v>
      </c>
      <c r="O27" s="77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188</v>
      </c>
      <c r="G28" s="40">
        <f>G14+G27</f>
        <v>789.6</v>
      </c>
      <c r="H28" s="41"/>
      <c r="I28" s="41"/>
      <c r="J28" s="41"/>
      <c r="K28" s="41"/>
      <c r="L28" s="41"/>
      <c r="M28" s="42">
        <f ca="1">IFERROR(M14+M27,"")</f>
        <v>0.22222222222222207</v>
      </c>
      <c r="N28" s="40" t="s">
        <v>232</v>
      </c>
      <c r="O28" s="82">
        <f>O14+O27</f>
        <v>481280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79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230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231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230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231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D84:D900 D2:D13 D29:D82 E432:E433 E513:E514 D15:D26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zoomScale="50" zoomScaleNormal="50" workbookViewId="0">
      <selection activeCell="H20" sqref="H2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238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233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233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233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237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233</v>
      </c>
      <c r="F19" s="27">
        <v>8</v>
      </c>
      <c r="G19" s="34">
        <f t="shared" si="3"/>
        <v>33.6</v>
      </c>
      <c r="H19" s="33" t="s">
        <v>20</v>
      </c>
      <c r="I19" s="33"/>
      <c r="J19" s="33"/>
      <c r="K19" s="29">
        <v>9.375E-2</v>
      </c>
      <c r="L19" s="29"/>
      <c r="M19" s="35">
        <f t="shared" ca="1" si="5"/>
        <v>6.6099537070840597E-4</v>
      </c>
      <c r="N19" s="27"/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233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233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233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233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30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30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51</v>
      </c>
      <c r="G27" s="36">
        <f>SUM(G15:G26)</f>
        <v>214.2</v>
      </c>
      <c r="H27" s="37"/>
      <c r="I27" s="37"/>
      <c r="J27" s="37"/>
      <c r="K27" s="37"/>
      <c r="L27" s="37"/>
      <c r="M27" s="38">
        <f ca="1">IFERROR(SUM(M15:M26),"")</f>
        <v>4.0938773148486179E-2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132</v>
      </c>
      <c r="G28" s="40">
        <f>G14+G27</f>
        <v>554.40000000000009</v>
      </c>
      <c r="H28" s="41"/>
      <c r="I28" s="41"/>
      <c r="J28" s="41"/>
      <c r="K28" s="41"/>
      <c r="L28" s="41"/>
      <c r="M28" s="42">
        <f ca="1">IFERROR(M14+M27,"")</f>
        <v>5.4133217592930688E-2</v>
      </c>
      <c r="N28" s="40" t="s">
        <v>232</v>
      </c>
      <c r="O28" s="43">
        <f>IFERROR(O14+O27,"")</f>
        <v>326520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C29:C900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D29:D294 D15:D26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8" activePane="bottomLeft" state="frozen"/>
      <selection pane="bottomLeft" activeCell="F22" sqref="F2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233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233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239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233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240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233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238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233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241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233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233</v>
      </c>
      <c r="F21" s="27">
        <v>17</v>
      </c>
      <c r="G21" s="34">
        <f t="shared" si="3"/>
        <v>71.400000000000006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233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233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93</v>
      </c>
      <c r="G27" s="36">
        <f>SUM(G15:G26)</f>
        <v>390.6</v>
      </c>
      <c r="H27" s="37"/>
      <c r="I27" s="37"/>
      <c r="J27" s="37"/>
      <c r="K27" s="61"/>
      <c r="L27" s="61"/>
      <c r="M27" s="38">
        <f ca="1">IFERROR(SUM(M15:M26),"")</f>
        <v>7.2916666666666741E-2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223</v>
      </c>
      <c r="G28" s="40">
        <f>G14+G27</f>
        <v>936.60000000000014</v>
      </c>
      <c r="H28" s="41"/>
      <c r="I28" s="41"/>
      <c r="J28" s="41"/>
      <c r="K28" s="63"/>
      <c r="L28" s="63"/>
      <c r="M28" s="42">
        <f ca="1">IFERROR(M14+M27,"")</f>
        <v>0.11180555555555566</v>
      </c>
      <c r="N28" s="40" t="s">
        <v>232</v>
      </c>
      <c r="O28" s="48">
        <f>IFERROR(O14+O27,"")</f>
        <v>561420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232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232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232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232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228</v>
      </c>
      <c r="B338" s="99"/>
      <c r="C338" s="99"/>
      <c r="D338" s="99"/>
      <c r="E338" s="100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232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C29:C364 C15:C26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D29:D900 C365 D15:D26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2026-08-02T06:16:12Z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