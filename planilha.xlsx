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35" documentId="8_{AF585B22-221D-4780-BB9C-493D365A6A02}" xr6:coauthVersionLast="47" xr6:coauthVersionMax="47" xr10:uidLastSave="{754FD432-6656-4618-8415-C695E8A54946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<sst xmlns="http://schemas.openxmlformats.org/spreadsheetml/2006/main" count="7126" uniqueCount="341">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</sst>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8" activePane="bottomLeft" state="frozen"/>
      <selection pane="bottomLeft" activeCell="F441" sqref="F44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5.0000000000000044E-2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5.0000000000000044E-2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F442" sqref="F4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0.42698113426013151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0.5846200231490204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0.69434224537124256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0.40545335648494074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0.57628668981827413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0.72142557870716306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134</v>
      </c>
      <c r="G446" s="36">
        <f>SUM(G434:G445)</f>
        <v>562.80000000000007</v>
      </c>
      <c r="H446" s="37"/>
      <c r="I446" s="37"/>
      <c r="J446" s="37"/>
      <c r="K446" s="37"/>
      <c r="L446" s="37"/>
      <c r="M446" s="38">
        <f ca="1">IFERROR(SUM(M434:M445),"")</f>
        <v>5.2083333333333315E-2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134</v>
      </c>
      <c r="G460" s="40">
        <f>G446+G459</f>
        <v>562.80000000000007</v>
      </c>
      <c r="H460" s="41"/>
      <c r="I460" s="41"/>
      <c r="J460" s="41"/>
      <c r="K460" s="41"/>
      <c r="L460" s="41"/>
      <c r="M460" s="42">
        <f ca="1">IFERROR(M446+M459,"")</f>
        <v>5.2083333333333315E-2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F441" sqref="F4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/>
      <c r="M434" s="30">
        <f t="shared" ref="M434:M445" ca="1" si="97">IFERROR(IF(K434="","",IF(L434="",MOD(NOW()-K434,1),IF(L434&gt;=K434,L434-K434,L434+1-K434))),"")</f>
        <v>0.12489780093164882</v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32</v>
      </c>
      <c r="G446" s="36">
        <f>SUM(G434:G445)</f>
        <v>134.40000000000003</v>
      </c>
      <c r="H446" s="37"/>
      <c r="I446" s="37"/>
      <c r="J446" s="37"/>
      <c r="K446" s="37"/>
      <c r="L446" s="37"/>
      <c r="M446" s="38">
        <f ca="1">IFERROR(SUM(M434:M445),"")</f>
        <v>0.12489780093164882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32</v>
      </c>
      <c r="G460" s="40">
        <f>G446+G459</f>
        <v>134.40000000000003</v>
      </c>
      <c r="H460" s="41"/>
      <c r="I460" s="41"/>
      <c r="J460" s="41"/>
      <c r="K460" s="41"/>
      <c r="L460" s="41"/>
      <c r="M460" s="42">
        <f ca="1">IFERROR(M446+M459,"")</f>
        <v>0.12489780093164882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18" activePane="bottomLeft" state="frozen"/>
      <selection pane="bottomLeft" activeCell="J436" sqref="J43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312</v>
      </c>
      <c r="L58" s="29">
        <v>0.54097222222222219</v>
      </c>
      <c r="M58" s="30" t="str">
        <f t="shared" ca="1" si="13"/>
        <v/>
      </c>
      <c r="N58" s="27" t="s">
        <v>313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0.41725891204259824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0.61656446759815386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0.98392557870926489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/>
      <c r="M436" s="30">
        <f t="shared" ca="1" si="97"/>
        <v>3.3700231506372802E-3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142</v>
      </c>
      <c r="G446" s="36">
        <f>SUM(G434:G445)</f>
        <v>596.4</v>
      </c>
      <c r="H446" s="37"/>
      <c r="I446" s="37"/>
      <c r="J446" s="37"/>
      <c r="K446" s="61"/>
      <c r="L446" s="61"/>
      <c r="M446" s="38">
        <f ca="1">IFERROR(SUM(M434:M445),"")</f>
        <v>3.6703356483970717E-2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142</v>
      </c>
      <c r="G460" s="40">
        <f>G446+G459</f>
        <v>596.4</v>
      </c>
      <c r="H460" s="41"/>
      <c r="I460" s="41"/>
      <c r="J460" s="41"/>
      <c r="K460" s="63"/>
      <c r="L460" s="63"/>
      <c r="M460" s="42">
        <f ca="1">IFERROR(M446+M459,"")</f>
        <v>3.6703356483970717E-2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2026-07-17T20:02:10Z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