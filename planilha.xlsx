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33" documentId="8_{AF585B22-221D-4780-BB9C-493D365A6A02}" xr6:coauthVersionLast="47" xr6:coauthVersionMax="47" xr10:uidLastSave="{583A07E6-F7B1-4799-B183-8B6AC09AAA6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<sst xmlns="http://schemas.openxmlformats.org/spreadsheetml/2006/main" count="11776" uniqueCount="426">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</sst>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78" sqref="F7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/>
      <c r="M771" s="35">
        <f t="shared" ref="M771:M782" ca="1" si="172">IFERROR(IF(K771="","",IF(L771="",MOD(NOW()-K771,1),IF(L771&gt;=K771,L771-K771,L771+1-K771))),"")</f>
        <v>1.7371874993841629E-2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210</v>
      </c>
      <c r="G783" s="36">
        <f>SUM(G771:G782)</f>
        <v>1050</v>
      </c>
      <c r="H783" s="37"/>
      <c r="I783" s="37"/>
      <c r="J783" s="37"/>
      <c r="K783" s="37"/>
      <c r="L783" s="37"/>
      <c r="M783" s="38">
        <f ca="1">IFERROR(SUM(M771:M782),"")</f>
        <v>1.7371874993841629E-2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560</v>
      </c>
      <c r="G784" s="40">
        <f>G770+G783</f>
        <v>2800</v>
      </c>
      <c r="H784" s="41"/>
      <c r="I784" s="41"/>
      <c r="J784" s="41"/>
      <c r="K784" s="41"/>
      <c r="L784" s="41"/>
      <c r="M784" s="42">
        <f ca="1">IFERROR(M770+M783,"")</f>
        <v>8.8899652771619375E-2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K776" sqref="K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0.85695520832814509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1.014594097217034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1.1243163194392563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0.83542743055295432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1.0062607638862877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1.1513996527751766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/>
      <c r="M775" s="35">
        <f t="shared" ca="1" si="172"/>
        <v>7.0520833105547354E-4</v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120</v>
      </c>
      <c r="G783" s="36">
        <f>SUM(G771:G782)</f>
        <v>512.79999999999995</v>
      </c>
      <c r="H783" s="37"/>
      <c r="I783" s="37"/>
      <c r="J783" s="37"/>
      <c r="K783" s="37"/>
      <c r="L783" s="37"/>
      <c r="M783" s="38">
        <f ca="1">IFERROR(SUM(M771:M782),"")</f>
        <v>5.139965277549996E-2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254</v>
      </c>
      <c r="G784" s="40">
        <f>G770+G783</f>
        <v>1083.5999999999999</v>
      </c>
      <c r="H784" s="41"/>
      <c r="I784" s="41"/>
      <c r="J784" s="41"/>
      <c r="K784" s="41"/>
      <c r="L784" s="41"/>
      <c r="M784" s="42">
        <f ca="1">IFERROR(M770+M783,"")</f>
        <v>0.14653854166438879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K776" sqref="K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/>
      <c r="M775" s="35">
        <f t="shared" ca="1" si="172"/>
        <v>7.0520833105547354E-4</v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37</v>
      </c>
      <c r="G783" s="36">
        <f>SUM(G771:G782)</f>
        <v>159.39999999999998</v>
      </c>
      <c r="H783" s="37"/>
      <c r="I783" s="37"/>
      <c r="J783" s="37"/>
      <c r="K783" s="37"/>
      <c r="L783" s="37"/>
      <c r="M783" s="38">
        <f ca="1">IFERROR(SUM(M771:M782),"")</f>
        <v>5.9732986108833375E-2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78</v>
      </c>
      <c r="G784" s="40">
        <f>G770+G783</f>
        <v>335.59999999999997</v>
      </c>
      <c r="H784" s="41"/>
      <c r="I784" s="41"/>
      <c r="J784" s="41"/>
      <c r="K784" s="41"/>
      <c r="L784" s="41"/>
      <c r="M784" s="42">
        <f ca="1">IFERROR(M770+M783,"")</f>
        <v>0.1736218749977223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78" sqref="F7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0.84723298611061182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1.0465385416661674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1.4138996527772785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124</v>
      </c>
      <c r="G783" s="36">
        <f>SUM(G771:G782)</f>
        <v>530.4</v>
      </c>
      <c r="H783" s="37"/>
      <c r="I783" s="37"/>
      <c r="J783" s="37"/>
      <c r="K783" s="61"/>
      <c r="L783" s="61"/>
      <c r="M783" s="38">
        <f ca="1">IFERROR(SUM(M771:M782),"")</f>
        <v>3.6111111111111219E-2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132</v>
      </c>
      <c r="G784" s="40">
        <f>G770+G783</f>
        <v>564</v>
      </c>
      <c r="H784" s="41"/>
      <c r="I784" s="41"/>
      <c r="J784" s="41"/>
      <c r="K784" s="63"/>
      <c r="L784" s="63"/>
      <c r="M784" s="42">
        <f ca="1">IFERROR(M770+M783,"")</f>
        <v>0.50000000000000011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2026-07-30T06:19:01Z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