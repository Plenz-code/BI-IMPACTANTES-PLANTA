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2" documentId="13_ncr:1_{A6DBCFB4-28D9-4249-9038-216934055CA6}" xr6:coauthVersionLast="47" xr6:coauthVersionMax="47" xr10:uidLastSave="{6B876D0D-5057-4F2E-9504-1A086270AA4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<sst xmlns="http://schemas.openxmlformats.org/spreadsheetml/2006/main" count="8439" uniqueCount="394">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</sst>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7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3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/>
      <c r="J21" s="22">
        <f t="shared" si="1"/>
        <v>0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>-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67918850</v>
      </c>
      <c r="D35" s="30">
        <f t="shared" si="2"/>
        <v>22167400</v>
      </c>
      <c r="E35" s="30">
        <f t="shared" si="2"/>
        <v>11538670</v>
      </c>
      <c r="F35" s="30">
        <f t="shared" si="2"/>
        <v>28115430</v>
      </c>
      <c r="G35" s="30">
        <f t="shared" si="2"/>
        <v>61821500</v>
      </c>
      <c r="H35" s="31">
        <f t="shared" si="2"/>
        <v>4945.4941650601886</v>
      </c>
      <c r="I35" s="31">
        <f t="shared" si="2"/>
        <v>4326.08</v>
      </c>
      <c r="J35" s="32">
        <f>IFERROR(AVERAGE(J4:J34),"-")</f>
        <v>0.74921162731186064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34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2" activePane="bottomLeft" state="frozen"/>
      <selection pane="bottomLeft" activeCell="F496" sqref="F496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31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31</v>
      </c>
      <c r="E489" s="62" t="s">
        <v>259</v>
      </c>
      <c r="F489" s="63">
        <v>0</v>
      </c>
      <c r="G489" s="69">
        <f t="shared" si="103"/>
        <v>0</v>
      </c>
      <c r="H489" s="70"/>
      <c r="I489" s="70"/>
      <c r="J489" s="70"/>
      <c r="K489" s="65"/>
      <c r="L489" s="65"/>
      <c r="M489" s="71" t="str">
        <f t="shared" ca="1" si="104"/>
        <v/>
      </c>
      <c r="N489" s="80"/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31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31</v>
      </c>
      <c r="E491" s="62" t="s">
        <v>259</v>
      </c>
      <c r="F491" s="63">
        <v>30</v>
      </c>
      <c r="G491" s="69">
        <f t="shared" si="103"/>
        <v>150</v>
      </c>
      <c r="H491" s="70"/>
      <c r="I491" s="70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31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31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31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31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31</v>
      </c>
      <c r="E496" s="62" t="s">
        <v>259</v>
      </c>
      <c r="F496" s="63"/>
      <c r="G496" s="64" t="str">
        <f t="shared" si="106"/>
        <v/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31</v>
      </c>
      <c r="E497" s="62" t="s">
        <v>259</v>
      </c>
      <c r="F497" s="63"/>
      <c r="G497" s="69" t="str">
        <f t="shared" si="106"/>
        <v/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31</v>
      </c>
      <c r="E498" s="62" t="s">
        <v>259</v>
      </c>
      <c r="F498" s="63"/>
      <c r="G498" s="64" t="str">
        <f t="shared" si="106"/>
        <v/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31</v>
      </c>
      <c r="E499" s="62" t="s">
        <v>259</v>
      </c>
      <c r="F499" s="63"/>
      <c r="G499" s="69" t="str">
        <f t="shared" si="106"/>
        <v/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175</v>
      </c>
      <c r="G500" s="2">
        <f>SUM(G488:G499)</f>
        <v>875</v>
      </c>
      <c r="H500" s="72"/>
      <c r="I500" s="72"/>
      <c r="J500" s="72"/>
      <c r="K500" s="72"/>
      <c r="L500" s="72"/>
      <c r="M500" s="73">
        <f ca="1">IFERROR(SUM(M488:M499),"")</f>
        <v>0.10555555555555568</v>
      </c>
      <c r="N500" s="2" t="s">
        <v>261</v>
      </c>
      <c r="O500" s="74"/>
    </row>
    <row r="501" spans="1:15" ht="15" customHeight="1">
      <c r="A501" s="18">
        <v>46253</v>
      </c>
      <c r="B501" s="68">
        <v>0.83333333333333304</v>
      </c>
      <c r="C501" s="70"/>
      <c r="D501" s="75"/>
      <c r="E501" s="75"/>
      <c r="F501" s="63"/>
      <c r="G501" s="69" t="str">
        <f t="shared" ref="G501:G512" si="107">IF(F501="","",IF(E501="PC 17",F501*4.2,IF(E501="PC 19",F501*5,IF(E501="CB",F501*35,""))))</f>
        <v/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/>
      <c r="D502" s="75"/>
      <c r="E502" s="75"/>
      <c r="F502" s="63"/>
      <c r="G502" s="64" t="str">
        <f t="shared" si="107"/>
        <v/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/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/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/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/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/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/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/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/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/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/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0</v>
      </c>
      <c r="G513" s="2">
        <f>SUM(G501:G512)</f>
        <v>0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175</v>
      </c>
      <c r="G514" s="1">
        <f>G500+G513</f>
        <v>875</v>
      </c>
      <c r="H514" s="76"/>
      <c r="I514" s="76"/>
      <c r="J514" s="76"/>
      <c r="K514" s="76"/>
      <c r="L514" s="76"/>
      <c r="M514" s="77">
        <f ca="1">IFERROR(M500+M513,"")</f>
        <v>0.10555555555555568</v>
      </c>
      <c r="N514" s="1" t="s">
        <v>264</v>
      </c>
      <c r="O514" s="82">
        <f>IFERROR(O500+O513,"")</f>
        <v>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H492:H900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I492:I900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68" activePane="bottomLeft" state="frozen"/>
      <selection pane="bottomLeft" activeCell="G497" sqref="G49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295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296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297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299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300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301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302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0.55336990740761394</v>
      </c>
      <c r="R53" s="80" t="s">
        <v>303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0.69225879629650167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0.77698101851872448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295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304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305</v>
      </c>
      <c r="Q96" s="66" t="str">
        <f t="shared" ref="Q96:Q107" ca="1" si="22">IFERROR(IF(O96="","",IF(P96="",MOD(NOW()-O96,1),IF(P96&gt;=O96,P96-O96,P96+1-O96))),"")</f>
        <v/>
      </c>
      <c r="R96" s="80" t="s">
        <v>306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307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308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309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310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311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312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314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315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316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309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304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318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319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320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321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322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323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324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316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311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304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325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326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327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328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329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330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331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332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333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334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335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311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55</v>
      </c>
      <c r="L492" s="61"/>
      <c r="M492" s="61"/>
      <c r="N492" s="61"/>
      <c r="O492" s="65"/>
      <c r="P492" s="65"/>
      <c r="Q492" s="66" t="str">
        <f t="shared" ca="1" si="124"/>
        <v/>
      </c>
      <c r="R492" s="80"/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110</v>
      </c>
      <c r="H500" s="95">
        <f>IFERROR(SUM(H488:H499),"")</f>
        <v>0</v>
      </c>
      <c r="I500" s="97"/>
      <c r="J500" s="98">
        <f>IFERROR(SUM(J488:J499),"")</f>
        <v>0</v>
      </c>
      <c r="K500" s="83">
        <f>SUM(K488:K499)</f>
        <v>470.80000000000007</v>
      </c>
      <c r="L500" s="72"/>
      <c r="M500" s="72"/>
      <c r="N500" s="72"/>
      <c r="O500" s="72"/>
      <c r="P500" s="72"/>
      <c r="Q500" s="73">
        <f ca="1">IFERROR(SUM(Q488:Q499),"")</f>
        <v>6.5277777777777712E-2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110</v>
      </c>
      <c r="H514" s="108">
        <f>IFERROR(H500+H513,"")</f>
        <v>0</v>
      </c>
      <c r="I514" s="110"/>
      <c r="J514" s="111">
        <f>IFERROR(J500+J513,"")</f>
        <v>0</v>
      </c>
      <c r="K514" s="125">
        <f>K500+K513</f>
        <v>470.80000000000007</v>
      </c>
      <c r="L514" s="76"/>
      <c r="M514" s="76"/>
      <c r="N514" s="76"/>
      <c r="O514" s="76"/>
      <c r="P514" s="76"/>
      <c r="Q514" s="77">
        <f ca="1">IFERROR(Q500+Q513,"")</f>
        <v>6.5277777777777712E-2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1" activePane="bottomLeft" state="frozen"/>
      <selection pane="bottomLeft" activeCell="P491" sqref="P491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336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298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304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336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336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338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339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340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341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343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344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312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304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345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346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315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347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349</v>
      </c>
      <c r="Q222" s="66" t="str">
        <f t="shared" ca="1" si="49"/>
        <v/>
      </c>
      <c r="R222" s="63" t="s">
        <v>350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351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322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352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323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304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353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326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354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355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356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356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357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304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358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0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0"/>
        <v>0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0"/>
        <v>0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0"/>
        <v>0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0"/>
        <v>0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0"/>
        <v>0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0"/>
        <v>0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0"/>
        <v>0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0"/>
        <v/>
      </c>
      <c r="K497" s="69" t="str">
        <f>IF(G497="","",IF(E497="PC 17",G497*4.2,IF(E497="PC 19",G497*5,IF(E497="CB",G497*24,""))))</f>
        <v/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0"/>
        <v/>
      </c>
      <c r="K498" s="64" t="str">
        <f>IF(G498="","",IF(E498="PC 17",G498*4.2,IF(E498="PC 19",G498*5,IF(E498="CB",G498*24,""))))</f>
        <v/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0"/>
        <v/>
      </c>
      <c r="K499" s="69" t="str">
        <f>IF(G499="","",IF(E499="PC 17",G499*4.2,IF(E499="PC 19",G499*5,IF(E499="CB",G499*24,""))))</f>
        <v/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49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209.8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3">IFERROR(IF($H501="","",$H501*$F501*$I501),"")</f>
        <v/>
      </c>
      <c r="K501" s="69" t="str">
        <f t="shared" ref="K501:K512" si="124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3"/>
        <v/>
      </c>
      <c r="K502" s="64" t="str">
        <f t="shared" si="124"/>
        <v/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49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209.8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2" activePane="bottomLeft" state="frozen"/>
      <selection pane="bottomLeft" activeCell="G497" sqref="G497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293</v>
      </c>
      <c r="I1" s="86" t="s">
        <v>22</v>
      </c>
      <c r="J1" s="86" t="s">
        <v>294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294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359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301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336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360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361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362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363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364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365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336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336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366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367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304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336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368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369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312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370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372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373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374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375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376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377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378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379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380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381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382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383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384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385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386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387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326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388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389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390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391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392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386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393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358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0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0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0</v>
      </c>
      <c r="I489" s="90">
        <f>IFERROR(IF($D489="","",VLOOKUP($D489,Cadastro!$C$4:$G$7,5,FALSE())),"")</f>
        <v>0.6</v>
      </c>
      <c r="J489" s="91">
        <f t="shared" si="122"/>
        <v>0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0</v>
      </c>
      <c r="I490" s="90">
        <f>IFERROR(IF($D490="","",VLOOKUP($D490,Cadastro!$C$4:$G$7,5,FALSE())),"")</f>
        <v>0.6</v>
      </c>
      <c r="J490" s="91">
        <f t="shared" si="122"/>
        <v>0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/>
      <c r="Q490" s="66">
        <f ca="1">IFERROR(IF(O490="","",IF(P490="",MOD(NOW()-O490,1),IF(P490&gt;=O490,P490-O490,P490+1-O490))),"")</f>
        <v>2.0036574074765667E-2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0</v>
      </c>
      <c r="I491" s="90">
        <f>IFERROR(IF($D491="","",VLOOKUP($D491,Cadastro!$C$4:$G$7,5,FALSE())),"")</f>
        <v>0.6</v>
      </c>
      <c r="J491" s="91">
        <f t="shared" si="122"/>
        <v>0</v>
      </c>
      <c r="K491" s="69">
        <f t="shared" si="123"/>
        <v>67.2</v>
      </c>
      <c r="L491" s="70"/>
      <c r="M491" s="70"/>
      <c r="N491" s="70"/>
      <c r="O491" s="65"/>
      <c r="P491" s="65"/>
      <c r="Q491" s="71" t="str">
        <f ca="1">IFERROR(IF(O491="","",IF(P491="",MOD(NOW()-O491,1),IF(P491&gt;=O491,P491-O491,P491+1-O491))),"")</f>
        <v/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0</v>
      </c>
      <c r="I492" s="90">
        <f>IFERROR(IF($D492="","",VLOOKUP($D492,Cadastro!$C$4:$G$7,5,FALSE())),"")</f>
        <v>0.6</v>
      </c>
      <c r="J492" s="91">
        <f t="shared" si="122"/>
        <v>0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0</v>
      </c>
      <c r="I493" s="90">
        <f>IFERROR(IF($D493="","",VLOOKUP($D493,Cadastro!$C$4:$G$7,5,FALSE())),"")</f>
        <v>0.6</v>
      </c>
      <c r="J493" s="91">
        <f t="shared" si="122"/>
        <v>0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0</v>
      </c>
      <c r="I494" s="90">
        <f>IFERROR(IF($D494="","",VLOOKUP($D494,Cadastro!$C$4:$G$7,5,FALSE())),"")</f>
        <v>0.6</v>
      </c>
      <c r="J494" s="91">
        <f t="shared" si="122"/>
        <v>0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0</v>
      </c>
      <c r="I495" s="90">
        <f>IFERROR(IF($D495="","",VLOOKUP($D495,Cadastro!$C$4:$G$7,5,FALSE())),"")</f>
        <v>0.6</v>
      </c>
      <c r="J495" s="91">
        <f t="shared" si="122"/>
        <v>0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0</v>
      </c>
      <c r="I496" s="90">
        <f>IFERROR(IF($D496="","",VLOOKUP($D496,Cadastro!$C$4:$G$7,5,FALSE())),"")</f>
        <v>0.6</v>
      </c>
      <c r="J496" s="91">
        <f t="shared" si="122"/>
        <v>0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/>
      <c r="H497" s="88" t="str">
        <f>IFERROR(IF($G497="","",$G497*$S$500/$G$500/Cadastro!$E$33),"")</f>
        <v/>
      </c>
      <c r="I497" s="90">
        <f>IFERROR(IF($D497="","",VLOOKUP($D497,Cadastro!$C$4:$G$7,5,FALSE())),"")</f>
        <v>0.6</v>
      </c>
      <c r="J497" s="91" t="str">
        <f t="shared" si="122"/>
        <v/>
      </c>
      <c r="K497" s="69" t="str">
        <f t="shared" si="123"/>
        <v/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/>
      <c r="H498" s="88" t="str">
        <f>IFERROR(IF($G498="","",$G498*$S$500/$G$500/Cadastro!$E$33),"")</f>
        <v/>
      </c>
      <c r="I498" s="90">
        <f>IFERROR(IF($D498="","",VLOOKUP($D498,Cadastro!$C$4:$G$7,5,FALSE())),"")</f>
        <v>0.6</v>
      </c>
      <c r="J498" s="91" t="str">
        <f t="shared" si="122"/>
        <v/>
      </c>
      <c r="K498" s="64" t="str">
        <f t="shared" si="123"/>
        <v/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/>
      <c r="H499" s="92" t="str">
        <f>IFERROR(IF($G499="","",$G499*$S$500/$G$500/Cadastro!$E$33),"")</f>
        <v/>
      </c>
      <c r="I499" s="93">
        <f>IFERROR(IF($D499="","",VLOOKUP($D499,Cadastro!$C$4:$G$7,5,FALSE())),"")</f>
        <v>0.6</v>
      </c>
      <c r="J499" s="94" t="str">
        <f t="shared" si="122"/>
        <v/>
      </c>
      <c r="K499" s="69" t="str">
        <f t="shared" si="123"/>
        <v/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157</v>
      </c>
      <c r="H500" s="95">
        <f>IFERROR(SUM(H488:H499),"")</f>
        <v>0</v>
      </c>
      <c r="I500" s="97"/>
      <c r="J500" s="98">
        <f>IFERROR(SUM(J488:J499),"")</f>
        <v>0</v>
      </c>
      <c r="K500" s="2">
        <f>SUM(K488:K499)</f>
        <v>665</v>
      </c>
      <c r="L500" s="72"/>
      <c r="M500" s="72"/>
      <c r="N500" s="72"/>
      <c r="O500" s="134"/>
      <c r="P500" s="134"/>
      <c r="Q500" s="73">
        <f ca="1">IFERROR(SUM(Q488:Q499),"")</f>
        <v>5.961990740809836E-2</v>
      </c>
      <c r="R500" s="2" t="s">
        <v>261</v>
      </c>
      <c r="S500" s="74"/>
      <c r="T500" s="99">
        <f>IFERROR(J500,"")</f>
        <v>0</v>
      </c>
    </row>
    <row r="501" spans="1:20" ht="15" customHeight="1">
      <c r="A501" s="18">
        <v>46253</v>
      </c>
      <c r="B501" s="68">
        <v>0.83333333333333304</v>
      </c>
      <c r="C501" s="70"/>
      <c r="D501" s="75"/>
      <c r="E501" s="100"/>
      <c r="F501" s="101" t="str">
        <f>IFERROR(IF($D501="","",VLOOKUP($D501,Cadastro!$C$4:$E$7,3,FALSE())),"")</f>
        <v/>
      </c>
      <c r="G501" s="89"/>
      <c r="H501" s="101" t="str">
        <f>IFERROR(IF($G501="","",$G501*$S$513/$G$513/Cadastro!$E$33),"")</f>
        <v/>
      </c>
      <c r="I501" s="102" t="str">
        <f>IFERROR(IF($D501="","",VLOOKUP($D501,Cadastro!$C$4:$G$7,5,FALSE())),"")</f>
        <v/>
      </c>
      <c r="J501" s="103" t="str">
        <f t="shared" ref="J501:J512" si="126">IFERROR(IF($H501="","",$H501*$F501*$I501),"")</f>
        <v/>
      </c>
      <c r="K501" s="69" t="str">
        <f t="shared" ref="K501:K512" si="127">IF(G501="","",IF(E501="PC 17",G501*4.2,IF(E501="PC 19",G501*5,IF(E501="CB",G501*24,""))))</f>
        <v/>
      </c>
      <c r="L501" s="70"/>
      <c r="M501" s="70"/>
      <c r="N501" s="70"/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/>
      <c r="D502" s="75"/>
      <c r="E502" s="100"/>
      <c r="F502" s="88" t="str">
        <f>IFERROR(IF($D502="","",VLOOKUP($D502,Cadastro!$C$4:$E$7,3,FALSE())),"")</f>
        <v/>
      </c>
      <c r="G502" s="89"/>
      <c r="H502" s="88" t="str">
        <f>IFERROR(IF($G502="","",$G502*$S$513/$G$513/Cadastro!$E$33),"")</f>
        <v/>
      </c>
      <c r="I502" s="90" t="str">
        <f>IFERROR(IF($D502="","",VLOOKUP($D502,Cadastro!$C$4:$G$7,5,FALSE())),"")</f>
        <v/>
      </c>
      <c r="J502" s="91" t="str">
        <f t="shared" si="126"/>
        <v/>
      </c>
      <c r="K502" s="64" t="str">
        <f t="shared" si="127"/>
        <v/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/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/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/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/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/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/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/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/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/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/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0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0</v>
      </c>
      <c r="L513" s="72"/>
      <c r="M513" s="72"/>
      <c r="N513" s="72"/>
      <c r="O513" s="134"/>
      <c r="P513" s="134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157</v>
      </c>
      <c r="H514" s="108">
        <f>IFERROR(H500+H513,"")</f>
        <v>0</v>
      </c>
      <c r="I514" s="110"/>
      <c r="J514" s="111">
        <f>IFERROR(J500+J513,"")</f>
        <v>0</v>
      </c>
      <c r="K514" s="1">
        <f>K500+K513</f>
        <v>665</v>
      </c>
      <c r="L514" s="76"/>
      <c r="M514" s="76"/>
      <c r="N514" s="76"/>
      <c r="O514" s="135"/>
      <c r="P514" s="135"/>
      <c r="Q514" s="77">
        <f ca="1">IFERROR(Q500+Q513,"")</f>
        <v>5.961990740809836E-2</v>
      </c>
      <c r="R514" s="1" t="s">
        <v>264</v>
      </c>
      <c r="S514" s="82">
        <f>IFERROR(S500+S513,"")</f>
        <v>0</v>
      </c>
      <c r="T514" s="118">
        <f>IFERROR(J514,"")</f>
        <v>0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2026-08-19T20:12:08Z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