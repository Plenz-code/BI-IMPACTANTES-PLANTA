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743" documentId="8_{AF585B22-221D-4780-BB9C-493D365A6A02}" xr6:coauthVersionLast="47" xr6:coauthVersionMax="47" xr10:uidLastSave="{9A29D975-1F00-4DBE-9AA8-18F3A890CE33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<sst xmlns="http://schemas.openxmlformats.org/spreadsheetml/2006/main" count="8576" uniqueCount="374">
  <si>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</si>
  <si>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</si>
  <si>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</si>
  <si>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</si>
  <si>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</si>
  <si>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</si>
  <si>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</si>
  <si>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</si>
  <si>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</si>
  <si>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</si>
  <si>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</si>
  <si>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</si>
  <si>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</si>
  <si>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</si>
  <si>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</si>
  <si>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</si>
  <si>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</si>
  <si>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</si>
  <si>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</si>
  <si>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</si>
  <si>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</si>
  <si>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</si>
  <si>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</si>
  <si>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</si>
  <si>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</si>
  <si>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</si>
  <si>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</si>
  <si>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</si>
  <si>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</si>
  <si>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</si>
  <si>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</si>
  <si>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</si>
  <si>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</si>
  <si>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</si>
  <si>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</si>
  <si>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</si>
  <si>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</si>
  <si>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</si>
  <si>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</si>
  <si>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</si>
  <si>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</si>
  <si>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</si>
  <si>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</si>
  <si>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</si>
  <si>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</si>
  <si>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</si>
  <si>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</si>
  <si>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</si>
  <si>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</si>
  <si>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</si>
  <si>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</si>
  <si>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</si>
  <si>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</si>
  <si>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</si>
  <si>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</si>
  <si>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</si>
  <si>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</si>
  <si>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</si>
  <si>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</si>
  <si>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</si>
  <si>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</si>
  <si>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</si>
  <si>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</si>
  <si>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</si>
  <si>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</si>
  <si>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</si>
  <si>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</si>
  <si>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</si>
  <si>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</si>
  <si>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</si>
  <si>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</si>
  <si>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</si>
  <si>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</si>
  <si>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</si>
  <si>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</si>
  <si>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</si>
  <si>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</si>
  <si>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</si>
  <si>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</si>
  <si>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</si>
  <si>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</si>
  <si>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</si>
  <si>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</si>
  <si>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</si>
  <si>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</si>
  <si>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</si>
  <si>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</si>
  <si>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</si>
  <si>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</si>
  <si>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</si>
  <si>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</si>
  <si>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</si>
  <si>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</si>
  <si>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</si>
  <si>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</si>
  <si>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</si>
  <si>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</si>
  <si>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</si>
  <si>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</si>
  <si>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</si>
  <si>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</si>
  <si>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</si>
  <si>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</si>
  <si>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</si>
  <si>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</si>
  <si>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</si>
  <si>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</si>
  <si>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</si>
  <si>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</si>
  <si>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</si>
  <si>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</si>
  <si>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</si>
  <si>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</si>
  <si>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</si>
  <si>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</si>
  <si>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</si>
  <si>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</si>
  <si>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</si>
  <si>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</si>
  <si>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</si>
  <si>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</si>
  <si>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</si>
  <si>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</si>
  <si>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</si>
  <si>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</si>
  <si>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</si>
  <si>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</si>
  <si>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</si>
  <si>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</si>
  <si>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</si>
  <si>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</si>
  <si>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</si>
  <si>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</si>
  <si>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</si>
  <si>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</si>
  <si>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</si>
  <si>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</si>
  <si>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</si>
  <si>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</si>
  <si>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</si>
  <si>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</si>
  <si>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</si>
  <si>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</si>
  <si>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</si>
  <si>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</si>
  <si>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</si>
  <si>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</si>
  <si>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</si>
  <si>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</si>
  <si>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</si>
  <si>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</si>
  <si>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</si>
  <si>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</si>
  <si>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</si>
  <si>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</si>
  <si>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</si>
  <si>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</si>
  <si>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</si>
  <si>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</si>
  <si>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</si>
  <si>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</si>
  <si>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</si>
  <si>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</si>
  <si>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</si>
  <si>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</si>
  <si>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</si>
  <si>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</si>
  <si>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</si>
  <si>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</si>
  <si>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</si>
  <si>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</si>
  <si>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</si>
  <si>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</si>
  <si>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</si>
  <si>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</si>
  <si>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</si>
  <si>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</si>
  <si>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</si>
  <si>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</si>
  <si>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</si>
  <si>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</si>
  <si>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</si>
  <si>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</si>
  <si>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</si>
  <si>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</si>
  <si>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</si>
  <si>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</si>
  <si>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</si>
  <si>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</si>
  <si>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</si>
  <si>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</si>
  <si>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</si>
  <si>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</si>
  <si>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</si>
  <si>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</si>
  <si>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</si>
  <si>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</si>
  <si>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</si>
  <si>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</si>
  <si>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</si>
  <si>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</si>
  <si>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</si>
  <si>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</si>
  <si>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</si>
  <si>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</si>
  <si>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</si>
  <si>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</si>
  <si>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</si>
  <si>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</si>
  <si>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</si>
  <si>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</si>
  <si>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</si>
  <si>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</si>
  <si>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</si>
  <si>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</si>
  <si>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</si>
  <si>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</si>
  <si>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</si>
  <si>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</si>
  <si>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</si>
  <si>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</si>
  <si>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</si>
  <si>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</si>
  <si>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</si>
  <si>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</si>
  <si>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</si>
  <si>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</si>
  <si>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</si>
  <si>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</si>
  <si>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</si>
  <si>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</si>
  <si>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</si>
  <si>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</si>
  <si>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</si>
  <si>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</si>
  <si>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</si>
  <si>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</si>
  <si>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</si>
  <si>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</si>
  <si>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</si>
  <si>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</si>
  <si>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</si>
  <si>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</si>
  <si>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</si>
  <si>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</si>
  <si>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</si>
  <si>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</si>
  <si>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</si>
  <si>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</si>
  <si>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</si>
  <si>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</si>
  <si>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</si>
  <si>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</si>
  <si>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</si>
  <si>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</si>
  <si>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</si>
  <si>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</si>
  <si>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</si>
  <si>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</si>
  <si>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</si>
  <si>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</si>
  <si>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</si>
  <si>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</si>
  <si>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</si>
  <si>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</si>
  <si>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</si>
  <si>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</si>
  <si>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</si>
  <si>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</si>
  <si>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</si>
  <si>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</si>
  <si>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</si>
  <si>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</si>
  <si>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</si>
  <si>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</si>
  <si>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</si>
  <si>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</si>
  <si>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</si>
  <si>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</si>
  <si>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</si>
  <si>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</si>
  <si>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</si>
  <si>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</si>
  <si>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</si>
  <si>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</si>
  <si>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</si>
  <si>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</si>
  <si>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</si>
  <si>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</si>
  <si>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</si>
  <si>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</si>
  <si>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</si>
  <si>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</si>
  <si>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</si>
  <si>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</si>
  <si>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</si>
  <si>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</si>
  <si>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</si>
  <si>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</si>
  <si>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</si>
  <si>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</si>
  <si>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</si>
  <si>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</si>
  <si>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</si>
  <si>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</si>
  <si>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</si>
  <si>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</si>
  <si>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</si>
  <si>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</si>
  <si>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</si>
  <si>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</si>
  <si>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</si>
  <si>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</si>
  <si>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</si>
  <si>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</si>
  <si>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</si>
  <si>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</si>
  <si>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</si>
  <si>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</si>
  <si>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</si>
  <si>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</si>
  <si>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</si>
  <si>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</si>
  <si>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</si>
  <si>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</si>
  <si>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</si>
  <si>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</si>
  <si>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</si>
  <si>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</si>
  <si>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</si>
  <si>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</si>
  <si>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</si>
  <si>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</si>
  <si>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</si>
  <si>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</si>
  <si>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</si>
  <si>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</si>
  <si>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</si>
  <si>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</si>
  <si>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</si>
  <si>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</si>
  <si>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</si>
  <si>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</si>
  <si>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</si>
  <si>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</si>
  <si>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</si>
  <si>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</si>
  <si>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</si>
  <si>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</si>
  <si>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</si>
  <si>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</si>
  <si>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</si>
  <si>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</si>
  <si>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</si>
  <si>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</si>
  <si>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</si>
  <si>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</si>
  <si>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</si>
  <si>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</si>
  <si>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</si>
  <si>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</si>
  <si>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</si>
  <si>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</si>
  <si>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</si>
  <si>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PC 18</t>
  </si>
  <si>
    <t>PC 20</t>
  </si>
  <si>
    <t>PC 21</t>
  </si>
  <si>
    <t>PC 22</t>
  </si>
  <si>
    <t>PC 23</t>
  </si>
  <si>
    <t>PC 24</t>
  </si>
  <si>
    <t>PC 25</t>
  </si>
  <si>
    <t>PC 26</t>
  </si>
  <si>
    <t>PC 27</t>
  </si>
  <si>
    <t>PC 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</si>
</sst>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62385151</v>
      </c>
      <c r="D35" s="13">
        <f>IFERROR(SUM(D4:D34),"")</f>
        <v>23768360</v>
      </c>
      <c r="E35" s="13">
        <f>IFERROR(SUM(E4:E34),"")</f>
        <v>13840110</v>
      </c>
      <c r="F35" s="13">
        <f>IFERROR(SUM(F4:F34),"")</f>
        <v>27641240</v>
      </c>
      <c r="G35" s="13">
        <f>IFERROR(SUM(G4:G34),"")</f>
        <v>65249710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24" activePane="bottomLeft" state="frozen"/>
      <selection pane="bottomLeft" activeCell="K543" sqref="K54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>
        <v>0.30208333333333331</v>
      </c>
      <c r="L542" s="29"/>
      <c r="M542" s="30">
        <f t="shared" ref="M542:M553" ca="1" si="121">IFERROR(IF(K542="","",IF(L542="",MOD(NOW()-K542,1),IF(L542&gt;=K542,L542-K542,L542+1-K542))),"")</f>
        <v>1.4660532404377591E-2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1.4660532404377591E-2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1.4660532404377591E-2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13" activePane="bottomLeft" state="frozen"/>
      <selection pane="bottomLeft" activeCell="E553" sqref="E5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7.7160532404377591E-2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0.23479942129326647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0.34452164351548864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5.563275462918682E-2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0.22646608796252019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0.37160497685140903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/>
      <c r="G542" s="28" t="str">
        <f t="shared" ref="G542:G553" si="120">IF(F542="","",IF(E542="PC 17",F542*4.2,IF(E542="PC 19",F542*5,"")))</f>
        <v/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255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255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1.1805555555555569E-2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1.1805555555555569E-2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17" zoomScale="50" zoomScaleNormal="50" workbookViewId="0">
      <selection activeCell="E553" sqref="E5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93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271</v>
      </c>
      <c r="K141" s="29">
        <v>0.71597222222222223</v>
      </c>
      <c r="L141" s="29" t="s">
        <v>307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309</v>
      </c>
      <c r="N166" s="27" t="s">
        <v>310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255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255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24" activePane="bottomLeft" state="frozen"/>
      <selection pane="bottomLeft" activeCell="E542" sqref="E542:E55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329</v>
      </c>
      <c r="L58" s="29">
        <v>0.54097222222222219</v>
      </c>
      <c r="M58" s="30" t="str">
        <f t="shared" ca="1" si="13"/>
        <v/>
      </c>
      <c r="N58" s="27" t="s">
        <v>330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6.7438310186844319E-2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0.26674386574239994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0.63410497685351097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>
        <v>0.30902777777777779</v>
      </c>
      <c r="L542" s="29"/>
      <c r="M542" s="30">
        <f t="shared" ref="M542:M553" ca="1" si="121">IFERROR(IF(K542="","",IF(L542="",MOD(NOW()-K542,1),IF(L542&gt;=K542,L542-K542,L542+1-K542))),"")</f>
        <v>7.7160879591247067E-3</v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364</v>
      </c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365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366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367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368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369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370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371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372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373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7.7160879591247067E-3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7.7160879591247067E-3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2026-07-21T11:37:44Z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