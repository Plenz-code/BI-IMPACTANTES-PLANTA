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29" documentId="8_{AF585B22-221D-4780-BB9C-493D365A6A02}" xr6:coauthVersionLast="47" xr6:coauthVersionMax="47" xr10:uidLastSave="{B2E776D6-7368-49B5-AE61-AC2C15824F8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<sst xmlns="http://schemas.openxmlformats.org/spreadsheetml/2006/main" count="12509" uniqueCount="443">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</sst>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I827" sqref="I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0.67257685185177252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0.8302157407406614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0.93993796296288357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0.65104907407658175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0.82188240740991514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0.96702129629880407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25</v>
      </c>
      <c r="G827" s="104">
        <f>IF(F827="","",IF(E827="PC 17",F827*4.2,IF(E827="PC 19",F827*5,"")))</f>
        <v>105</v>
      </c>
      <c r="H827" s="81" t="s">
        <v>19</v>
      </c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60</v>
      </c>
      <c r="G837" s="109">
        <f>SUM(G825:G836)</f>
        <v>264.8</v>
      </c>
      <c r="H837" s="37"/>
      <c r="I837" s="37"/>
      <c r="J837" s="37"/>
      <c r="K837" s="37"/>
      <c r="L837" s="37"/>
      <c r="M837" s="110">
        <f ca="1">IFERROR(SUM(M825:M836),"")</f>
        <v>7.6388888888888618E-3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229</v>
      </c>
      <c r="G838" s="111">
        <f>G824+G837</f>
        <v>974.60000000000014</v>
      </c>
      <c r="H838" s="41"/>
      <c r="I838" s="41"/>
      <c r="J838" s="41"/>
      <c r="K838" s="41"/>
      <c r="L838" s="41"/>
      <c r="M838" s="112">
        <f ca="1">IFERROR(M824+M837,"")</f>
        <v>0.11249999999999999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15</v>
      </c>
      <c r="G827" s="104">
        <f>IF(F827="","",IF(E827="PC 17",F827*4.2,IF(E827="PC 19",F827*5,"")))</f>
        <v>63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33</v>
      </c>
      <c r="G837" s="109">
        <f>SUM(G825:G836)</f>
        <v>147.4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128</v>
      </c>
      <c r="G838" s="111">
        <f>G824+G837</f>
        <v>546.4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27" sqref="F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0.66285462963423925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0.86216018518979487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1.2295212963009059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20</v>
      </c>
      <c r="G837" s="109">
        <f>SUM(G825:G836)</f>
        <v>84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139</v>
      </c>
      <c r="G838" s="111">
        <f>G824+G837</f>
        <v>583.80000000000007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2026-08-01T01:53:41Z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