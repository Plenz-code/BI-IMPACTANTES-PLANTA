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112" documentId="8_{AF585B22-221D-4780-BB9C-493D365A6A02}" xr6:coauthVersionLast="47" xr6:coauthVersionMax="47" xr10:uidLastSave="{939A6AA2-B61F-48A4-A792-98D7DD6B5448}"/>
  <bookViews>
    <workbookView xWindow="-110" yWindow="-110" windowWidth="25820" windowHeight="1550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<sst xmlns="http://schemas.openxmlformats.org/spreadsheetml/2006/main" count="5511" uniqueCount="307">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</sst>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10" fillId="3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4" sqref="G4:G15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36763228</v>
      </c>
      <c r="D35" s="13">
        <f>IFERROR(SUM(D4:D34),"")</f>
        <v>12990250</v>
      </c>
      <c r="E35" s="13">
        <f>IFERROR(SUM(E4:E34),"")</f>
        <v>9191510</v>
      </c>
      <c r="F35" s="13">
        <f>IFERROR(SUM(F4:F34),"")</f>
        <v>16638500</v>
      </c>
      <c r="G35" s="13">
        <f>IFERROR(SUM(G4:G34),"")</f>
        <v>38820260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K65" sqref="K6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 t="s">
        <v>202</v>
      </c>
      <c r="L63" s="17"/>
      <c r="M63" s="17"/>
    </row>
    <row r="64" spans="1:13" ht="15" customHeight="1">
      <c r="H64" s="101"/>
      <c r="I64" s="16"/>
      <c r="J64" s="16"/>
      <c r="K64" s="16" t="s">
        <v>203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79" activePane="bottomLeft" state="frozen"/>
      <selection pane="bottomLeft" activeCell="F329" sqref="F32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214</v>
      </c>
      <c r="E2" s="59" t="s">
        <v>215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217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219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218</v>
      </c>
      <c r="O27" s="39">
        <v>1183060</v>
      </c>
    </row>
    <row r="28" spans="1:15" ht="18" customHeight="1">
      <c r="A28" s="91" t="s">
        <v>220</v>
      </c>
      <c r="B28" s="92"/>
      <c r="C28" s="92"/>
      <c r="D28" s="92"/>
      <c r="E28" s="9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217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219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218</v>
      </c>
      <c r="O54" s="39">
        <v>959290</v>
      </c>
    </row>
    <row r="55" spans="1:15" ht="18" customHeight="1">
      <c r="A55" s="91" t="s">
        <v>220</v>
      </c>
      <c r="B55" s="92"/>
      <c r="C55" s="92"/>
      <c r="D55" s="92"/>
      <c r="E55" s="9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217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219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218</v>
      </c>
      <c r="O81" s="39">
        <v>878050</v>
      </c>
    </row>
    <row r="82" spans="1:15" ht="18" customHeight="1">
      <c r="A82" s="91" t="s">
        <v>220</v>
      </c>
      <c r="B82" s="92"/>
      <c r="C82" s="92"/>
      <c r="D82" s="92"/>
      <c r="E82" s="9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217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219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218</v>
      </c>
      <c r="O108" s="39">
        <v>1700000</v>
      </c>
    </row>
    <row r="109" spans="1:15" ht="18" customHeight="1">
      <c r="A109" s="91" t="s">
        <v>220</v>
      </c>
      <c r="B109" s="92"/>
      <c r="C109" s="92"/>
      <c r="D109" s="92"/>
      <c r="E109" s="9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217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219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218</v>
      </c>
      <c r="O135" s="39">
        <v>862330</v>
      </c>
    </row>
    <row r="136" spans="1:15" ht="18" customHeight="1">
      <c r="A136" s="91" t="s">
        <v>220</v>
      </c>
      <c r="B136" s="92"/>
      <c r="C136" s="92"/>
      <c r="D136" s="92"/>
      <c r="E136" s="9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217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219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218</v>
      </c>
      <c r="O162" s="44">
        <v>1546080</v>
      </c>
    </row>
    <row r="163" spans="1:15" ht="18" customHeight="1">
      <c r="A163" s="91" t="s">
        <v>220</v>
      </c>
      <c r="B163" s="92"/>
      <c r="C163" s="92"/>
      <c r="D163" s="92"/>
      <c r="E163" s="9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217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219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218</v>
      </c>
      <c r="O189" s="39">
        <v>2355810</v>
      </c>
    </row>
    <row r="190" spans="1:15" ht="18" customHeight="1">
      <c r="A190" s="91" t="s">
        <v>220</v>
      </c>
      <c r="B190" s="92"/>
      <c r="C190" s="92"/>
      <c r="D190" s="92"/>
      <c r="E190" s="9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217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219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218</v>
      </c>
      <c r="O216" s="45">
        <v>2013260</v>
      </c>
    </row>
    <row r="217" spans="1:15" ht="18" customHeight="1">
      <c r="A217" s="91" t="s">
        <v>220</v>
      </c>
      <c r="B217" s="92"/>
      <c r="C217" s="92"/>
      <c r="D217" s="92"/>
      <c r="E217" s="9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217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219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218</v>
      </c>
      <c r="O243" s="39">
        <v>1545480</v>
      </c>
    </row>
    <row r="244" spans="1:15" ht="18" customHeight="1">
      <c r="A244" s="91" t="s">
        <v>220</v>
      </c>
      <c r="B244" s="92"/>
      <c r="C244" s="92"/>
      <c r="D244" s="92"/>
      <c r="E244" s="9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217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219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218</v>
      </c>
      <c r="O270" s="39">
        <v>1182690</v>
      </c>
    </row>
    <row r="271" spans="1:15" ht="18" customHeight="1">
      <c r="A271" s="91" t="s">
        <v>220</v>
      </c>
      <c r="B271" s="92"/>
      <c r="C271" s="92"/>
      <c r="D271" s="92"/>
      <c r="E271" s="9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217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229</v>
      </c>
      <c r="O296" s="47"/>
    </row>
    <row r="297" spans="1:15" ht="15.75" customHeight="1">
      <c r="A297" s="94" t="s">
        <v>219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218</v>
      </c>
      <c r="O297" s="39">
        <v>1843460</v>
      </c>
    </row>
    <row r="298" spans="1:15" ht="18" customHeight="1">
      <c r="A298" s="91" t="s">
        <v>220</v>
      </c>
      <c r="B298" s="92"/>
      <c r="C298" s="92"/>
      <c r="D298" s="92"/>
      <c r="E298" s="9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215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231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215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215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215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217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103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218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215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215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232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232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232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215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232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219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>
        <v>1940000</v>
      </c>
    </row>
    <row r="325" spans="1:15" ht="18" customHeight="1">
      <c r="A325" s="91" t="s">
        <v>220</v>
      </c>
      <c r="B325" s="92"/>
      <c r="C325" s="92"/>
      <c r="D325" s="92"/>
      <c r="E325" s="9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221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215</v>
      </c>
      <c r="F326" s="27">
        <v>18</v>
      </c>
      <c r="G326" s="28">
        <f t="shared" ref="G326:G337" si="72">IF(F326="","",IF(E326="PC 17",F326*4.2,IF(E326="PC 19",F326*5,"")))</f>
        <v>90</v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215</v>
      </c>
      <c r="F327" s="27">
        <v>60</v>
      </c>
      <c r="G327" s="34">
        <f t="shared" si="72"/>
        <v>300</v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215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215</v>
      </c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215</v>
      </c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215</v>
      </c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215</v>
      </c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215</v>
      </c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215</v>
      </c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215</v>
      </c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215</v>
      </c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215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217</v>
      </c>
      <c r="B338" s="95"/>
      <c r="C338" s="95"/>
      <c r="D338" s="95"/>
      <c r="E338" s="96">
        <f>SUM(E326:E337)</f>
        <v>0</v>
      </c>
      <c r="F338" s="36">
        <f>SUM(F326:F337)</f>
        <v>116</v>
      </c>
      <c r="G338" s="36">
        <f>SUM(G326:G337)</f>
        <v>580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219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1" t="s">
        <v>220</v>
      </c>
      <c r="B352" s="92"/>
      <c r="C352" s="92"/>
      <c r="D352" s="92"/>
      <c r="E352" s="93">
        <f>E338+E351</f>
        <v>0</v>
      </c>
      <c r="F352" s="40">
        <f>F338+F351</f>
        <v>116</v>
      </c>
      <c r="G352" s="40">
        <f>G338+G351</f>
        <v>580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217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219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1" t="s">
        <v>220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217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219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1" t="s">
        <v>220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217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219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1" t="s">
        <v>220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217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219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1" t="s">
        <v>220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217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219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1" t="s">
        <v>220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217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219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1" t="s">
        <v>220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217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219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1" t="s">
        <v>220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217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219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1" t="s">
        <v>220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217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219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1" t="s">
        <v>220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217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219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1" t="s">
        <v>220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217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219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1" t="s">
        <v>220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217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219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1" t="s">
        <v>220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217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219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1" t="s">
        <v>220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217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219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1" t="s">
        <v>220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217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219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1" t="s">
        <v>220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217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219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1" t="s">
        <v>220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217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219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1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01" activePane="bottomLeft" state="frozen"/>
      <selection pane="bottomLeft" activeCell="F329" sqref="F32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217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219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218</v>
      </c>
      <c r="O27" s="78">
        <v>393200</v>
      </c>
    </row>
    <row r="28" spans="1:15" ht="18" customHeight="1">
      <c r="A28" s="91" t="s">
        <v>220</v>
      </c>
      <c r="B28" s="92"/>
      <c r="C28" s="92"/>
      <c r="D28" s="92"/>
      <c r="E28" s="9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217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219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85">
        <v>276360</v>
      </c>
    </row>
    <row r="55" spans="1:15" ht="18" customHeight="1">
      <c r="A55" s="91" t="s">
        <v>220</v>
      </c>
      <c r="B55" s="92"/>
      <c r="C55" s="92"/>
      <c r="D55" s="92"/>
      <c r="E55" s="9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217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219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218</v>
      </c>
      <c r="O81" s="54">
        <v>787860</v>
      </c>
    </row>
    <row r="82" spans="1:15" ht="18" customHeight="1">
      <c r="A82" s="91" t="s">
        <v>220</v>
      </c>
      <c r="B82" s="92"/>
      <c r="C82" s="92"/>
      <c r="D82" s="92"/>
      <c r="E82" s="9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217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219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218</v>
      </c>
      <c r="O108" s="54">
        <v>1087080</v>
      </c>
    </row>
    <row r="109" spans="1:15" ht="18" customHeight="1">
      <c r="A109" s="91" t="s">
        <v>220</v>
      </c>
      <c r="B109" s="92"/>
      <c r="C109" s="92"/>
      <c r="D109" s="92"/>
      <c r="E109" s="9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217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219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218</v>
      </c>
      <c r="O135" s="54">
        <v>794480</v>
      </c>
    </row>
    <row r="136" spans="1:15" ht="18" customHeight="1">
      <c r="A136" s="91" t="s">
        <v>220</v>
      </c>
      <c r="B136" s="92"/>
      <c r="C136" s="92"/>
      <c r="D136" s="92"/>
      <c r="E136" s="9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217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219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218</v>
      </c>
      <c r="O162" s="54">
        <v>882280</v>
      </c>
    </row>
    <row r="163" spans="1:15" ht="18" customHeight="1">
      <c r="A163" s="91" t="s">
        <v>220</v>
      </c>
      <c r="B163" s="92"/>
      <c r="C163" s="92"/>
      <c r="D163" s="92"/>
      <c r="E163" s="9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217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219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218</v>
      </c>
      <c r="O189" s="78"/>
    </row>
    <row r="190" spans="1:15" ht="18" customHeight="1">
      <c r="A190" s="91" t="s">
        <v>220</v>
      </c>
      <c r="B190" s="92"/>
      <c r="C190" s="92"/>
      <c r="D190" s="92"/>
      <c r="E190" s="9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217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219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218</v>
      </c>
      <c r="O216" s="78">
        <v>648410</v>
      </c>
    </row>
    <row r="217" spans="1:15" ht="18" customHeight="1">
      <c r="A217" s="91" t="s">
        <v>220</v>
      </c>
      <c r="B217" s="92"/>
      <c r="C217" s="92"/>
      <c r="D217" s="92"/>
      <c r="E217" s="9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219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218</v>
      </c>
      <c r="O243" s="78">
        <v>849060</v>
      </c>
    </row>
    <row r="244" spans="1:15" ht="18" customHeight="1">
      <c r="A244" s="91" t="s">
        <v>220</v>
      </c>
      <c r="B244" s="92"/>
      <c r="C244" s="92"/>
      <c r="D244" s="92"/>
      <c r="E244" s="9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217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219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218</v>
      </c>
      <c r="O270" s="78">
        <v>625070</v>
      </c>
    </row>
    <row r="271" spans="1:15" ht="18" customHeight="1">
      <c r="A271" s="91" t="s">
        <v>220</v>
      </c>
      <c r="B271" s="92"/>
      <c r="C271" s="92"/>
      <c r="D271" s="92"/>
      <c r="E271" s="9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256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257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217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219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218</v>
      </c>
      <c r="O297" s="78">
        <v>761660</v>
      </c>
    </row>
    <row r="298" spans="1:15" ht="18" customHeight="1">
      <c r="A298" s="91" t="s">
        <v>220</v>
      </c>
      <c r="B298" s="92"/>
      <c r="C298" s="92"/>
      <c r="D298" s="92"/>
      <c r="E298" s="9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259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259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217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218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260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215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219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218</v>
      </c>
      <c r="O324" s="78">
        <v>524410</v>
      </c>
    </row>
    <row r="325" spans="1:15" ht="18" customHeight="1">
      <c r="A325" s="91" t="s">
        <v>220</v>
      </c>
      <c r="B325" s="92"/>
      <c r="C325" s="92"/>
      <c r="D325" s="92"/>
      <c r="E325" s="9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221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15</v>
      </c>
      <c r="G327" s="34">
        <f t="shared" si="72"/>
        <v>63</v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>
        <v>10</v>
      </c>
      <c r="G328" s="28">
        <f t="shared" si="72"/>
        <v>42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217</v>
      </c>
      <c r="B338" s="95"/>
      <c r="C338" s="95"/>
      <c r="D338" s="95"/>
      <c r="E338" s="96">
        <f>SUM(E326:E337)</f>
        <v>0</v>
      </c>
      <c r="F338" s="36">
        <f>SUM(F326:F337)</f>
        <v>45</v>
      </c>
      <c r="G338" s="36">
        <f>SUM(G326:G337)</f>
        <v>189</v>
      </c>
      <c r="H338" s="37"/>
      <c r="I338" s="37"/>
      <c r="J338" s="37"/>
      <c r="K338" s="37"/>
      <c r="L338" s="37"/>
      <c r="M338" s="38">
        <f ca="1">IFERROR(SUM(M326:M337),"")</f>
        <v>1.8055555555555547E-2</v>
      </c>
      <c r="N338" s="36" t="s">
        <v>218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219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78"/>
    </row>
    <row r="352" spans="1:15" ht="18" customHeight="1">
      <c r="A352" s="91" t="s">
        <v>220</v>
      </c>
      <c r="B352" s="92"/>
      <c r="C352" s="92"/>
      <c r="D352" s="92"/>
      <c r="E352" s="93">
        <f>E338+E351</f>
        <v>0</v>
      </c>
      <c r="F352" s="40">
        <f>F338+F351</f>
        <v>45</v>
      </c>
      <c r="G352" s="40">
        <f>G338+G351</f>
        <v>189</v>
      </c>
      <c r="H352" s="41"/>
      <c r="I352" s="41"/>
      <c r="J352" s="41"/>
      <c r="K352" s="41"/>
      <c r="L352" s="41"/>
      <c r="M352" s="42">
        <f ca="1">IFERROR(M338+M351,"")</f>
        <v>1.8055555555555547E-2</v>
      </c>
      <c r="N352" s="40" t="s">
        <v>221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217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219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78"/>
    </row>
    <row r="379" spans="1:15" ht="18" customHeight="1">
      <c r="A379" s="91" t="s">
        <v>220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217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219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78"/>
    </row>
    <row r="406" spans="1:15" ht="18" customHeight="1">
      <c r="A406" s="91" t="s">
        <v>220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217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219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78"/>
    </row>
    <row r="433" spans="1:15" ht="18" customHeight="1">
      <c r="A433" s="91" t="s">
        <v>220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217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219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78"/>
    </row>
    <row r="460" spans="1:15" ht="18" customHeight="1">
      <c r="A460" s="91" t="s">
        <v>220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217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219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78"/>
    </row>
    <row r="487" spans="1:15" ht="18" customHeight="1">
      <c r="A487" s="91" t="s">
        <v>220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217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219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78"/>
    </row>
    <row r="514" spans="1:15" ht="18" customHeight="1">
      <c r="A514" s="91" t="s">
        <v>220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217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219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78"/>
    </row>
    <row r="541" spans="1:15" ht="18" customHeight="1">
      <c r="A541" s="91" t="s">
        <v>220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217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219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78"/>
    </row>
    <row r="568" spans="1:15" ht="18" customHeight="1">
      <c r="A568" s="91" t="s">
        <v>220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217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219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78"/>
    </row>
    <row r="595" spans="1:15" ht="18" customHeight="1">
      <c r="A595" s="91" t="s">
        <v>220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217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219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78"/>
    </row>
    <row r="622" spans="1:15" ht="18" customHeight="1">
      <c r="A622" s="91" t="s">
        <v>220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217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219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78"/>
    </row>
    <row r="649" spans="1:15" ht="18" customHeight="1">
      <c r="A649" s="91" t="s">
        <v>220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217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219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78"/>
    </row>
    <row r="676" spans="1:15" ht="18" customHeight="1">
      <c r="A676" s="91" t="s">
        <v>220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217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219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78"/>
    </row>
    <row r="703" spans="1:15" ht="18" customHeight="1">
      <c r="A703" s="91" t="s">
        <v>220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217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219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78"/>
    </row>
    <row r="730" spans="1:15" ht="18" customHeight="1">
      <c r="A730" s="91" t="s">
        <v>220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217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219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1" t="s">
        <v>220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217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219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1" t="s">
        <v>220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217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219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1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305" zoomScale="50" zoomScaleNormal="50" workbookViewId="0">
      <selection activeCell="I328" sqref="I32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217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219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218</v>
      </c>
      <c r="O27" s="39">
        <v>308500</v>
      </c>
    </row>
    <row r="28" spans="1:15" ht="18" customHeight="1">
      <c r="A28" s="91" t="s">
        <v>220</v>
      </c>
      <c r="B28" s="92"/>
      <c r="C28" s="92"/>
      <c r="D28" s="92"/>
      <c r="E28" s="9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217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219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39">
        <v>124290</v>
      </c>
    </row>
    <row r="55" spans="1:15" ht="18" customHeight="1">
      <c r="A55" s="91" t="s">
        <v>220</v>
      </c>
      <c r="B55" s="92"/>
      <c r="C55" s="92"/>
      <c r="D55" s="92"/>
      <c r="E55" s="9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265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217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266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219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218</v>
      </c>
      <c r="O81" s="39">
        <v>396340</v>
      </c>
    </row>
    <row r="82" spans="1:15" ht="18" customHeight="1">
      <c r="A82" s="91" t="s">
        <v>220</v>
      </c>
      <c r="B82" s="92"/>
      <c r="C82" s="92"/>
      <c r="D82" s="92"/>
      <c r="E82" s="9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267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217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219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218</v>
      </c>
      <c r="O108" s="39">
        <v>41230</v>
      </c>
    </row>
    <row r="109" spans="1:15" ht="18" customHeight="1">
      <c r="A109" s="91" t="s">
        <v>220</v>
      </c>
      <c r="B109" s="92"/>
      <c r="C109" s="92"/>
      <c r="D109" s="92"/>
      <c r="E109" s="9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217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219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218</v>
      </c>
      <c r="O135" s="39">
        <v>381250</v>
      </c>
    </row>
    <row r="136" spans="1:15" ht="18" customHeight="1">
      <c r="A136" s="91" t="s">
        <v>220</v>
      </c>
      <c r="B136" s="92"/>
      <c r="C136" s="92"/>
      <c r="D136" s="92"/>
      <c r="E136" s="9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268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217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219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218</v>
      </c>
      <c r="O162" s="39">
        <v>337120</v>
      </c>
    </row>
    <row r="163" spans="1:15" ht="18" customHeight="1">
      <c r="A163" s="91" t="s">
        <v>220</v>
      </c>
      <c r="B163" s="92"/>
      <c r="C163" s="92"/>
      <c r="D163" s="92"/>
      <c r="E163" s="9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270</v>
      </c>
      <c r="N166" s="27" t="s">
        <v>271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217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219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218</v>
      </c>
      <c r="O189" s="39">
        <v>747210</v>
      </c>
    </row>
    <row r="190" spans="1:15" ht="18" customHeight="1">
      <c r="A190" s="91" t="s">
        <v>220</v>
      </c>
      <c r="B190" s="92"/>
      <c r="C190" s="92"/>
      <c r="D190" s="92"/>
      <c r="E190" s="9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272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217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219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218</v>
      </c>
      <c r="O216" s="39">
        <v>468430</v>
      </c>
    </row>
    <row r="217" spans="1:15" ht="18" customHeight="1">
      <c r="A217" s="91" t="s">
        <v>220</v>
      </c>
      <c r="B217" s="92"/>
      <c r="C217" s="92"/>
      <c r="D217" s="92"/>
      <c r="E217" s="9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217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219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218</v>
      </c>
      <c r="O243" s="39">
        <v>575930</v>
      </c>
    </row>
    <row r="244" spans="1:15" ht="18" customHeight="1">
      <c r="A244" s="91" t="s">
        <v>220</v>
      </c>
      <c r="B244" s="92"/>
      <c r="C244" s="92"/>
      <c r="D244" s="92"/>
      <c r="E244" s="9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233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233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233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217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273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274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219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218</v>
      </c>
      <c r="O270" s="39">
        <v>483510</v>
      </c>
    </row>
    <row r="271" spans="1:15" ht="18" customHeight="1">
      <c r="A271" s="91" t="s">
        <v>220</v>
      </c>
      <c r="B271" s="92"/>
      <c r="C271" s="92"/>
      <c r="D271" s="92"/>
      <c r="E271" s="9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217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275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276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219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218</v>
      </c>
      <c r="O297" s="39">
        <v>487980</v>
      </c>
    </row>
    <row r="298" spans="1:15" ht="18" customHeight="1">
      <c r="A298" s="91" t="s">
        <v>220</v>
      </c>
      <c r="B298" s="92"/>
      <c r="C298" s="92"/>
      <c r="D298" s="92"/>
      <c r="E298" s="9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277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217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218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278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279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215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219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218</v>
      </c>
      <c r="O324" s="39">
        <v>609460</v>
      </c>
    </row>
    <row r="325" spans="1:15" ht="18" customHeight="1">
      <c r="A325" s="91" t="s">
        <v>220</v>
      </c>
      <c r="B325" s="92"/>
      <c r="C325" s="92"/>
      <c r="D325" s="92"/>
      <c r="E325" s="9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221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280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/>
      <c r="M328" s="30">
        <f t="shared" ca="1" si="73"/>
        <v>1.9959490746259689E-3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217</v>
      </c>
      <c r="B338" s="95"/>
      <c r="C338" s="95"/>
      <c r="D338" s="95"/>
      <c r="E338" s="96">
        <f>SUM(E326:E337)</f>
        <v>0</v>
      </c>
      <c r="F338" s="36">
        <f>SUM(F326:F337)</f>
        <v>7</v>
      </c>
      <c r="G338" s="36">
        <f>SUM(G326:G337)</f>
        <v>29.400000000000002</v>
      </c>
      <c r="H338" s="37"/>
      <c r="I338" s="37"/>
      <c r="J338" s="37"/>
      <c r="K338" s="37"/>
      <c r="L338" s="37"/>
      <c r="M338" s="38">
        <f ca="1">IFERROR(SUM(M326:M337),"")</f>
        <v>5.4079282407959284E-2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219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1" t="s">
        <v>220</v>
      </c>
      <c r="B352" s="92"/>
      <c r="C352" s="92"/>
      <c r="D352" s="92"/>
      <c r="E352" s="93">
        <f>E338+E351</f>
        <v>0</v>
      </c>
      <c r="F352" s="40">
        <f>F338+F351</f>
        <v>7</v>
      </c>
      <c r="G352" s="40">
        <f>G338+G351</f>
        <v>29.400000000000002</v>
      </c>
      <c r="H352" s="41"/>
      <c r="I352" s="41"/>
      <c r="J352" s="41"/>
      <c r="K352" s="41"/>
      <c r="L352" s="41"/>
      <c r="M352" s="42">
        <f ca="1">IFERROR(M338+M351,"")</f>
        <v>5.4079282407959284E-2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217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219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1" t="s">
        <v>220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217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219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1" t="s">
        <v>220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217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219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1" t="s">
        <v>220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217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219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1" t="s">
        <v>220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217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219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1" t="s">
        <v>220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217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219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1" t="s">
        <v>220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217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219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1" t="s">
        <v>220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217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219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1" t="s">
        <v>220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217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219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1" t="s">
        <v>220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217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219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1" t="s">
        <v>220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217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219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1" t="s">
        <v>220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217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219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1" t="s">
        <v>220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217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219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1" t="s">
        <v>220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217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219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1" t="s">
        <v>220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217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219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1" t="s">
        <v>220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217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219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1" t="s">
        <v>220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217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219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1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02" activePane="bottomLeft" state="frozen"/>
      <selection pane="bottomLeft" activeCell="F329" sqref="F32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281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217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282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219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218</v>
      </c>
      <c r="O27" s="39">
        <v>202230</v>
      </c>
    </row>
    <row r="28" spans="1:15" ht="18" customHeight="1">
      <c r="A28" s="91" t="s">
        <v>220</v>
      </c>
      <c r="B28" s="92"/>
      <c r="C28" s="92"/>
      <c r="D28" s="92"/>
      <c r="E28" s="9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283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284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217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219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218</v>
      </c>
      <c r="O54" s="39">
        <v>473910</v>
      </c>
    </row>
    <row r="55" spans="1:15" ht="18" customHeight="1">
      <c r="A55" s="91" t="s">
        <v>220</v>
      </c>
      <c r="B55" s="92"/>
      <c r="C55" s="92"/>
      <c r="D55" s="92"/>
      <c r="E55" s="9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285</v>
      </c>
      <c r="L58" s="29">
        <v>0.54097222222222219</v>
      </c>
      <c r="M58" s="30" t="str">
        <f t="shared" ca="1" si="13"/>
        <v/>
      </c>
      <c r="N58" s="27" t="s">
        <v>286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217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262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287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288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289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290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219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218</v>
      </c>
      <c r="O81" s="39">
        <v>565120</v>
      </c>
    </row>
    <row r="82" spans="1:15" ht="18" customHeight="1">
      <c r="A82" s="91" t="s">
        <v>220</v>
      </c>
      <c r="B82" s="92"/>
      <c r="C82" s="92"/>
      <c r="D82" s="92"/>
      <c r="E82" s="9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291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217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219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218</v>
      </c>
      <c r="O108" s="39">
        <v>558590</v>
      </c>
    </row>
    <row r="109" spans="1:15" ht="18" customHeight="1">
      <c r="A109" s="91" t="s">
        <v>220</v>
      </c>
      <c r="B109" s="92"/>
      <c r="C109" s="92"/>
      <c r="D109" s="92"/>
      <c r="E109" s="9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292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217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293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294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0.18185706018994097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219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0.38116261574549659</v>
      </c>
      <c r="N135" s="36" t="s">
        <v>218</v>
      </c>
      <c r="O135" s="39">
        <v>729290</v>
      </c>
    </row>
    <row r="136" spans="1:18" ht="18" customHeight="1">
      <c r="A136" s="91" t="s">
        <v>220</v>
      </c>
      <c r="B136" s="92"/>
      <c r="C136" s="92"/>
      <c r="D136" s="92"/>
      <c r="E136" s="9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0.74852372685660762</v>
      </c>
      <c r="N136" s="40" t="s">
        <v>221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295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217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219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218</v>
      </c>
      <c r="O162" s="39">
        <v>697320</v>
      </c>
    </row>
    <row r="163" spans="1:15" ht="18" customHeight="1">
      <c r="A163" s="91" t="s">
        <v>220</v>
      </c>
      <c r="B163" s="92"/>
      <c r="C163" s="92"/>
      <c r="D163" s="92"/>
      <c r="E163" s="9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233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233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297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217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219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218</v>
      </c>
      <c r="O189" s="39">
        <v>973580</v>
      </c>
    </row>
    <row r="190" spans="1:15" ht="18" customHeight="1">
      <c r="A190" s="91" t="s">
        <v>220</v>
      </c>
      <c r="B190" s="92"/>
      <c r="C190" s="92"/>
      <c r="D190" s="92"/>
      <c r="E190" s="9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233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233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298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233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299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217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300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219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218</v>
      </c>
      <c r="O216" s="45">
        <v>1060630</v>
      </c>
    </row>
    <row r="217" spans="1:15" ht="18" customHeight="1">
      <c r="A217" s="91" t="s">
        <v>220</v>
      </c>
      <c r="B217" s="92"/>
      <c r="C217" s="92"/>
      <c r="D217" s="92"/>
      <c r="E217" s="9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301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302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217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304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219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218</v>
      </c>
      <c r="O243" s="39">
        <v>982340</v>
      </c>
    </row>
    <row r="244" spans="1:15" ht="18" customHeight="1">
      <c r="A244" s="91" t="s">
        <v>220</v>
      </c>
      <c r="B244" s="92"/>
      <c r="C244" s="92"/>
      <c r="D244" s="92"/>
      <c r="E244" s="9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305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217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219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218</v>
      </c>
      <c r="O270" s="39">
        <v>1208450</v>
      </c>
    </row>
    <row r="271" spans="1:15" ht="18" customHeight="1">
      <c r="A271" s="91" t="s">
        <v>220</v>
      </c>
      <c r="B271" s="92"/>
      <c r="C271" s="92"/>
      <c r="D271" s="92"/>
      <c r="E271" s="9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217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219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218</v>
      </c>
      <c r="O297" s="39">
        <v>1049090</v>
      </c>
    </row>
    <row r="298" spans="1:15" ht="18" customHeight="1">
      <c r="A298" s="91" t="s">
        <v>220</v>
      </c>
      <c r="B298" s="92"/>
      <c r="C298" s="92"/>
      <c r="D298" s="92"/>
      <c r="E298" s="9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306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202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203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217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218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215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242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215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219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218</v>
      </c>
      <c r="O324" s="39">
        <v>1063720</v>
      </c>
    </row>
    <row r="325" spans="1:15" ht="18" customHeight="1">
      <c r="A325" s="91" t="s">
        <v>220</v>
      </c>
      <c r="B325" s="92"/>
      <c r="C325" s="92"/>
      <c r="D325" s="92"/>
      <c r="E325" s="9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221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233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20</v>
      </c>
      <c r="G327" s="34">
        <v>84</v>
      </c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233</v>
      </c>
      <c r="F328" s="27">
        <v>20</v>
      </c>
      <c r="G328" s="28">
        <f t="shared" ref="G328:G337" si="74">IF(F328="","",IF(E328="PC 17",F328*4.2,IF(E328="PC 19",F328*5,"")))</f>
        <v>84</v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233</v>
      </c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233</v>
      </c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233</v>
      </c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233</v>
      </c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233</v>
      </c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233</v>
      </c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233</v>
      </c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233</v>
      </c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233</v>
      </c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217</v>
      </c>
      <c r="B338" s="95"/>
      <c r="C338" s="95"/>
      <c r="D338" s="95"/>
      <c r="E338" s="96">
        <f>SUM(E327:E337)</f>
        <v>0</v>
      </c>
      <c r="F338" s="36">
        <f>SUM(F326:F337)</f>
        <v>60</v>
      </c>
      <c r="G338" s="36">
        <f>SUM(G326:G337)</f>
        <v>252</v>
      </c>
      <c r="H338" s="37"/>
      <c r="I338" s="37"/>
      <c r="J338" s="37"/>
      <c r="K338" s="61"/>
      <c r="L338" s="61"/>
      <c r="M338" s="38">
        <f ca="1">IFERROR(SUM(M326:M337),"")</f>
        <v>2.7777777777777679E-3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219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1" t="s">
        <v>220</v>
      </c>
      <c r="B352" s="92"/>
      <c r="C352" s="92"/>
      <c r="D352" s="92"/>
      <c r="E352" s="93">
        <f>E338+E351</f>
        <v>0</v>
      </c>
      <c r="F352" s="40">
        <f>F338+F351</f>
        <v>60</v>
      </c>
      <c r="G352" s="40">
        <f>G338+G351</f>
        <v>252</v>
      </c>
      <c r="H352" s="41"/>
      <c r="I352" s="41"/>
      <c r="J352" s="41"/>
      <c r="K352" s="63"/>
      <c r="L352" s="63"/>
      <c r="M352" s="42">
        <f ca="1">IFERROR(M338+M351,"")</f>
        <v>2.7777777777777679E-3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4" t="s">
        <v>217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4" t="s">
        <v>219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1" t="s">
        <v>220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217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219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1" t="s">
        <v>220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217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219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218</v>
      </c>
      <c r="O432" s="39"/>
    </row>
    <row r="433" spans="1:17" ht="18" customHeight="1">
      <c r="A433" s="91" t="s">
        <v>220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217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219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1" t="s">
        <v>220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217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219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1" t="s">
        <v>220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217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219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1" t="s">
        <v>220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217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219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1" t="s">
        <v>220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217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219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1" t="s">
        <v>220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217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219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1" t="s">
        <v>220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217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219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1" t="s">
        <v>220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217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219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1" t="s">
        <v>220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217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219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1" t="s">
        <v>220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217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219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1" t="s">
        <v>220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217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219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1" t="s">
        <v>220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217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219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1" t="s">
        <v>220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217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219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1" t="s">
        <v>220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217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219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1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2026-07-13T14:21:23Z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