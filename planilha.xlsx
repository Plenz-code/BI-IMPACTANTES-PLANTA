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62" documentId="8_{AF585B22-221D-4780-BB9C-493D365A6A02}" xr6:coauthVersionLast="47" xr6:coauthVersionMax="47" xr10:uidLastSave="{70BAFA0F-D21E-4854-9E9B-4B7E9035ABAB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<sst xmlns="http://schemas.openxmlformats.org/spreadsheetml/2006/main" count="5523" uniqueCount="308">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</sst>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3" sqref="F33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234</v>
      </c>
      <c r="G338" s="36">
        <f>SUM(G326:G337)</f>
        <v>1170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234</v>
      </c>
      <c r="G352" s="40">
        <f>G338+G351</f>
        <v>1170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95" activePane="bottomLeft" state="frozen"/>
      <selection pane="bottomLeft" activeCell="F333" sqref="F3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115</v>
      </c>
      <c r="G338" s="36">
        <f>SUM(G326:G337)</f>
        <v>492.6</v>
      </c>
      <c r="H338" s="37"/>
      <c r="I338" s="37"/>
      <c r="J338" s="37"/>
      <c r="K338" s="37"/>
      <c r="L338" s="37"/>
      <c r="M338" s="38">
        <f ca="1">IFERROR(SUM(M326:M337),"")</f>
        <v>2.3611111111111083E-2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115</v>
      </c>
      <c r="G352" s="40">
        <f>G338+G351</f>
        <v>492.6</v>
      </c>
      <c r="H352" s="41"/>
      <c r="I352" s="41"/>
      <c r="J352" s="41"/>
      <c r="K352" s="41"/>
      <c r="L352" s="41"/>
      <c r="M352" s="42">
        <f ca="1">IFERROR(M338+M351,"")</f>
        <v>2.3611111111111083E-2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05" zoomScale="50" zoomScaleNormal="50" workbookViewId="0">
      <selection activeCell="F333" sqref="F3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/>
      <c r="M329" s="35">
        <f t="shared" ca="1" si="73"/>
        <v>0.13422384259320097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>
        <v>0</v>
      </c>
      <c r="G331" s="34">
        <f t="shared" si="72"/>
        <v>0</v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>
        <v>0</v>
      </c>
      <c r="G332" s="28">
        <f t="shared" si="72"/>
        <v>0</v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12</v>
      </c>
      <c r="G338" s="36">
        <f>SUM(G326:G337)</f>
        <v>50.400000000000006</v>
      </c>
      <c r="H338" s="37"/>
      <c r="I338" s="37"/>
      <c r="J338" s="37"/>
      <c r="K338" s="37"/>
      <c r="L338" s="37"/>
      <c r="M338" s="38">
        <f ca="1">IFERROR(SUM(M326:M337),"")</f>
        <v>0.19116828703764543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12</v>
      </c>
      <c r="G352" s="40">
        <f>G338+G351</f>
        <v>50.400000000000006</v>
      </c>
      <c r="H352" s="41"/>
      <c r="I352" s="41"/>
      <c r="J352" s="41"/>
      <c r="K352" s="41"/>
      <c r="L352" s="41"/>
      <c r="M352" s="42">
        <f ca="1">IFERROR(M338+M351,"")</f>
        <v>0.19116828703764543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33" sqref="F33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0.3432516203756677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0.54255717593122332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0.90991828704233435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132</v>
      </c>
      <c r="G338" s="36">
        <f>SUM(G326:G337)</f>
        <v>566.4</v>
      </c>
      <c r="H338" s="37"/>
      <c r="I338" s="37"/>
      <c r="J338" s="37"/>
      <c r="K338" s="61"/>
      <c r="L338" s="61"/>
      <c r="M338" s="38">
        <f ca="1">IFERROR(SUM(M326:M337),"")</f>
        <v>4.2361111111111072E-2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132</v>
      </c>
      <c r="G352" s="40">
        <f>G338+G351</f>
        <v>566.4</v>
      </c>
      <c r="H352" s="41"/>
      <c r="I352" s="41"/>
      <c r="J352" s="41"/>
      <c r="K352" s="63"/>
      <c r="L352" s="63"/>
      <c r="M352" s="42">
        <f ca="1">IFERROR(M338+M351,"")</f>
        <v>4.2361111111111072E-2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2026-07-13T18:13:49Z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