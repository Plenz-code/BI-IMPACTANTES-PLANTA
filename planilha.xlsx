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01" documentId="13_ncr:1_{A6DBCFB4-28D9-4249-9038-216934055CA6}" xr6:coauthVersionLast="47" xr6:coauthVersionMax="47" xr10:uidLastSave="{2E32796D-9E94-462D-A36E-30A36ADEF634}"/>
  <bookViews>
    <workbookView xWindow="-108" yWindow="-108" windowWidth="23256" windowHeight="12456" tabRatio="500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7" i="6" s="1"/>
  <c r="J597" i="6" s="1"/>
  <c r="S608" i="5"/>
  <c r="S608" i="4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J598" i="6" s="1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I596" i="6"/>
  <c r="F596" i="6"/>
  <c r="S595" i="6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H609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F609" i="5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H584" i="5" s="1"/>
  <c r="J584" i="5" s="1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H585" i="5"/>
  <c r="J585" i="5" s="1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C26" i="1" s="1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E4" i="1"/>
  <c r="C4" i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F609" i="4"/>
  <c r="G608" i="4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I596" i="4"/>
  <c r="H596" i="4"/>
  <c r="F596" i="4"/>
  <c r="S595" i="4"/>
  <c r="D25" i="1" s="1"/>
  <c r="G25" i="1" s="1"/>
  <c r="G594" i="4"/>
  <c r="H585" i="4" s="1"/>
  <c r="J585" i="4" s="1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F586" i="4"/>
  <c r="Q585" i="4"/>
  <c r="K585" i="4"/>
  <c r="I585" i="4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F622" i="3" l="1"/>
  <c r="G622" i="3"/>
  <c r="G622" i="4"/>
  <c r="K622" i="4"/>
  <c r="G622" i="5"/>
  <c r="K622" i="6"/>
  <c r="C35" i="1"/>
  <c r="S622" i="6"/>
  <c r="F26" i="1" s="1"/>
  <c r="F35" i="1" s="1"/>
  <c r="H599" i="6"/>
  <c r="J599" i="6" s="1"/>
  <c r="H600" i="6"/>
  <c r="J600" i="6" s="1"/>
  <c r="H596" i="6"/>
  <c r="H608" i="6" s="1"/>
  <c r="E35" i="1"/>
  <c r="G26" i="1"/>
  <c r="J584" i="6"/>
  <c r="J585" i="6"/>
  <c r="J586" i="6"/>
  <c r="J587" i="6"/>
  <c r="J588" i="6"/>
  <c r="J589" i="6"/>
  <c r="J590" i="6"/>
  <c r="J591" i="6"/>
  <c r="J592" i="6"/>
  <c r="J593" i="6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73" i="5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J582" i="6"/>
  <c r="J594" i="6" s="1"/>
  <c r="T594" i="6" s="1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J596" i="5"/>
  <c r="J608" i="5" s="1"/>
  <c r="J582" i="5"/>
  <c r="J594" i="5" s="1"/>
  <c r="T594" i="5" s="1"/>
  <c r="H594" i="5"/>
  <c r="H581" i="5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622" i="6" l="1"/>
  <c r="H622" i="5"/>
  <c r="H622" i="4"/>
  <c r="Q55" i="6"/>
  <c r="M352" i="3"/>
  <c r="Q28" i="4"/>
  <c r="J596" i="6"/>
  <c r="J608" i="6" s="1"/>
  <c r="G35" i="1"/>
  <c r="Q568" i="5"/>
  <c r="M514" i="3"/>
  <c r="M433" i="3"/>
  <c r="Q622" i="6"/>
  <c r="Q217" i="6"/>
  <c r="Q190" i="4"/>
  <c r="M190" i="3"/>
  <c r="M568" i="3"/>
  <c r="M838" i="3"/>
  <c r="Q649" i="6"/>
  <c r="Q595" i="6"/>
  <c r="Q649" i="4"/>
  <c r="Q703" i="4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<sst xmlns="http://schemas.openxmlformats.org/spreadsheetml/2006/main" count="10171" uniqueCount="428">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</sst>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activeCell="B1" sqref="B1"/>
      <selection pane="bottomLeft" activeCell="G2" sqref="G1:M1048576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4" width="8.5546875" customWidth="1"/>
  </cols>
  <sheetData>
    <row r="1" spans="1:12" ht="31.5" customHeight="1" x14ac:dyDescent="0.3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 x14ac:dyDescent="0.3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62" t="s">
        <v>16</v>
      </c>
      <c r="B35" s="162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7916.0886326915124</v>
      </c>
      <c r="I35" s="31">
        <f t="shared" si="2"/>
        <v>4967.05</v>
      </c>
      <c r="J35" s="32">
        <f>I35/H35</f>
        <v>0.62746265617685193</v>
      </c>
      <c r="K35" s="33">
        <f>SUM(K4:K34)</f>
        <v>450.78</v>
      </c>
      <c r="L35" s="34">
        <f>IFERROR(SUM(L4:L34),"")</f>
        <v>6177.6</v>
      </c>
    </row>
    <row r="36" spans="1:12" ht="15" customHeight="1" x14ac:dyDescent="0.3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I582" sqref="I582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 x14ac:dyDescent="0.3">
      <c r="M2" s="164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4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4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4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4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4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4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4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4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4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4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4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4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4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4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 x14ac:dyDescent="0.3">
      <c r="A22" s="37"/>
      <c r="C22" s="37"/>
      <c r="J22" s="37"/>
      <c r="L22" s="37" t="s">
        <v>137</v>
      </c>
      <c r="M22" s="164"/>
      <c r="N22" s="37"/>
      <c r="O22" s="37"/>
      <c r="P22" s="37" t="s">
        <v>138</v>
      </c>
      <c r="Q22" s="37"/>
      <c r="R22" s="37" t="s">
        <v>139</v>
      </c>
    </row>
    <row r="23" spans="1:18" ht="15.75" customHeight="1" x14ac:dyDescent="0.3">
      <c r="A23" s="40"/>
      <c r="C23" s="40"/>
      <c r="J23" s="40"/>
      <c r="L23" s="40" t="s">
        <v>140</v>
      </c>
      <c r="M23" s="164"/>
      <c r="N23" s="40"/>
      <c r="O23" s="40"/>
      <c r="P23" s="40" t="s">
        <v>141</v>
      </c>
      <c r="Q23" s="40"/>
      <c r="R23" s="40" t="s">
        <v>142</v>
      </c>
    </row>
    <row r="24" spans="1:18" ht="15.75" customHeight="1" x14ac:dyDescent="0.3">
      <c r="A24" s="37"/>
      <c r="C24" s="37"/>
      <c r="J24" s="37"/>
      <c r="L24" s="37" t="s">
        <v>143</v>
      </c>
      <c r="M24" s="164"/>
      <c r="N24" s="37"/>
      <c r="O24" s="37"/>
      <c r="P24" s="37" t="s">
        <v>144</v>
      </c>
      <c r="Q24" s="37"/>
      <c r="R24" s="37" t="s">
        <v>145</v>
      </c>
    </row>
    <row r="25" spans="1:18" ht="15.75" customHeight="1" x14ac:dyDescent="0.3">
      <c r="A25" s="40"/>
      <c r="C25" s="40"/>
      <c r="J25" s="40"/>
      <c r="L25" s="40" t="s">
        <v>146</v>
      </c>
      <c r="M25" s="164"/>
      <c r="N25" s="40"/>
      <c r="O25" s="40"/>
      <c r="P25" s="40" t="s">
        <v>147</v>
      </c>
      <c r="Q25" s="40"/>
      <c r="R25" s="40" t="s">
        <v>148</v>
      </c>
    </row>
    <row r="26" spans="1:18" ht="15.75" customHeight="1" x14ac:dyDescent="0.3">
      <c r="A26" s="37"/>
      <c r="C26" s="37"/>
      <c r="J26" s="37"/>
      <c r="L26" s="37" t="s">
        <v>149</v>
      </c>
      <c r="M26" s="164"/>
      <c r="N26" s="37"/>
      <c r="O26" s="37"/>
      <c r="P26" s="37" t="s">
        <v>150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151</v>
      </c>
      <c r="M27" s="164"/>
      <c r="N27" s="40"/>
      <c r="O27" s="40"/>
      <c r="P27" s="40" t="s">
        <v>142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152</v>
      </c>
      <c r="M28" s="164"/>
      <c r="N28" s="37"/>
      <c r="O28" s="37"/>
      <c r="P28" s="37" t="s">
        <v>121</v>
      </c>
      <c r="Q28" s="37"/>
      <c r="R28" s="37" t="s">
        <v>153</v>
      </c>
    </row>
    <row r="29" spans="1:18" ht="15.75" customHeight="1" x14ac:dyDescent="0.3">
      <c r="A29" s="40"/>
      <c r="C29" s="40"/>
      <c r="J29" s="40"/>
      <c r="L29" s="40" t="s">
        <v>154</v>
      </c>
      <c r="M29" s="164"/>
      <c r="N29" s="40"/>
      <c r="O29" s="40"/>
      <c r="P29" s="40" t="s">
        <v>155</v>
      </c>
      <c r="Q29" s="40"/>
      <c r="R29" s="40" t="s">
        <v>156</v>
      </c>
    </row>
    <row r="30" spans="1:18" ht="15.75" customHeight="1" x14ac:dyDescent="0.3">
      <c r="A30" s="37"/>
      <c r="C30" s="37"/>
      <c r="J30" s="37"/>
      <c r="L30" s="37" t="s">
        <v>157</v>
      </c>
      <c r="M30" s="164"/>
      <c r="N30" s="37"/>
      <c r="O30" s="37"/>
      <c r="P30" s="37" t="s">
        <v>158</v>
      </c>
      <c r="Q30" s="37"/>
      <c r="R30" s="37" t="s">
        <v>159</v>
      </c>
    </row>
    <row r="31" spans="1:18" ht="15.75" customHeight="1" x14ac:dyDescent="0.3">
      <c r="A31" s="40"/>
      <c r="C31" s="40"/>
      <c r="J31" s="40"/>
      <c r="L31" s="40" t="s">
        <v>160</v>
      </c>
      <c r="M31" s="164"/>
      <c r="N31" s="40"/>
      <c r="O31" s="40"/>
      <c r="P31" s="40" t="s">
        <v>161</v>
      </c>
      <c r="Q31" s="40"/>
      <c r="R31" s="40" t="s">
        <v>162</v>
      </c>
    </row>
    <row r="32" spans="1:18" ht="15.75" customHeight="1" x14ac:dyDescent="0.3">
      <c r="A32" s="37"/>
      <c r="C32" s="37"/>
      <c r="J32" s="37"/>
      <c r="L32" s="37" t="s">
        <v>163</v>
      </c>
      <c r="M32" s="164"/>
      <c r="N32" s="37"/>
      <c r="O32" s="37"/>
      <c r="P32" s="37" t="s">
        <v>164</v>
      </c>
      <c r="Q32" s="37"/>
      <c r="R32" t="s">
        <v>165</v>
      </c>
    </row>
    <row r="33" spans="1:18" ht="15.75" customHeight="1" x14ac:dyDescent="0.3">
      <c r="A33" s="40"/>
      <c r="C33" s="50" t="s">
        <v>166</v>
      </c>
      <c r="E33" s="51">
        <v>1000</v>
      </c>
      <c r="J33" s="40"/>
      <c r="L33" s="40" t="s">
        <v>167</v>
      </c>
      <c r="M33" s="164"/>
      <c r="N33" s="40"/>
      <c r="O33" s="40"/>
      <c r="P33" s="40" t="s">
        <v>168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169</v>
      </c>
      <c r="M34" s="164"/>
      <c r="N34" s="37"/>
      <c r="O34" s="37"/>
      <c r="P34" s="37" t="s">
        <v>88</v>
      </c>
      <c r="Q34" s="37"/>
      <c r="R34" s="37" t="s">
        <v>170</v>
      </c>
    </row>
    <row r="35" spans="1:18" ht="15.75" customHeight="1" x14ac:dyDescent="0.3">
      <c r="A35" s="40"/>
      <c r="C35" s="40"/>
      <c r="J35" s="40"/>
      <c r="L35" s="40" t="s">
        <v>171</v>
      </c>
      <c r="M35" s="164"/>
      <c r="N35" s="40"/>
      <c r="O35" s="40"/>
      <c r="P35" s="40" t="s">
        <v>172</v>
      </c>
      <c r="Q35" s="40"/>
      <c r="R35" s="40" t="s">
        <v>173</v>
      </c>
    </row>
    <row r="36" spans="1:18" ht="15.75" customHeight="1" x14ac:dyDescent="0.3">
      <c r="A36" s="37"/>
      <c r="C36" s="37"/>
      <c r="J36" s="37"/>
      <c r="L36" s="37" t="s">
        <v>174</v>
      </c>
      <c r="M36" s="164"/>
      <c r="N36" s="37"/>
      <c r="O36" s="37"/>
      <c r="P36" s="37" t="s">
        <v>175</v>
      </c>
      <c r="Q36" s="37"/>
      <c r="R36" s="37" t="s">
        <v>176</v>
      </c>
    </row>
    <row r="37" spans="1:18" ht="15.75" customHeight="1" x14ac:dyDescent="0.3">
      <c r="A37" s="40"/>
      <c r="C37" s="40"/>
      <c r="J37" s="40"/>
      <c r="L37" s="40" t="s">
        <v>177</v>
      </c>
      <c r="M37" s="164"/>
      <c r="N37" s="40"/>
      <c r="O37" s="40"/>
      <c r="P37" s="40" t="s">
        <v>178</v>
      </c>
      <c r="Q37" s="40"/>
      <c r="R37" s="40" t="s">
        <v>179</v>
      </c>
    </row>
    <row r="38" spans="1:18" ht="15.75" customHeight="1" x14ac:dyDescent="0.3">
      <c r="A38" s="37"/>
      <c r="C38" s="37"/>
      <c r="J38" s="37"/>
      <c r="L38" s="37" t="s">
        <v>180</v>
      </c>
      <c r="M38" s="164"/>
      <c r="N38" s="37"/>
      <c r="O38" s="37"/>
      <c r="P38" s="37" t="s">
        <v>181</v>
      </c>
      <c r="Q38" s="37"/>
      <c r="R38" s="37" t="s">
        <v>182</v>
      </c>
    </row>
    <row r="39" spans="1:18" ht="15.75" customHeight="1" x14ac:dyDescent="0.3">
      <c r="A39" s="40"/>
      <c r="C39" s="40"/>
      <c r="J39" s="40"/>
      <c r="L39" s="40"/>
      <c r="M39" s="164"/>
      <c r="N39" s="40"/>
      <c r="O39" s="40"/>
      <c r="P39" s="40" t="s">
        <v>183</v>
      </c>
      <c r="Q39" s="40"/>
      <c r="R39" s="40" t="s">
        <v>184</v>
      </c>
    </row>
    <row r="40" spans="1:18" ht="15.75" customHeight="1" x14ac:dyDescent="0.3">
      <c r="A40" s="37"/>
      <c r="C40" s="37"/>
      <c r="J40" s="37"/>
      <c r="L40" s="37"/>
      <c r="M40" s="164"/>
      <c r="N40" s="37"/>
      <c r="O40" s="37"/>
      <c r="P40" s="37" t="s">
        <v>185</v>
      </c>
      <c r="Q40" s="37"/>
      <c r="R40" s="37" t="s">
        <v>186</v>
      </c>
    </row>
    <row r="41" spans="1:18" ht="15.75" customHeight="1" x14ac:dyDescent="0.3">
      <c r="A41" s="40"/>
      <c r="C41" s="40"/>
      <c r="J41" s="40"/>
      <c r="L41" s="40"/>
      <c r="M41" s="164"/>
      <c r="N41" s="40"/>
      <c r="O41" s="40"/>
      <c r="P41" s="40" t="s">
        <v>187</v>
      </c>
      <c r="Q41" s="40"/>
      <c r="R41" s="40" t="s">
        <v>188</v>
      </c>
    </row>
    <row r="42" spans="1:18" ht="15.75" customHeight="1" x14ac:dyDescent="0.3">
      <c r="A42" s="37"/>
      <c r="C42" s="37"/>
      <c r="J42" s="37"/>
      <c r="L42" s="37"/>
      <c r="M42" s="164"/>
      <c r="N42" s="37"/>
      <c r="O42" s="37"/>
      <c r="P42" s="37" t="s">
        <v>189</v>
      </c>
      <c r="Q42" s="37"/>
      <c r="R42" s="37" t="s">
        <v>190</v>
      </c>
    </row>
    <row r="43" spans="1:18" ht="15.75" customHeight="1" x14ac:dyDescent="0.3">
      <c r="A43" s="40"/>
      <c r="C43" s="40"/>
      <c r="J43" s="40"/>
      <c r="L43" s="40"/>
      <c r="M43" s="164"/>
      <c r="N43" s="40"/>
      <c r="O43" s="40"/>
      <c r="P43" s="40" t="s">
        <v>191</v>
      </c>
      <c r="Q43" s="40"/>
      <c r="R43" s="40" t="s">
        <v>192</v>
      </c>
    </row>
    <row r="44" spans="1:18" ht="15.75" customHeight="1" x14ac:dyDescent="0.3">
      <c r="A44" s="37"/>
      <c r="C44" s="37"/>
      <c r="J44" s="37"/>
      <c r="L44" s="37"/>
      <c r="M44" s="164"/>
      <c r="N44" s="37"/>
      <c r="O44" s="37"/>
      <c r="P44" s="37" t="s">
        <v>193</v>
      </c>
      <c r="Q44" s="37"/>
      <c r="R44" s="37" t="s">
        <v>194</v>
      </c>
    </row>
    <row r="45" spans="1:18" ht="15.75" customHeight="1" x14ac:dyDescent="0.3">
      <c r="A45" s="40"/>
      <c r="C45" s="40"/>
      <c r="J45" s="40"/>
      <c r="L45" s="40"/>
      <c r="M45" s="164"/>
      <c r="N45" s="40"/>
      <c r="O45" s="40"/>
      <c r="P45" s="40" t="s">
        <v>195</v>
      </c>
      <c r="Q45" s="40"/>
      <c r="R45" s="40" t="s">
        <v>196</v>
      </c>
    </row>
    <row r="46" spans="1:18" ht="15.75" customHeight="1" x14ac:dyDescent="0.3">
      <c r="A46" s="37"/>
      <c r="C46" s="37"/>
      <c r="J46" s="37"/>
      <c r="L46" s="37"/>
      <c r="M46" s="164"/>
      <c r="N46" s="37"/>
      <c r="O46" s="37"/>
      <c r="P46" s="37" t="s">
        <v>197</v>
      </c>
      <c r="Q46" s="37"/>
      <c r="R46" s="37" t="s">
        <v>198</v>
      </c>
    </row>
    <row r="47" spans="1:18" ht="15.75" customHeight="1" x14ac:dyDescent="0.3">
      <c r="A47" s="40"/>
      <c r="C47" s="40"/>
      <c r="J47" s="40"/>
      <c r="L47" s="40"/>
      <c r="M47" s="164"/>
      <c r="N47" s="40"/>
      <c r="O47" s="40"/>
      <c r="P47" s="40" t="s">
        <v>199</v>
      </c>
      <c r="Q47" s="40"/>
      <c r="R47" s="40" t="s">
        <v>200</v>
      </c>
    </row>
    <row r="48" spans="1:18" ht="15.75" customHeight="1" x14ac:dyDescent="0.3">
      <c r="A48" s="37"/>
      <c r="C48" s="37"/>
      <c r="J48" s="37"/>
      <c r="L48" s="37"/>
      <c r="M48" s="164"/>
      <c r="N48" s="37"/>
      <c r="O48" s="37"/>
      <c r="P48" s="37" t="s">
        <v>201</v>
      </c>
      <c r="Q48" s="37"/>
      <c r="R48" s="37" t="s">
        <v>202</v>
      </c>
    </row>
    <row r="49" spans="1:18" ht="18" customHeight="1" x14ac:dyDescent="0.3">
      <c r="M49" s="164"/>
      <c r="N49" s="40"/>
      <c r="O49" s="40"/>
      <c r="P49" s="40" t="s">
        <v>203</v>
      </c>
      <c r="Q49" s="40"/>
      <c r="R49" s="40" t="s">
        <v>204</v>
      </c>
    </row>
    <row r="50" spans="1:18" ht="21" customHeight="1" x14ac:dyDescent="0.3">
      <c r="A50" s="52" t="s">
        <v>205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4"/>
      <c r="N50" s="37"/>
      <c r="O50" s="37"/>
      <c r="P50" s="37" t="s">
        <v>206</v>
      </c>
      <c r="Q50" s="37"/>
      <c r="R50" s="37" t="s">
        <v>207</v>
      </c>
    </row>
    <row r="51" spans="1:18" ht="24" customHeight="1" x14ac:dyDescent="0.3">
      <c r="M51" s="164"/>
      <c r="N51" s="40"/>
      <c r="O51" s="40"/>
      <c r="P51" s="40" t="s">
        <v>208</v>
      </c>
      <c r="Q51" s="40"/>
      <c r="R51" s="40" t="s">
        <v>209</v>
      </c>
    </row>
    <row r="52" spans="1:18" ht="24" customHeight="1" x14ac:dyDescent="0.3">
      <c r="M52" s="164"/>
      <c r="N52" s="37"/>
      <c r="O52" s="37"/>
      <c r="P52" s="37" t="s">
        <v>210</v>
      </c>
      <c r="Q52" s="37"/>
      <c r="R52" s="37" t="s">
        <v>211</v>
      </c>
    </row>
    <row r="53" spans="1:18" ht="36" customHeight="1" x14ac:dyDescent="0.3">
      <c r="M53" s="164"/>
      <c r="N53" s="40"/>
      <c r="O53" s="40"/>
      <c r="P53" s="40" t="s">
        <v>212</v>
      </c>
      <c r="Q53" s="40"/>
      <c r="R53" s="40" t="s">
        <v>213</v>
      </c>
    </row>
    <row r="54" spans="1:18" ht="15" customHeight="1" x14ac:dyDescent="0.3">
      <c r="M54" s="164"/>
      <c r="N54" s="37"/>
      <c r="O54" s="37"/>
      <c r="P54" s="37" t="s">
        <v>214</v>
      </c>
      <c r="Q54" s="37"/>
      <c r="R54" s="37" t="s">
        <v>215</v>
      </c>
    </row>
    <row r="55" spans="1:18" ht="15" customHeight="1" x14ac:dyDescent="0.3">
      <c r="M55" s="164"/>
      <c r="N55" s="40"/>
      <c r="O55" s="40"/>
      <c r="P55" s="40" t="s">
        <v>216</v>
      </c>
      <c r="Q55" s="40"/>
      <c r="R55" s="40" t="s">
        <v>217</v>
      </c>
    </row>
    <row r="56" spans="1:18" ht="15" customHeight="1" x14ac:dyDescent="0.3">
      <c r="M56" s="164"/>
      <c r="N56" s="37"/>
      <c r="O56" s="37"/>
      <c r="P56" s="37" t="s">
        <v>218</v>
      </c>
      <c r="Q56" s="37"/>
      <c r="R56" s="37" t="s">
        <v>219</v>
      </c>
    </row>
    <row r="57" spans="1:18" ht="15" customHeight="1" x14ac:dyDescent="0.3">
      <c r="M57" s="164"/>
      <c r="N57" s="40"/>
      <c r="O57" s="40"/>
      <c r="P57" s="40" t="s">
        <v>59</v>
      </c>
      <c r="Q57" s="40"/>
      <c r="R57" s="40" t="s">
        <v>220</v>
      </c>
    </row>
    <row r="58" spans="1:18" ht="15" customHeight="1" x14ac:dyDescent="0.3">
      <c r="M58" s="164"/>
      <c r="N58" s="37"/>
      <c r="O58" s="37"/>
      <c r="P58" s="37" t="s">
        <v>221</v>
      </c>
      <c r="Q58" s="37"/>
      <c r="R58" s="37" t="s">
        <v>222</v>
      </c>
    </row>
    <row r="59" spans="1:18" ht="15" customHeight="1" x14ac:dyDescent="0.3">
      <c r="M59" s="164"/>
      <c r="N59" s="40"/>
      <c r="O59" s="40"/>
      <c r="P59" s="40" t="s">
        <v>223</v>
      </c>
      <c r="Q59" s="40"/>
      <c r="R59" s="40" t="s">
        <v>224</v>
      </c>
    </row>
    <row r="60" spans="1:18" ht="15" customHeight="1" x14ac:dyDescent="0.3">
      <c r="M60" s="164"/>
      <c r="N60" s="37"/>
      <c r="O60" s="37"/>
      <c r="P60" s="53" t="s">
        <v>114</v>
      </c>
      <c r="Q60" s="37"/>
      <c r="R60" s="37"/>
    </row>
    <row r="61" spans="1:18" ht="15" customHeight="1" x14ac:dyDescent="0.3">
      <c r="M61" s="164"/>
      <c r="N61" s="40"/>
      <c r="O61" s="40"/>
      <c r="P61" s="40" t="s">
        <v>225</v>
      </c>
      <c r="Q61" s="40"/>
      <c r="R61" s="40"/>
    </row>
    <row r="62" spans="1:18" ht="15" customHeight="1" x14ac:dyDescent="0.3">
      <c r="M62" s="164"/>
      <c r="N62" s="37"/>
      <c r="O62" s="37"/>
      <c r="P62" s="37" t="s">
        <v>226</v>
      </c>
      <c r="Q62" s="37"/>
      <c r="R62" s="37"/>
    </row>
    <row r="63" spans="1:18" ht="15" customHeight="1" x14ac:dyDescent="0.3">
      <c r="M63" s="164"/>
      <c r="N63" s="40"/>
      <c r="O63" s="40"/>
      <c r="P63" s="40" t="s">
        <v>227</v>
      </c>
      <c r="Q63" s="40"/>
      <c r="R63" s="40"/>
    </row>
    <row r="64" spans="1:18" ht="15" customHeight="1" x14ac:dyDescent="0.3">
      <c r="M64" s="164"/>
      <c r="N64" s="37"/>
      <c r="O64" s="37"/>
      <c r="P64" s="37" t="s">
        <v>228</v>
      </c>
      <c r="Q64" s="37"/>
      <c r="R64" s="37"/>
    </row>
    <row r="65" spans="13:18" ht="15" customHeight="1" x14ac:dyDescent="0.3">
      <c r="M65" s="164"/>
      <c r="N65" s="40"/>
      <c r="O65" s="40"/>
      <c r="P65" s="40" t="s">
        <v>229</v>
      </c>
      <c r="Q65" s="40"/>
      <c r="R65" s="40"/>
    </row>
    <row r="66" spans="13:18" ht="15" customHeight="1" x14ac:dyDescent="0.3">
      <c r="M66" s="164"/>
      <c r="N66" s="37"/>
      <c r="O66" s="37"/>
      <c r="P66" s="37" t="s">
        <v>230</v>
      </c>
      <c r="Q66" s="37"/>
      <c r="R66" s="37"/>
    </row>
    <row r="67" spans="13:18" ht="15" customHeight="1" x14ac:dyDescent="0.3">
      <c r="M67" s="164"/>
      <c r="N67" s="40"/>
      <c r="O67" s="40"/>
      <c r="P67" s="40" t="s">
        <v>231</v>
      </c>
      <c r="Q67" s="40"/>
      <c r="R67" s="40"/>
    </row>
    <row r="68" spans="13:18" ht="15" customHeight="1" x14ac:dyDescent="0.3">
      <c r="M68" s="164"/>
      <c r="N68" s="37"/>
      <c r="O68" s="37"/>
      <c r="P68" s="37" t="s">
        <v>232</v>
      </c>
      <c r="Q68" s="37"/>
      <c r="R68" s="37"/>
    </row>
    <row r="69" spans="13:18" ht="15" customHeight="1" x14ac:dyDescent="0.3">
      <c r="M69" s="164"/>
      <c r="N69" s="40"/>
      <c r="O69" s="40"/>
      <c r="P69" s="40" t="s">
        <v>233</v>
      </c>
      <c r="Q69" s="40"/>
      <c r="R69" s="40"/>
    </row>
    <row r="70" spans="13:18" ht="15" customHeight="1" x14ac:dyDescent="0.3">
      <c r="M70" s="164"/>
      <c r="N70" s="37"/>
      <c r="O70" s="37"/>
      <c r="P70" s="37" t="s">
        <v>234</v>
      </c>
      <c r="Q70" s="37"/>
      <c r="R70" s="37"/>
    </row>
    <row r="71" spans="13:18" ht="15" customHeight="1" x14ac:dyDescent="0.3">
      <c r="M71" s="164"/>
      <c r="N71" s="40"/>
      <c r="O71" s="40"/>
      <c r="P71" s="40" t="s">
        <v>235</v>
      </c>
      <c r="Q71" s="40"/>
      <c r="R71" s="40"/>
    </row>
    <row r="72" spans="13:18" ht="15" customHeight="1" x14ac:dyDescent="0.3">
      <c r="M72" s="164"/>
      <c r="N72" s="37"/>
      <c r="O72" s="37"/>
      <c r="P72" s="37" t="s">
        <v>236</v>
      </c>
      <c r="Q72" s="37"/>
      <c r="R72" s="37"/>
    </row>
    <row r="73" spans="13:18" ht="15" customHeight="1" x14ac:dyDescent="0.3">
      <c r="M73" s="164"/>
      <c r="N73" s="40"/>
      <c r="O73" s="40"/>
      <c r="P73" s="40" t="s">
        <v>237</v>
      </c>
      <c r="Q73" s="40"/>
      <c r="R73" s="40"/>
    </row>
    <row r="74" spans="13:18" ht="15" customHeight="1" x14ac:dyDescent="0.3">
      <c r="M74" s="164"/>
      <c r="N74" s="37"/>
      <c r="O74" s="37"/>
      <c r="P74" s="37" t="s">
        <v>238</v>
      </c>
      <c r="Q74" s="37"/>
      <c r="R74" s="37"/>
    </row>
    <row r="75" spans="13:18" ht="15" customHeight="1" x14ac:dyDescent="0.3">
      <c r="M75" s="164"/>
      <c r="N75" s="40"/>
      <c r="O75" s="40"/>
      <c r="P75" s="40" t="s">
        <v>239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240</v>
      </c>
      <c r="C1" s="138" t="s">
        <v>241</v>
      </c>
      <c r="D1" s="138" t="s">
        <v>19</v>
      </c>
      <c r="E1" s="138" t="s">
        <v>242</v>
      </c>
      <c r="F1" s="138" t="s">
        <v>243</v>
      </c>
      <c r="G1" s="138" t="s">
        <v>244</v>
      </c>
      <c r="H1" s="138" t="s">
        <v>245</v>
      </c>
      <c r="I1" s="138" t="s">
        <v>246</v>
      </c>
      <c r="J1" s="138" t="s">
        <v>247</v>
      </c>
      <c r="K1" s="138" t="s">
        <v>248</v>
      </c>
    </row>
    <row r="2" spans="1:11" ht="15.75" customHeight="1" x14ac:dyDescent="0.3">
      <c r="A2" s="139">
        <v>46235</v>
      </c>
      <c r="B2" s="140" t="s">
        <v>249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250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6" t="s">
        <v>251</v>
      </c>
      <c r="B4" s="166"/>
      <c r="C4" s="166"/>
      <c r="D4" s="166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249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250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6" t="s">
        <v>251</v>
      </c>
      <c r="B7" s="166"/>
      <c r="C7" s="166"/>
      <c r="D7" s="166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249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250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6" t="s">
        <v>251</v>
      </c>
      <c r="B10" s="166"/>
      <c r="C10" s="166"/>
      <c r="D10" s="166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249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250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6" t="s">
        <v>251</v>
      </c>
      <c r="B13" s="166"/>
      <c r="C13" s="166"/>
      <c r="D13" s="166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249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250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6" t="s">
        <v>251</v>
      </c>
      <c r="B16" s="166"/>
      <c r="C16" s="166"/>
      <c r="D16" s="166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249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250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6" t="s">
        <v>251</v>
      </c>
      <c r="B19" s="166"/>
      <c r="C19" s="166"/>
      <c r="D19" s="166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249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250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6" t="s">
        <v>251</v>
      </c>
      <c r="B22" s="166"/>
      <c r="C22" s="166"/>
      <c r="D22" s="166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249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250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6" t="s">
        <v>251</v>
      </c>
      <c r="B25" s="166"/>
      <c r="C25" s="166"/>
      <c r="D25" s="166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249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250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6" t="s">
        <v>251</v>
      </c>
      <c r="B28" s="166"/>
      <c r="C28" s="166"/>
      <c r="D28" s="166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249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250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6" t="s">
        <v>251</v>
      </c>
      <c r="B31" s="166"/>
      <c r="C31" s="166"/>
      <c r="D31" s="166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249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250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6" t="s">
        <v>251</v>
      </c>
      <c r="B34" s="166"/>
      <c r="C34" s="166"/>
      <c r="D34" s="166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249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250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6" t="s">
        <v>251</v>
      </c>
      <c r="B37" s="166"/>
      <c r="C37" s="166"/>
      <c r="D37" s="166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249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250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6" t="s">
        <v>251</v>
      </c>
      <c r="B40" s="166"/>
      <c r="C40" s="166"/>
      <c r="D40" s="166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249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250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6" t="s">
        <v>251</v>
      </c>
      <c r="B43" s="166"/>
      <c r="C43" s="166"/>
      <c r="D43" s="166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249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250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6" t="s">
        <v>251</v>
      </c>
      <c r="B46" s="166"/>
      <c r="C46" s="166"/>
      <c r="D46" s="166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249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250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6" t="s">
        <v>251</v>
      </c>
      <c r="B49" s="166"/>
      <c r="C49" s="166"/>
      <c r="D49" s="166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249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250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6" t="s">
        <v>251</v>
      </c>
      <c r="B52" s="166"/>
      <c r="C52" s="166"/>
      <c r="D52" s="166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249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250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6" t="s">
        <v>251</v>
      </c>
      <c r="B55" s="166"/>
      <c r="C55" s="166"/>
      <c r="D55" s="166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249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 x14ac:dyDescent="0.3">
      <c r="A57" s="144">
        <v>46253</v>
      </c>
      <c r="B57" s="145" t="s">
        <v>250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 x14ac:dyDescent="0.3">
      <c r="A58" s="166" t="s">
        <v>251</v>
      </c>
      <c r="B58" s="166"/>
      <c r="C58" s="166"/>
      <c r="D58" s="166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 x14ac:dyDescent="0.3">
      <c r="A59" s="139">
        <v>46254</v>
      </c>
      <c r="B59" s="140" t="s">
        <v>249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 x14ac:dyDescent="0.3">
      <c r="A60" s="144">
        <v>46254</v>
      </c>
      <c r="B60" s="145" t="s">
        <v>250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 x14ac:dyDescent="0.3">
      <c r="A61" s="166" t="s">
        <v>251</v>
      </c>
      <c r="B61" s="166"/>
      <c r="C61" s="166"/>
      <c r="D61" s="166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 x14ac:dyDescent="0.3">
      <c r="A62" s="139">
        <v>46255</v>
      </c>
      <c r="B62" s="140" t="s">
        <v>249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 x14ac:dyDescent="0.3">
      <c r="A63" s="144">
        <v>46255</v>
      </c>
      <c r="B63" s="145" t="s">
        <v>250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 x14ac:dyDescent="0.3">
      <c r="A64" s="166" t="s">
        <v>251</v>
      </c>
      <c r="B64" s="166"/>
      <c r="C64" s="166"/>
      <c r="D64" s="166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 x14ac:dyDescent="0.3">
      <c r="A65" s="139">
        <v>46256</v>
      </c>
      <c r="B65" s="140" t="s">
        <v>249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250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 x14ac:dyDescent="0.3">
      <c r="A67" s="166" t="s">
        <v>251</v>
      </c>
      <c r="B67" s="166"/>
      <c r="C67" s="166"/>
      <c r="D67" s="166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249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250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 x14ac:dyDescent="0.3">
      <c r="A70" s="166" t="s">
        <v>251</v>
      </c>
      <c r="B70" s="166"/>
      <c r="C70" s="166"/>
      <c r="D70" s="166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249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250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6" t="s">
        <v>251</v>
      </c>
      <c r="B73" s="166"/>
      <c r="C73" s="166"/>
      <c r="D73" s="166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249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250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6" t="s">
        <v>251</v>
      </c>
      <c r="B76" s="166"/>
      <c r="C76" s="166"/>
      <c r="D76" s="166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249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250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6" t="s">
        <v>251</v>
      </c>
      <c r="B79" s="166"/>
      <c r="C79" s="166"/>
      <c r="D79" s="166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249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250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6" t="s">
        <v>251</v>
      </c>
      <c r="B82" s="166"/>
      <c r="C82" s="166"/>
      <c r="D82" s="166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249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250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6" t="s">
        <v>251</v>
      </c>
      <c r="B85" s="166"/>
      <c r="C85" s="166"/>
      <c r="D85" s="166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249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250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6" t="s">
        <v>251</v>
      </c>
      <c r="B88" s="166"/>
      <c r="C88" s="166"/>
      <c r="D88" s="166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249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250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6" t="s">
        <v>251</v>
      </c>
      <c r="B91" s="166"/>
      <c r="C91" s="166"/>
      <c r="D91" s="166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249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250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6" t="s">
        <v>251</v>
      </c>
      <c r="B94" s="166"/>
      <c r="C94" s="166"/>
      <c r="D94" s="166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97" activePane="bottomLeft" state="frozen"/>
      <selection pane="bottomLeft" activeCell="C609" sqref="C609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57" t="s">
        <v>254</v>
      </c>
      <c r="G1" s="57" t="s">
        <v>255</v>
      </c>
      <c r="H1" s="57" t="s">
        <v>23</v>
      </c>
      <c r="I1" s="57" t="s">
        <v>24</v>
      </c>
      <c r="J1" s="57" t="s">
        <v>256</v>
      </c>
      <c r="K1" s="57" t="s">
        <v>257</v>
      </c>
      <c r="L1" s="57" t="s">
        <v>258</v>
      </c>
      <c r="M1" s="58" t="s">
        <v>259</v>
      </c>
      <c r="N1" s="57" t="s">
        <v>248</v>
      </c>
      <c r="O1" s="57" t="s">
        <v>260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261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261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261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261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261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261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261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261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261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261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261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261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67" t="s">
        <v>262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263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261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261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261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264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261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261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261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261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261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261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261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261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261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67" t="s">
        <v>265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263</v>
      </c>
      <c r="O27" s="74">
        <v>997910</v>
      </c>
    </row>
    <row r="28" spans="1:15" ht="18" customHeight="1" x14ac:dyDescent="0.3">
      <c r="A28" s="168" t="s">
        <v>251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266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261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261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267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261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264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261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261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261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261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261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261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261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261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261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67" t="s">
        <v>262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263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261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268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261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261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261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261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261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261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261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261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261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261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67" t="s">
        <v>265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263</v>
      </c>
      <c r="O54" s="74">
        <v>981310</v>
      </c>
    </row>
    <row r="55" spans="1:15" ht="18" customHeight="1" x14ac:dyDescent="0.3">
      <c r="A55" s="168" t="s">
        <v>251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266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261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261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261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261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261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261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261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261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261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261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261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261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67" t="s">
        <v>262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263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261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261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269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261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261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261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261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261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261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261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261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261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261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67" t="s">
        <v>265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263</v>
      </c>
      <c r="O81" s="74">
        <v>1547910</v>
      </c>
    </row>
    <row r="82" spans="1:15" ht="18" customHeight="1" x14ac:dyDescent="0.3">
      <c r="A82" s="168" t="s">
        <v>251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266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261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261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261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270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261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261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261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261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261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261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261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261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261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67" t="s">
        <v>262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263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261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261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261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261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261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261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271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261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261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261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261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261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261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67" t="s">
        <v>265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263</v>
      </c>
      <c r="O108" s="74">
        <v>3156240</v>
      </c>
    </row>
    <row r="109" spans="1:15" ht="18" customHeight="1" x14ac:dyDescent="0.3">
      <c r="A109" s="168" t="s">
        <v>251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266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261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261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261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261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261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261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261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261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261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261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261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261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67" t="s">
        <v>262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263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261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261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261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261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261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261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261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261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261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261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261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261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67" t="s">
        <v>265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263</v>
      </c>
      <c r="O135" s="74">
        <v>2875180</v>
      </c>
    </row>
    <row r="136" spans="1:15" ht="18" customHeight="1" x14ac:dyDescent="0.3">
      <c r="A136" s="168" t="s">
        <v>251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266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261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272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261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261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261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261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261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261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261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261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261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261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261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67" t="s">
        <v>262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263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261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261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273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261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261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261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261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261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261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261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261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261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261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67" t="s">
        <v>265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263</v>
      </c>
      <c r="O162" s="79">
        <v>842000</v>
      </c>
    </row>
    <row r="163" spans="1:15" ht="18" customHeight="1" x14ac:dyDescent="0.3">
      <c r="A163" s="168" t="s">
        <v>251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266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261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238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274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261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261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261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261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261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261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261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261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261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261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261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67" t="s">
        <v>262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263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261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275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261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261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261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261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261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261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261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276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261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261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261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67" t="s">
        <v>265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263</v>
      </c>
      <c r="O189" s="74">
        <v>1901630</v>
      </c>
    </row>
    <row r="190" spans="1:15" ht="18" customHeight="1" x14ac:dyDescent="0.3">
      <c r="A190" s="168" t="s">
        <v>251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266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261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261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261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277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261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261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261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261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261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261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261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261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261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67" t="s">
        <v>262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263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261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261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261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261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261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261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261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261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261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261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261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261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67" t="s">
        <v>265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263</v>
      </c>
      <c r="O216" s="74">
        <v>1852295</v>
      </c>
    </row>
    <row r="217" spans="1:15" ht="18" customHeight="1" x14ac:dyDescent="0.3">
      <c r="A217" s="168" t="s">
        <v>251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266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261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261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261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215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278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261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261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261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261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261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261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261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261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261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67" t="s">
        <v>262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263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261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215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261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261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279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279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279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279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279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279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279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279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279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67" t="s">
        <v>265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263</v>
      </c>
      <c r="O243" s="74">
        <v>991010</v>
      </c>
    </row>
    <row r="244" spans="1:15" ht="18" customHeight="1" x14ac:dyDescent="0.3">
      <c r="A244" s="168" t="s">
        <v>251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266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261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220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261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261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261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261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280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261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261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261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261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261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261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261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67" t="s">
        <v>262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263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281</v>
      </c>
      <c r="E258" s="75" t="s">
        <v>261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281</v>
      </c>
      <c r="E259" s="75" t="s">
        <v>261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281</v>
      </c>
      <c r="E260" s="75" t="s">
        <v>261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281</v>
      </c>
      <c r="E261" s="75" t="s">
        <v>261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281</v>
      </c>
      <c r="E262" s="75" t="s">
        <v>261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281</v>
      </c>
      <c r="E263" s="75" t="s">
        <v>261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281</v>
      </c>
      <c r="E264" s="75" t="s">
        <v>261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281</v>
      </c>
      <c r="E265" s="75" t="s">
        <v>261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281</v>
      </c>
      <c r="E266" s="75" t="s">
        <v>261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281</v>
      </c>
      <c r="E267" s="75" t="s">
        <v>261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281</v>
      </c>
      <c r="E268" s="75" t="s">
        <v>261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281</v>
      </c>
      <c r="E269" s="75" t="s">
        <v>261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67" t="s">
        <v>265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263</v>
      </c>
      <c r="O270" s="74">
        <v>1544700</v>
      </c>
    </row>
    <row r="271" spans="1:15" ht="18" customHeight="1" x14ac:dyDescent="0.3">
      <c r="A271" s="168" t="s">
        <v>251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266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281</v>
      </c>
      <c r="E272" s="62" t="s">
        <v>261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281</v>
      </c>
      <c r="E273" s="62" t="s">
        <v>261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281</v>
      </c>
      <c r="E274" s="62" t="s">
        <v>261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281</v>
      </c>
      <c r="E275" s="62" t="s">
        <v>261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220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281</v>
      </c>
      <c r="E276" s="62" t="s">
        <v>261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281</v>
      </c>
      <c r="E277" s="62" t="s">
        <v>261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282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281</v>
      </c>
      <c r="E278" s="62" t="s">
        <v>261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281</v>
      </c>
      <c r="E279" s="62" t="s">
        <v>261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281</v>
      </c>
      <c r="E280" s="62" t="s">
        <v>261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281</v>
      </c>
      <c r="E281" s="62" t="s">
        <v>261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281</v>
      </c>
      <c r="E282" s="62" t="s">
        <v>261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281</v>
      </c>
      <c r="E283" s="62" t="s">
        <v>261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67" t="s">
        <v>262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263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281</v>
      </c>
      <c r="E285" s="75" t="s">
        <v>276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281</v>
      </c>
      <c r="E286" s="75" t="s">
        <v>276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281</v>
      </c>
      <c r="E287" s="75" t="s">
        <v>276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281</v>
      </c>
      <c r="E288" s="75" t="s">
        <v>276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281</v>
      </c>
      <c r="E289" s="75" t="s">
        <v>276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281</v>
      </c>
      <c r="E290" s="75" t="s">
        <v>276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281</v>
      </c>
      <c r="E291" s="75" t="s">
        <v>276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281</v>
      </c>
      <c r="E292" s="75" t="s">
        <v>276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281</v>
      </c>
      <c r="E293" s="75" t="s">
        <v>276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281</v>
      </c>
      <c r="E294" s="75" t="s">
        <v>276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281</v>
      </c>
      <c r="E295" s="75" t="s">
        <v>276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281</v>
      </c>
      <c r="E296" s="75" t="s">
        <v>276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67" t="s">
        <v>265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263</v>
      </c>
      <c r="O297" s="74">
        <v>1715230</v>
      </c>
    </row>
    <row r="298" spans="1:15" ht="18" customHeight="1" x14ac:dyDescent="0.3">
      <c r="A298" s="168" t="s">
        <v>251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266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261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238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261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261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261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283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261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261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261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261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261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261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261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261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67" t="s">
        <v>262</v>
      </c>
      <c r="B311" s="167"/>
      <c r="C311" s="167"/>
      <c r="D311" s="167"/>
      <c r="E311" s="16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263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261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261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261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261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261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261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261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261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261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261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261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261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67" t="s">
        <v>265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263</v>
      </c>
      <c r="O324" s="74">
        <v>2216340</v>
      </c>
    </row>
    <row r="325" spans="1:15" ht="18" customHeight="1" x14ac:dyDescent="0.3">
      <c r="A325" s="168" t="s">
        <v>251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266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215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284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261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261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261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285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261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261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261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261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67" t="s">
        <v>262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263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261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261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261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261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261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261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261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261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261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261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261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261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67" t="s">
        <v>265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263</v>
      </c>
      <c r="O351" s="74">
        <v>2154990</v>
      </c>
    </row>
    <row r="352" spans="1:15" ht="18" customHeight="1" x14ac:dyDescent="0.3">
      <c r="A352" s="168" t="s">
        <v>251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266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261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261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261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261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261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261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276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261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261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261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261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261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67" t="s">
        <v>262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263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261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261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261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261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261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261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261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261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261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261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261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261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67" t="s">
        <v>265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263</v>
      </c>
      <c r="O378" s="74">
        <v>2614830</v>
      </c>
    </row>
    <row r="379" spans="1:15" ht="18" customHeight="1" x14ac:dyDescent="0.3">
      <c r="A379" s="168" t="s">
        <v>251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266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261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261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261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261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261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261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261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261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261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261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261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261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67" t="s">
        <v>262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263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261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286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261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261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261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261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261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261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261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261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261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261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261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67" t="s">
        <v>265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263</v>
      </c>
      <c r="O405" s="74">
        <v>2612000</v>
      </c>
    </row>
    <row r="406" spans="1:15" ht="18" customHeight="1" x14ac:dyDescent="0.3">
      <c r="A406" s="168" t="s">
        <v>251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266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261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261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261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261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261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261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261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261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261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261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261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261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67" t="s">
        <v>262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263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261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232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261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287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261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287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261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261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261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261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261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261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261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261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261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67" t="s">
        <v>265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263</v>
      </c>
      <c r="O432" s="74">
        <v>2266710</v>
      </c>
    </row>
    <row r="433" spans="1:15" ht="18" customHeight="1" x14ac:dyDescent="0.3">
      <c r="A433" s="168" t="s">
        <v>251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266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261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261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261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261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261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261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261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261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261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261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261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261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67" t="s">
        <v>262</v>
      </c>
      <c r="B446" s="167"/>
      <c r="C446" s="167"/>
      <c r="D446" s="167"/>
      <c r="E446" s="16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263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261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288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261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289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261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261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261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261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290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261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291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261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292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261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261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261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261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67" t="s">
        <v>265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263</v>
      </c>
      <c r="O459" s="74">
        <v>2361680</v>
      </c>
    </row>
    <row r="460" spans="1:15" ht="18" customHeight="1" x14ac:dyDescent="0.3">
      <c r="A460" s="168" t="s">
        <v>251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266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261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293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261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261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261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261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261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261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261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261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261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261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261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67" t="s">
        <v>262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263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261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261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261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294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261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261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261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261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261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261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261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261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261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67" t="s">
        <v>265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263</v>
      </c>
      <c r="O486" s="74">
        <v>1798670</v>
      </c>
    </row>
    <row r="487" spans="1:15" ht="18" customHeight="1" x14ac:dyDescent="0.3">
      <c r="A487" s="168" t="s">
        <v>251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266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261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261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295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261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261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261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261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261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261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261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261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261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261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67" t="s">
        <v>262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263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261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261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296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261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261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261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261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261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261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261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261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261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276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67" t="s">
        <v>265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263</v>
      </c>
      <c r="O513" s="74">
        <v>2435830</v>
      </c>
    </row>
    <row r="514" spans="1:15" ht="18" customHeight="1" x14ac:dyDescent="0.3">
      <c r="A514" s="168" t="s">
        <v>251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266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261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261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261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261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261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276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276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276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276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276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276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276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67" t="s">
        <v>262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263</v>
      </c>
      <c r="O527" s="74">
        <v>1573200</v>
      </c>
    </row>
    <row r="528" spans="1:15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261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297</v>
      </c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261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261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261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261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261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261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261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261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261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261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261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67" t="s">
        <v>265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263</v>
      </c>
      <c r="O540" s="74">
        <v>667100</v>
      </c>
    </row>
    <row r="541" spans="1:15" ht="18" customHeight="1" x14ac:dyDescent="0.3">
      <c r="A541" s="168" t="s">
        <v>251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266</v>
      </c>
      <c r="O541" s="82">
        <f>IFERROR(O527+O540,"")</f>
        <v>2240300</v>
      </c>
    </row>
    <row r="542" spans="1:15" ht="15" customHeight="1" x14ac:dyDescent="0.3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298</v>
      </c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67" t="s">
        <v>262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263</v>
      </c>
      <c r="O554" s="74">
        <v>0</v>
      </c>
    </row>
    <row r="555" spans="1:15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261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298</v>
      </c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261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264</v>
      </c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261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299</v>
      </c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261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261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300</v>
      </c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261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261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301</v>
      </c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261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261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261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261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261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67" t="s">
        <v>265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263</v>
      </c>
      <c r="O567" s="74">
        <v>1031030</v>
      </c>
    </row>
    <row r="568" spans="1:15" ht="18" customHeight="1" x14ac:dyDescent="0.3">
      <c r="A568" s="168" t="s">
        <v>251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266</v>
      </c>
      <c r="O568" s="82">
        <f>IFERROR(O554+O567,"")</f>
        <v>1031030</v>
      </c>
    </row>
    <row r="569" spans="1:15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261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261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261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216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302</v>
      </c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261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261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261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261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261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261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261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261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261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67" t="s">
        <v>262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263</v>
      </c>
      <c r="O581" s="74">
        <v>2640170</v>
      </c>
    </row>
    <row r="582" spans="1:15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261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303</v>
      </c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261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304</v>
      </c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261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261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261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261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261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261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261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261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261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261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67" t="s">
        <v>265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263</v>
      </c>
      <c r="O594" s="74">
        <v>2100270</v>
      </c>
    </row>
    <row r="595" spans="1:15" ht="18" customHeight="1" x14ac:dyDescent="0.3">
      <c r="A595" s="168" t="s">
        <v>251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266</v>
      </c>
      <c r="O595" s="82">
        <f>IFERROR(O581+O594,"")</f>
        <v>4740440</v>
      </c>
    </row>
    <row r="596" spans="1:15" ht="15" customHeight="1" x14ac:dyDescent="0.3">
      <c r="A596" s="59">
        <v>46257</v>
      </c>
      <c r="B596" s="60">
        <v>0.33333333333333298</v>
      </c>
      <c r="C596" s="61" t="s">
        <v>30</v>
      </c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/>
      <c r="E597" s="62"/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/>
      <c r="M597" s="71">
        <f t="shared" ca="1" si="129"/>
        <v>0.81263784722250421</v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 t="s">
        <v>30</v>
      </c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261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261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 t="s">
        <v>30</v>
      </c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 t="s">
        <v>30</v>
      </c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 t="s">
        <v>30</v>
      </c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 t="s">
        <v>30</v>
      </c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 t="s">
        <v>30</v>
      </c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 t="s">
        <v>30</v>
      </c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 t="s">
        <v>30</v>
      </c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67" t="s">
        <v>262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0.9737489583336153</v>
      </c>
      <c r="N608" s="2" t="s">
        <v>263</v>
      </c>
      <c r="O608" s="74">
        <f>18310+1107750</f>
        <v>1126060</v>
      </c>
    </row>
    <row r="609" spans="1:15" ht="15" customHeight="1" x14ac:dyDescent="0.3">
      <c r="A609" s="18">
        <v>46257</v>
      </c>
      <c r="B609" s="68">
        <v>0.83333333333333304</v>
      </c>
      <c r="C609" s="70"/>
      <c r="D609" s="62" t="s">
        <v>31</v>
      </c>
      <c r="E609" s="75" t="s">
        <v>276</v>
      </c>
      <c r="F609" s="63">
        <v>1</v>
      </c>
      <c r="G609" s="69">
        <f t="shared" ref="G609:G614" si="131">IF(F609="","",IF(E609="PC 17",F609*4.2,IF(E609="PC 19",F609*5,IF(E609="CB",F609*35,""))))</f>
        <v>4.2</v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62" t="s">
        <v>31</v>
      </c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62" t="s">
        <v>31</v>
      </c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62" t="s">
        <v>31</v>
      </c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62" t="s">
        <v>31</v>
      </c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62" t="s">
        <v>31</v>
      </c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62" t="s">
        <v>31</v>
      </c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62" t="s">
        <v>31</v>
      </c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62" t="s">
        <v>31</v>
      </c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62" t="s">
        <v>31</v>
      </c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62" t="s">
        <v>31</v>
      </c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62" t="s">
        <v>31</v>
      </c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67" t="s">
        <v>265</v>
      </c>
      <c r="B621" s="167"/>
      <c r="C621" s="167"/>
      <c r="D621" s="167"/>
      <c r="E621" s="167"/>
      <c r="F621" s="2">
        <f>SUM(F609:F620)</f>
        <v>1</v>
      </c>
      <c r="G621" s="2">
        <f>SUM(G609:G620)</f>
        <v>4.2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263</v>
      </c>
      <c r="O621" s="74">
        <v>2354670</v>
      </c>
    </row>
    <row r="622" spans="1:15" ht="18" customHeight="1" x14ac:dyDescent="0.3">
      <c r="A622" s="168" t="s">
        <v>251</v>
      </c>
      <c r="B622" s="168"/>
      <c r="C622" s="168"/>
      <c r="D622" s="168"/>
      <c r="E622" s="168"/>
      <c r="F622" s="1">
        <f>F608+F621</f>
        <v>44</v>
      </c>
      <c r="G622" s="1">
        <f>G608+G621</f>
        <v>219.2</v>
      </c>
      <c r="H622" s="76"/>
      <c r="I622" s="76"/>
      <c r="J622" s="76"/>
      <c r="K622" s="76"/>
      <c r="L622" s="76"/>
      <c r="M622" s="77">
        <f ca="1">IFERROR(M608+M621,"")</f>
        <v>0.9737489583336153</v>
      </c>
      <c r="N622" s="1" t="s">
        <v>266</v>
      </c>
      <c r="O622" s="82">
        <f>IFERROR(O608+O621,"")</f>
        <v>3480730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67" t="s">
        <v>262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263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67" t="s">
        <v>265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263</v>
      </c>
      <c r="O648" s="74"/>
    </row>
    <row r="649" spans="1:15" ht="18" customHeight="1" x14ac:dyDescent="0.3">
      <c r="A649" s="168" t="s">
        <v>251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266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67" t="s">
        <v>262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263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67" t="s">
        <v>265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263</v>
      </c>
      <c r="O675" s="74"/>
    </row>
    <row r="676" spans="1:15" ht="18" customHeight="1" x14ac:dyDescent="0.3">
      <c r="A676" s="168" t="s">
        <v>251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266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67" t="s">
        <v>262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263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67" t="s">
        <v>265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263</v>
      </c>
      <c r="O702" s="74"/>
    </row>
    <row r="703" spans="1:15" ht="18" customHeight="1" x14ac:dyDescent="0.3">
      <c r="A703" s="168" t="s">
        <v>251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266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67" t="s">
        <v>262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263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67" t="s">
        <v>265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263</v>
      </c>
      <c r="O729" s="74"/>
    </row>
    <row r="730" spans="1:15" ht="18" customHeight="1" x14ac:dyDescent="0.3">
      <c r="A730" s="168" t="s">
        <v>251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266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67" t="s">
        <v>262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263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67" t="s">
        <v>265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263</v>
      </c>
      <c r="O756" s="74"/>
    </row>
    <row r="757" spans="1:15" ht="18" customHeight="1" x14ac:dyDescent="0.3">
      <c r="A757" s="168" t="s">
        <v>251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266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67" t="s">
        <v>262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263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67" t="s">
        <v>265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263</v>
      </c>
      <c r="O783" s="74"/>
    </row>
    <row r="784" spans="1:15" ht="18" customHeight="1" x14ac:dyDescent="0.3">
      <c r="A784" s="168" t="s">
        <v>251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266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67" t="s">
        <v>262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263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67" t="s">
        <v>265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263</v>
      </c>
      <c r="O810" s="74"/>
    </row>
    <row r="811" spans="1:15" ht="18" customHeight="1" x14ac:dyDescent="0.3">
      <c r="A811" s="168" t="s">
        <v>251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266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67" t="s">
        <v>262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263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67" t="s">
        <v>265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263</v>
      </c>
      <c r="O837" s="74"/>
    </row>
    <row r="838" spans="1:15" ht="18" customHeight="1" x14ac:dyDescent="0.3">
      <c r="A838" s="168" t="s">
        <v>251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266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1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263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276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276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276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276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276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276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276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276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276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276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276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263</v>
      </c>
      <c r="S27" s="74">
        <v>549860</v>
      </c>
      <c r="T27" s="99"/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266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263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0.19458229166048113</v>
      </c>
      <c r="R53" s="80" t="s">
        <v>315</v>
      </c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0.33347118054936886</v>
      </c>
      <c r="R54" s="2" t="s">
        <v>263</v>
      </c>
      <c r="S54" s="113">
        <v>352430</v>
      </c>
      <c r="T54" s="114"/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0.41819340277159167</v>
      </c>
      <c r="R55" s="1" t="s">
        <v>266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58" t="s">
        <v>262</v>
      </c>
      <c r="B68" s="158"/>
      <c r="C68" s="158"/>
      <c r="D68" s="158"/>
      <c r="E68" s="158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263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198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213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276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58" t="s">
        <v>265</v>
      </c>
      <c r="B81" s="158"/>
      <c r="C81" s="158"/>
      <c r="D81" s="158"/>
      <c r="E81" s="158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263</v>
      </c>
      <c r="S81" s="115">
        <v>634210</v>
      </c>
      <c r="T81" s="116"/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266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276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225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58" t="s">
        <v>262</v>
      </c>
      <c r="B95" s="158"/>
      <c r="C95" s="158"/>
      <c r="D95" s="158"/>
      <c r="E95" s="158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263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317</v>
      </c>
      <c r="Q96" s="66" t="str">
        <f t="shared" ref="Q96:Q107" ca="1" si="22">IFERROR(IF(O96="","",IF(P96="",MOD(NOW()-O96,1),IF(P96&gt;=O96,P96-O96,P96+1-O96))),"")</f>
        <v/>
      </c>
      <c r="R96" s="80" t="s">
        <v>318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196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264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58" t="s">
        <v>265</v>
      </c>
      <c r="B108" s="158"/>
      <c r="C108" s="158"/>
      <c r="D108" s="158"/>
      <c r="E108" s="158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263</v>
      </c>
      <c r="S108" s="115">
        <v>456830</v>
      </c>
      <c r="T108" s="116"/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266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58" t="s">
        <v>262</v>
      </c>
      <c r="B122" s="158"/>
      <c r="C122" s="158"/>
      <c r="D122" s="158"/>
      <c r="E122" s="158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263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58" t="s">
        <v>265</v>
      </c>
      <c r="B135" s="158"/>
      <c r="C135" s="158"/>
      <c r="D135" s="158"/>
      <c r="E135" s="158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263</v>
      </c>
      <c r="S135" s="115">
        <v>756720</v>
      </c>
      <c r="T135" s="116"/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266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58" t="s">
        <v>262</v>
      </c>
      <c r="B149" s="158"/>
      <c r="C149" s="158"/>
      <c r="D149" s="158"/>
      <c r="E149" s="158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263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58" t="s">
        <v>265</v>
      </c>
      <c r="B162" s="158"/>
      <c r="C162" s="158"/>
      <c r="D162" s="158"/>
      <c r="E162" s="158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263</v>
      </c>
      <c r="S162" s="115">
        <v>501750</v>
      </c>
      <c r="T162" s="116"/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266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276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276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276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276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276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276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276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276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276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276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263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276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276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276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276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263</v>
      </c>
      <c r="S189" s="74">
        <v>362530</v>
      </c>
      <c r="T189" s="99"/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266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194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194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263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263</v>
      </c>
      <c r="S216" s="74">
        <v>609740</v>
      </c>
      <c r="T216" s="99"/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266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183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264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263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264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263</v>
      </c>
      <c r="S243" s="74">
        <v>825930</v>
      </c>
      <c r="T243" s="99"/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266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263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276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276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276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276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276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276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276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276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276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276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276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276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732130</v>
      </c>
      <c r="T270" s="99"/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266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276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276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276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276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261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276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261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261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276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276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261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261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261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261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261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990260</v>
      </c>
      <c r="T297" s="99"/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276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276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276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276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276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276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276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276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276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276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276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276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263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276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276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276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276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276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276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276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276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276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276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263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266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183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263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209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263</v>
      </c>
      <c r="S351" s="74">
        <v>712170</v>
      </c>
      <c r="T351" s="99">
        <f>IFERROR(J351,"")</f>
        <v>149.5557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266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263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263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266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276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276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263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263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266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263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265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263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251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266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276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263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222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261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342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343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263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266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344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263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345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195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346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219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263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266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184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293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263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219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265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263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251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266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263</v>
      </c>
      <c r="S527" s="74">
        <v>742390</v>
      </c>
      <c r="T527" s="99">
        <f>IFERROR(J527,"")</f>
        <v>155.90189999999996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347</v>
      </c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348</v>
      </c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263</v>
      </c>
      <c r="S540" s="74">
        <v>399600</v>
      </c>
      <c r="T540" s="99">
        <f>IFERROR(J540,"")</f>
        <v>64.532992771084338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266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263</v>
      </c>
      <c r="S554" s="74">
        <v>216930</v>
      </c>
      <c r="T554" s="99">
        <f>IFERROR(J554,"")</f>
        <v>31.237919999999999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349</v>
      </c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276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263</v>
      </c>
      <c r="S567" s="74">
        <v>0</v>
      </c>
      <c r="T567" s="99">
        <f>IFERROR(J567,"")</f>
        <v>0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266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276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263</v>
      </c>
      <c r="S581" s="74">
        <v>175540</v>
      </c>
      <c r="T581" s="99">
        <f>IFERROR(J581,"")</f>
        <v>36.863399999999999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23.705806451612901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4.9782193548387088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23.705806451612901</v>
      </c>
      <c r="I583" s="90">
        <f>IFERROR(IF($D583="","",VLOOKUP($D583,Cadastro!$C$4:$G$7,5,FALSE())),"")</f>
        <v>0.6</v>
      </c>
      <c r="J583" s="91">
        <f t="shared" si="150"/>
        <v>4.9782193548387088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136.30838709677417</v>
      </c>
      <c r="I584" s="90">
        <f>IFERROR(IF($D584="","",VLOOKUP($D584,Cadastro!$C$4:$G$7,5,FALSE())),"")</f>
        <v>0.6</v>
      </c>
      <c r="J584" s="91">
        <f t="shared" si="150"/>
        <v>28.624761290322571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53.33806451612903</v>
      </c>
      <c r="I585" s="90">
        <f>IFERROR(IF($D585="","",VLOOKUP($D585,Cadastro!$C$4:$G$7,5,FALSE())),"")</f>
        <v>0.6</v>
      </c>
      <c r="J585" s="91">
        <f t="shared" si="150"/>
        <v>11.200993548387096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350</v>
      </c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23.705806451612901</v>
      </c>
      <c r="I586" s="90">
        <f>IFERROR(IF($D586="","",VLOOKUP($D586,Cadastro!$C$4:$G$7,5,FALSE())),"")</f>
        <v>0.6</v>
      </c>
      <c r="J586" s="91">
        <f t="shared" si="150"/>
        <v>4.9782193548387088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4</v>
      </c>
      <c r="H587" s="88">
        <f>IFERROR(IF($G587="","",$G587*$S$594/$G$594/Cadastro!$E$33),"")</f>
        <v>23.705806451612901</v>
      </c>
      <c r="I587" s="90">
        <f>IFERROR(IF($D587="","",VLOOKUP($D587,Cadastro!$C$4:$G$7,5,FALSE())),"")</f>
        <v>0.6</v>
      </c>
      <c r="J587" s="91">
        <f t="shared" si="150"/>
        <v>4.9782193548387088</v>
      </c>
      <c r="K587" s="69">
        <f t="shared" si="151"/>
        <v>16.8</v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35.558709677419358</v>
      </c>
      <c r="I588" s="90">
        <f>IFERROR(IF($D588="","",VLOOKUP($D588,Cadastro!$C$4:$G$7,5,FALSE())),"")</f>
        <v>0.6</v>
      </c>
      <c r="J588" s="91">
        <f t="shared" si="150"/>
        <v>7.4673290322580641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118.52903225806452</v>
      </c>
      <c r="I589" s="90">
        <f>IFERROR(IF($D589="","",VLOOKUP($D589,Cadastro!$C$4:$G$7,5,FALSE())),"")</f>
        <v>0.6</v>
      </c>
      <c r="J589" s="91">
        <f t="shared" si="150"/>
        <v>24.891096774193546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261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59.264516129032259</v>
      </c>
      <c r="I590" s="90">
        <f>IFERROR(IF($D590="","",VLOOKUP($D590,Cadastro!$C$4:$G$7,5,FALSE())),"")</f>
        <v>0.6</v>
      </c>
      <c r="J590" s="91">
        <f t="shared" si="150"/>
        <v>12.445548387096773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35.558709677419358</v>
      </c>
      <c r="I591" s="90">
        <f>IFERROR(IF($D591="","",VLOOKUP($D591,Cadastro!$C$4:$G$7,5,FALSE())),"")</f>
        <v>0.6</v>
      </c>
      <c r="J591" s="91">
        <f t="shared" si="150"/>
        <v>7.4673290322580641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17.779354838709679</v>
      </c>
      <c r="I592" s="90">
        <f>IFERROR(IF($D592="","",VLOOKUP($D592,Cadastro!$C$4:$G$7,5,FALSE())),"")</f>
        <v>0.6</v>
      </c>
      <c r="J592" s="91">
        <f t="shared" si="150"/>
        <v>3.7336645161290321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551.15999999999985</v>
      </c>
      <c r="I594" s="106"/>
      <c r="J594" s="107">
        <f>IFERROR(SUM(J582:J593),"")</f>
        <v>115.74359999999999</v>
      </c>
      <c r="K594" s="2">
        <f>SUM(K582:K593)</f>
        <v>398.60000000000008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263</v>
      </c>
      <c r="S594" s="74">
        <v>551160</v>
      </c>
      <c r="T594" s="99">
        <f>IFERROR(J594,"")</f>
        <v>115.74359999999999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142</v>
      </c>
      <c r="H595" s="108">
        <f>IFERROR(H581+H594,"")</f>
        <v>726.69999999999982</v>
      </c>
      <c r="I595" s="110"/>
      <c r="J595" s="111">
        <f>IFERROR(J581+J594,"")</f>
        <v>152.60699999999997</v>
      </c>
      <c r="K595" s="1">
        <f>K581+K594</f>
        <v>604.40000000000009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266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209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263</v>
      </c>
      <c r="S608" s="74">
        <f>981900-413630+137530</f>
        <v>705800</v>
      </c>
      <c r="T608" s="99">
        <f>IFERROR(J608,"")</f>
        <v>148.21799999999999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508.5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106.785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508.5</v>
      </c>
      <c r="I621" s="106"/>
      <c r="J621" s="107">
        <f>IFERROR(SUM(J609:J620),"")</f>
        <v>106.785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508500</v>
      </c>
      <c r="T621" s="99">
        <f>IFERROR(J621,"")</f>
        <v>106.785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57</v>
      </c>
      <c r="H622" s="108">
        <f>IFERROR(H608+H621,"")</f>
        <v>1214.3000000000002</v>
      </c>
      <c r="I622" s="110"/>
      <c r="J622" s="111">
        <f>IFERROR(J608+J621,"")</f>
        <v>255.00299999999999</v>
      </c>
      <c r="K622" s="1">
        <f>K608+K621</f>
        <v>239.39999999999998</v>
      </c>
      <c r="L622" s="76"/>
      <c r="M622" s="76"/>
      <c r="N622" s="76"/>
      <c r="O622" s="76"/>
      <c r="P622" s="76"/>
      <c r="Q622" s="77">
        <f ca="1">IFERROR(Q608+Q621,"")</f>
        <v>4.9999999999999989E-2</v>
      </c>
      <c r="R622" s="1" t="s">
        <v>266</v>
      </c>
      <c r="S622" s="82">
        <f>S608+S621</f>
        <v>1214300</v>
      </c>
      <c r="T622" s="118">
        <f>IFERROR(J622,"")</f>
        <v>255.00299999999999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113"/>
      <c r="T837" s="114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99" activePane="bottomLeft" state="frozen"/>
      <selection pane="bottomLeft" activeCell="A621" sqref="A621:E621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263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276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351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352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276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276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263</v>
      </c>
      <c r="S27" s="74">
        <v>358000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266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276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276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276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276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276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276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276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276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276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276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276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263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351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351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263</v>
      </c>
      <c r="S54" s="74">
        <v>279980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266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276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276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276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276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276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353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276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276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276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276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276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263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354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198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263</v>
      </c>
      <c r="S81" s="74">
        <v>185920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266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355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356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263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357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263</v>
      </c>
      <c r="S108" s="74">
        <v>434370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266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263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358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211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263</v>
      </c>
      <c r="S135" s="74">
        <v>416350</v>
      </c>
      <c r="T135" s="99">
        <f>IFERROR(J135,"")</f>
        <v>0</v>
      </c>
    </row>
    <row r="136" spans="1:20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266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359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217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58" t="s">
        <v>262</v>
      </c>
      <c r="B149" s="158"/>
      <c r="C149" s="158"/>
      <c r="D149" s="158"/>
      <c r="E149" s="158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263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263</v>
      </c>
      <c r="S162" s="74">
        <v>169760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266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360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263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361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263</v>
      </c>
      <c r="S189" s="74">
        <v>72220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266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194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194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194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263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362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263</v>
      </c>
      <c r="S216" s="74">
        <v>148720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266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363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364</v>
      </c>
      <c r="Q222" s="66" t="str">
        <f t="shared" ca="1" si="49"/>
        <v/>
      </c>
      <c r="R222" s="63" t="s">
        <v>365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263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263</v>
      </c>
      <c r="S243" s="74">
        <v>352720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266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366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261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261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263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276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276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276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276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276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276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276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276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276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276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276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276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263</v>
      </c>
      <c r="S270" s="74">
        <v>327900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266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261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263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263</v>
      </c>
      <c r="S297" s="74">
        <v>462190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266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211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211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196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263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263</v>
      </c>
      <c r="S324" s="74">
        <v>289490</v>
      </c>
      <c r="T324" s="99">
        <f>IFERROR(J324,"")</f>
        <v>41.68656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266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367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261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276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263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263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266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58" t="s">
        <v>262</v>
      </c>
      <c r="B365" s="158"/>
      <c r="C365" s="158"/>
      <c r="D365" s="158"/>
      <c r="E365" s="158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263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217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263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266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368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263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263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266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369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263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370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263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266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276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371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371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263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222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211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372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263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266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263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195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373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263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266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276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358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263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374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211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375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276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263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266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 x14ac:dyDescent="0.3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376</v>
      </c>
      <c r="S517" s="81"/>
    </row>
    <row r="518" spans="1:20" ht="15" customHeight="1" x14ac:dyDescent="0.3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 x14ac:dyDescent="0.3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263</v>
      </c>
      <c r="S527" s="74">
        <v>393130</v>
      </c>
      <c r="T527" s="99">
        <f>IFERROR(J527,"")</f>
        <v>82.557299999999998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276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261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316</v>
      </c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377</v>
      </c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263</v>
      </c>
      <c r="S540" s="74">
        <v>270460</v>
      </c>
      <c r="T540" s="99">
        <f>IFERROR(J540,"")</f>
        <v>46.847219016393439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266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378</v>
      </c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224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263</v>
      </c>
      <c r="S554" s="74">
        <v>39890</v>
      </c>
      <c r="T554" s="99">
        <f>IFERROR(J554,"")</f>
        <v>5.7441599999999999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211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211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219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316</v>
      </c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209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211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379</v>
      </c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261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351</v>
      </c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261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263</v>
      </c>
      <c r="S567" s="74">
        <v>524080</v>
      </c>
      <c r="T567" s="99">
        <f>IFERROR(J567,"")</f>
        <v>75.467519999999979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266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316</v>
      </c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263</v>
      </c>
      <c r="S581" s="74">
        <v>631330</v>
      </c>
      <c r="T581" s="99">
        <f>IFERROR(J581,"")</f>
        <v>132.57929999999996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374</v>
      </c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261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263</v>
      </c>
      <c r="S594" s="74">
        <v>456490</v>
      </c>
      <c r="T594" s="99">
        <f>IFERROR(J594,"")</f>
        <v>95.862899999999996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266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316</v>
      </c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263</v>
      </c>
      <c r="S608" s="74">
        <f>736040-425430+31060</f>
        <v>341670</v>
      </c>
      <c r="T608" s="99">
        <f>IFERROR(J608,"")</f>
        <v>71.750699999999995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399.51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83.897099999999995</v>
      </c>
      <c r="K609" s="69">
        <f t="shared" ref="K609:K614" si="156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399.51</v>
      </c>
      <c r="I621" s="106"/>
      <c r="J621" s="107">
        <f>IFERROR(SUM(J609:J620),"")</f>
        <v>83.897099999999995</v>
      </c>
      <c r="K621" s="2">
        <f>SUM(K609:K620)</f>
        <v>4.2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263</v>
      </c>
      <c r="S621" s="74">
        <v>399510</v>
      </c>
      <c r="T621" s="99">
        <f>IFERROR(J621,"")</f>
        <v>83.897099999999995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26</v>
      </c>
      <c r="H622" s="108">
        <f>IFERROR(H608+H621,"")</f>
        <v>741.18</v>
      </c>
      <c r="I622" s="110"/>
      <c r="J622" s="111">
        <f>IFERROR(J608+J621,"")</f>
        <v>155.64779999999999</v>
      </c>
      <c r="K622" s="1">
        <f>K608+K621</f>
        <v>109.2</v>
      </c>
      <c r="L622" s="76"/>
      <c r="M622" s="76"/>
      <c r="N622" s="76"/>
      <c r="O622" s="76"/>
      <c r="P622" s="76"/>
      <c r="Q622" s="77">
        <f ca="1">IFERROR(Q608+Q621,"")</f>
        <v>9.3749999999999944E-2</v>
      </c>
      <c r="R622" s="1" t="s">
        <v>266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266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opLeftCell="L1" zoomScale="81" zoomScaleNormal="81" workbookViewId="0">
      <pane ySplit="1" topLeftCell="A599" activePane="bottomLeft" state="frozen"/>
      <selection pane="bottomLeft" activeCell="M618" sqref="M618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252</v>
      </c>
      <c r="C1" s="57" t="s">
        <v>19</v>
      </c>
      <c r="D1" s="56" t="s">
        <v>20</v>
      </c>
      <c r="E1" s="56" t="s">
        <v>253</v>
      </c>
      <c r="F1" s="86" t="s">
        <v>21</v>
      </c>
      <c r="G1" s="57" t="s">
        <v>254</v>
      </c>
      <c r="H1" s="86" t="s">
        <v>305</v>
      </c>
      <c r="I1" s="86" t="s">
        <v>22</v>
      </c>
      <c r="J1" s="86" t="s">
        <v>306</v>
      </c>
      <c r="K1" s="57" t="s">
        <v>255</v>
      </c>
      <c r="L1" s="57" t="s">
        <v>23</v>
      </c>
      <c r="M1" s="57" t="s">
        <v>24</v>
      </c>
      <c r="N1" s="57" t="s">
        <v>256</v>
      </c>
      <c r="O1" s="57" t="s">
        <v>257</v>
      </c>
      <c r="P1" s="57" t="s">
        <v>258</v>
      </c>
      <c r="Q1" s="58" t="s">
        <v>259</v>
      </c>
      <c r="R1" s="57" t="s">
        <v>248</v>
      </c>
      <c r="S1" s="57" t="s">
        <v>260</v>
      </c>
      <c r="T1" s="57" t="s">
        <v>306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276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276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276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276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276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276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276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276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276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276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276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276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58" t="s">
        <v>262</v>
      </c>
      <c r="B14" s="158"/>
      <c r="C14" s="158"/>
      <c r="D14" s="158"/>
      <c r="E14" s="158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263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276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276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380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276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276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351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276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381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276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276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276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382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276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276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276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276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58" t="s">
        <v>265</v>
      </c>
      <c r="B27" s="158"/>
      <c r="C27" s="158"/>
      <c r="D27" s="158"/>
      <c r="E27" s="158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263</v>
      </c>
      <c r="S27" s="74">
        <v>491520</v>
      </c>
      <c r="T27" s="99">
        <f>IFERROR(J27,"")</f>
        <v>0</v>
      </c>
    </row>
    <row r="28" spans="1:20" ht="18" customHeight="1" x14ac:dyDescent="0.3">
      <c r="A28" s="159" t="s">
        <v>251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266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276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276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276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276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276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276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276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276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276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276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276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276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58" t="s">
        <v>262</v>
      </c>
      <c r="B41" s="158"/>
      <c r="C41" s="158"/>
      <c r="D41" s="158"/>
      <c r="E41" s="158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263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276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276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276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276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383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276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276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276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276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276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276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276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276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58" t="s">
        <v>265</v>
      </c>
      <c r="B54" s="158"/>
      <c r="C54" s="158"/>
      <c r="D54" s="158"/>
      <c r="E54" s="158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263</v>
      </c>
      <c r="S54" s="74">
        <v>352430</v>
      </c>
      <c r="T54" s="99">
        <f>IFERROR(J54,"")</f>
        <v>0</v>
      </c>
    </row>
    <row r="55" spans="1:20" ht="18" customHeight="1" x14ac:dyDescent="0.3">
      <c r="A55" s="159" t="s">
        <v>251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266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276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276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276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219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276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384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276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385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276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276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276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276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276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276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276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58" t="s">
        <v>262</v>
      </c>
      <c r="B68" s="158"/>
      <c r="C68" s="158"/>
      <c r="D68" s="158"/>
      <c r="E68" s="158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263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276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232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386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276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276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276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351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276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276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219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276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276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276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276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276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58" t="s">
        <v>265</v>
      </c>
      <c r="B81" s="158"/>
      <c r="C81" s="158"/>
      <c r="D81" s="158"/>
      <c r="E81" s="158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263</v>
      </c>
      <c r="S81" s="74">
        <v>612410</v>
      </c>
      <c r="T81" s="99">
        <f>IFERROR(J81,"")</f>
        <v>0</v>
      </c>
    </row>
    <row r="82" spans="1:20" ht="18" customHeight="1" x14ac:dyDescent="0.3">
      <c r="A82" s="159" t="s">
        <v>251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266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276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276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276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276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276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276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276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276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276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276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276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276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58" t="s">
        <v>262</v>
      </c>
      <c r="B95" s="158"/>
      <c r="C95" s="158"/>
      <c r="D95" s="158"/>
      <c r="E95" s="158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263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276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276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351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276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276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276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276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276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276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276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276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276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276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58" t="s">
        <v>265</v>
      </c>
      <c r="B108" s="158"/>
      <c r="C108" s="158"/>
      <c r="D108" s="158"/>
      <c r="E108" s="158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263</v>
      </c>
      <c r="S108" s="74">
        <v>956070</v>
      </c>
      <c r="T108" s="99">
        <f>IFERROR(J108,"")</f>
        <v>0</v>
      </c>
    </row>
    <row r="109" spans="1:20" ht="18" customHeight="1" x14ac:dyDescent="0.3">
      <c r="A109" s="159" t="s">
        <v>251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266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276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276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232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276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237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276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237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276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387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276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276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276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276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276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276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276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58" t="s">
        <v>262</v>
      </c>
      <c r="B122" s="158"/>
      <c r="C122" s="158"/>
      <c r="D122" s="158"/>
      <c r="E122" s="158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263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276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219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276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388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276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276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276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276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276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351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276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276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276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276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276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58" t="s">
        <v>265</v>
      </c>
      <c r="B135" s="158"/>
      <c r="C135" s="158"/>
      <c r="D135" s="158"/>
      <c r="E135" s="158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263</v>
      </c>
      <c r="S135" s="74">
        <v>912240</v>
      </c>
      <c r="T135" s="99">
        <f>IFERROR(J135,"")</f>
        <v>0</v>
      </c>
    </row>
    <row r="136" spans="1:22" ht="18" customHeight="1" x14ac:dyDescent="0.3">
      <c r="A136" s="159" t="s">
        <v>251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266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276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276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389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276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390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276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276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276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276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276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276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276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276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276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262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263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276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391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276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392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276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276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276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276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276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276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276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276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276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276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58" t="s">
        <v>265</v>
      </c>
      <c r="B162" s="158"/>
      <c r="C162" s="158"/>
      <c r="D162" s="158"/>
      <c r="E162" s="158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263</v>
      </c>
      <c r="S162" s="74">
        <v>573230</v>
      </c>
      <c r="T162" s="99">
        <f>IFERROR(J162,"")</f>
        <v>0</v>
      </c>
    </row>
    <row r="163" spans="1:20" ht="18" customHeight="1" x14ac:dyDescent="0.3">
      <c r="A163" s="159" t="s">
        <v>251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266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276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276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196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276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276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276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276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276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393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276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276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276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276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276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58" t="s">
        <v>262</v>
      </c>
      <c r="B176" s="158"/>
      <c r="C176" s="158"/>
      <c r="D176" s="158"/>
      <c r="E176" s="158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263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276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394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276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276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276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276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276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276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276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276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276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276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276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58" t="s">
        <v>265</v>
      </c>
      <c r="B189" s="158"/>
      <c r="C189" s="158"/>
      <c r="D189" s="158"/>
      <c r="E189" s="158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263</v>
      </c>
      <c r="S189" s="74">
        <v>692750</v>
      </c>
      <c r="T189" s="99">
        <f>IFERROR(J189,"")</f>
        <v>0</v>
      </c>
    </row>
    <row r="190" spans="1:20" ht="18" customHeight="1" x14ac:dyDescent="0.3">
      <c r="A190" s="159" t="s">
        <v>251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266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276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276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395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276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276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276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276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276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276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276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276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276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276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58" t="s">
        <v>262</v>
      </c>
      <c r="B203" s="158"/>
      <c r="C203" s="158"/>
      <c r="D203" s="158"/>
      <c r="E203" s="158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263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276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396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276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276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398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276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276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276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276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276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276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276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276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276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58" t="s">
        <v>265</v>
      </c>
      <c r="B216" s="158"/>
      <c r="C216" s="158"/>
      <c r="D216" s="158"/>
      <c r="E216" s="158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263</v>
      </c>
      <c r="S216" s="74">
        <v>607180</v>
      </c>
      <c r="T216" s="99">
        <f>IFERROR(J216,"")</f>
        <v>0</v>
      </c>
    </row>
    <row r="217" spans="1:20" ht="18" customHeight="1" x14ac:dyDescent="0.3">
      <c r="A217" s="159" t="s">
        <v>251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266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276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276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276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399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276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400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261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276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276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276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276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276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276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276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58" t="s">
        <v>262</v>
      </c>
      <c r="B230" s="158"/>
      <c r="C230" s="158"/>
      <c r="D230" s="158"/>
      <c r="E230" s="158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263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276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401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261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402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276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261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261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261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261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261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261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261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261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261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58" t="s">
        <v>265</v>
      </c>
      <c r="B243" s="158"/>
      <c r="C243" s="158"/>
      <c r="D243" s="158"/>
      <c r="E243" s="158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263</v>
      </c>
      <c r="S243" s="74">
        <v>795250</v>
      </c>
      <c r="T243" s="99">
        <f>IFERROR(J243,"")</f>
        <v>0</v>
      </c>
    </row>
    <row r="244" spans="1:20" ht="18" customHeight="1" x14ac:dyDescent="0.3">
      <c r="A244" s="159" t="s">
        <v>251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266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261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261</v>
      </c>
      <c r="F246" s="88"/>
      <c r="G246" s="63" t="s">
        <v>286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261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261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276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403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276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276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276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276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276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276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276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58" t="s">
        <v>262</v>
      </c>
      <c r="B257" s="158"/>
      <c r="C257" s="158"/>
      <c r="D257" s="158"/>
      <c r="E257" s="158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263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276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276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276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276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276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276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276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276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276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276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276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276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58" t="s">
        <v>265</v>
      </c>
      <c r="B270" s="158"/>
      <c r="C270" s="158"/>
      <c r="D270" s="158"/>
      <c r="E270" s="158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263</v>
      </c>
      <c r="S270" s="74">
        <v>683360</v>
      </c>
      <c r="T270" s="99">
        <f>IFERROR(J270,"")</f>
        <v>0</v>
      </c>
    </row>
    <row r="271" spans="1:20" ht="18" customHeight="1" x14ac:dyDescent="0.3">
      <c r="A271" s="159" t="s">
        <v>251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266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276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276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276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276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276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276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276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276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276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276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276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276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58" t="s">
        <v>262</v>
      </c>
      <c r="B284" s="158"/>
      <c r="C284" s="158"/>
      <c r="D284" s="158"/>
      <c r="E284" s="158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263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261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261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276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261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261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261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261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261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261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261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261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261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58" t="s">
        <v>265</v>
      </c>
      <c r="B297" s="158"/>
      <c r="C297" s="158"/>
      <c r="D297" s="158"/>
      <c r="E297" s="158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263</v>
      </c>
      <c r="S297" s="74">
        <v>904710</v>
      </c>
      <c r="T297" s="99">
        <f>IFERROR(J297,"")</f>
        <v>0</v>
      </c>
    </row>
    <row r="298" spans="1:20" ht="18" customHeight="1" x14ac:dyDescent="0.3">
      <c r="A298" s="159" t="s">
        <v>251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266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276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196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276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276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276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276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276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276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276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276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276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276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276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58" t="s">
        <v>262</v>
      </c>
      <c r="B311" s="158"/>
      <c r="C311" s="158"/>
      <c r="D311" s="158"/>
      <c r="E311" s="158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263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276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276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276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276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276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276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276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276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276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276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276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276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58" t="s">
        <v>265</v>
      </c>
      <c r="B324" s="158"/>
      <c r="C324" s="158"/>
      <c r="D324" s="158"/>
      <c r="E324" s="158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263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59" t="s">
        <v>251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266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261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261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261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261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276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261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276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276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276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276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276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276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58" t="s">
        <v>262</v>
      </c>
      <c r="B338" s="158"/>
      <c r="C338" s="158"/>
      <c r="D338" s="158"/>
      <c r="E338" s="158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263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276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276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276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276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276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276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276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276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404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276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405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276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276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276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58" t="s">
        <v>265</v>
      </c>
      <c r="B351" s="158"/>
      <c r="C351" s="158"/>
      <c r="D351" s="158"/>
      <c r="E351" s="158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263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59" t="s">
        <v>251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266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276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276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276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276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406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276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276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407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276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276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276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276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276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276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262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263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276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276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276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276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276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276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276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408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276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276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276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276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276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58" t="s">
        <v>265</v>
      </c>
      <c r="B378" s="158"/>
      <c r="C378" s="158"/>
      <c r="D378" s="158"/>
      <c r="E378" s="158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263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59" t="s">
        <v>251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266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276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276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276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276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276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276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409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276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276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276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276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276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276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58" t="s">
        <v>262</v>
      </c>
      <c r="B392" s="158"/>
      <c r="C392" s="158"/>
      <c r="D392" s="158"/>
      <c r="E392" s="158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263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276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232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276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410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276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276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276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276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276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276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276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276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276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276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58" t="s">
        <v>265</v>
      </c>
      <c r="B405" s="158"/>
      <c r="C405" s="158"/>
      <c r="D405" s="158"/>
      <c r="E405" s="158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263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59" t="s">
        <v>251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266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276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239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411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276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276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276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276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276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276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276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276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276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276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276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58" t="s">
        <v>262</v>
      </c>
      <c r="B419" s="158"/>
      <c r="C419" s="158"/>
      <c r="D419" s="158"/>
      <c r="E419" s="158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263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276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276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276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276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412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276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276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276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276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276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276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276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276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58" t="s">
        <v>265</v>
      </c>
      <c r="B432" s="158"/>
      <c r="C432" s="158"/>
      <c r="D432" s="158"/>
      <c r="E432" s="158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263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59" t="s">
        <v>251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266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276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276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276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276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276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276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276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276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276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276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276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276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58" t="s">
        <v>262</v>
      </c>
      <c r="B446" s="158"/>
      <c r="C446" s="158"/>
      <c r="D446" s="158"/>
      <c r="E446" s="158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263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276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413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276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276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276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276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213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407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276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276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276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276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276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276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276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58" t="s">
        <v>265</v>
      </c>
      <c r="B459" s="158"/>
      <c r="C459" s="158"/>
      <c r="D459" s="158"/>
      <c r="E459" s="158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263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59" t="s">
        <v>251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266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276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276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276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276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276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276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276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276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276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276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276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276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58" t="s">
        <v>262</v>
      </c>
      <c r="B473" s="158"/>
      <c r="C473" s="158"/>
      <c r="D473" s="158"/>
      <c r="E473" s="158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263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276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276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276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414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276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276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276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373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276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276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276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276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276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276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58" t="s">
        <v>265</v>
      </c>
      <c r="B486" s="158"/>
      <c r="C486" s="158"/>
      <c r="D486" s="158"/>
      <c r="E486" s="158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263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59" t="s">
        <v>251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266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276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276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276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276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261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276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276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276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276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276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276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276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58" t="s">
        <v>262</v>
      </c>
      <c r="B500" s="158"/>
      <c r="C500" s="158"/>
      <c r="D500" s="158"/>
      <c r="E500" s="158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263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276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276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210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276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276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415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276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276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276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276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276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276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276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276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58" t="s">
        <v>265</v>
      </c>
      <c r="B513" s="158"/>
      <c r="C513" s="158"/>
      <c r="D513" s="158"/>
      <c r="E513" s="158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263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59" t="s">
        <v>251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266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276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276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276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276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276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276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261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261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261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261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261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261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58" t="s">
        <v>262</v>
      </c>
      <c r="B527" s="158"/>
      <c r="C527" s="158"/>
      <c r="D527" s="158"/>
      <c r="E527" s="158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263</v>
      </c>
      <c r="S527" s="74">
        <v>963090</v>
      </c>
      <c r="T527" s="99">
        <f>IFERROR(J527,"")</f>
        <v>202.24889999999996</v>
      </c>
    </row>
    <row r="528" spans="1:20" ht="15" customHeight="1" x14ac:dyDescent="0.3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276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261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276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276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276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276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276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276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276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276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276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276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58" t="s">
        <v>265</v>
      </c>
      <c r="B540" s="158"/>
      <c r="C540" s="158"/>
      <c r="D540" s="158"/>
      <c r="E540" s="158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263</v>
      </c>
      <c r="S540" s="74">
        <v>746110</v>
      </c>
      <c r="T540" s="99">
        <f>IFERROR(J540,"")</f>
        <v>126.60637832335328</v>
      </c>
    </row>
    <row r="541" spans="1:20" ht="18" customHeight="1" x14ac:dyDescent="0.3">
      <c r="A541" s="159" t="s">
        <v>251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266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 x14ac:dyDescent="0.3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276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276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276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276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276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276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416</v>
      </c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276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276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276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276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276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417</v>
      </c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276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 x14ac:dyDescent="0.3">
      <c r="A554" s="158" t="s">
        <v>262</v>
      </c>
      <c r="B554" s="158"/>
      <c r="C554" s="158"/>
      <c r="D554" s="158"/>
      <c r="E554" s="158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263</v>
      </c>
      <c r="S554" s="74">
        <v>766150</v>
      </c>
      <c r="T554" s="99">
        <f>IFERROR(J554,"")</f>
        <v>110.32559999999999</v>
      </c>
    </row>
    <row r="555" spans="1:20" ht="15" customHeight="1" x14ac:dyDescent="0.3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276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418</v>
      </c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261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419</v>
      </c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276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276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276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276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211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420</v>
      </c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276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421</v>
      </c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276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422</v>
      </c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276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276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423</v>
      </c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276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406</v>
      </c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276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 x14ac:dyDescent="0.3">
      <c r="A567" s="158" t="s">
        <v>265</v>
      </c>
      <c r="B567" s="158"/>
      <c r="C567" s="158"/>
      <c r="D567" s="158"/>
      <c r="E567" s="158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263</v>
      </c>
      <c r="S567" s="74">
        <v>486090</v>
      </c>
      <c r="T567" s="99">
        <f>IFERROR(J567,"")</f>
        <v>69.996959999999987</v>
      </c>
    </row>
    <row r="568" spans="1:20" ht="18" customHeight="1" x14ac:dyDescent="0.3">
      <c r="A568" s="159" t="s">
        <v>251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266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 x14ac:dyDescent="0.3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276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276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276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407</v>
      </c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276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261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424</v>
      </c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276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276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276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276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276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276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276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58" t="s">
        <v>262</v>
      </c>
      <c r="B581" s="158"/>
      <c r="C581" s="158"/>
      <c r="D581" s="158"/>
      <c r="E581" s="158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263</v>
      </c>
      <c r="S581" s="74">
        <v>759800</v>
      </c>
      <c r="T581" s="99">
        <f>IFERROR(J581,"")</f>
        <v>159.55799999999996</v>
      </c>
    </row>
    <row r="582" spans="1:20" ht="15" customHeight="1" x14ac:dyDescent="0.3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276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276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425</v>
      </c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276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426</v>
      </c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276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276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276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373</v>
      </c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276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276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276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276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276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276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58" t="s">
        <v>265</v>
      </c>
      <c r="B594" s="158"/>
      <c r="C594" s="158"/>
      <c r="D594" s="158"/>
      <c r="E594" s="158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263</v>
      </c>
      <c r="S594" s="74">
        <v>985680</v>
      </c>
      <c r="T594" s="99">
        <f>IFERROR(J594,"")</f>
        <v>206.99279999999996</v>
      </c>
    </row>
    <row r="595" spans="1:20" ht="18" customHeight="1" x14ac:dyDescent="0.3">
      <c r="A595" s="159" t="s">
        <v>251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266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 x14ac:dyDescent="0.3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276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427</v>
      </c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276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276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276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276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276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276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276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276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276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276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276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58" t="s">
        <v>262</v>
      </c>
      <c r="B608" s="158"/>
      <c r="C608" s="158"/>
      <c r="D608" s="158"/>
      <c r="E608" s="158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263</v>
      </c>
      <c r="S608" s="74">
        <f>1545300-910510+75170</f>
        <v>709960</v>
      </c>
      <c r="T608" s="99">
        <f>IFERROR(J608,"")</f>
        <v>149.09159999999997</v>
      </c>
    </row>
    <row r="609" spans="1:20" ht="15" customHeight="1" x14ac:dyDescent="0.3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276</v>
      </c>
      <c r="F609" s="101">
        <f>IFERROR(IF($D609="","",VLOOKUP($D609,Cadastro!$C$4:$E$7,3,FALSE())),"")</f>
        <v>0.35</v>
      </c>
      <c r="G609" s="89">
        <v>1</v>
      </c>
      <c r="H609" s="101">
        <f>IFERROR(IF($G609="","",$G609*$S$621/$G$621/Cadastro!$E$33),"")</f>
        <v>715.66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150.28859999999997</v>
      </c>
      <c r="K609" s="69">
        <f t="shared" ref="K609:K614" si="159">IF(G609="","",IF(E609="PC 17",G609*4.2,IF(E609="PC 19",G609*5,IF(E609="CB",G609*24,""))))</f>
        <v>4.2</v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/>
      <c r="F610" s="88">
        <f>IFERROR(IF($D610="","",VLOOKUP($D610,Cadastro!$C$4:$E$7,3,FALSE())),"")</f>
        <v>0.35</v>
      </c>
      <c r="G610" s="89"/>
      <c r="H610" s="88" t="str">
        <f>IFERROR(IF($G610="","",$G610*$S$621/$G$621/Cadastro!$E$33),"")</f>
        <v/>
      </c>
      <c r="I610" s="90">
        <f>IFERROR(IF($D610="","",VLOOKUP($D610,Cadastro!$C$4:$G$7,5,FALSE())),"")</f>
        <v>0.6</v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/>
      <c r="F611" s="88">
        <f>IFERROR(IF($D611="","",VLOOKUP($D611,Cadastro!$C$4:$E$7,3,FALSE())),"")</f>
        <v>0.35</v>
      </c>
      <c r="G611" s="89"/>
      <c r="H611" s="88" t="str">
        <f>IFERROR(IF($G611="","",$G611*$S$621/$G$621/Cadastro!$E$33),"")</f>
        <v/>
      </c>
      <c r="I611" s="90">
        <f>IFERROR(IF($D611="","",VLOOKUP($D611,Cadastro!$C$4:$G$7,5,FALSE())),"")</f>
        <v>0.6</v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/>
      <c r="F612" s="88">
        <f>IFERROR(IF($D612="","",VLOOKUP($D612,Cadastro!$C$4:$E$7,3,FALSE())),"")</f>
        <v>0.35</v>
      </c>
      <c r="G612" s="89"/>
      <c r="H612" s="88" t="str">
        <f>IFERROR(IF($G612="","",$G612*$S$621/$G$621/Cadastro!$E$33),"")</f>
        <v/>
      </c>
      <c r="I612" s="90">
        <f>IFERROR(IF($D612="","",VLOOKUP($D612,Cadastro!$C$4:$G$7,5,FALSE())),"")</f>
        <v>0.6</v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/>
      <c r="F613" s="88">
        <f>IFERROR(IF($D613="","",VLOOKUP($D613,Cadastro!$C$4:$E$7,3,FALSE())),"")</f>
        <v>0.35</v>
      </c>
      <c r="G613" s="89"/>
      <c r="H613" s="88" t="str">
        <f>IFERROR(IF($G613="","",$G613*$S$621/$G$621/Cadastro!$E$33),"")</f>
        <v/>
      </c>
      <c r="I613" s="90">
        <f>IFERROR(IF($D613="","",VLOOKUP($D613,Cadastro!$C$4:$G$7,5,FALSE())),"")</f>
        <v>0.6</v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/>
      <c r="F614" s="88">
        <f>IFERROR(IF($D614="","",VLOOKUP($D614,Cadastro!$C$4:$E$7,3,FALSE())),"")</f>
        <v>0.35</v>
      </c>
      <c r="G614" s="89"/>
      <c r="H614" s="88" t="str">
        <f>IFERROR(IF($G614="","",$G614*$S$621/$G$621/Cadastro!$E$33),"")</f>
        <v/>
      </c>
      <c r="I614" s="90">
        <f>IFERROR(IF($D614="","",VLOOKUP($D614,Cadastro!$C$4:$G$7,5,FALSE())),"")</f>
        <v>0.6</v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/>
      <c r="F615" s="88">
        <f>IFERROR(IF($D615="","",VLOOKUP($D615,Cadastro!$C$4:$E$7,3,FALSE())),"")</f>
        <v>0.35</v>
      </c>
      <c r="G615" s="89"/>
      <c r="H615" s="88" t="str">
        <f>IFERROR(IF($G615="","",$G615*$S$621/$G$621/Cadastro!$E$33),"")</f>
        <v/>
      </c>
      <c r="I615" s="90">
        <f>IFERROR(IF($D615="","",VLOOKUP($D615,Cadastro!$C$4:$G$7,5,FALSE())),"")</f>
        <v>0.6</v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/>
      <c r="F616" s="88">
        <f>IFERROR(IF($D616="","",VLOOKUP($D616,Cadastro!$C$4:$E$7,3,FALSE())),"")</f>
        <v>0.35</v>
      </c>
      <c r="G616" s="89"/>
      <c r="H616" s="88" t="str">
        <f>IFERROR(IF($G616="","",$G616*$S$621/$G$621/Cadastro!$E$33),"")</f>
        <v/>
      </c>
      <c r="I616" s="90">
        <f>IFERROR(IF($D616="","",VLOOKUP($D616,Cadastro!$C$4:$G$7,5,FALSE())),"")</f>
        <v>0.6</v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/>
      <c r="F617" s="88">
        <f>IFERROR(IF($D617="","",VLOOKUP($D617,Cadastro!$C$4:$E$7,3,FALSE())),"")</f>
        <v>0.35</v>
      </c>
      <c r="G617" s="89"/>
      <c r="H617" s="88" t="str">
        <f>IFERROR(IF($G617="","",$G617*$S$621/$G$621/Cadastro!$E$33),"")</f>
        <v/>
      </c>
      <c r="I617" s="90">
        <f>IFERROR(IF($D617="","",VLOOKUP($D617,Cadastro!$C$4:$G$7,5,FALSE())),"")</f>
        <v>0.6</v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/>
      <c r="F618" s="88">
        <f>IFERROR(IF($D618="","",VLOOKUP($D618,Cadastro!$C$4:$E$7,3,FALSE())),"")</f>
        <v>0.35</v>
      </c>
      <c r="G618" s="89"/>
      <c r="H618" s="88" t="str">
        <f>IFERROR(IF($G618="","",$G618*$S$621/$G$621/Cadastro!$E$33),"")</f>
        <v/>
      </c>
      <c r="I618" s="90">
        <f>IFERROR(IF($D618="","",VLOOKUP($D618,Cadastro!$C$4:$G$7,5,FALSE())),"")</f>
        <v>0.6</v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/>
      <c r="F619" s="88">
        <f>IFERROR(IF($D619="","",VLOOKUP($D619,Cadastro!$C$4:$E$7,3,FALSE())),"")</f>
        <v>0.35</v>
      </c>
      <c r="G619" s="89"/>
      <c r="H619" s="88" t="str">
        <f>IFERROR(IF($G619="","",$G619*$S$621/$G$621/Cadastro!$E$33),"")</f>
        <v/>
      </c>
      <c r="I619" s="90">
        <f>IFERROR(IF($D619="","",VLOOKUP($D619,Cadastro!$C$4:$G$7,5,FALSE())),"")</f>
        <v>0.6</v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/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58" t="s">
        <v>265</v>
      </c>
      <c r="B621" s="158"/>
      <c r="C621" s="158"/>
      <c r="D621" s="158"/>
      <c r="E621" s="158"/>
      <c r="F621" s="105"/>
      <c r="G621" s="96">
        <f>SUM(G609:G620)</f>
        <v>1</v>
      </c>
      <c r="H621" s="105">
        <f>IFERROR(SUM(H609:H620),"")</f>
        <v>715.66</v>
      </c>
      <c r="I621" s="106"/>
      <c r="J621" s="107">
        <f>IFERROR(SUM(J609:J620),"")</f>
        <v>150.28859999999997</v>
      </c>
      <c r="K621" s="2">
        <f>SUM(K609:K620)</f>
        <v>4.2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263</v>
      </c>
      <c r="S621" s="74">
        <v>715660</v>
      </c>
      <c r="T621" s="99">
        <f>IFERROR(J621,"")</f>
        <v>150.28859999999997</v>
      </c>
    </row>
    <row r="622" spans="1:20" ht="18" customHeight="1" x14ac:dyDescent="0.3">
      <c r="A622" s="159" t="s">
        <v>251</v>
      </c>
      <c r="B622" s="159"/>
      <c r="C622" s="159"/>
      <c r="D622" s="159"/>
      <c r="E622" s="159"/>
      <c r="F622" s="108"/>
      <c r="G622" s="109">
        <f>G608+G621</f>
        <v>61</v>
      </c>
      <c r="H622" s="108">
        <f>IFERROR(H608+H621,"")</f>
        <v>1425.62</v>
      </c>
      <c r="I622" s="110"/>
      <c r="J622" s="111">
        <f>IFERROR(J608+J621,"")</f>
        <v>299.38019999999995</v>
      </c>
      <c r="K622" s="1">
        <f>K608+K621</f>
        <v>256.2</v>
      </c>
      <c r="L622" s="76"/>
      <c r="M622" s="76"/>
      <c r="N622" s="76"/>
      <c r="O622" s="135"/>
      <c r="P622" s="135"/>
      <c r="Q622" s="77">
        <f ca="1">IFERROR(Q608+Q621,"")</f>
        <v>2.0833333333333315E-2</v>
      </c>
      <c r="R622" s="1" t="s">
        <v>266</v>
      </c>
      <c r="S622" s="82">
        <f>IFERROR(S608+S621,"")</f>
        <v>1425620</v>
      </c>
      <c r="T622" s="118">
        <f>IFERROR(J622,"")</f>
        <v>299.38019999999995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58" t="s">
        <v>262</v>
      </c>
      <c r="B635" s="158"/>
      <c r="C635" s="158"/>
      <c r="D635" s="158"/>
      <c r="E635" s="158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263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58" t="s">
        <v>265</v>
      </c>
      <c r="B648" s="158"/>
      <c r="C648" s="158"/>
      <c r="D648" s="158"/>
      <c r="E648" s="158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263</v>
      </c>
      <c r="S648" s="74"/>
      <c r="T648" s="99">
        <f>IFERROR(J648,"")</f>
        <v>0</v>
      </c>
    </row>
    <row r="649" spans="1:20" ht="18" customHeight="1" x14ac:dyDescent="0.3">
      <c r="A649" s="159" t="s">
        <v>251</v>
      </c>
      <c r="B649" s="159"/>
      <c r="C649" s="159"/>
      <c r="D649" s="159"/>
      <c r="E649" s="159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266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58" t="s">
        <v>262</v>
      </c>
      <c r="B662" s="158"/>
      <c r="C662" s="158"/>
      <c r="D662" s="158"/>
      <c r="E662" s="158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263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58" t="s">
        <v>265</v>
      </c>
      <c r="B675" s="158"/>
      <c r="C675" s="158"/>
      <c r="D675" s="158"/>
      <c r="E675" s="158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263</v>
      </c>
      <c r="S675" s="74"/>
      <c r="T675" s="99">
        <f>IFERROR(J675,"")</f>
        <v>0</v>
      </c>
    </row>
    <row r="676" spans="1:20" ht="18" customHeight="1" x14ac:dyDescent="0.3">
      <c r="A676" s="159" t="s">
        <v>251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266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58" t="s">
        <v>262</v>
      </c>
      <c r="B689" s="158"/>
      <c r="C689" s="158"/>
      <c r="D689" s="158"/>
      <c r="E689" s="158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263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58" t="s">
        <v>265</v>
      </c>
      <c r="B702" s="158"/>
      <c r="C702" s="158"/>
      <c r="D702" s="158"/>
      <c r="E702" s="158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263</v>
      </c>
      <c r="S702" s="74"/>
      <c r="T702" s="99">
        <f>IFERROR(J702,"")</f>
        <v>0</v>
      </c>
    </row>
    <row r="703" spans="1:20" ht="18" customHeight="1" x14ac:dyDescent="0.3">
      <c r="A703" s="159" t="s">
        <v>251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266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58" t="s">
        <v>262</v>
      </c>
      <c r="B716" s="158"/>
      <c r="C716" s="158"/>
      <c r="D716" s="158"/>
      <c r="E716" s="158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263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58" t="s">
        <v>265</v>
      </c>
      <c r="B729" s="158"/>
      <c r="C729" s="158"/>
      <c r="D729" s="158"/>
      <c r="E729" s="158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263</v>
      </c>
      <c r="S729" s="74"/>
      <c r="T729" s="99">
        <f>IFERROR(J729,"")</f>
        <v>0</v>
      </c>
    </row>
    <row r="730" spans="1:20" ht="18" customHeight="1" x14ac:dyDescent="0.3">
      <c r="A730" s="159" t="s">
        <v>251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266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58" t="s">
        <v>262</v>
      </c>
      <c r="B743" s="158"/>
      <c r="C743" s="158"/>
      <c r="D743" s="158"/>
      <c r="E743" s="158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263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58" t="s">
        <v>265</v>
      </c>
      <c r="B756" s="158"/>
      <c r="C756" s="158"/>
      <c r="D756" s="158"/>
      <c r="E756" s="158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263</v>
      </c>
      <c r="S756" s="74"/>
      <c r="T756" s="99">
        <f>IFERROR(J756,"")</f>
        <v>0</v>
      </c>
    </row>
    <row r="757" spans="1:20" ht="18" customHeight="1" x14ac:dyDescent="0.3">
      <c r="A757" s="159" t="s">
        <v>251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266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58" t="s">
        <v>262</v>
      </c>
      <c r="B770" s="158"/>
      <c r="C770" s="158"/>
      <c r="D770" s="158"/>
      <c r="E770" s="158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263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58" t="s">
        <v>265</v>
      </c>
      <c r="B783" s="158"/>
      <c r="C783" s="158"/>
      <c r="D783" s="158"/>
      <c r="E783" s="158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263</v>
      </c>
      <c r="S783" s="74"/>
      <c r="T783" s="99">
        <f>IFERROR(J783,"")</f>
        <v>0</v>
      </c>
    </row>
    <row r="784" spans="1:20" ht="18" customHeight="1" x14ac:dyDescent="0.3">
      <c r="A784" s="159" t="s">
        <v>251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266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58" t="s">
        <v>262</v>
      </c>
      <c r="B797" s="158"/>
      <c r="C797" s="158"/>
      <c r="D797" s="158"/>
      <c r="E797" s="158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263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58" t="s">
        <v>265</v>
      </c>
      <c r="B810" s="158"/>
      <c r="C810" s="158"/>
      <c r="D810" s="158"/>
      <c r="E810" s="158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263</v>
      </c>
      <c r="S810" s="74"/>
      <c r="T810" s="99">
        <f>IFERROR(J810,"")</f>
        <v>0</v>
      </c>
    </row>
    <row r="811" spans="1:20" ht="18" customHeight="1" x14ac:dyDescent="0.3">
      <c r="A811" s="159" t="s">
        <v>251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266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58" t="s">
        <v>262</v>
      </c>
      <c r="B824" s="158"/>
      <c r="C824" s="158"/>
      <c r="D824" s="158"/>
      <c r="E824" s="158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263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58" t="s">
        <v>265</v>
      </c>
      <c r="B837" s="158"/>
      <c r="C837" s="158"/>
      <c r="D837" s="158"/>
      <c r="E837" s="158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263</v>
      </c>
      <c r="S837" s="74"/>
      <c r="T837" s="99">
        <f>IFERROR(J837,"")</f>
        <v>0</v>
      </c>
    </row>
    <row r="838" spans="1:20" ht="18" customHeight="1" x14ac:dyDescent="0.3">
      <c r="A838" s="159" t="s">
        <v>251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266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2026-08-24T11:42:22Z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