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84" documentId="8_{C51EB6CB-002B-4D6B-B68F-DDEBDB4460C0}" xr6:coauthVersionLast="47" xr6:coauthVersionMax="47" xr10:uidLastSave="{CD7C2F3D-5DB8-4EF1-A391-E88250A4CEB3}"/>
  <bookViews>
    <workbookView xWindow="-120" yWindow="-12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<sst xmlns="http://schemas.openxmlformats.org/spreadsheetml/2006/main" count="5329" uniqueCount="332">
  <si>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</si>
  <si>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</si>
  <si>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</si>
  <si>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</si>
  <si>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</si>
  <si>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</si>
  <si>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</si>
  <si>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</si>
  <si>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</si>
  <si>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</si>
  <si>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</si>
  <si>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</si>
  <si>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</si>
  <si>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</si>
  <si>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</si>
  <si>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</si>
  <si>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</si>
  <si>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</si>
  <si>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</si>
  <si>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</si>
  <si>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</si>
  <si>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</si>
  <si>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</si>
  <si>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</si>
  <si>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</si>
  <si>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</si>
  <si>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</si>
  <si>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</si>
  <si>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</si>
  <si>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</si>
  <si>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</si>
  <si>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</si>
  <si>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</si>
  <si>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</si>
  <si>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</si>
  <si>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</si>
  <si>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</si>
  <si>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</si>
  <si>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</si>
  <si>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</si>
  <si>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</si>
  <si>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</si>
  <si>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</si>
  <si>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</si>
  <si>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</si>
  <si>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</si>
  <si>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</si>
  <si>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</si>
  <si>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</si>
  <si>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</si>
  <si>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</si>
  <si>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</si>
  <si>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</si>
  <si>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</si>
  <si>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</si>
  <si>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</si>
  <si>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</si>
  <si>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</si>
  <si>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</si>
  <si>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</si>
  <si>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</si>
  <si>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</si>
  <si>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</si>
  <si>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</si>
  <si>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</si>
  <si>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</si>
  <si>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</si>
  <si>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</si>
  <si>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</si>
  <si>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</si>
  <si>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</si>
  <si>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</si>
  <si>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</si>
  <si>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</si>
  <si>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</si>
  <si>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</si>
  <si>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</si>
  <si>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</si>
  <si>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</si>
  <si>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</si>
  <si>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</si>
  <si>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</si>
  <si>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</si>
  <si>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</si>
  <si>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</si>
  <si>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</si>
  <si>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</si>
  <si>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</si>
  <si>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</si>
  <si>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</si>
  <si>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</si>
  <si>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</si>
  <si>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</si>
  <si>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</si>
  <si>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</si>
  <si>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</si>
  <si>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</si>
  <si>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</si>
  <si>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</si>
  <si>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</si>
  <si>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</si>
  <si>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</si>
  <si>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</si>
  <si>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</si>
  <si>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</si>
  <si>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</si>
  <si>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</si>
  <si>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</si>
  <si>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</si>
  <si>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</si>
  <si>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</si>
  <si>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</si>
  <si>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</si>
  <si>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</si>
  <si>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</si>
  <si>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</si>
  <si>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</si>
  <si>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</si>
  <si>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</si>
  <si>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</si>
  <si>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</si>
  <si>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</si>
  <si>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</si>
  <si>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</si>
  <si>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</si>
  <si>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</si>
  <si>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</si>
  <si>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</si>
  <si>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</si>
  <si>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</si>
  <si>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</si>
  <si>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</si>
  <si>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</si>
  <si>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</si>
  <si>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</si>
  <si>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</si>
  <si>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</si>
  <si>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</si>
  <si>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</si>
  <si>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</si>
  <si>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</si>
  <si>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</si>
  <si>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</si>
  <si>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</si>
  <si>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</si>
  <si>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</si>
  <si>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</si>
  <si>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</si>
  <si>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</si>
  <si>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</si>
  <si>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</si>
  <si>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</si>
  <si>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</si>
  <si>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</si>
  <si>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</si>
  <si>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</si>
  <si>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</si>
  <si>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</si>
  <si>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</si>
  <si>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</si>
  <si>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</si>
  <si>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</si>
  <si>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</si>
  <si>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</si>
  <si>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</si>
  <si>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</si>
  <si>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</si>
  <si>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</si>
  <si>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</si>
  <si>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</si>
  <si>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</si>
  <si>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</si>
  <si>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</si>
  <si>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</si>
  <si>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</si>
  <si>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</si>
  <si>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</si>
  <si>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</si>
  <si>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</si>
  <si>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</si>
  <si>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</si>
  <si>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</si>
  <si>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</si>
  <si>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</si>
  <si>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</si>
  <si>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</si>
  <si>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</si>
  <si>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</si>
  <si>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</si>
  <si>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</si>
  <si>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</si>
  <si>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</si>
  <si>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</si>
  <si>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</si>
  <si>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</si>
  <si>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</si>
  <si>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</si>
  <si>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</si>
  <si>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</si>
  <si>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</si>
  <si>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</si>
  <si>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</si>
  <si>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</si>
  <si>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</si>
  <si>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</si>
  <si>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</si>
  <si>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</si>
  <si>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</si>
  <si>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</si>
  <si>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</si>
  <si>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</si>
  <si>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</si>
  <si>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</si>
  <si>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</si>
  <si>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</si>
  <si>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</si>
  <si>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</si>
  <si>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</si>
  <si>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</si>
  <si>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</si>
  <si>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</si>
  <si>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</si>
  <si>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</si>
  <si>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</si>
  <si>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</si>
  <si>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</si>
  <si>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</si>
  <si>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</si>
  <si>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</si>
  <si>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</si>
  <si>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</si>
  <si>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</si>
  <si>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</si>
  <si>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</si>
  <si>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</si>
  <si>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</si>
  <si>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</si>
  <si>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</si>
  <si>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</si>
  <si>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</si>
  <si>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</si>
  <si>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</si>
  <si>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</si>
  <si>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</si>
  <si>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</si>
  <si>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</si>
  <si>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</si>
  <si>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</si>
  <si>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</si>
  <si>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</si>
  <si>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</si>
  <si>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</si>
  <si>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</si>
  <si>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</si>
  <si>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</si>
  <si>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</si>
  <si>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</si>
  <si>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</si>
  <si>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</si>
  <si>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</si>
  <si>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</si>
  <si>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</si>
  <si>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</si>
  <si>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</si>
  <si>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</si>
  <si>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</si>
  <si>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</si>
  <si>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</si>
  <si>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</si>
  <si>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</si>
  <si>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</si>
  <si>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</si>
  <si>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</si>
  <si>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</si>
  <si>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</si>
  <si>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</si>
  <si>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</si>
  <si>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</si>
  <si>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</si>
  <si>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</si>
  <si>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</si>
  <si>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</si>
  <si>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</si>
  <si>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</si>
  <si>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</si>
  <si>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</si>
  <si>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</si>
  <si>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</si>
  <si>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</si>
  <si>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</si>
  <si>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</si>
  <si>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</si>
  <si>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</si>
  <si>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</si>
  <si>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</si>
  <si>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</si>
  <si>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</si>
  <si>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</si>
  <si>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</si>
  <si>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</si>
  <si>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</si>
  <si>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</si>
  <si>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</si>
  <si>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</si>
  <si>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</si>
  <si>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</si>
  <si>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</si>
  <si>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</si>
  <si>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</si>
  <si>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</si>
  <si>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</si>
  <si>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</si>
  <si>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</si>
  <si>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</si>
  <si>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</si>
  <si>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</si>
  <si>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</si>
  <si>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</si>
  <si>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</si>
  <si>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</si>
  <si>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</si>
  <si>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</si>
  <si>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</si>
  <si>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</si>
  <si>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</si>
  <si>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</si>
  <si>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</si>
  <si>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</si>
  <si>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</si>
  <si>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</si>
  <si>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</si>
  <si>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arrebentou balatas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</si>
</sst>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25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25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25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25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25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25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25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25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25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25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25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25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25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25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25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25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25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25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25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25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25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25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25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25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25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25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25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25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25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25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25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25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25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25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25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25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25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25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25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25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25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25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25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25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25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25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25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25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25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25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25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25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25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25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25">
      <c r="H58" s="113"/>
      <c r="I58" s="16"/>
      <c r="J58" s="16"/>
      <c r="K58" s="16" t="s">
        <v>208</v>
      </c>
      <c r="L58" s="16"/>
      <c r="M58" s="16"/>
    </row>
    <row r="59" spans="1:13" ht="15" customHeight="1" x14ac:dyDescent="0.25">
      <c r="H59" s="113"/>
      <c r="I59" s="17"/>
      <c r="J59" s="17"/>
      <c r="K59" s="17" t="s">
        <v>209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210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211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212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213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214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215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216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217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218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219</v>
      </c>
      <c r="L70" s="16"/>
      <c r="M70" s="16"/>
    </row>
    <row r="71" spans="8:13" ht="15" customHeight="1" x14ac:dyDescent="0.25">
      <c r="H71" s="113"/>
      <c r="I71" s="17"/>
      <c r="J71" s="17"/>
      <c r="K71" s="17" t="s">
        <v>220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221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222</v>
      </c>
      <c r="L73" s="17"/>
      <c r="M73" s="17"/>
    </row>
    <row r="74" spans="8:13" ht="15" customHeight="1" x14ac:dyDescent="0.25">
      <c r="H74" s="113"/>
      <c r="I74" s="16"/>
      <c r="J74" s="16"/>
      <c r="K74" s="16" t="s">
        <v>223</v>
      </c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T273" sqref="T273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25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25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25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25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/>
      <c r="M276" s="30">
        <f t="shared" ca="1" si="61"/>
        <v>9.6886573737720028E-4</v>
      </c>
      <c r="N276" s="46" t="s">
        <v>331</v>
      </c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180</v>
      </c>
      <c r="G284" s="36">
        <f>SUM(G272:G283)</f>
        <v>900</v>
      </c>
      <c r="H284" s="37"/>
      <c r="I284" s="37"/>
      <c r="J284" s="37"/>
      <c r="K284" s="37"/>
      <c r="L284" s="37"/>
      <c r="M284" s="38">
        <f ca="1">IFERROR(SUM(M272:M283),"")</f>
        <v>0.10305219907071045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180</v>
      </c>
      <c r="G298" s="40">
        <f>G284+G297</f>
        <v>900</v>
      </c>
      <c r="H298" s="41"/>
      <c r="I298" s="41"/>
      <c r="J298" s="41"/>
      <c r="K298" s="41"/>
      <c r="L298" s="41"/>
      <c r="M298" s="42">
        <f ca="1">IFERROR(M284+M297,"")</f>
        <v>0.10305219907071045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25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5" activePane="bottomLeft" state="frozen"/>
      <selection pane="bottomLeft" activeCell="G272" sqref="G272:G278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25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25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25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25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25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25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 x14ac:dyDescent="0.25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 x14ac:dyDescent="0.25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25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25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 x14ac:dyDescent="0.25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0.47596886573592201</v>
      </c>
      <c r="N53" s="46" t="s">
        <v>265</v>
      </c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0.61485775462481085</v>
      </c>
      <c r="N54" s="36" t="s">
        <v>236</v>
      </c>
      <c r="O54" s="84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0.69957997684703321</v>
      </c>
      <c r="N55" s="40" t="s">
        <v>240</v>
      </c>
      <c r="O55" s="82">
        <f>IFERROR(O41+O54,"")</f>
        <v>663500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25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25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25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25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25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25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25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 x14ac:dyDescent="0.25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25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25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25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3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25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25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 x14ac:dyDescent="0.25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25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 x14ac:dyDescent="0.25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25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25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25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 x14ac:dyDescent="0.25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25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25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0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0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1"/>
        <v>8.3333333333334147E-3</v>
      </c>
      <c r="N279" s="46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69</v>
      </c>
      <c r="G284" s="36">
        <f>SUM(G272:G283)</f>
        <v>289.8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69</v>
      </c>
      <c r="G298" s="40">
        <f>G284+G297</f>
        <v>289.8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25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25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F279" sqref="F279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 x14ac:dyDescent="0.25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25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25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 x14ac:dyDescent="0.25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 x14ac:dyDescent="0.25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0.40305219907168066</v>
      </c>
      <c r="N259" s="27"/>
      <c r="O259" s="47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0.46485775462723622</v>
      </c>
      <c r="N270" s="36" t="s">
        <v>236</v>
      </c>
      <c r="O270" s="39">
        <v>327900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0.52596886573834745</v>
      </c>
      <c r="N271" s="40" t="s">
        <v>240</v>
      </c>
      <c r="O271" s="48">
        <f>IFERROR(O257+O270,"")</f>
        <v>877340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56</v>
      </c>
      <c r="G284" s="36">
        <f>SUM(G272:G283)</f>
        <v>235.20000000000002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56</v>
      </c>
      <c r="G298" s="40">
        <f>G284+G297</f>
        <v>235.20000000000002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25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25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25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25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25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25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25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25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25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25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25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25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V291" sqref="V291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25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25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25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25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25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25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 x14ac:dyDescent="0.25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 x14ac:dyDescent="0.25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 x14ac:dyDescent="0.25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 x14ac:dyDescent="0.25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25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25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 x14ac:dyDescent="0.25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25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25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25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25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25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25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25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25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25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25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25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25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25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25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 x14ac:dyDescent="0.25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25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25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25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25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25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25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25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25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 x14ac:dyDescent="0.25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 x14ac:dyDescent="0.25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25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 x14ac:dyDescent="0.25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25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25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 x14ac:dyDescent="0.25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25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25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25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25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25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25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25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25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25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25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25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 x14ac:dyDescent="0.25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25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25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25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25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25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25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25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 x14ac:dyDescent="0.25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25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25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 x14ac:dyDescent="0.25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25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25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25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25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 x14ac:dyDescent="0.25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25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25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25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25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 x14ac:dyDescent="0.25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 x14ac:dyDescent="0.25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25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25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25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25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25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 x14ac:dyDescent="0.25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25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 x14ac:dyDescent="0.25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 x14ac:dyDescent="0.25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25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25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25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25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25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25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25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25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 x14ac:dyDescent="0.25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25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25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 x14ac:dyDescent="0.25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25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25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25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25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25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 x14ac:dyDescent="0.25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25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25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25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 x14ac:dyDescent="0.25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25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 x14ac:dyDescent="0.25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25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25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25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25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25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25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25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 x14ac:dyDescent="0.25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 x14ac:dyDescent="0.25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25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25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25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25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25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 x14ac:dyDescent="0.25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 x14ac:dyDescent="0.25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25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25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25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25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25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25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25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25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25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25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 x14ac:dyDescent="0.25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25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25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 x14ac:dyDescent="0.25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 x14ac:dyDescent="0.25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25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 x14ac:dyDescent="0.25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 x14ac:dyDescent="0.25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25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25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25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 x14ac:dyDescent="0.25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 x14ac:dyDescent="0.25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 x14ac:dyDescent="0.25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 x14ac:dyDescent="0.25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 x14ac:dyDescent="0.25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 x14ac:dyDescent="0.25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 x14ac:dyDescent="0.25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6.4857754630793352E-2</v>
      </c>
      <c r="N279" s="27"/>
      <c r="O279" s="60"/>
    </row>
    <row r="280" spans="1:15" ht="15" customHeight="1" x14ac:dyDescent="0.25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94</v>
      </c>
      <c r="G284" s="36">
        <f>SUM(G272:G283)</f>
        <v>394.8</v>
      </c>
      <c r="H284" s="37"/>
      <c r="I284" s="37"/>
      <c r="J284" s="37"/>
      <c r="K284" s="61"/>
      <c r="L284" s="61"/>
      <c r="M284" s="38">
        <f ca="1">IFERROR(SUM(M272:M283),"")</f>
        <v>0.11485775463079329</v>
      </c>
      <c r="N284" s="36" t="s">
        <v>236</v>
      </c>
      <c r="O284" s="39"/>
    </row>
    <row r="285" spans="1:15" ht="15" customHeight="1" x14ac:dyDescent="0.25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25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25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25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25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25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25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25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25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94</v>
      </c>
      <c r="G298" s="40">
        <f>G284+G297</f>
        <v>394.8</v>
      </c>
      <c r="H298" s="41"/>
      <c r="I298" s="41"/>
      <c r="J298" s="41"/>
      <c r="K298" s="63"/>
      <c r="L298" s="63"/>
      <c r="M298" s="42">
        <f ca="1">IFERROR(M284+M297,"")</f>
        <v>0.11485775463079329</v>
      </c>
      <c r="N298" s="40" t="s">
        <v>240</v>
      </c>
      <c r="O298" s="48">
        <f>IFERROR(O284+O297,"")</f>
        <v>0</v>
      </c>
    </row>
    <row r="299" spans="1:15" ht="15" customHeight="1" x14ac:dyDescent="0.25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25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25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25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25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25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25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25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25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25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25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25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25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25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25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25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25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25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25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25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25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25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25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25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25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25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25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25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25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25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25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25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25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25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25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25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25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25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25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25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25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25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25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25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25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25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25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25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25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25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25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25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25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25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25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25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25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25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25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25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25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25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25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25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25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25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25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25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25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25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25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25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25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25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25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25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25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25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25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25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25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25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25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25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25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25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25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25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25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25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25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25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25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25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25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25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25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25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25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25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25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25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25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25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25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25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25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25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25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25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25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25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25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25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25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25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25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25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25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25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25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25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25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25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25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25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25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25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25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25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25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25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25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25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25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25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25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25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25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25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25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25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25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25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25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25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25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25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25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25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25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25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25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25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25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25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25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25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25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25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25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25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25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25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25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25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25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25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25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25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25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25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25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25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25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25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25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25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25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25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25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25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25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25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25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25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25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25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25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25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25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25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25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25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25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25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25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25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25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25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25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25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25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25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25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25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25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25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25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25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25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25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25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25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25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25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25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25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25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25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25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25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25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25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25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25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25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25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25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25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25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25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25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25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25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25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25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25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25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25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25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25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25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25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25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25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25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25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25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25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25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25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25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25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25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25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25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25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25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25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25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25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25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25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25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25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25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25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25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25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25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25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2026-08-11T18:20:24Z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