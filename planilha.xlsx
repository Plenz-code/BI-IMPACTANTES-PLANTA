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89" documentId="13_ncr:1_{A6DBCFB4-28D9-4249-9038-216934055CA6}" xr6:coauthVersionLast="47" xr6:coauthVersionMax="47" xr10:uidLastSave="{57088621-AB18-4314-82A8-4BA62A8D14FE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6" i="1" l="1"/>
  <c r="J17" i="1"/>
  <c r="J18" i="1"/>
  <c r="J19" i="1"/>
  <c r="J20" i="1"/>
  <c r="J21" i="1"/>
  <c r="J22" i="1"/>
  <c r="J23" i="1"/>
  <c r="J24" i="1"/>
  <c r="J25" i="1"/>
  <c r="J26" i="1"/>
  <c r="J27" i="1"/>
  <c r="K609" i="6" l="1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J33" i="1" s="1"/>
  <c r="H31" i="1"/>
  <c r="J31" i="1" s="1"/>
  <c r="H30" i="1"/>
  <c r="J30" i="1" s="1"/>
  <c r="H25" i="1"/>
  <c r="H23" i="1"/>
  <c r="H22" i="1"/>
  <c r="H20" i="1"/>
  <c r="H18" i="1"/>
  <c r="H16" i="1"/>
  <c r="H34" i="1"/>
  <c r="J34" i="1" s="1"/>
  <c r="H32" i="1"/>
  <c r="J32" i="1" s="1"/>
  <c r="H29" i="1"/>
  <c r="J29" i="1" s="1"/>
  <c r="H27" i="1"/>
  <c r="H21" i="1"/>
  <c r="H19" i="1"/>
  <c r="H17" i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<sst xmlns="http://schemas.openxmlformats.org/spreadsheetml/2006/main" count="10850" uniqueCount="442">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</sst>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J27" sqref="J2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4" width="8.5546875" customWidth="1"/>
  </cols>
  <sheetData>
    <row r="1" spans="1:12" ht="31.5" customHeight="1" x14ac:dyDescent="0.3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 x14ac:dyDescent="0.3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>
        <v>417.52</v>
      </c>
      <c r="J24" s="22">
        <f t="shared" si="1"/>
        <v>0.57390812022563886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>
        <v>1088.1099999999999</v>
      </c>
      <c r="J26" s="22">
        <f t="shared" si="1"/>
        <v>0.45302914896770419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>
        <v>1614.33</v>
      </c>
      <c r="J27" s="22">
        <f t="shared" si="1"/>
        <v>-9.9324569209516378E-2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9156.869999999999</v>
      </c>
      <c r="J35" s="32">
        <f>I35/H35</f>
        <v>1.0551316602985501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 x14ac:dyDescent="0.3">
      <c r="M2" s="165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 x14ac:dyDescent="0.3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 x14ac:dyDescent="0.3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 x14ac:dyDescent="0.3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 x14ac:dyDescent="0.3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 x14ac:dyDescent="0.3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 x14ac:dyDescent="0.3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 x14ac:dyDescent="0.3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 x14ac:dyDescent="0.3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 x14ac:dyDescent="0.3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 x14ac:dyDescent="0.3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 x14ac:dyDescent="0.3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 x14ac:dyDescent="0.3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 x14ac:dyDescent="0.3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 x14ac:dyDescent="0.3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 x14ac:dyDescent="0.3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 x14ac:dyDescent="0.3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 x14ac:dyDescent="0.3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 x14ac:dyDescent="0.3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 x14ac:dyDescent="0.3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 x14ac:dyDescent="0.3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 x14ac:dyDescent="0.3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 x14ac:dyDescent="0.3">
      <c r="M61" s="165"/>
      <c r="N61" s="40"/>
      <c r="O61" s="40"/>
      <c r="P61" s="40" t="s">
        <v>227</v>
      </c>
      <c r="Q61" s="40"/>
      <c r="R61" s="40"/>
    </row>
    <row r="62" spans="1:18" ht="15" customHeight="1" x14ac:dyDescent="0.3">
      <c r="M62" s="165"/>
      <c r="N62" s="37"/>
      <c r="O62" s="37"/>
      <c r="P62" s="37" t="s">
        <v>228</v>
      </c>
      <c r="Q62" s="37"/>
      <c r="R62" s="37"/>
    </row>
    <row r="63" spans="1:18" ht="15" customHeight="1" x14ac:dyDescent="0.3">
      <c r="M63" s="165"/>
      <c r="N63" s="40"/>
      <c r="O63" s="40"/>
      <c r="P63" s="40" t="s">
        <v>229</v>
      </c>
      <c r="Q63" s="40"/>
      <c r="R63" s="40"/>
    </row>
    <row r="64" spans="1:18" ht="15" customHeight="1" x14ac:dyDescent="0.3">
      <c r="M64" s="165"/>
      <c r="N64" s="37"/>
      <c r="O64" s="37"/>
      <c r="P64" s="37" t="s">
        <v>230</v>
      </c>
      <c r="Q64" s="37"/>
      <c r="R64" s="37"/>
    </row>
    <row r="65" spans="13:18" ht="15" customHeight="1" x14ac:dyDescent="0.3">
      <c r="M65" s="165"/>
      <c r="N65" s="40"/>
      <c r="O65" s="40"/>
      <c r="P65" s="40" t="s">
        <v>231</v>
      </c>
      <c r="Q65" s="40"/>
      <c r="R65" s="40"/>
    </row>
    <row r="66" spans="13:18" ht="15" customHeight="1" x14ac:dyDescent="0.3">
      <c r="M66" s="165"/>
      <c r="N66" s="37"/>
      <c r="O66" s="37"/>
      <c r="P66" s="37" t="s">
        <v>232</v>
      </c>
      <c r="Q66" s="37"/>
      <c r="R66" s="37"/>
    </row>
    <row r="67" spans="13:18" ht="15" customHeight="1" x14ac:dyDescent="0.3">
      <c r="M67" s="165"/>
      <c r="N67" s="40"/>
      <c r="O67" s="40"/>
      <c r="P67" s="40" t="s">
        <v>233</v>
      </c>
      <c r="Q67" s="40"/>
      <c r="R67" s="40"/>
    </row>
    <row r="68" spans="13:18" ht="15" customHeight="1" x14ac:dyDescent="0.3">
      <c r="M68" s="165"/>
      <c r="N68" s="37"/>
      <c r="O68" s="37"/>
      <c r="P68" s="37" t="s">
        <v>234</v>
      </c>
      <c r="Q68" s="37"/>
      <c r="R68" s="37"/>
    </row>
    <row r="69" spans="13:18" ht="15" customHeight="1" x14ac:dyDescent="0.3">
      <c r="M69" s="165"/>
      <c r="N69" s="40"/>
      <c r="O69" s="40"/>
      <c r="P69" s="40" t="s">
        <v>235</v>
      </c>
      <c r="Q69" s="40"/>
      <c r="R69" s="40"/>
    </row>
    <row r="70" spans="13:18" ht="15" customHeight="1" x14ac:dyDescent="0.3">
      <c r="M70" s="165"/>
      <c r="N70" s="37"/>
      <c r="O70" s="37"/>
      <c r="P70" s="37" t="s">
        <v>236</v>
      </c>
      <c r="Q70" s="37"/>
      <c r="R70" s="37"/>
    </row>
    <row r="71" spans="13:18" ht="15" customHeight="1" x14ac:dyDescent="0.3">
      <c r="M71" s="165"/>
      <c r="N71" s="40"/>
      <c r="O71" s="40"/>
      <c r="P71" s="40" t="s">
        <v>237</v>
      </c>
      <c r="Q71" s="40"/>
      <c r="R71" s="40"/>
    </row>
    <row r="72" spans="13:18" ht="15" customHeight="1" x14ac:dyDescent="0.3">
      <c r="M72" s="165"/>
      <c r="N72" s="37"/>
      <c r="O72" s="37"/>
      <c r="P72" s="37" t="s">
        <v>238</v>
      </c>
      <c r="Q72" s="37"/>
      <c r="R72" s="37"/>
    </row>
    <row r="73" spans="13:18" ht="15" customHeight="1" x14ac:dyDescent="0.3">
      <c r="M73" s="165"/>
      <c r="N73" s="40"/>
      <c r="O73" s="40"/>
      <c r="P73" s="40" t="s">
        <v>239</v>
      </c>
      <c r="Q73" s="40"/>
      <c r="R73" s="40"/>
    </row>
    <row r="74" spans="13:18" ht="15" customHeight="1" x14ac:dyDescent="0.3">
      <c r="M74" s="165"/>
      <c r="N74" s="37"/>
      <c r="O74" s="37"/>
      <c r="P74" s="37" t="s">
        <v>240</v>
      </c>
      <c r="Q74" s="37"/>
      <c r="R74" s="37"/>
    </row>
    <row r="75" spans="13:18" ht="15" customHeight="1" x14ac:dyDescent="0.3">
      <c r="M75" s="165"/>
      <c r="N75" s="40"/>
      <c r="O75" s="40"/>
      <c r="P75" s="40" t="s">
        <v>241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 x14ac:dyDescent="0.3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7" sqref="F657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 x14ac:dyDescent="0.3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 x14ac:dyDescent="0.3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 x14ac:dyDescent="0.3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 x14ac:dyDescent="0.3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 x14ac:dyDescent="0.3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 x14ac:dyDescent="0.3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 x14ac:dyDescent="0.3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 x14ac:dyDescent="0.3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 x14ac:dyDescent="0.3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 x14ac:dyDescent="0.3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 x14ac:dyDescent="0.3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 x14ac:dyDescent="0.3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 x14ac:dyDescent="0.3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 x14ac:dyDescent="0.3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 x14ac:dyDescent="0.3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 x14ac:dyDescent="0.3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 x14ac:dyDescent="0.3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 x14ac:dyDescent="0.3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 x14ac:dyDescent="0.3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 x14ac:dyDescent="0.3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 x14ac:dyDescent="0.3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 x14ac:dyDescent="0.3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 x14ac:dyDescent="0.3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 x14ac:dyDescent="0.3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 x14ac:dyDescent="0.3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 x14ac:dyDescent="0.3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9.4685300929995719E-2</v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>
        <v>0</v>
      </c>
      <c r="G655" s="69">
        <f t="shared" si="140"/>
        <v>0</v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>
        <v>0</v>
      </c>
      <c r="G656" s="64">
        <f t="shared" si="140"/>
        <v>0</v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9.4685300929995719E-2</v>
      </c>
      <c r="N662" s="2" t="s">
        <v>265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 x14ac:dyDescent="0.3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9.4685300929995719E-2</v>
      </c>
      <c r="N676" s="1" t="s">
        <v>268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 x14ac:dyDescent="0.3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 x14ac:dyDescent="0.3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 x14ac:dyDescent="0.3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 x14ac:dyDescent="0.3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 x14ac:dyDescent="0.3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 x14ac:dyDescent="0.3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37" sqref="P637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9" t="s">
        <v>264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9" t="s">
        <v>267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 x14ac:dyDescent="0.3">
      <c r="A28" s="160" t="s">
        <v>253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9" t="s">
        <v>264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0.49051863425847841</v>
      </c>
      <c r="R53" s="80" t="s">
        <v>319</v>
      </c>
      <c r="S53" s="67"/>
    </row>
    <row r="54" spans="1:20" ht="15.75" customHeight="1" x14ac:dyDescent="0.3">
      <c r="A54" s="159" t="s">
        <v>267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0.62940752314736614</v>
      </c>
      <c r="R54" s="2" t="s">
        <v>265</v>
      </c>
      <c r="S54" s="113">
        <v>352430</v>
      </c>
      <c r="T54" s="114"/>
    </row>
    <row r="55" spans="1:20" ht="18" customHeight="1" x14ac:dyDescent="0.3">
      <c r="A55" s="160" t="s">
        <v>253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0.71412974536958895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9" t="s">
        <v>264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9" t="s">
        <v>267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 x14ac:dyDescent="0.3">
      <c r="A82" s="160" t="s">
        <v>253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9" t="s">
        <v>264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9" t="s">
        <v>267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 x14ac:dyDescent="0.3">
      <c r="A109" s="160" t="s">
        <v>253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9" t="s">
        <v>264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9" t="s">
        <v>267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 x14ac:dyDescent="0.3">
      <c r="A136" s="160" t="s">
        <v>253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9" t="s">
        <v>264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9" t="s">
        <v>267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 x14ac:dyDescent="0.3">
      <c r="A163" s="160" t="s">
        <v>253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9" t="s">
        <v>264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9" t="s">
        <v>267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 x14ac:dyDescent="0.3">
      <c r="A190" s="160" t="s">
        <v>253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9" t="s">
        <v>264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9" t="s">
        <v>267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 x14ac:dyDescent="0.3">
      <c r="A217" s="160" t="s">
        <v>253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9" t="s">
        <v>264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9" t="s">
        <v>267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 x14ac:dyDescent="0.3">
      <c r="A244" s="160" t="s">
        <v>253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9" t="s">
        <v>264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9" t="s">
        <v>267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 x14ac:dyDescent="0.3">
      <c r="A271" s="160" t="s">
        <v>253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9" t="s">
        <v>264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9" t="s">
        <v>267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 x14ac:dyDescent="0.3">
      <c r="A298" s="160" t="s">
        <v>253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9" t="s">
        <v>264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9" t="s">
        <v>267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60" t="s">
        <v>253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9" t="s">
        <v>264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9" t="s">
        <v>267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 x14ac:dyDescent="0.3">
      <c r="A352" s="160" t="s">
        <v>253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9" t="s">
        <v>264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9" t="s">
        <v>267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60" t="s">
        <v>253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9" t="s">
        <v>264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9" t="s">
        <v>267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60" t="s">
        <v>253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9" t="s">
        <v>264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9" t="s">
        <v>264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9" t="s">
        <v>267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60" t="s">
        <v>253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9" t="s">
        <v>264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9" t="s">
        <v>267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60" t="s">
        <v>253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9" t="s">
        <v>264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9" t="s">
        <v>264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9" t="s">
        <v>267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60" t="s">
        <v>253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9" t="s">
        <v>264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9" t="s">
        <v>267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 x14ac:dyDescent="0.3">
      <c r="A568" s="160" t="s">
        <v>253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9" t="s">
        <v>264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9" t="s">
        <v>267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60" t="s">
        <v>253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9" t="s">
        <v>264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9" t="s">
        <v>267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 x14ac:dyDescent="0.3">
      <c r="A622" s="160" t="s">
        <v>253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9" t="s">
        <v>264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 x14ac:dyDescent="0.3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9" t="s">
        <v>267</v>
      </c>
      <c r="B648" s="159"/>
      <c r="C648" s="159"/>
      <c r="D648" s="159"/>
      <c r="E648" s="159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 x14ac:dyDescent="0.3">
      <c r="A649" s="160" t="s">
        <v>253</v>
      </c>
      <c r="B649" s="160"/>
      <c r="C649" s="160"/>
      <c r="D649" s="160"/>
      <c r="E649" s="160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 x14ac:dyDescent="0.3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0.3203797453752486</v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>
        <f t="shared" si="171"/>
        <v>0</v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>
        <f t="shared" si="171"/>
        <v>0</v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>
        <f t="shared" si="171"/>
        <v>0</v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9" t="s">
        <v>264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0.3203797453752486</v>
      </c>
      <c r="R662" s="2" t="s">
        <v>265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9" t="s">
        <v>267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 x14ac:dyDescent="0.3">
      <c r="A676" s="160" t="s">
        <v>253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0.3203797453752486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9" t="s">
        <v>264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9" t="s">
        <v>267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 x14ac:dyDescent="0.3">
      <c r="A703" s="160" t="s">
        <v>253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9" t="s">
        <v>264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9" t="s">
        <v>267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 x14ac:dyDescent="0.3">
      <c r="A730" s="160" t="s">
        <v>253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9" t="s">
        <v>264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9" t="s">
        <v>267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 x14ac:dyDescent="0.3">
      <c r="A757" s="160" t="s">
        <v>253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9" t="s">
        <v>264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9" t="s">
        <v>267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 x14ac:dyDescent="0.3">
      <c r="A784" s="160" t="s">
        <v>253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9" t="s">
        <v>264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9" t="s">
        <v>267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 x14ac:dyDescent="0.3">
      <c r="A811" s="160" t="s">
        <v>253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9" t="s">
        <v>264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9" t="s">
        <v>267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 x14ac:dyDescent="0.3">
      <c r="A838" s="160" t="s">
        <v>253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9" t="s">
        <v>264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9" t="s">
        <v>267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 x14ac:dyDescent="0.3">
      <c r="A28" s="160" t="s">
        <v>253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9" t="s">
        <v>264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9" t="s">
        <v>267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 x14ac:dyDescent="0.3">
      <c r="A55" s="160" t="s">
        <v>253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9" t="s">
        <v>264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9" t="s">
        <v>267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 x14ac:dyDescent="0.3">
      <c r="A82" s="160" t="s">
        <v>253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9" t="s">
        <v>264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9" t="s">
        <v>267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 x14ac:dyDescent="0.3">
      <c r="A109" s="160" t="s">
        <v>253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9" t="s">
        <v>264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9" t="s">
        <v>267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 x14ac:dyDescent="0.3">
      <c r="A136" s="160" t="s">
        <v>253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9" t="s">
        <v>264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9" t="s">
        <v>267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 x14ac:dyDescent="0.3">
      <c r="A163" s="160" t="s">
        <v>253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9" t="s">
        <v>264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9" t="s">
        <v>267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 x14ac:dyDescent="0.3">
      <c r="A190" s="160" t="s">
        <v>253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9" t="s">
        <v>264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9" t="s">
        <v>267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 x14ac:dyDescent="0.3">
      <c r="A217" s="160" t="s">
        <v>253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9" t="s">
        <v>264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9" t="s">
        <v>267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 x14ac:dyDescent="0.3">
      <c r="A244" s="160" t="s">
        <v>253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9" t="s">
        <v>264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9" t="s">
        <v>267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 x14ac:dyDescent="0.3">
      <c r="A271" s="160" t="s">
        <v>253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9" t="s">
        <v>264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9" t="s">
        <v>267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 x14ac:dyDescent="0.3">
      <c r="A298" s="160" t="s">
        <v>253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9" t="s">
        <v>264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9" t="s">
        <v>267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 x14ac:dyDescent="0.3">
      <c r="A325" s="160" t="s">
        <v>253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9" t="s">
        <v>264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9" t="s">
        <v>267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60" t="s">
        <v>253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9" t="s">
        <v>264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9" t="s">
        <v>267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60" t="s">
        <v>253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9" t="s">
        <v>264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9" t="s">
        <v>267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60" t="s">
        <v>253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9" t="s">
        <v>264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9" t="s">
        <v>267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60" t="s">
        <v>253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9" t="s">
        <v>264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9" t="s">
        <v>267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60" t="s">
        <v>253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9" t="s">
        <v>264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9" t="s">
        <v>267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60" t="s">
        <v>253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9" t="s">
        <v>264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9" t="s">
        <v>267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60" t="s">
        <v>253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9" t="s">
        <v>264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9" t="s">
        <v>267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60" t="s">
        <v>253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9" t="s">
        <v>264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9" t="s">
        <v>267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60" t="s">
        <v>253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9" t="s">
        <v>264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9" t="s">
        <v>267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60" t="s">
        <v>253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9" t="s">
        <v>264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 x14ac:dyDescent="0.3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 x14ac:dyDescent="0.3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 x14ac:dyDescent="0.3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 x14ac:dyDescent="0.3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 x14ac:dyDescent="0.3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 x14ac:dyDescent="0.3">
      <c r="A621" s="159" t="s">
        <v>267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60" t="s">
        <v>253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9" t="s">
        <v>264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 x14ac:dyDescent="0.3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9" t="s">
        <v>267</v>
      </c>
      <c r="B648" s="159"/>
      <c r="C648" s="159"/>
      <c r="D648" s="159"/>
      <c r="E648" s="159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 x14ac:dyDescent="0.3">
      <c r="A649" s="160" t="s">
        <v>253</v>
      </c>
      <c r="B649" s="160"/>
      <c r="C649" s="160"/>
      <c r="D649" s="160"/>
      <c r="E649" s="160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 x14ac:dyDescent="0.3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>
        <f t="shared" ref="K650:K661" si="168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0.3203797453752486</v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>
        <f t="shared" si="168"/>
        <v>0</v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>
        <f t="shared" si="168"/>
        <v>0</v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>
        <f t="shared" si="168"/>
        <v>0</v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>
        <f t="shared" si="168"/>
        <v>0</v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>
        <f t="shared" si="168"/>
        <v>0</v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>
        <f t="shared" si="168"/>
        <v>0</v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9" t="s">
        <v>264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0.3203797453752486</v>
      </c>
      <c r="R662" s="2" t="s">
        <v>265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9" t="s">
        <v>267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 x14ac:dyDescent="0.3">
      <c r="A676" s="160" t="s">
        <v>253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0.3203797453752486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9" t="s">
        <v>264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9" t="s">
        <v>267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 x14ac:dyDescent="0.3">
      <c r="A703" s="160" t="s">
        <v>253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9" t="s">
        <v>264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9" t="s">
        <v>267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 x14ac:dyDescent="0.3">
      <c r="A730" s="160" t="s">
        <v>253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9" t="s">
        <v>264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9" t="s">
        <v>267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 x14ac:dyDescent="0.3">
      <c r="A757" s="160" t="s">
        <v>253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9" t="s">
        <v>264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9" t="s">
        <v>267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 x14ac:dyDescent="0.3">
      <c r="A784" s="160" t="s">
        <v>253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9" t="s">
        <v>264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9" t="s">
        <v>267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 x14ac:dyDescent="0.3">
      <c r="A811" s="160" t="s">
        <v>253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9" t="s">
        <v>264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9" t="s">
        <v>267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 x14ac:dyDescent="0.3">
      <c r="A838" s="160" t="s">
        <v>253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4" activePane="bottomLeft" state="frozen"/>
      <selection pane="bottomLeft" activeCell="L609" sqref="L609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9" t="s">
        <v>264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9" t="s">
        <v>267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 x14ac:dyDescent="0.3">
      <c r="A28" s="160" t="s">
        <v>253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9" t="s">
        <v>264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9" t="s">
        <v>267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 x14ac:dyDescent="0.3">
      <c r="A55" s="160" t="s">
        <v>253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9" t="s">
        <v>264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9" t="s">
        <v>267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 x14ac:dyDescent="0.3">
      <c r="A82" s="160" t="s">
        <v>253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9" t="s">
        <v>264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9" t="s">
        <v>267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 x14ac:dyDescent="0.3">
      <c r="A109" s="160" t="s">
        <v>253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9" t="s">
        <v>264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9" t="s">
        <v>267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 x14ac:dyDescent="0.3">
      <c r="A136" s="160" t="s">
        <v>253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9" t="s">
        <v>267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 x14ac:dyDescent="0.3">
      <c r="A163" s="160" t="s">
        <v>253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9" t="s">
        <v>264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9" t="s">
        <v>267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 x14ac:dyDescent="0.3">
      <c r="A190" s="160" t="s">
        <v>253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9" t="s">
        <v>264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9" t="s">
        <v>267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 x14ac:dyDescent="0.3">
      <c r="A217" s="160" t="s">
        <v>253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9" t="s">
        <v>264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9" t="s">
        <v>267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 x14ac:dyDescent="0.3">
      <c r="A244" s="160" t="s">
        <v>253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9" t="s">
        <v>264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9" t="s">
        <v>267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 x14ac:dyDescent="0.3">
      <c r="A271" s="160" t="s">
        <v>253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9" t="s">
        <v>264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9" t="s">
        <v>267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 x14ac:dyDescent="0.3">
      <c r="A298" s="160" t="s">
        <v>253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9" t="s">
        <v>264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9" t="s">
        <v>267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60" t="s">
        <v>253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9" t="s">
        <v>264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9" t="s">
        <v>267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60" t="s">
        <v>253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9" t="s">
        <v>267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60" t="s">
        <v>253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9" t="s">
        <v>264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9" t="s">
        <v>267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60" t="s">
        <v>253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9" t="s">
        <v>264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9" t="s">
        <v>267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60" t="s">
        <v>253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9" t="s">
        <v>264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9" t="s">
        <v>267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60" t="s">
        <v>253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9" t="s">
        <v>264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9" t="s">
        <v>267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60" t="s">
        <v>253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9" t="s">
        <v>264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9" t="s">
        <v>267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60" t="s">
        <v>253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9" t="s">
        <v>264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9" t="s">
        <v>267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60" t="s">
        <v>253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9" t="s">
        <v>264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9" t="s">
        <v>267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60" t="s">
        <v>253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9" t="s">
        <v>264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9" t="s">
        <v>267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60" t="s">
        <v>253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9" t="s">
        <v>264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4">
        <f>IF(G608="","",IF(E609="PC 17",G608*4.2,IF(E609="PC 19",G608*5,IF(E609="CB",G608*24,""))))</f>
        <v>252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 x14ac:dyDescent="0.3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 x14ac:dyDescent="0.3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11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 x14ac:dyDescent="0.3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 x14ac:dyDescent="0.3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 x14ac:dyDescent="0.3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 x14ac:dyDescent="0.3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 x14ac:dyDescent="0.3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 x14ac:dyDescent="0.3">
      <c r="A621" s="159" t="s">
        <v>267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>
        <f>SUM(K609:K620)</f>
        <v>704.4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 x14ac:dyDescent="0.3">
      <c r="A622" s="160" t="s">
        <v>253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>
        <f>K608+K621</f>
        <v>956.4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 x14ac:dyDescent="0.3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9" t="s">
        <v>264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 x14ac:dyDescent="0.3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9" t="s">
        <v>267</v>
      </c>
      <c r="B648" s="159"/>
      <c r="C648" s="159"/>
      <c r="D648" s="159"/>
      <c r="E648" s="159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 x14ac:dyDescent="0.3">
      <c r="A649" s="160" t="s">
        <v>253</v>
      </c>
      <c r="B649" s="160"/>
      <c r="C649" s="160"/>
      <c r="D649" s="160"/>
      <c r="E649" s="160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 x14ac:dyDescent="0.3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>
        <f>IFERROR(IF($G650="","",$G650*$S$662/$G$662/Cadastro!$E$33),"")</f>
        <v>0</v>
      </c>
      <c r="I650" s="102">
        <f>IFERROR(IF($D650="","",VLOOKUP($D650,Cadastro!$C$4:$G$7,5,FALSE())),"")</f>
        <v>0.6</v>
      </c>
      <c r="J650" s="103">
        <f t="shared" ref="J650:J661" si="170">IFERROR(IF($H650="","",$H650*$F650*$I650),"")</f>
        <v>0</v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>
        <f>IFERROR(IF($G651="","",$G651*$S$662/$G$662/Cadastro!$E$33),"")</f>
        <v>0</v>
      </c>
      <c r="I651" s="90">
        <f>IFERROR(IF($D651="","",VLOOKUP($D651,Cadastro!$C$4:$G$7,5,FALSE())),"")</f>
        <v>0.6</v>
      </c>
      <c r="J651" s="91">
        <f t="shared" si="170"/>
        <v>0</v>
      </c>
      <c r="K651" s="69">
        <f t="shared" si="171"/>
        <v>0</v>
      </c>
      <c r="L651" s="70" t="s">
        <v>29</v>
      </c>
      <c r="M651" s="70" t="s">
        <v>169</v>
      </c>
      <c r="N651" s="70" t="s">
        <v>83</v>
      </c>
      <c r="O651" s="65">
        <v>0.56041666666666667</v>
      </c>
      <c r="P651" s="65">
        <v>0.57013888888888886</v>
      </c>
      <c r="Q651" s="71">
        <f t="shared" ca="1" si="172"/>
        <v>9.7222222222221877E-3</v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>
        <f>IFERROR(IF($G652="","",$G652*$S$662/$G$662/Cadastro!$E$33),"")</f>
        <v>0</v>
      </c>
      <c r="I652" s="90">
        <f>IFERROR(IF($D652="","",VLOOKUP($D652,Cadastro!$C$4:$G$7,5,FALSE())),"")</f>
        <v>0.6</v>
      </c>
      <c r="J652" s="91">
        <f t="shared" si="170"/>
        <v>0</v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>
        <f>IFERROR(IF($G653="","",$G653*$S$662/$G$662/Cadastro!$E$33),"")</f>
        <v>0</v>
      </c>
      <c r="I653" s="90">
        <f>IFERROR(IF($D653="","",VLOOKUP($D653,Cadastro!$C$4:$G$7,5,FALSE())),"")</f>
        <v>0.6</v>
      </c>
      <c r="J653" s="91">
        <f t="shared" si="170"/>
        <v>0</v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>
        <f>IFERROR(IF($G654="","",$G654*$S$662/$G$662/Cadastro!$E$33),"")</f>
        <v>0</v>
      </c>
      <c r="I654" s="90">
        <f>IFERROR(IF($D654="","",VLOOKUP($D654,Cadastro!$C$4:$G$7,5,FALSE())),"")</f>
        <v>0.6</v>
      </c>
      <c r="J654" s="91">
        <f t="shared" si="170"/>
        <v>0</v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263</v>
      </c>
      <c r="F656" s="88">
        <f>IFERROR(IF($D656="","",VLOOKUP($D656,Cadastro!$C$4:$E$7,3,FALSE())),"")</f>
        <v>0.35</v>
      </c>
      <c r="G656" s="89">
        <v>13</v>
      </c>
      <c r="H656" s="88">
        <f>IFERROR(IF($G656="","",$G656*$S$662/$G$662/Cadastro!$E$33),"")</f>
        <v>0</v>
      </c>
      <c r="I656" s="90">
        <f>IFERROR(IF($D656="","",VLOOKUP($D656,Cadastro!$C$4:$G$7,5,FALSE())),"")</f>
        <v>0.6</v>
      </c>
      <c r="J656" s="91">
        <f t="shared" si="170"/>
        <v>0</v>
      </c>
      <c r="K656" s="64">
        <f t="shared" si="171"/>
        <v>65</v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9" t="s">
        <v>264</v>
      </c>
      <c r="B662" s="159"/>
      <c r="C662" s="159"/>
      <c r="D662" s="159"/>
      <c r="E662" s="159"/>
      <c r="F662" s="95"/>
      <c r="G662" s="96">
        <f>SUM(G650:G661)</f>
        <v>37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165.8</v>
      </c>
      <c r="L662" s="72"/>
      <c r="M662" s="72"/>
      <c r="N662" s="72"/>
      <c r="O662" s="134"/>
      <c r="P662" s="134"/>
      <c r="Q662" s="73">
        <f ca="1">IFERROR(SUM(Q650:Q661),"")</f>
        <v>0.2180555555555555</v>
      </c>
      <c r="R662" s="2" t="s">
        <v>265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9" t="s">
        <v>267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 x14ac:dyDescent="0.3">
      <c r="A676" s="160" t="s">
        <v>253</v>
      </c>
      <c r="B676" s="160"/>
      <c r="C676" s="160"/>
      <c r="D676" s="160"/>
      <c r="E676" s="160"/>
      <c r="F676" s="108"/>
      <c r="G676" s="109">
        <f>G662+G675</f>
        <v>37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165.8</v>
      </c>
      <c r="L676" s="76"/>
      <c r="M676" s="76"/>
      <c r="N676" s="76"/>
      <c r="O676" s="135"/>
      <c r="P676" s="135"/>
      <c r="Q676" s="77">
        <f ca="1">IFERROR(Q662+Q675,"")</f>
        <v>0.2180555555555555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9" t="s">
        <v>264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9" t="s">
        <v>267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 x14ac:dyDescent="0.3">
      <c r="A703" s="160" t="s">
        <v>253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9" t="s">
        <v>264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9" t="s">
        <v>267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 x14ac:dyDescent="0.3">
      <c r="A730" s="160" t="s">
        <v>253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9" t="s">
        <v>264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9" t="s">
        <v>267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 x14ac:dyDescent="0.3">
      <c r="A757" s="160" t="s">
        <v>253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9" t="s">
        <v>264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9" t="s">
        <v>267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 x14ac:dyDescent="0.3">
      <c r="A784" s="160" t="s">
        <v>253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9" t="s">
        <v>264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9" t="s">
        <v>267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 x14ac:dyDescent="0.3">
      <c r="A811" s="160" t="s">
        <v>253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9" t="s">
        <v>264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9" t="s">
        <v>267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 x14ac:dyDescent="0.3">
      <c r="A838" s="160" t="s">
        <v>253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2026-08-25T18:41:31Z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