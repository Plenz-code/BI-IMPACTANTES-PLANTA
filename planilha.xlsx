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95" documentId="8_{AF585B22-221D-4780-BB9C-493D365A6A02}" xr6:coauthVersionLast="47" xr6:coauthVersionMax="47" xr10:uidLastSave="{E03186E7-588A-4634-8572-16B1F5228A1D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<sst xmlns="http://schemas.openxmlformats.org/spreadsheetml/2006/main" count="7266" uniqueCount="344">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</sst>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J447" sqref="J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/>
      <c r="M447" s="35">
        <f t="shared" ref="M447:M458" ca="1" si="100">IFERROR(IF(K447="","",IF(L447="",MOD(NOW()-K447,1),IF(L447&gt;=K447,L447-K447,L447+1-K447))),"")</f>
        <v>3.7507870365516283E-2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25</v>
      </c>
      <c r="G459" s="36">
        <f>SUM(G447:G458)</f>
        <v>105</v>
      </c>
      <c r="H459" s="37"/>
      <c r="I459" s="37"/>
      <c r="J459" s="37"/>
      <c r="K459" s="37"/>
      <c r="L459" s="37"/>
      <c r="M459" s="38">
        <f ca="1">IFERROR(SUM(M447:M458),"")</f>
        <v>3.7507870365516283E-2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204</v>
      </c>
      <c r="G460" s="40">
        <f>G446+G459</f>
        <v>1000</v>
      </c>
      <c r="H460" s="41"/>
      <c r="I460" s="41"/>
      <c r="J460" s="41"/>
      <c r="K460" s="41"/>
      <c r="L460" s="41"/>
      <c r="M460" s="42">
        <f ca="1">IFERROR(M446+M459,"")</f>
        <v>0.27500787036551633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L448" sqref="L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0.6243134259202634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0.78195231480915228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0.89167453703137445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0.60278564814507263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0.77361898147840602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0.91875787036729495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26" zoomScale="50" zoomScaleNormal="50" workbookViewId="0">
      <selection activeCell="L449" sqref="L4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/>
      <c r="G448" s="28" t="str">
        <f t="shared" si="99"/>
        <v/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6.9444444444446418E-3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0.20486111111111138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L450" sqref="L4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0.61459120370273013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0.81389675925828575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1.1812578703693968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/>
      <c r="G448" s="28" t="str">
        <f t="shared" si="99"/>
        <v/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343</v>
      </c>
      <c r="F450" s="27"/>
      <c r="G450" s="28" t="str">
        <f>IF(F450="","",IF(E451="PC 17",F450*4.2,IF(E451="PC 19",F450*5,"")))</f>
        <v/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/>
      <c r="M450" s="30">
        <f t="shared" ca="1" si="100"/>
        <v>2.223009258887032E-2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8.403564814442599E-2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0.13473009258887059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2026-07-18T00:44:32Z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