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121" documentId="8_{AF585B22-221D-4780-BB9C-493D365A6A02}" xr6:coauthVersionLast="47" xr6:coauthVersionMax="47" xr10:uidLastSave="{77B90A9C-853D-4253-A387-ABE75F9EB560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<sst xmlns="http://schemas.openxmlformats.org/spreadsheetml/2006/main" count="7120" uniqueCount="341">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</sst>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48323962</v>
      </c>
      <c r="D35" s="13">
        <f>IFERROR(SUM(D4:D34),"")</f>
        <v>17765130</v>
      </c>
      <c r="E35" s="13">
        <f>IFERROR(SUM(E4:E34),"")</f>
        <v>11645430</v>
      </c>
      <c r="F35" s="13">
        <f>IFERROR(SUM(F4:F34),"")</f>
        <v>22037760</v>
      </c>
      <c r="G35" s="13">
        <f>IFERROR(SUM(G4:G34),"")</f>
        <v>51448320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19" sqref="J1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/>
      <c r="L70" s="16"/>
      <c r="M70" s="16"/>
    </row>
    <row r="71" spans="8:13" ht="15" customHeight="1">
      <c r="H71" s="109"/>
      <c r="I71" s="17"/>
      <c r="J71" s="17"/>
      <c r="K71" s="17"/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28" activePane="bottomLeft" state="frozen"/>
      <selection pane="bottomLeft" activeCell="F440" sqref="F44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223</v>
      </c>
      <c r="E2" s="59" t="s">
        <v>224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227</v>
      </c>
      <c r="O27" s="39">
        <v>1183060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227</v>
      </c>
      <c r="O54" s="39">
        <v>959290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227</v>
      </c>
      <c r="O81" s="39">
        <v>878050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227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227</v>
      </c>
      <c r="O108" s="39">
        <v>1700000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230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227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227</v>
      </c>
      <c r="O135" s="39">
        <v>862330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230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227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227</v>
      </c>
      <c r="O162" s="44">
        <v>1546080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230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227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227</v>
      </c>
      <c r="O189" s="39">
        <v>2355810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230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227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227</v>
      </c>
      <c r="O216" s="45">
        <v>2013260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230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227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227</v>
      </c>
      <c r="O243" s="39">
        <v>1545480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230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227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227</v>
      </c>
      <c r="O270" s="39">
        <v>1182690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230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227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237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238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238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238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238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238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238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238</v>
      </c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227</v>
      </c>
      <c r="O297" s="39">
        <v>1843460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230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239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240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227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241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241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241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241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227</v>
      </c>
      <c r="O324" s="39">
        <v>1940000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230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227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227</v>
      </c>
      <c r="O351" s="39">
        <v>701874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230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243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227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227</v>
      </c>
      <c r="O378" s="39">
        <v>1088710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230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244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245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227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246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227</v>
      </c>
      <c r="O405" s="39">
        <v>1202270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230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247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248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249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249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227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227</v>
      </c>
      <c r="O432" s="39">
        <v>1801910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230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250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224</v>
      </c>
      <c r="F435" s="27">
        <v>0</v>
      </c>
      <c r="G435" s="28">
        <f t="shared" si="96"/>
        <v>0</v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224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224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224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224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224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224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151</v>
      </c>
      <c r="G446" s="36">
        <f>SUM(G434:G445)</f>
        <v>755</v>
      </c>
      <c r="H446" s="37"/>
      <c r="I446" s="37"/>
      <c r="J446" s="37"/>
      <c r="K446" s="37"/>
      <c r="L446" s="37"/>
      <c r="M446" s="38">
        <f ca="1">IFERROR(SUM(M434:M445),"")</f>
        <v>5.0000000000000044E-2</v>
      </c>
      <c r="N446" s="36" t="s">
        <v>227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151</v>
      </c>
      <c r="G460" s="40">
        <f>G446+G459</f>
        <v>755</v>
      </c>
      <c r="H460" s="41"/>
      <c r="I460" s="41"/>
      <c r="J460" s="41"/>
      <c r="K460" s="41"/>
      <c r="L460" s="41"/>
      <c r="M460" s="42">
        <f ca="1">IFERROR(M446+M459,"")</f>
        <v>5.0000000000000044E-2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59" t="s">
        <v>224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416" activePane="bottomLeft" state="frozen"/>
      <selection pane="bottomLeft" activeCell="F441" sqref="F44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227</v>
      </c>
      <c r="O27" s="78">
        <v>393200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230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227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251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85">
        <v>276360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230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227</v>
      </c>
      <c r="O81" s="54">
        <v>787860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230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227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227</v>
      </c>
      <c r="O108" s="54">
        <v>1087080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230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227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227</v>
      </c>
      <c r="O135" s="54">
        <v>794480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230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227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227</v>
      </c>
      <c r="O162" s="54">
        <v>882280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230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227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227</v>
      </c>
      <c r="O189" s="78"/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230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227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227</v>
      </c>
      <c r="O216" s="78">
        <v>648410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230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226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227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266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227</v>
      </c>
      <c r="O243" s="78">
        <v>849060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230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273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227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227</v>
      </c>
      <c r="O270" s="78">
        <v>625070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230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274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275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227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227</v>
      </c>
      <c r="O297" s="78">
        <v>761660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230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277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227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278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227</v>
      </c>
      <c r="O324" s="78">
        <v>524410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230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227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281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282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227</v>
      </c>
      <c r="O351" s="78">
        <v>598420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230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227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0.34384386573947268</v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0.50148275462836156</v>
      </c>
      <c r="N378" s="36" t="s">
        <v>227</v>
      </c>
      <c r="O378" s="78">
        <v>511980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0.61120497685058373</v>
      </c>
      <c r="N379" s="40" t="s">
        <v>230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266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283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227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284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242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227</v>
      </c>
      <c r="O405" s="78">
        <v>552440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230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227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0.32231608796428191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228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0.4931494212976153</v>
      </c>
      <c r="N432" s="36" t="s">
        <v>227</v>
      </c>
      <c r="O432" s="78">
        <v>484540</v>
      </c>
    </row>
    <row r="433" spans="1:15" ht="18" customHeight="1">
      <c r="A433" s="94" t="s">
        <v>229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0.63828831018650423</v>
      </c>
      <c r="N433" s="40" t="s">
        <v>230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287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18</v>
      </c>
      <c r="G437" s="34">
        <f t="shared" si="96"/>
        <v>75.600000000000009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251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251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113</v>
      </c>
      <c r="G446" s="36">
        <f>SUM(G434:G445)</f>
        <v>474.6</v>
      </c>
      <c r="H446" s="37"/>
      <c r="I446" s="37"/>
      <c r="J446" s="37"/>
      <c r="K446" s="37"/>
      <c r="L446" s="37"/>
      <c r="M446" s="38">
        <f ca="1">IFERROR(SUM(M434:M445),"")</f>
        <v>5.2083333333333315E-2</v>
      </c>
      <c r="N446" s="36" t="s">
        <v>227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78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113</v>
      </c>
      <c r="G460" s="40">
        <f>G446+G459</f>
        <v>474.6</v>
      </c>
      <c r="H460" s="41"/>
      <c r="I460" s="41"/>
      <c r="J460" s="41"/>
      <c r="K460" s="41"/>
      <c r="L460" s="41"/>
      <c r="M460" s="42">
        <f ca="1">IFERROR(M446+M459,"")</f>
        <v>5.2083333333333315E-2</v>
      </c>
      <c r="N460" s="40" t="s">
        <v>230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78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78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78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78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78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78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78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78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78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78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 E432:E433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10" zoomScale="50" zoomScaleNormal="50" workbookViewId="0">
      <selection activeCell="J434" sqref="J43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227</v>
      </c>
      <c r="O27" s="39">
        <v>308500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39">
        <v>124290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227</v>
      </c>
      <c r="O81" s="39">
        <v>396340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227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227</v>
      </c>
      <c r="O108" s="39">
        <v>41230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230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227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227</v>
      </c>
      <c r="O135" s="39">
        <v>381250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230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265</v>
      </c>
      <c r="K141" s="29">
        <v>0.71597222222222223</v>
      </c>
      <c r="L141" s="29" t="s">
        <v>295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227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227</v>
      </c>
      <c r="O162" s="39">
        <v>337120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230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297</v>
      </c>
      <c r="N166" s="27" t="s">
        <v>298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227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227</v>
      </c>
      <c r="O189" s="39">
        <v>747210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230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227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227</v>
      </c>
      <c r="O216" s="39">
        <v>468430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230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227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227</v>
      </c>
      <c r="O243" s="39">
        <v>575930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230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227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227</v>
      </c>
      <c r="O270" s="39">
        <v>483510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230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227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227</v>
      </c>
      <c r="O297" s="39">
        <v>487980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230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227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305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227</v>
      </c>
      <c r="O324" s="39">
        <v>609460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230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307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227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227</v>
      </c>
      <c r="O351" s="39">
        <v>437940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230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227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227</v>
      </c>
      <c r="O378" s="39">
        <v>473310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230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227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227</v>
      </c>
      <c r="O405" s="39">
        <v>507450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230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251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227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227</v>
      </c>
      <c r="O432" s="39">
        <v>229150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230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/>
      <c r="M434" s="30">
        <f t="shared" ref="M434:M445" ca="1" si="97">IFERROR(IF(K434="","",IF(L434="",MOD(NOW()-K434,1),IF(L434&gt;=K434,L434-K434,L434+1-K434))),"")</f>
        <v>4.1760532410989981E-2</v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251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251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32</v>
      </c>
      <c r="G446" s="36">
        <f>SUM(G434:G445)</f>
        <v>134.40000000000003</v>
      </c>
      <c r="H446" s="37"/>
      <c r="I446" s="37"/>
      <c r="J446" s="37"/>
      <c r="K446" s="37"/>
      <c r="L446" s="37"/>
      <c r="M446" s="38">
        <f ca="1">IFERROR(SUM(M434:M445),"")</f>
        <v>4.1760532410989981E-2</v>
      </c>
      <c r="N446" s="36" t="s">
        <v>227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32</v>
      </c>
      <c r="G460" s="40">
        <f>G446+G459</f>
        <v>134.40000000000003</v>
      </c>
      <c r="H460" s="41"/>
      <c r="I460" s="41"/>
      <c r="J460" s="41"/>
      <c r="K460" s="41"/>
      <c r="L460" s="41"/>
      <c r="M460" s="42">
        <f ca="1">IFERROR(M446+M459,"")</f>
        <v>4.1760532410989981E-2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18" activePane="bottomLeft" state="frozen"/>
      <selection pane="bottomLeft" activeCell="F441" sqref="F44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227</v>
      </c>
      <c r="O27" s="39">
        <v>202230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227</v>
      </c>
      <c r="O54" s="39">
        <v>473910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312</v>
      </c>
      <c r="L58" s="29">
        <v>0.54097222222222219</v>
      </c>
      <c r="M58" s="30" t="str">
        <f t="shared" ca="1" si="13"/>
        <v/>
      </c>
      <c r="N58" s="27" t="s">
        <v>313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227</v>
      </c>
      <c r="O81" s="39">
        <v>565120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227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227</v>
      </c>
      <c r="O108" s="39">
        <v>558590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230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227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0.3341216435219394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0.53342719907749503</v>
      </c>
      <c r="N135" s="36" t="s">
        <v>227</v>
      </c>
      <c r="O135" s="39">
        <v>729290</v>
      </c>
    </row>
    <row r="136" spans="1:18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0.90078831018860606</v>
      </c>
      <c r="N136" s="40" t="s">
        <v>230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227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227</v>
      </c>
      <c r="O162" s="39">
        <v>697320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230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251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227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227</v>
      </c>
      <c r="O189" s="39">
        <v>973580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230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227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227</v>
      </c>
      <c r="O216" s="45">
        <v>1060630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230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227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227</v>
      </c>
      <c r="O243" s="39">
        <v>982340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230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227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227</v>
      </c>
      <c r="O270" s="39">
        <v>1208450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230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227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227</v>
      </c>
      <c r="O297" s="39">
        <v>1049090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230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227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260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227</v>
      </c>
      <c r="O324" s="39">
        <v>1063720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230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226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227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227</v>
      </c>
      <c r="O351" s="39">
        <v>696140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230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226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227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227</v>
      </c>
      <c r="O378" s="39">
        <v>704750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230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227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227</v>
      </c>
      <c r="O405" s="39">
        <v>958130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230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227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340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227</v>
      </c>
      <c r="O432" s="39">
        <v>605220</v>
      </c>
    </row>
    <row r="433" spans="1:17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230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23</v>
      </c>
      <c r="G436" s="28">
        <f t="shared" si="96"/>
        <v>96.600000000000009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17</v>
      </c>
      <c r="G437" s="34">
        <f t="shared" si="96"/>
        <v>71.400000000000006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251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251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128</v>
      </c>
      <c r="G446" s="36">
        <f>SUM(G434:G445)</f>
        <v>537.6</v>
      </c>
      <c r="H446" s="37"/>
      <c r="I446" s="37"/>
      <c r="J446" s="37"/>
      <c r="K446" s="61"/>
      <c r="L446" s="61"/>
      <c r="M446" s="38">
        <f ca="1">IFERROR(SUM(M434:M445),"")</f>
        <v>2.083333333333337E-2</v>
      </c>
      <c r="N446" s="36" t="s">
        <v>227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128</v>
      </c>
      <c r="G460" s="40">
        <f>G446+G459</f>
        <v>537.6</v>
      </c>
      <c r="H460" s="41"/>
      <c r="I460" s="41"/>
      <c r="J460" s="41"/>
      <c r="K460" s="63"/>
      <c r="L460" s="63"/>
      <c r="M460" s="42">
        <f ca="1">IFERROR(M446+M459,"")</f>
        <v>2.083333333333337E-2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2026-07-17T18:01:58Z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