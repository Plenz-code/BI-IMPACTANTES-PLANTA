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54" documentId="13_ncr:1_{9DFDFEE8-78F7-4C04-B87C-99924EE6CC37}" xr6:coauthVersionLast="47" xr6:coauthVersionMax="47" xr10:uidLastSave="{167878AC-13D1-4CF0-B25F-DD4831E61014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<sst xmlns="http://schemas.openxmlformats.org/spreadsheetml/2006/main" count="8732" uniqueCount="2873">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</sst>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4" sqref="F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260</v>
      </c>
      <c r="G68" s="2">
        <f>SUM(G56:G67)</f>
        <v>1276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260</v>
      </c>
      <c r="G82" s="1">
        <f>G68+G81</f>
        <v>1276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48" activePane="bottomLeft" state="frozen"/>
      <selection pane="bottomLeft" activeCell="N57" sqref="N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/>
      <c r="Q57" s="86">
        <f t="shared" ref="Q57:Q58" ca="1" si="19">IFERROR(IF(O57="","",IF(P57="",MOD(NOW()-O57,1),IF(P57&gt;=O57,P57-O57,P57+1-O57))),"")</f>
        <v>2.6490740710869431E-3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136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571.19999999999993</v>
      </c>
      <c r="L68" s="87"/>
      <c r="M68" s="87"/>
      <c r="N68" s="87"/>
      <c r="O68" s="87"/>
      <c r="P68" s="87"/>
      <c r="Q68" s="88">
        <f ca="1">IFERROR(SUM(Q56:Q67),"")</f>
        <v>4.987129629330922E-2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136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571.19999999999993</v>
      </c>
      <c r="L82" s="91"/>
      <c r="M82" s="91"/>
      <c r="N82" s="91"/>
      <c r="O82" s="91"/>
      <c r="P82" s="91"/>
      <c r="Q82" s="92">
        <f ca="1">IFERROR(Q68+Q81,"")</f>
        <v>4.987129629330922E-2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7" activePane="bottomLeft" state="frozen"/>
      <selection pane="bottomLeft" activeCell="G64" sqref="G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101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424.2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101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424.2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M62" sqref="M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140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588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140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588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2026-09-03T20:06:12Z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