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796" documentId="13_ncr:1_{0A10D8D4-8450-4366-8075-B53B08E6B7EA}" xr6:coauthVersionLast="47" xr6:coauthVersionMax="47" xr10:uidLastSave="{39E19CED-DF88-424C-921A-3816768B8924}"/>
  <bookViews>
    <workbookView xWindow="-28920" yWindow="-6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9" i="6" l="1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<sst xmlns="http://schemas.openxmlformats.org/spreadsheetml/2006/main" count="6242" uniqueCount="342">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</sst>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548.93232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1231.8974415403104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2" activePane="bottomLeft" state="frozen"/>
      <selection pane="bottomLeft" activeCell="D359" sqref="D35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>
        <v>2154990</v>
      </c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34</v>
      </c>
      <c r="D354" s="62" t="s">
        <v>35</v>
      </c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34</v>
      </c>
      <c r="D355" s="62" t="s">
        <v>35</v>
      </c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34</v>
      </c>
      <c r="D356" s="62" t="s">
        <v>35</v>
      </c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34</v>
      </c>
      <c r="D357" s="62" t="s">
        <v>35</v>
      </c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34</v>
      </c>
      <c r="D358" s="62" t="s">
        <v>35</v>
      </c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34</v>
      </c>
      <c r="D359" s="62" t="s">
        <v>35</v>
      </c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34</v>
      </c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34</v>
      </c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34</v>
      </c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34</v>
      </c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34</v>
      </c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36" activePane="bottomLeft" state="frozen"/>
      <selection pane="bottomLeft" activeCell="R354" sqref="R3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0.19015439814393176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0.32904328703282065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0.41376550925504296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3.577412093023256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8.9435302325581389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10.732236279069767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7.154824186046512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12.520942325581395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12.520942325581395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7.751059534883721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7.154824186046512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4.1736474418604645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11.328471627906977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9.539765581395347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7.154824186046512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102.55248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>
        <v>712170</v>
      </c>
      <c r="T351" s="122">
        <f>IFERROR(J351,"")</f>
        <v>102.55248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129.46464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899060</v>
      </c>
      <c r="T352" s="144">
        <f>IFERROR(J352,"")</f>
        <v>129.46464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 t="s">
        <v>25</v>
      </c>
      <c r="M353" s="33" t="s">
        <v>44</v>
      </c>
      <c r="N353" s="33" t="s">
        <v>61</v>
      </c>
      <c r="O353" s="29">
        <v>0.29166666666666669</v>
      </c>
      <c r="P353" s="29"/>
      <c r="Q353" s="35">
        <f t="shared" ref="Q353:Q364" ca="1" si="84">IFERROR(IF(O353="","",IF(P353="",MOD(NOW()-O353,1),IF(P353&gt;=O353,P353-O353,P353+1-O353))),"")</f>
        <v>2.0015509260701947E-2</v>
      </c>
      <c r="R353" s="46" t="s">
        <v>277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2.0015509260701947E-2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2.0015509260701947E-2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N353" sqref="N35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4.9184640000000002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1.8444240000000001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4.9184640000000002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2.4592320000000001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1.229616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3.6888480000000001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1.8444240000000001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2.4592320000000001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5.5332720000000002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3.0740400000000001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2.4592320000000001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2.4592320000000001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36.888480000000001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>
        <v>256170</v>
      </c>
      <c r="T351" s="119">
        <f>IFERROR(J351,"")</f>
        <v>36.888480000000001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92.661119999999983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643480</v>
      </c>
      <c r="T352" s="121">
        <f>IFERROR(J352,"")</f>
        <v>92.661119999999983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 t="s">
        <v>25</v>
      </c>
      <c r="M353" s="33" t="s">
        <v>52</v>
      </c>
      <c r="N353" s="33" t="s">
        <v>67</v>
      </c>
      <c r="O353" s="29">
        <v>0.3</v>
      </c>
      <c r="P353" s="29"/>
      <c r="Q353" s="35">
        <f t="shared" ref="Q353:Q364" ca="1" si="82">IFERROR(IF(O353="","",IF(P353="",MOD(NOW()-O353,1),IF(P353&gt;=O353,P353-O353,P353+1-O353))),"")</f>
        <v>1.1682175922032911E-2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1.1682175922032911E-2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1.1682175922032911E-2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8" activePane="bottomLeft" state="frozen"/>
      <selection pane="bottomLeft" activeCell="D355" sqref="D35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19.287432911392404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10.286630886075949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20.573261772151898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7.7149731645569615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9.6437164556962021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17.358689620253163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15.429946329113923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12.215374177215187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16.072860759493672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8.3578875949367077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5.7862298734177209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9.6437164556962021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152.37071999999995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>
        <v>1058130</v>
      </c>
      <c r="T351" s="119">
        <f>IFERROR(J351,"")</f>
        <v>152.37071999999995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326.80655999999999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2269490</v>
      </c>
      <c r="T352" s="121">
        <f>IFERROR(J352,"")</f>
        <v>326.80655999999999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2026-08-14T11:29:19Z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