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2" documentId="13_ncr:1_{A6DBCFB4-28D9-4249-9038-216934055CA6}" xr6:coauthVersionLast="47" xr6:coauthVersionMax="47" xr10:uidLastSave="{4DE9A7DD-E9B7-4DE3-8EAE-40432F5C1C04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<sst xmlns="http://schemas.openxmlformats.org/spreadsheetml/2006/main" count="8519" uniqueCount="395">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</sst>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1" activePane="bottomLeft" state="frozen"/>
      <selection pane="bottomLeft" activeCell="G505" sqref="G50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40</v>
      </c>
      <c r="G513" s="2">
        <f>SUM(G501:G512)</f>
        <v>200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322</v>
      </c>
      <c r="G514" s="1">
        <f>G500+G513</f>
        <v>1610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E501" sqref="E50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0.717121296293044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0.85601018518193173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0.94073240740415454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/>
      <c r="F502" s="88">
        <f>IFERROR(IF($D502="","",VLOOKUP($D502,Cadastro!$C$4:$E$7,3,FALSE())),"")</f>
        <v>0.35</v>
      </c>
      <c r="G502" s="89"/>
      <c r="H502" s="88" t="str">
        <f>IFERROR(IF($G502="","",$G502*$S$513/$G$513/Cadastro!$E$33),"")</f>
        <v/>
      </c>
      <c r="I502" s="90">
        <f>IFERROR(IF($D502="","",VLOOKUP($D502,Cadastro!$C$4:$G$7,5,FALSE())),"")</f>
        <v>0.6</v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50.400000000000006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154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655.6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D501" sqref="D50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29.400000000000002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79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335.79999999999995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E501" sqref="E50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/>
      <c r="F502" s="88">
        <f>IFERROR(IF($D502="","",VLOOKUP($D502,Cadastro!$C$4:$E$7,3,FALSE())),"")</f>
        <v>0.35</v>
      </c>
      <c r="G502" s="89"/>
      <c r="H502" s="88" t="str">
        <f>IFERROR(IF($G502="","",$G502*$S$513/$G$513/Cadastro!$E$33),"")</f>
        <v/>
      </c>
      <c r="I502" s="90">
        <f>IFERROR(IF($D502="","",VLOOKUP($D502,Cadastro!$C$4:$G$7,5,FALSE())),"")</f>
        <v>0.6</v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10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42</v>
      </c>
      <c r="L513" s="72"/>
      <c r="M513" s="72"/>
      <c r="N513" s="72"/>
      <c r="O513" s="134"/>
      <c r="P513" s="134"/>
      <c r="Q513" s="73">
        <f ca="1">IFERROR(SUM(Q501:Q512),"")</f>
        <v>5.5555555555556468E-3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212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896</v>
      </c>
      <c r="L514" s="76"/>
      <c r="M514" s="76"/>
      <c r="N514" s="76"/>
      <c r="O514" s="135"/>
      <c r="P514" s="135"/>
      <c r="Q514" s="77">
        <f ca="1">IFERROR(Q500+Q513,"")</f>
        <v>9.0277777777777179E-2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2026-08-20T00:07:49Z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