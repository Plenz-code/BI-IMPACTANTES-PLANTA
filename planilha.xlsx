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573" documentId="8_{AF585B22-221D-4780-BB9C-493D365A6A02}" xr6:coauthVersionLast="47" xr6:coauthVersionMax="47" xr10:uidLastSave="{F27C3242-45F8-4A82-87C3-2BCD0305234F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<sst xmlns="http://schemas.openxmlformats.org/spreadsheetml/2006/main" count="8394" uniqueCount="361">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</sst>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activeCellId="1" sqref="G24:G34 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1162570</v>
      </c>
      <c r="D23" s="11">
        <f>IFERROR('Linha 1'!O541,"")</f>
        <v>826410</v>
      </c>
      <c r="E23" s="11">
        <f>IFERROR('Linha 2'!O541,"")</f>
        <v>234850</v>
      </c>
      <c r="F23" s="11">
        <f>IFERROR('Linha 3'!O541,"")</f>
        <v>362510</v>
      </c>
      <c r="G23" s="12">
        <f t="shared" si="0"/>
        <v>1423770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61145011</v>
      </c>
      <c r="D35" s="13">
        <f>IFERROR(SUM(D4:D34),"")</f>
        <v>23219750</v>
      </c>
      <c r="E35" s="13">
        <f>IFERROR(SUM(E4:E34),"")</f>
        <v>13645120</v>
      </c>
      <c r="F35" s="13">
        <f>IFERROR(SUM(F4:F34),"")</f>
        <v>27236870</v>
      </c>
      <c r="G35" s="13">
        <f>IFERROR(SUM(G4:G34),"")</f>
        <v>64101740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96" activePane="bottomLeft" state="frozen"/>
      <selection pane="bottomLeft" activeCell="F531" sqref="F53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/>
      <c r="I529" s="33"/>
      <c r="J529" s="33"/>
      <c r="K529" s="29"/>
      <c r="L529" s="29"/>
      <c r="M529" s="35" t="str">
        <f t="shared" ref="M528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53</v>
      </c>
      <c r="G540" s="36">
        <f>SUM(G528:G539)</f>
        <v>265</v>
      </c>
      <c r="H540" s="37"/>
      <c r="I540" s="37"/>
      <c r="J540" s="37"/>
      <c r="K540" s="37"/>
      <c r="L540" s="37"/>
      <c r="M540" s="38">
        <f ca="1">IFERROR(SUM(M528:M539),"")</f>
        <v>3.3333333333333333E-2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227</v>
      </c>
      <c r="G541" s="40">
        <f>G527+G540</f>
        <v>1135</v>
      </c>
      <c r="H541" s="41"/>
      <c r="I541" s="41"/>
      <c r="J541" s="41"/>
      <c r="K541" s="41"/>
      <c r="L541" s="41"/>
      <c r="M541" s="42">
        <f ca="1">IFERROR(M527+M540,"")</f>
        <v>0.22986111111111107</v>
      </c>
      <c r="N541" s="40" t="s">
        <v>234</v>
      </c>
      <c r="O541" s="48">
        <f>IFERROR(O527+O540,"")</f>
        <v>1162570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502" activePane="bottomLeft" state="frozen"/>
      <selection pane="bottomLeft" activeCell="J529" sqref="J52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259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0.6954519675928168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0.85309085648170568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0.96281307870392785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0.67392418981762603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0.84475752315095942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0.98989641203984835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299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184</v>
      </c>
      <c r="G527" s="36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39</v>
      </c>
      <c r="J529" s="33" t="s">
        <v>27</v>
      </c>
      <c r="K529" s="29">
        <v>0.92847222222222225</v>
      </c>
      <c r="L529" s="29"/>
      <c r="M529" s="35">
        <f t="shared" ca="1" si="118"/>
        <v>6.5630787066766061E-3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45</v>
      </c>
      <c r="G540" s="36">
        <f>SUM(G528:G539)</f>
        <v>189</v>
      </c>
      <c r="H540" s="37"/>
      <c r="I540" s="37"/>
      <c r="J540" s="37"/>
      <c r="K540" s="37"/>
      <c r="L540" s="37"/>
      <c r="M540" s="38">
        <f ca="1">IFERROR(SUM(M528:M539),"")</f>
        <v>1.2813078706676584E-2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229</v>
      </c>
      <c r="G541" s="40">
        <f>G527+G540</f>
        <v>961.80000000000007</v>
      </c>
      <c r="H541" s="41"/>
      <c r="I541" s="41"/>
      <c r="J541" s="41"/>
      <c r="K541" s="41"/>
      <c r="L541" s="41"/>
      <c r="M541" s="42">
        <f ca="1">IFERROR(M527+M540,"")</f>
        <v>0.10031307870667666</v>
      </c>
      <c r="N541" s="40" t="s">
        <v>234</v>
      </c>
      <c r="O541" s="83">
        <f>IFERROR(O527+O540,"")</f>
        <v>826410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00" zoomScale="50" zoomScaleNormal="50" workbookViewId="0">
      <selection activeCell="F531" sqref="F53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270</v>
      </c>
      <c r="K141" s="29">
        <v>0.71597222222222223</v>
      </c>
      <c r="L141" s="29" t="s">
        <v>306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308</v>
      </c>
      <c r="N166" s="27" t="s">
        <v>309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/>
      <c r="G531" s="34" t="str">
        <f t="shared" si="117"/>
        <v/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12</v>
      </c>
      <c r="G540" s="36">
        <f>SUM(G528:G539)</f>
        <v>50.400000000000006</v>
      </c>
      <c r="H540" s="37"/>
      <c r="I540" s="37"/>
      <c r="J540" s="37"/>
      <c r="K540" s="37"/>
      <c r="L540" s="37"/>
      <c r="M540" s="38">
        <f ca="1">IFERROR(SUM(M528:M539),"")</f>
        <v>3.5416666666666541E-2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63</v>
      </c>
      <c r="G541" s="40">
        <f>G527+G540</f>
        <v>264.60000000000002</v>
      </c>
      <c r="H541" s="41"/>
      <c r="I541" s="41"/>
      <c r="J541" s="41"/>
      <c r="K541" s="41"/>
      <c r="L541" s="41"/>
      <c r="M541" s="42">
        <f ca="1">IFERROR(M527+M540,"")</f>
        <v>0.13958333333333311</v>
      </c>
      <c r="N541" s="40" t="s">
        <v>234</v>
      </c>
      <c r="O541" s="48">
        <f>IFERROR(O527+O540,"")</f>
        <v>234850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05" activePane="bottomLeft" state="frozen"/>
      <selection pane="bottomLeft" activeCell="F531" sqref="F53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73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322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323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324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325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326</v>
      </c>
      <c r="L58" s="29">
        <v>0.54097222222222219</v>
      </c>
      <c r="M58" s="30" t="str">
        <f t="shared" ca="1" si="13"/>
        <v/>
      </c>
      <c r="N58" s="27" t="s">
        <v>327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328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329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330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331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332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333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334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335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0.68572974537528353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0.88503530093083915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1.2523964120419502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336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338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339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340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341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342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343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345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346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347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349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351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338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352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353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354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331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331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358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359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32</v>
      </c>
      <c r="G540" s="36">
        <f>SUM(G528:G539)</f>
        <v>134.4</v>
      </c>
      <c r="H540" s="37"/>
      <c r="I540" s="37"/>
      <c r="J540" s="37"/>
      <c r="K540" s="61"/>
      <c r="L540" s="61"/>
      <c r="M540" s="38">
        <f ca="1">IFERROR(SUM(M528:M539),"")</f>
        <v>3.3333333333333326E-2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112</v>
      </c>
      <c r="G541" s="40">
        <f>G527+G540</f>
        <v>470.40000000000009</v>
      </c>
      <c r="H541" s="41"/>
      <c r="I541" s="41"/>
      <c r="J541" s="41"/>
      <c r="K541" s="63"/>
      <c r="L541" s="63"/>
      <c r="M541" s="42">
        <f ca="1">IFERROR(M527+M540,"")</f>
        <v>0.34513888888888883</v>
      </c>
      <c r="N541" s="40" t="s">
        <v>234</v>
      </c>
      <c r="O541" s="48">
        <f>IFERROR(O527+O540,"")</f>
        <v>362510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2026-07-21T02:26:45Z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