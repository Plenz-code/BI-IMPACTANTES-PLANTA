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490" documentId="8_{AF585B22-221D-4780-BB9C-493D365A6A02}" xr6:coauthVersionLast="47" xr6:coauthVersionMax="47" xr10:uidLastSave="{8B8B9071-A5A7-41AD-9A73-38F16A59BDA9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<sst xmlns="http://schemas.openxmlformats.org/spreadsheetml/2006/main" count="9119" uniqueCount="376">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</sst>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5" sqref="G25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1630000</v>
      </c>
      <c r="D25" s="11">
        <f>IFERROR('Linha 1'!O595,"")</f>
        <v>966000</v>
      </c>
      <c r="E25" s="11">
        <f>IFERROR('Linha 2'!O595,"")</f>
        <v>222600</v>
      </c>
      <c r="F25" s="11">
        <f>IFERROR('Linha 3'!O595,"")</f>
        <v>0</v>
      </c>
      <c r="G25" s="12">
        <f t="shared" si="0"/>
        <v>1188600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66223351</v>
      </c>
      <c r="D35" s="13">
        <f>IFERROR(SUM(D4:D34),"")</f>
        <v>26460250</v>
      </c>
      <c r="E35" s="13">
        <f>IFERROR(SUM(E4:E34),"")</f>
        <v>14550490</v>
      </c>
      <c r="F35" s="13">
        <f>IFERROR(SUM(F4:F34),"")</f>
        <v>28724440</v>
      </c>
      <c r="G35" s="13">
        <f>IFERROR(SUM(G4:G34),"")</f>
        <v>69735180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562" activePane="bottomLeft" state="frozen"/>
      <selection pane="bottomLeft" activeCell="I582" sqref="I58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206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231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228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228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228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228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228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228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228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228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228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228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228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228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231</v>
      </c>
      <c r="O567" s="39">
        <v>1482110</v>
      </c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234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228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228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228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228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228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228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231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228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/>
      <c r="K582" s="29">
        <v>0.95833333333333337</v>
      </c>
      <c r="L582" s="29"/>
      <c r="M582" s="30">
        <f t="shared" ref="M582:M593" ca="1" si="130">IFERROR(IF(K582="","",IF(L582="",MOD(NOW()-K582,1),IF(L582&gt;=K582,L582-K582,L582+1-K582))),"")</f>
        <v>9.9004629737464711E-4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228</v>
      </c>
      <c r="F583" s="27">
        <v>18</v>
      </c>
      <c r="G583" s="34">
        <f t="shared" si="129"/>
        <v>90</v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228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228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228</v>
      </c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228</v>
      </c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255</v>
      </c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228</v>
      </c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228</v>
      </c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228</v>
      </c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228</v>
      </c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228</v>
      </c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67</v>
      </c>
      <c r="G594" s="36">
        <f>SUM(G582:G593)</f>
        <v>335</v>
      </c>
      <c r="H594" s="37"/>
      <c r="I594" s="37"/>
      <c r="J594" s="37"/>
      <c r="K594" s="37"/>
      <c r="L594" s="37"/>
      <c r="M594" s="38">
        <f ca="1">IFERROR(SUM(M582:M593),"")</f>
        <v>9.9004629737464711E-4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253</v>
      </c>
      <c r="G595" s="40">
        <f>G581+G594</f>
        <v>1265</v>
      </c>
      <c r="H595" s="41"/>
      <c r="I595" s="41"/>
      <c r="J595" s="41"/>
      <c r="K595" s="41"/>
      <c r="L595" s="41"/>
      <c r="M595" s="42">
        <f ca="1">IFERROR(M581+M594,"")</f>
        <v>5.932337963070794E-2</v>
      </c>
      <c r="N595" s="40" t="s">
        <v>234</v>
      </c>
      <c r="O595" s="48">
        <f>IFERROR(O581+O594,"")</f>
        <v>1630000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55" activePane="bottomLeft" state="frozen"/>
      <selection pane="bottomLeft" activeCell="F586" sqref="F58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0.71974004629737465</v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0.87737893518626353</v>
      </c>
      <c r="N378" s="36" t="s">
        <v>231</v>
      </c>
      <c r="O378" s="77">
        <v>511980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0.9871011574084857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0.69821226852218388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0.86904560185551727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1.0141844907444062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231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231</v>
      </c>
      <c r="O567" s="77">
        <v>722660</v>
      </c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234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231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255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228</v>
      </c>
      <c r="F583" s="27">
        <v>11</v>
      </c>
      <c r="G583" s="34">
        <f t="shared" si="129"/>
        <v>55</v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255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255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255</v>
      </c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255</v>
      </c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255</v>
      </c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255</v>
      </c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255</v>
      </c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255</v>
      </c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255</v>
      </c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255</v>
      </c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42</v>
      </c>
      <c r="G594" s="36">
        <f>SUM(G582:G593)</f>
        <v>185.2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231</v>
      </c>
      <c r="O594" s="77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272</v>
      </c>
      <c r="G595" s="40">
        <f>G581+G594</f>
        <v>1151.2</v>
      </c>
      <c r="H595" s="41"/>
      <c r="I595" s="41"/>
      <c r="J595" s="41"/>
      <c r="K595" s="41"/>
      <c r="L595" s="41"/>
      <c r="M595" s="42">
        <f ca="1">IFERROR(M581+M594,"")</f>
        <v>3.0555555555555558E-2</v>
      </c>
      <c r="N595" s="40" t="s">
        <v>234</v>
      </c>
      <c r="O595" s="83">
        <f>IFERROR(O581+O594,"")</f>
        <v>966000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49" zoomScale="50" zoomScaleNormal="50" workbookViewId="0">
      <selection activeCell="F586" sqref="F58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305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306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308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309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272</v>
      </c>
      <c r="K141" s="29">
        <v>0.71597222222222223</v>
      </c>
      <c r="L141" s="29" t="s">
        <v>311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313</v>
      </c>
      <c r="N166" s="27" t="s">
        <v>314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315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316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317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319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321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323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325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326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327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328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329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231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330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231</v>
      </c>
      <c r="O567" s="39">
        <v>315860</v>
      </c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234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331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231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255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228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255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255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255</v>
      </c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255</v>
      </c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255</v>
      </c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255</v>
      </c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255</v>
      </c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255</v>
      </c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255</v>
      </c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255</v>
      </c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18</v>
      </c>
      <c r="G594" s="36">
        <f>SUM(G582:G593)</f>
        <v>79.599999999999994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71</v>
      </c>
      <c r="G595" s="40">
        <f>G581+G594</f>
        <v>302.20000000000005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234</v>
      </c>
      <c r="O595" s="48">
        <f>IFERROR(O581+O594,"")</f>
        <v>222600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62" activePane="bottomLeft" state="frozen"/>
      <selection pane="bottomLeft" activeCell="F586" sqref="F58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332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333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334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335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336</v>
      </c>
      <c r="L58" s="29">
        <v>0.54097222222222219</v>
      </c>
      <c r="M58" s="30" t="str">
        <f t="shared" ca="1" si="13"/>
        <v/>
      </c>
      <c r="N58" s="27" t="s">
        <v>337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305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338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339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340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341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342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343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344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345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0.71001782407984138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0.909323379635397</v>
      </c>
      <c r="N135" s="36" t="s">
        <v>231</v>
      </c>
      <c r="O135" s="39">
        <v>729290</v>
      </c>
    </row>
    <row r="136" spans="1:18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1.276684490746508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346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348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349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350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351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352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353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355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356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357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230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358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359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360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361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348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362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363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364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365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366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367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341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341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368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369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370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371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372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373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231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255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374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255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255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255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255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255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255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255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231</v>
      </c>
      <c r="O567" s="39">
        <v>499820</v>
      </c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234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375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231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255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255</v>
      </c>
      <c r="F583" s="27">
        <v>5</v>
      </c>
      <c r="G583" s="34">
        <f t="shared" si="129"/>
        <v>21</v>
      </c>
      <c r="H583" s="33"/>
      <c r="I583" s="33"/>
      <c r="J583" s="33"/>
      <c r="K583" s="29"/>
      <c r="L583" s="29"/>
      <c r="M583" s="35" t="str">
        <f t="shared" ref="M582:M593" ca="1" si="131">IFERROR(IF(K583="","",IF(L583="",MOD(NOW()-K583,1),IF(L583&gt;=K583,L583-K583,L583+1-K583))),"")</f>
        <v/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255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255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255</v>
      </c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255</v>
      </c>
      <c r="F587" s="27"/>
      <c r="G587" s="34" t="str">
        <f>IF(F587="","",IF(E588="PC 17",F587*4.2,IF(E588="PC 19",F587*5,"")))</f>
        <v/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255</v>
      </c>
      <c r="F588" s="27"/>
      <c r="G588" s="28" t="str">
        <f>IF(F588="","",IF(#REF!="PC 17",F588*4.2,IF(#REF!="PC 19",F588*5,"")))</f>
        <v/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255</v>
      </c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255</v>
      </c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255</v>
      </c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255</v>
      </c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255</v>
      </c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25</v>
      </c>
      <c r="G594" s="36">
        <f>SUM(G582:G593)</f>
        <v>105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25</v>
      </c>
      <c r="G595" s="40">
        <f>G581+G594</f>
        <v>105</v>
      </c>
      <c r="H595" s="41"/>
      <c r="I595" s="41"/>
      <c r="J595" s="41"/>
      <c r="K595" s="63"/>
      <c r="L595" s="63"/>
      <c r="M595" s="42">
        <f ca="1">IFERROR(M581+M594,"")</f>
        <v>0.49999999999999994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2026-07-23T03:01:49Z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