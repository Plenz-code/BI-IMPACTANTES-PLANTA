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87" documentId="8_{AF585B22-221D-4780-BB9C-493D365A6A02}" xr6:coauthVersionLast="47" xr6:coauthVersionMax="47" xr10:uidLastSave="{9E054EE4-AA49-4C18-98B1-322D9700147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<sst xmlns="http://schemas.openxmlformats.org/spreadsheetml/2006/main" count="2926" uniqueCount="251">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</sst>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F138" sqref="F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5</v>
      </c>
      <c r="G137" s="34">
        <f t="shared" ref="G137:G148" si="30">IF(F137="","",IF(E137="PC 17",F137*4.2,IF(E137="PC 19",F137*5,"")))</f>
        <v>25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78</v>
      </c>
      <c r="G149" s="36">
        <f>SUM(G137:G148)</f>
        <v>390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78</v>
      </c>
      <c r="G163" s="40">
        <f>G149+G162</f>
        <v>390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L142" sqref="L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/>
      <c r="I141" s="33"/>
      <c r="J141" s="33"/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J140" sqref="J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0.50420925926300697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0.70351481481856259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1.0708759259296736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20</v>
      </c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