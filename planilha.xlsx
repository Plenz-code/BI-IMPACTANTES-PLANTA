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382" documentId="8_{AF585B22-221D-4780-BB9C-493D365A6A02}" xr6:coauthVersionLast="47" xr6:coauthVersionMax="47" xr10:uidLastSave="{EF9F2B9A-7181-4C7E-B4B9-3ECE66A561F3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<sst xmlns="http://schemas.openxmlformats.org/spreadsheetml/2006/main" count="11363" uniqueCount="418">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</sst>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1888710</v>
      </c>
      <c r="D31" s="11">
        <f>IFERROR('Linha 1'!O757,"")</f>
        <v>658990</v>
      </c>
      <c r="E31" s="11">
        <f>IFERROR('Linha 2'!O757,"")</f>
        <v>176540</v>
      </c>
      <c r="F31" s="11">
        <f>IFERROR('Linha 3'!O757,"")</f>
        <v>635080</v>
      </c>
      <c r="G31" s="12">
        <f t="shared" si="0"/>
        <v>1470610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84131518</v>
      </c>
      <c r="D35" s="13">
        <f>IFERROR(SUM(D4:D34),"")</f>
        <v>33994380</v>
      </c>
      <c r="E35" s="13">
        <f>IFERROR(SUM(E4:E34),"")</f>
        <v>19455040</v>
      </c>
      <c r="F35" s="13">
        <f>IFERROR(SUM(F4:F34),"")</f>
        <v>35457290</v>
      </c>
      <c r="G35" s="13">
        <f>IFERROR(SUM(G4:G34),"")</f>
        <v>88906710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/>
    </row>
    <row r="59" spans="1:13" ht="15" customHeight="1">
      <c r="H59" s="116"/>
      <c r="I59" s="17"/>
      <c r="J59" s="17"/>
      <c r="K59" s="17" t="s">
        <v>207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208</v>
      </c>
      <c r="L61" s="17"/>
      <c r="M61" s="17"/>
    </row>
    <row r="62" spans="1:13" ht="15" customHeight="1">
      <c r="H62" s="116"/>
      <c r="I62" s="16"/>
      <c r="J62" s="16"/>
      <c r="K62" s="16" t="s">
        <v>209</v>
      </c>
      <c r="L62" s="16"/>
      <c r="M62" s="16"/>
    </row>
    <row r="63" spans="1:13" ht="15" customHeight="1">
      <c r="H63" s="116"/>
      <c r="I63" s="17"/>
      <c r="J63" s="17"/>
      <c r="K63" s="17" t="s">
        <v>210</v>
      </c>
      <c r="L63" s="17"/>
      <c r="M63" s="17"/>
    </row>
    <row r="64" spans="1:13" ht="15" customHeight="1">
      <c r="H64" s="116"/>
      <c r="I64" s="16"/>
      <c r="J64" s="16"/>
      <c r="K64" s="16" t="s">
        <v>211</v>
      </c>
      <c r="L64" s="16"/>
      <c r="M64" s="16"/>
    </row>
    <row r="65" spans="8:13" ht="15" customHeight="1">
      <c r="H65" s="116"/>
      <c r="I65" s="17"/>
      <c r="J65" s="17"/>
      <c r="K65" s="17" t="s">
        <v>212</v>
      </c>
      <c r="L65" s="17"/>
      <c r="M65" s="17"/>
    </row>
    <row r="66" spans="8:13" ht="15" customHeight="1">
      <c r="H66" s="116"/>
      <c r="I66" s="16"/>
      <c r="J66" s="16"/>
      <c r="K66" s="16" t="s">
        <v>213</v>
      </c>
      <c r="L66" s="16"/>
      <c r="M66" s="16"/>
    </row>
    <row r="67" spans="8:13" ht="15" customHeight="1">
      <c r="H67" s="116"/>
      <c r="I67" s="17"/>
      <c r="J67" s="17"/>
      <c r="K67" s="17" t="s">
        <v>214</v>
      </c>
      <c r="L67" s="17"/>
      <c r="M67" s="17"/>
    </row>
    <row r="68" spans="8:13" ht="15" customHeight="1">
      <c r="H68" s="116"/>
      <c r="I68" s="16"/>
      <c r="J68" s="16"/>
      <c r="K68" s="16" t="s">
        <v>215</v>
      </c>
      <c r="L68" s="16"/>
      <c r="M68" s="16"/>
    </row>
    <row r="69" spans="8:13" ht="15" customHeight="1">
      <c r="H69" s="116"/>
      <c r="I69" s="17"/>
      <c r="J69" s="17"/>
      <c r="K69" s="17" t="s">
        <v>216</v>
      </c>
      <c r="L69" s="17"/>
      <c r="M69" s="17"/>
    </row>
    <row r="70" spans="8:13" ht="15" customHeight="1">
      <c r="H70" s="116"/>
      <c r="I70" s="16"/>
      <c r="J70" s="16"/>
      <c r="K70" s="16" t="s">
        <v>217</v>
      </c>
      <c r="L70" s="16"/>
      <c r="M70" s="16"/>
    </row>
    <row r="71" spans="8:13" ht="15" customHeight="1">
      <c r="H71" s="116"/>
      <c r="I71" s="17"/>
      <c r="J71" s="17"/>
      <c r="K71" s="17" t="s">
        <v>218</v>
      </c>
      <c r="L71" s="17"/>
      <c r="M71" s="17"/>
    </row>
    <row r="72" spans="8:13" ht="15" customHeight="1">
      <c r="H72" s="116"/>
      <c r="I72" s="16"/>
      <c r="J72" s="16"/>
      <c r="K72" s="16" t="s">
        <v>219</v>
      </c>
      <c r="L72" s="16"/>
      <c r="M72" s="16"/>
    </row>
    <row r="73" spans="8:13" ht="15" customHeight="1">
      <c r="H73" s="116"/>
      <c r="I73" s="17"/>
      <c r="J73" s="17"/>
      <c r="K73" s="17" t="s">
        <v>220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33" activePane="bottomLeft" state="frozen"/>
      <selection pane="bottomLeft" activeCell="F750" sqref="F75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36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85</v>
      </c>
      <c r="G756" s="36">
        <f>SUM(G744:G755)</f>
        <v>425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498</v>
      </c>
      <c r="G757" s="40">
        <f>G743+G756</f>
        <v>2465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1888710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24" activePane="bottomLeft" state="frozen"/>
      <selection pane="bottomLeft" activeCell="F749" sqref="F74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0.81257233796350192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0.97021122685239081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1.0799334490746131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0.79104456018831115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0.96187789352164454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1.1070167824105335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322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323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324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325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234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326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327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329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330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332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334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68</v>
      </c>
      <c r="G756" s="36">
        <f>SUM(G744:G755)</f>
        <v>285.60000000000002</v>
      </c>
      <c r="H756" s="37"/>
      <c r="I756" s="37"/>
      <c r="J756" s="37"/>
      <c r="K756" s="37"/>
      <c r="L756" s="37"/>
      <c r="M756" s="38">
        <f ca="1">IFERROR(SUM(M744:M755),"")</f>
        <v>4.6527777777777855E-2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203</v>
      </c>
      <c r="G757" s="40">
        <f>G743+G756</f>
        <v>852.6</v>
      </c>
      <c r="H757" s="41"/>
      <c r="I757" s="41"/>
      <c r="J757" s="41"/>
      <c r="K757" s="41"/>
      <c r="L757" s="41"/>
      <c r="M757" s="42">
        <f ca="1">IFERROR(M743+M756,"")</f>
        <v>0.11666666666666672</v>
      </c>
      <c r="N757" s="40" t="s">
        <v>238</v>
      </c>
      <c r="O757" s="83">
        <f>IFERROR(O743+O756,"")</f>
        <v>658990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28" zoomScale="50" zoomScaleNormal="50" workbookViewId="0">
      <selection activeCell="J746" sqref="J74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322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285</v>
      </c>
      <c r="K141" s="29">
        <v>0.71597222222222223</v>
      </c>
      <c r="L141" s="29" t="s">
        <v>340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342</v>
      </c>
      <c r="N166" s="27" t="s">
        <v>343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324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322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322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176540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364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/>
      <c r="M746" s="30">
        <f t="shared" ca="1" si="166"/>
        <v>7.6678241020999849E-4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16</v>
      </c>
      <c r="G756" s="36">
        <f>SUM(G744:G755)</f>
        <v>67.2</v>
      </c>
      <c r="H756" s="37"/>
      <c r="I756" s="37"/>
      <c r="J756" s="37"/>
      <c r="K756" s="37"/>
      <c r="L756" s="37"/>
      <c r="M756" s="38">
        <f ca="1">IFERROR(SUM(M744:M755),"")</f>
        <v>4.7989004632432275E-2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81</v>
      </c>
      <c r="G757" s="40">
        <f>G743+G756</f>
        <v>340.2</v>
      </c>
      <c r="H757" s="41"/>
      <c r="I757" s="41"/>
      <c r="J757" s="41"/>
      <c r="K757" s="41"/>
      <c r="L757" s="41"/>
      <c r="M757" s="42">
        <f ca="1">IFERROR(M743+M756,"")</f>
        <v>0.11257233796576555</v>
      </c>
      <c r="N757" s="40" t="s">
        <v>238</v>
      </c>
      <c r="O757" s="48">
        <f>IFERROR(O743+O756,"")</f>
        <v>176540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22" activePane="bottomLeft" state="frozen"/>
      <selection pane="bottomLeft" activeCell="J750" sqref="J75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369</v>
      </c>
      <c r="L58" s="29">
        <v>0.54097222222222219</v>
      </c>
      <c r="M58" s="30" t="str">
        <f t="shared" ca="1" si="13"/>
        <v/>
      </c>
      <c r="N58" s="27" t="s">
        <v>370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322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0.80285011574596865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1.0021556713015243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1.3695167824126353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280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322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417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20</v>
      </c>
      <c r="I746" s="26" t="s">
        <v>52</v>
      </c>
      <c r="J746" s="33" t="s">
        <v>181</v>
      </c>
      <c r="K746" s="29">
        <v>4.8611111111111112E-2</v>
      </c>
      <c r="L746" s="29"/>
      <c r="M746" s="30">
        <f t="shared" ca="1" si="166"/>
        <v>3.5445601897663437E-3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71</v>
      </c>
      <c r="G756" s="36">
        <f>SUM(G744:G755)</f>
        <v>298.20000000000005</v>
      </c>
      <c r="H756" s="37"/>
      <c r="I756" s="37"/>
      <c r="J756" s="37"/>
      <c r="K756" s="61"/>
      <c r="L756" s="61"/>
      <c r="M756" s="38">
        <f ca="1">IFERROR(SUM(M744:M755),"")</f>
        <v>4.7989004634210852E-2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228</v>
      </c>
      <c r="G757" s="40">
        <f>G743+G756</f>
        <v>957.6</v>
      </c>
      <c r="H757" s="41"/>
      <c r="I757" s="41"/>
      <c r="J757" s="41"/>
      <c r="K757" s="63"/>
      <c r="L757" s="63"/>
      <c r="M757" s="42">
        <f ca="1">IFERROR(M743+M756,"")</f>
        <v>1.1563223379675442</v>
      </c>
      <c r="N757" s="40" t="s">
        <v>238</v>
      </c>
      <c r="O757" s="48">
        <f>IFERROR(O743+O756,"")</f>
        <v>635080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2026-07-29T05:15:24Z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