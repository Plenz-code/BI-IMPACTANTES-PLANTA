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08" documentId="8_{C51EB6CB-002B-4D6B-B68F-DDEBDB4460C0}" xr6:coauthVersionLast="47" xr6:coauthVersionMax="47" xr10:uidLastSave="{08F8C7DE-CDEF-42BA-B05D-CC01ACCB3D43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<sst xmlns="http://schemas.openxmlformats.org/spreadsheetml/2006/main" count="2662" uniqueCount="269">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</sst>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2050</v>
      </c>
      <c r="D7" s="11">
        <f>IFERROR('Linha 1'!O109,"")</f>
        <v>449600</v>
      </c>
      <c r="E7" s="11">
        <f>IFERROR('Linha 2'!O109,"")</f>
        <v>204160</v>
      </c>
      <c r="F7" s="11">
        <f>IFERROR('Linha 3'!O109,"")</f>
        <v>786700</v>
      </c>
      <c r="G7" s="12">
        <f t="shared" si="0"/>
        <v>1440460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7781455</v>
      </c>
      <c r="D35" s="13">
        <f>IFERROR(SUM(D4:D34),"")</f>
        <v>3343680</v>
      </c>
      <c r="E35" s="13">
        <f>IFERROR(SUM(E4:E34),"")</f>
        <v>1813040</v>
      </c>
      <c r="F35" s="13">
        <f>IFERROR(SUM(F4:F34),"")</f>
        <v>4048370</v>
      </c>
      <c r="G35" s="13">
        <f>IFERROR(SUM(G4:G34),"")</f>
        <v>9205090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9" activePane="bottomLeft" state="frozen"/>
      <selection pane="bottomLeft" activeCell="F106" sqref="F10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228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228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228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228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228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228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228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228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228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228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228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228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396</v>
      </c>
      <c r="G108" s="36">
        <f>SUM(G96:G107)</f>
        <v>1980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705</v>
      </c>
      <c r="G109" s="40">
        <f>G95+G108</f>
        <v>3525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2050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92" activePane="bottomLeft" state="frozen"/>
      <selection pane="bottomLeft" activeCell="F106" sqref="F10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239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239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239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239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0.10910636573680677</v>
      </c>
      <c r="N53" s="46" t="s">
        <v>248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0.24799525462569566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0.33271747684791797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239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239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239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250</v>
      </c>
      <c r="E83" s="59" t="s">
        <v>239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251</v>
      </c>
      <c r="M96" s="30" t="str">
        <f t="shared" ref="M96:M107" ca="1" si="22">IFERROR(IF(K96="","",IF(L96="",MOD(NOW()-K96,1),IF(L96&gt;=K96,L96-K96,L96+1-K96))),"")</f>
        <v/>
      </c>
      <c r="N96" s="46" t="s">
        <v>252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231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3</v>
      </c>
      <c r="G101" s="28">
        <f t="shared" si="21"/>
        <v>12.600000000000001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81</v>
      </c>
      <c r="G108" s="36">
        <f>SUM(G96:G107)</f>
        <v>340.20000000000005</v>
      </c>
      <c r="H108" s="37"/>
      <c r="I108" s="37"/>
      <c r="J108" s="37"/>
      <c r="K108" s="37"/>
      <c r="L108" s="37"/>
      <c r="M108" s="38">
        <f ca="1">IFERROR(SUM(M96:M107),"")</f>
        <v>6.4583333333333326E-2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177</v>
      </c>
      <c r="G109" s="40">
        <f>G95+G108</f>
        <v>743.40000000000009</v>
      </c>
      <c r="H109" s="41"/>
      <c r="I109" s="41"/>
      <c r="J109" s="41"/>
      <c r="K109" s="41"/>
      <c r="L109" s="41"/>
      <c r="M109" s="42">
        <f ca="1">IFERROR(M95+M108,"")</f>
        <v>0.28125000000000006</v>
      </c>
      <c r="N109" s="40" t="s">
        <v>234</v>
      </c>
      <c r="O109" s="82">
        <f>IFERROR(O95+O108,"")</f>
        <v>449600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8" zoomScale="50" zoomScaleNormal="50" workbookViewId="0">
      <selection activeCell="F106" sqref="F10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255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239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239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256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255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239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239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259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260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5</v>
      </c>
      <c r="G98" s="34">
        <f t="shared" si="21"/>
        <v>21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7</v>
      </c>
      <c r="G99" s="28">
        <f t="shared" si="21"/>
        <v>29.400000000000002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72</v>
      </c>
      <c r="G108" s="36">
        <f>SUM(G96:G107)</f>
        <v>302.40000000000003</v>
      </c>
      <c r="H108" s="37"/>
      <c r="I108" s="37"/>
      <c r="J108" s="37"/>
      <c r="K108" s="37"/>
      <c r="L108" s="37"/>
      <c r="M108" s="38">
        <f ca="1">IFERROR(SUM(M96:M107),"")</f>
        <v>4.2361111111111072E-2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120</v>
      </c>
      <c r="G109" s="40">
        <f>G95+G108</f>
        <v>504</v>
      </c>
      <c r="H109" s="41"/>
      <c r="I109" s="41"/>
      <c r="J109" s="41"/>
      <c r="K109" s="41"/>
      <c r="L109" s="41"/>
      <c r="M109" s="42">
        <f ca="1">IFERROR(M95+M108,"")</f>
        <v>0.19861111111111107</v>
      </c>
      <c r="N109" s="40" t="s">
        <v>234</v>
      </c>
      <c r="O109" s="43">
        <f>IFERROR(O95+O108,"")</f>
        <v>204160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94" activePane="bottomLeft" state="frozen"/>
      <selection pane="bottomLeft" activeCell="F106" sqref="F10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255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263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264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265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266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267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268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255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255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172</v>
      </c>
      <c r="G108" s="36">
        <f>SUM(G96:G107)</f>
        <v>722.4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355</v>
      </c>
      <c r="G109" s="40">
        <f>G95+G108</f>
        <v>1491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234</v>
      </c>
      <c r="O109" s="48">
        <f>IFERROR(O95+O108,"")</f>
        <v>786700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2026-08-05T09:32:27Z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