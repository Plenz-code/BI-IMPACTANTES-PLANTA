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41" documentId="8_{C51EB6CB-002B-4D6B-B68F-DDEBDB4460C0}" xr6:coauthVersionLast="47" xr6:coauthVersionMax="47" xr10:uidLastSave="{84F8C78B-BF9F-400C-BEF7-2CBFFFAEAF6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<sst xmlns="http://schemas.openxmlformats.org/spreadsheetml/2006/main" count="4684" uniqueCount="315">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</sst>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2" sqref="F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</v>
      </c>
      <c r="G243" s="36">
        <f>SUM(G231:G242)</f>
        <v>60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321</v>
      </c>
      <c r="G244" s="40">
        <f>G230+G243</f>
        <v>1605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32" sqref="L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0.71554432869743323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0.85443321758632207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0.93915543980854443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15</v>
      </c>
      <c r="G243" s="36">
        <f>SUM(G231:G242)</f>
        <v>63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149</v>
      </c>
      <c r="G244" s="40">
        <f>G230+G243</f>
        <v>629.80000000000007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2" sqref="F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0.11276655091933208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0.17109988425266542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</v>
      </c>
      <c r="G243" s="36">
        <f>SUM(G231:G242)</f>
        <v>37.800000000000004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86</v>
      </c>
      <c r="G244" s="40">
        <f>G230+G243</f>
        <v>365.2</v>
      </c>
      <c r="H244" s="41"/>
      <c r="I244" s="41"/>
      <c r="J244" s="41"/>
      <c r="K244" s="41"/>
      <c r="L244" s="41"/>
      <c r="M244" s="42">
        <f ca="1">IFERROR(M230+M243,"")</f>
        <v>0.17109988425266542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2" sqref="F2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/>
      <c r="M231" s="35">
        <f t="shared" ref="M231:M242" ca="1" si="52">IFERROR(IF(K231="","",IF(L231="",MOD(NOW()-K231,1),IF(L231&gt;=K231,L231-K231,L231+1-K231))),"")</f>
        <v>2.2488773145596497E-2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75.600000000000009</v>
      </c>
      <c r="H243" s="37"/>
      <c r="I243" s="37"/>
      <c r="J243" s="37"/>
      <c r="K243" s="61"/>
      <c r="L243" s="61"/>
      <c r="M243" s="38">
        <f ca="1">IFERROR(SUM(M231:M242),"")</f>
        <v>2.2488773145596497E-2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187</v>
      </c>
      <c r="G244" s="40">
        <f>G230+G243</f>
        <v>801.40000000000009</v>
      </c>
      <c r="H244" s="41"/>
      <c r="I244" s="41"/>
      <c r="J244" s="41"/>
      <c r="K244" s="63"/>
      <c r="L244" s="63"/>
      <c r="M244" s="42">
        <f ca="1">IFERROR(M230+M243,"")</f>
        <v>7.6655439812263249E-2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2026-08-10T00:05:56Z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