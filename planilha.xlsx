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118" documentId="8_{AF585B22-221D-4780-BB9C-493D365A6A02}" xr6:coauthVersionLast="47" xr6:coauthVersionMax="47" xr10:uidLastSave="{900EE87B-39AD-4C3C-9AFC-7F695A4A5A8D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<sst xmlns="http://schemas.openxmlformats.org/spreadsheetml/2006/main" count="7120" uniqueCount="341">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</sst>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48323962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51448320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19" sqref="J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/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28" activePane="bottomLeft" state="frozen"/>
      <selection pane="bottomLeft" activeCell="F440" sqref="F44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151</v>
      </c>
      <c r="G446" s="36">
        <f>SUM(G434:G445)</f>
        <v>755</v>
      </c>
      <c r="H446" s="37"/>
      <c r="I446" s="37"/>
      <c r="J446" s="37"/>
      <c r="K446" s="37"/>
      <c r="L446" s="37"/>
      <c r="M446" s="38">
        <f ca="1">IFERROR(SUM(M434:M445),"")</f>
        <v>5.0000000000000044E-2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151</v>
      </c>
      <c r="G460" s="40">
        <f>G446+G459</f>
        <v>755</v>
      </c>
      <c r="H460" s="41"/>
      <c r="I460" s="41"/>
      <c r="J460" s="41"/>
      <c r="K460" s="41"/>
      <c r="L460" s="41"/>
      <c r="M460" s="42">
        <f ca="1">IFERROR(M446+M459,"")</f>
        <v>5.0000000000000044E-2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16" activePane="bottomLeft" state="frozen"/>
      <selection pane="bottomLeft" activeCell="L437" sqref="L43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0.33442175926029449</v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0.49206064814918338</v>
      </c>
      <c r="N378" s="36" t="s">
        <v>227</v>
      </c>
      <c r="O378" s="78">
        <v>511980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0.60178287037140554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0.31289398148510372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0.48372731481843712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0.62886620370732604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287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97</v>
      </c>
      <c r="G446" s="36">
        <f>SUM(G434:G445)</f>
        <v>407.40000000000003</v>
      </c>
      <c r="H446" s="37"/>
      <c r="I446" s="37"/>
      <c r="J446" s="37"/>
      <c r="K446" s="37"/>
      <c r="L446" s="37"/>
      <c r="M446" s="38">
        <f ca="1">IFERROR(SUM(M434:M445),"")</f>
        <v>5.2083333333333315E-2</v>
      </c>
      <c r="N446" s="36" t="s">
        <v>227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97</v>
      </c>
      <c r="G460" s="40">
        <f>G446+G459</f>
        <v>407.40000000000003</v>
      </c>
      <c r="H460" s="41"/>
      <c r="I460" s="41"/>
      <c r="J460" s="41"/>
      <c r="K460" s="41"/>
      <c r="L460" s="41"/>
      <c r="M460" s="42">
        <f ca="1">IFERROR(M446+M459,"")</f>
        <v>5.2083333333333315E-2</v>
      </c>
      <c r="N460" s="40" t="s">
        <v>230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 E432:E433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0" zoomScale="50" zoomScaleNormal="50" workbookViewId="0">
      <selection activeCell="J434" sqref="J43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297</v>
      </c>
      <c r="N166" s="27" t="s">
        <v>298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/>
      <c r="M434" s="30">
        <f t="shared" ref="M434:M445" ca="1" si="97">IFERROR(IF(K434="","",IF(L434="",MOD(NOW()-K434,1),IF(L434&gt;=K434,L434-K434,L434+1-K434))),"")</f>
        <v>3.2338425931811798E-2</v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32</v>
      </c>
      <c r="G446" s="36">
        <f>SUM(G434:G445)</f>
        <v>134.40000000000003</v>
      </c>
      <c r="H446" s="37"/>
      <c r="I446" s="37"/>
      <c r="J446" s="37"/>
      <c r="K446" s="37"/>
      <c r="L446" s="37"/>
      <c r="M446" s="38">
        <f ca="1">IFERROR(SUM(M434:M445),"")</f>
        <v>3.2338425931811798E-2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32</v>
      </c>
      <c r="G460" s="40">
        <f>G446+G459</f>
        <v>134.40000000000003</v>
      </c>
      <c r="H460" s="41"/>
      <c r="I460" s="41"/>
      <c r="J460" s="41"/>
      <c r="K460" s="41"/>
      <c r="L460" s="41"/>
      <c r="M460" s="42">
        <f ca="1">IFERROR(M446+M459,"")</f>
        <v>3.2338425931811798E-2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K435" sqref="K43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312</v>
      </c>
      <c r="L58" s="29">
        <v>0.54097222222222219</v>
      </c>
      <c r="M58" s="30" t="str">
        <f t="shared" ca="1" si="13"/>
        <v/>
      </c>
      <c r="N58" s="27" t="s">
        <v>313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0.32469953704276122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0.52400509259831685</v>
      </c>
      <c r="N135" s="36" t="s">
        <v>227</v>
      </c>
      <c r="O135" s="39">
        <v>729290</v>
      </c>
    </row>
    <row r="136" spans="1:18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0.89136620370942787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226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115</v>
      </c>
      <c r="G446" s="36">
        <f>SUM(G434:G445)</f>
        <v>483.00000000000006</v>
      </c>
      <c r="H446" s="37"/>
      <c r="I446" s="37"/>
      <c r="J446" s="37"/>
      <c r="K446" s="61"/>
      <c r="L446" s="61"/>
      <c r="M446" s="38">
        <f ca="1">IFERROR(SUM(M434:M445),"")</f>
        <v>2.083333333333337E-2</v>
      </c>
      <c r="N446" s="36" t="s">
        <v>227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115</v>
      </c>
      <c r="G460" s="40">
        <f>G446+G459</f>
        <v>483.00000000000006</v>
      </c>
      <c r="H460" s="41"/>
      <c r="I460" s="41"/>
      <c r="J460" s="41"/>
      <c r="K460" s="63"/>
      <c r="L460" s="63"/>
      <c r="M460" s="42">
        <f ca="1">IFERROR(M446+M459,"")</f>
        <v>2.083333333333337E-2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2026-07-17T17:48:36Z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