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68" documentId="8_{1D11E9C4-FEA4-4128-910F-91CB6BBF9255}" xr6:coauthVersionLast="47" xr6:coauthVersionMax="47" xr10:uidLastSave="{725BCC5E-3162-4F80-86D1-F501FEF41340}"/>
  <bookViews>
    <workbookView xWindow="-108" yWindow="-108" windowWidth="23256" windowHeight="12456" tabRatio="500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<sst xmlns="http://schemas.openxmlformats.org/spreadsheetml/2006/main" count="8278" uniqueCount="369">
  <si>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</si>
  <si>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</si>
  <si>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</si>
  <si>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</si>
  <si>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</si>
  <si>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</si>
  <si>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</si>
  <si>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</si>
  <si>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</si>
  <si>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</si>
  <si>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</si>
  <si>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</si>
  <si>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</si>
  <si>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</si>
  <si>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</si>
  <si>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</si>
  <si>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</si>
  <si>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</si>
  <si>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</si>
  <si>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</si>
  <si>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</si>
  <si>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</si>
  <si>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</si>
  <si>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</si>
  <si>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</si>
  <si>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</si>
  <si>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</si>
  <si>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</si>
  <si>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</si>
  <si>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</si>
  <si>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</si>
  <si>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</si>
  <si>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</si>
  <si>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</si>
  <si>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</si>
  <si>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</si>
  <si>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</si>
  <si>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</si>
  <si>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</si>
  <si>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</si>
  <si>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</si>
  <si>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</si>
  <si>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</si>
  <si>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</si>
  <si>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</si>
  <si>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</si>
  <si>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</si>
  <si>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</si>
  <si>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</si>
  <si>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</si>
  <si>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</si>
  <si>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</si>
  <si>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</si>
  <si>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</si>
  <si>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</si>
  <si>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</si>
  <si>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</si>
  <si>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</si>
  <si>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</si>
  <si>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</si>
  <si>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</si>
  <si>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</si>
  <si>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</si>
  <si>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</si>
  <si>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</si>
  <si>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</si>
  <si>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</si>
  <si>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</si>
  <si>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</si>
  <si>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</si>
  <si>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</si>
  <si>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</si>
  <si>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</si>
  <si>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</si>
  <si>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</si>
  <si>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</si>
  <si>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</si>
  <si>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</si>
  <si>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</si>
  <si>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</si>
  <si>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</si>
  <si>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</si>
  <si>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</si>
  <si>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</si>
  <si>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</si>
  <si>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</si>
  <si>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</si>
  <si>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</si>
  <si>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</si>
  <si>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</si>
  <si>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</si>
  <si>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</si>
  <si>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</si>
  <si>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</si>
  <si>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</si>
  <si>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</si>
  <si>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</si>
  <si>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</si>
  <si>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</si>
  <si>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</si>
  <si>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</si>
  <si>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</si>
  <si>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</si>
  <si>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</si>
  <si>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</si>
  <si>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</si>
  <si>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</si>
  <si>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</si>
  <si>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</si>
  <si>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</si>
  <si>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</si>
  <si>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</si>
  <si>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</si>
  <si>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</si>
  <si>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</si>
  <si>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</si>
  <si>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</si>
  <si>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</si>
  <si>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</si>
  <si>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</si>
  <si>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</si>
  <si>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</si>
  <si>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</si>
  <si>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</si>
  <si>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</si>
  <si>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</si>
  <si>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</si>
  <si>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</si>
  <si>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</si>
  <si>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</si>
  <si>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</si>
  <si>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</si>
  <si>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</si>
  <si>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</si>
  <si>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</si>
  <si>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</si>
  <si>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</si>
  <si>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</si>
  <si>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</si>
  <si>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</si>
  <si>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</si>
  <si>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</si>
  <si>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</si>
  <si>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</si>
  <si>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</si>
  <si>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</si>
  <si>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</si>
  <si>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</si>
  <si>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</si>
  <si>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</si>
  <si>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</si>
  <si>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</si>
  <si>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</si>
  <si>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</si>
  <si>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</si>
  <si>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</si>
  <si>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</si>
  <si>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</si>
  <si>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</si>
  <si>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</si>
  <si>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</si>
  <si>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</si>
  <si>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</si>
  <si>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</si>
  <si>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</si>
  <si>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</si>
  <si>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</si>
  <si>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</si>
  <si>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</si>
  <si>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</si>
  <si>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</si>
  <si>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</si>
  <si>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</si>
  <si>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</si>
  <si>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</si>
  <si>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</si>
  <si>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</si>
  <si>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</si>
  <si>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</si>
  <si>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</si>
  <si>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</si>
  <si>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</si>
  <si>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</si>
  <si>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</si>
  <si>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</si>
  <si>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</si>
  <si>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</si>
  <si>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</si>
  <si>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</si>
  <si>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</si>
  <si>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</si>
  <si>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</si>
  <si>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</si>
  <si>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</si>
  <si>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</si>
  <si>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</si>
  <si>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</si>
  <si>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</si>
  <si>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</si>
  <si>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</si>
  <si>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</si>
  <si>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</si>
  <si>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</si>
  <si>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</si>
  <si>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</si>
  <si>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</si>
  <si>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</si>
  <si>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</si>
  <si>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</si>
  <si>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</si>
  <si>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</si>
  <si>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</si>
  <si>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</si>
  <si>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</si>
  <si>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</si>
  <si>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</si>
  <si>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</si>
  <si>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</si>
  <si>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</si>
  <si>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</si>
  <si>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</si>
  <si>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</si>
  <si>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</si>
  <si>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</si>
  <si>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</si>
  <si>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</si>
  <si>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</si>
  <si>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</si>
  <si>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</si>
  <si>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</si>
  <si>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</si>
  <si>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</si>
  <si>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</si>
  <si>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</si>
  <si>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</si>
  <si>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</si>
  <si>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</si>
  <si>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</si>
  <si>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</si>
  <si>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</si>
  <si>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</si>
  <si>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</si>
  <si>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</si>
  <si>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</si>
  <si>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</si>
  <si>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</si>
  <si>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</si>
  <si>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</si>
  <si>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</si>
  <si>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</si>
  <si>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</si>
  <si>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</si>
  <si>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</si>
  <si>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</si>
  <si>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</si>
  <si>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</si>
  <si>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</si>
  <si>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</si>
  <si>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</si>
  <si>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</si>
  <si>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</si>
  <si>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</si>
  <si>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</si>
  <si>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</si>
  <si>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</si>
  <si>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</si>
  <si>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</si>
  <si>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</si>
  <si>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</si>
  <si>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</si>
  <si>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</si>
  <si>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</si>
  <si>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</si>
  <si>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</si>
  <si>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</si>
  <si>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</si>
  <si>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</si>
  <si>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</si>
  <si>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</si>
  <si>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</si>
  <si>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</si>
  <si>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</si>
  <si>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</si>
  <si>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</si>
  <si>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</si>
  <si>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</si>
  <si>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</si>
  <si>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</si>
  <si>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</si>
  <si>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</si>
  <si>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</si>
  <si>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</si>
  <si>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</si>
  <si>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</si>
  <si>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</si>
  <si>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</si>
  <si>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</si>
  <si>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</si>
  <si>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</si>
  <si>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</si>
  <si>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</si>
  <si>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</si>
  <si>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</si>
  <si>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</si>
  <si>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</si>
  <si>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</si>
  <si>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</si>
  <si>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</si>
  <si>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</si>
  <si>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</si>
  <si>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</si>
  <si>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</si>
  <si>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</si>
  <si>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</si>
  <si>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</si>
  <si>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</si>
  <si>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</si>
  <si>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</si>
  <si>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</si>
  <si>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</si>
  <si>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</si>
  <si>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</si>
  <si>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</si>
  <si>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</si>
  <si>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</si>
  <si>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</si>
  <si>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</si>
  <si>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</si>
  <si>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</si>
  <si>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</si>
  <si>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</si>
  <si>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</si>
  <si>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</si>
  <si>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</si>
  <si>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</si>
  <si>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</si>
  <si>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</si>
  <si>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</si>
  <si>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</si>
  <si>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</si>
  <si>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</si>
  <si>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</si>
  <si>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</si>
  <si>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</si>
  <si>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</si>
  <si>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</si>
  <si>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</si>
  <si>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</si>
  <si>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</si>
  <si>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</si>
  <si>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</si>
  <si>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</si>
  <si>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</si>
  <si>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</si>
  <si>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</si>
  <si>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</si>
  <si>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</si>
  <si>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</si>
  <si>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</si>
  <si>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</si>
  <si>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</si>
  <si>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</si>
  <si>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</si>
  <si>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</si>
  <si>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</si>
  <si>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</si>
  <si>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</si>
  <si>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</si>
  <si>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douglas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</si>
</sst>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546875" defaultRowHeight="14.4" x14ac:dyDescent="0.3"/>
  <cols>
    <col min="1" max="1" width="8.5546875" customWidth="1"/>
    <col min="2" max="2" width="17.44140625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9" t="s">
        <v>0</v>
      </c>
      <c r="B1" s="99"/>
      <c r="C1" s="99"/>
      <c r="D1" s="99"/>
      <c r="E1" s="99"/>
      <c r="F1" s="99"/>
      <c r="G1" s="99"/>
    </row>
    <row r="2" spans="1:7" ht="25.35" customHeight="1" x14ac:dyDescent="0.3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 x14ac:dyDescent="0.3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 x14ac:dyDescent="0.3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 x14ac:dyDescent="0.3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 x14ac:dyDescent="0.3">
      <c r="A34" s="101" t="s">
        <v>9</v>
      </c>
      <c r="B34" s="101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332031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 x14ac:dyDescent="0.3">
      <c r="H2" s="103"/>
    </row>
    <row r="3" spans="1:13" ht="21.75" customHeight="1" x14ac:dyDescent="0.3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 x14ac:dyDescent="0.3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 x14ac:dyDescent="0.3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 x14ac:dyDescent="0.3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 x14ac:dyDescent="0.3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 x14ac:dyDescent="0.3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 x14ac:dyDescent="0.3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 x14ac:dyDescent="0.3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 x14ac:dyDescent="0.3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 x14ac:dyDescent="0.3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 x14ac:dyDescent="0.3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 x14ac:dyDescent="0.3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 x14ac:dyDescent="0.3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 x14ac:dyDescent="0.3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 x14ac:dyDescent="0.3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 x14ac:dyDescent="0.3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 x14ac:dyDescent="0.3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 x14ac:dyDescent="0.3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 x14ac:dyDescent="0.3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 x14ac:dyDescent="0.3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 x14ac:dyDescent="0.3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 x14ac:dyDescent="0.3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 x14ac:dyDescent="0.3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 x14ac:dyDescent="0.3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 x14ac:dyDescent="0.3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 x14ac:dyDescent="0.3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 x14ac:dyDescent="0.3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 x14ac:dyDescent="0.3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 x14ac:dyDescent="0.3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 x14ac:dyDescent="0.3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 x14ac:dyDescent="0.3">
      <c r="A46" s="3"/>
      <c r="C46" s="3"/>
      <c r="E46" s="3"/>
      <c r="G46" s="3"/>
      <c r="H46" s="103"/>
      <c r="I46" s="3"/>
      <c r="J46" s="3"/>
      <c r="K46" s="3" t="s">
        <v>174</v>
      </c>
      <c r="L46" s="3"/>
      <c r="M46" s="3"/>
    </row>
    <row r="47" spans="1:13" ht="15.75" customHeight="1" x14ac:dyDescent="0.3">
      <c r="A47" s="4"/>
      <c r="C47" s="4"/>
      <c r="E47" s="4"/>
      <c r="G47" s="4"/>
      <c r="H47" s="103"/>
      <c r="I47" s="4"/>
      <c r="J47" s="4"/>
      <c r="K47" s="4" t="s">
        <v>175</v>
      </c>
      <c r="L47" s="4"/>
      <c r="M47" s="4"/>
    </row>
    <row r="48" spans="1:13" ht="15.75" customHeight="1" x14ac:dyDescent="0.3">
      <c r="A48" s="3"/>
      <c r="C48" s="3"/>
      <c r="E48" s="3"/>
      <c r="G48" s="3"/>
      <c r="H48" s="103"/>
      <c r="I48" s="3"/>
      <c r="J48" s="3"/>
      <c r="K48" s="3" t="s">
        <v>176</v>
      </c>
      <c r="L48" s="3"/>
      <c r="M48" s="3"/>
    </row>
    <row r="49" spans="1:13" ht="18" customHeight="1" x14ac:dyDescent="0.3">
      <c r="H49" s="103"/>
      <c r="I49" s="4"/>
      <c r="J49" s="4"/>
      <c r="K49" s="4" t="s">
        <v>177</v>
      </c>
      <c r="L49" s="4"/>
      <c r="M49" s="4"/>
    </row>
    <row r="50" spans="1:13" ht="21" customHeight="1" x14ac:dyDescent="0.3">
      <c r="A50" s="6" t="s">
        <v>178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 x14ac:dyDescent="0.3">
      <c r="H51" s="103"/>
      <c r="I51" s="4"/>
      <c r="J51" s="4"/>
      <c r="K51" s="4"/>
      <c r="L51" s="4"/>
      <c r="M51" s="4"/>
    </row>
    <row r="52" spans="1:13" ht="24" customHeight="1" x14ac:dyDescent="0.3">
      <c r="H52" s="103"/>
      <c r="I52" s="3"/>
      <c r="J52" s="3"/>
      <c r="K52" s="3"/>
      <c r="L52" s="3"/>
      <c r="M52" s="3"/>
    </row>
    <row r="53" spans="1:13" ht="36" customHeight="1" x14ac:dyDescent="0.3">
      <c r="H53" s="103"/>
      <c r="I53" s="4"/>
      <c r="J53" s="4"/>
      <c r="K53" s="4"/>
      <c r="L53" s="4"/>
      <c r="M53" s="4"/>
    </row>
    <row r="54" spans="1:13" ht="15" customHeight="1" x14ac:dyDescent="0.3">
      <c r="H54" s="103"/>
      <c r="I54" s="3"/>
      <c r="J54" s="3"/>
      <c r="K54" s="3"/>
      <c r="L54" s="3"/>
      <c r="M54" s="3"/>
    </row>
    <row r="55" spans="1:13" ht="15" customHeight="1" x14ac:dyDescent="0.3">
      <c r="H55" s="103"/>
      <c r="I55" s="4"/>
      <c r="J55" s="4"/>
      <c r="K55" s="4"/>
      <c r="L55" s="4"/>
      <c r="M55" s="4"/>
    </row>
    <row r="56" spans="1:13" ht="15" customHeight="1" x14ac:dyDescent="0.3">
      <c r="H56" s="103"/>
      <c r="I56" s="3"/>
      <c r="J56" s="3"/>
      <c r="K56" s="3"/>
      <c r="L56" s="3"/>
      <c r="M56" s="3"/>
    </row>
    <row r="57" spans="1:13" ht="15" customHeight="1" x14ac:dyDescent="0.3">
      <c r="H57" s="103"/>
      <c r="I57" s="4"/>
      <c r="J57" s="4"/>
      <c r="K57" s="4"/>
      <c r="L57" s="4"/>
      <c r="M57" s="4"/>
    </row>
    <row r="58" spans="1:13" ht="15" customHeight="1" x14ac:dyDescent="0.3">
      <c r="H58" s="103"/>
      <c r="I58" s="3"/>
      <c r="J58" s="3"/>
      <c r="K58" s="3"/>
      <c r="L58" s="3"/>
      <c r="M58" s="3"/>
    </row>
    <row r="59" spans="1:13" ht="15" customHeight="1" x14ac:dyDescent="0.3">
      <c r="H59" s="103"/>
      <c r="I59" s="4"/>
      <c r="J59" s="4"/>
      <c r="K59" s="4"/>
      <c r="L59" s="4"/>
      <c r="M59" s="4"/>
    </row>
    <row r="60" spans="1:13" ht="15" customHeight="1" x14ac:dyDescent="0.3">
      <c r="H60" s="103"/>
      <c r="I60" s="3"/>
      <c r="J60" s="3"/>
      <c r="K60" s="3"/>
      <c r="L60" s="3"/>
      <c r="M60" s="3"/>
    </row>
    <row r="61" spans="1:13" ht="15" customHeight="1" x14ac:dyDescent="0.3">
      <c r="H61" s="103"/>
      <c r="I61" s="4"/>
      <c r="J61" s="4"/>
      <c r="K61" s="4"/>
      <c r="L61" s="4"/>
      <c r="M61" s="4"/>
    </row>
    <row r="62" spans="1:13" ht="15" customHeight="1" x14ac:dyDescent="0.3">
      <c r="H62" s="103"/>
      <c r="I62" s="3"/>
      <c r="J62" s="3"/>
      <c r="K62" s="3"/>
      <c r="L62" s="3"/>
      <c r="M62" s="3"/>
    </row>
    <row r="63" spans="1:13" ht="15" customHeight="1" x14ac:dyDescent="0.3">
      <c r="H63" s="103"/>
      <c r="I63" s="4"/>
      <c r="J63" s="4"/>
      <c r="K63" s="4"/>
      <c r="L63" s="4"/>
      <c r="M63" s="4"/>
    </row>
    <row r="64" spans="1:13" ht="15" customHeight="1" x14ac:dyDescent="0.3">
      <c r="H64" s="103"/>
      <c r="I64" s="3"/>
      <c r="J64" s="3"/>
      <c r="K64" s="3"/>
      <c r="L64" s="3"/>
      <c r="M64" s="3"/>
    </row>
    <row r="65" spans="8:13" ht="15" customHeight="1" x14ac:dyDescent="0.3">
      <c r="H65" s="103"/>
      <c r="I65" s="4"/>
      <c r="J65" s="4"/>
      <c r="K65" s="4"/>
      <c r="L65" s="4"/>
      <c r="M65" s="4"/>
    </row>
    <row r="66" spans="8:13" ht="15" customHeight="1" x14ac:dyDescent="0.3">
      <c r="H66" s="103"/>
      <c r="I66" s="3"/>
      <c r="J66" s="3"/>
      <c r="K66" s="3"/>
      <c r="L66" s="3"/>
      <c r="M66" s="3"/>
    </row>
    <row r="67" spans="8:13" ht="15" customHeight="1" x14ac:dyDescent="0.3">
      <c r="H67" s="103"/>
      <c r="I67" s="4"/>
      <c r="J67" s="4"/>
      <c r="K67" s="4"/>
      <c r="L67" s="4"/>
      <c r="M67" s="4"/>
    </row>
    <row r="68" spans="8:13" ht="15" customHeight="1" x14ac:dyDescent="0.3">
      <c r="H68" s="103"/>
      <c r="I68" s="3"/>
      <c r="J68" s="3"/>
      <c r="K68" s="3"/>
      <c r="L68" s="3"/>
      <c r="M68" s="3"/>
    </row>
    <row r="69" spans="8:13" ht="15" customHeight="1" x14ac:dyDescent="0.3">
      <c r="H69" s="103"/>
      <c r="I69" s="4"/>
      <c r="J69" s="4"/>
      <c r="K69" s="4"/>
      <c r="L69" s="4"/>
      <c r="M69" s="4"/>
    </row>
    <row r="70" spans="8:13" ht="15" customHeight="1" x14ac:dyDescent="0.3">
      <c r="H70" s="103"/>
      <c r="I70" s="3"/>
      <c r="J70" s="3"/>
      <c r="K70" s="3"/>
      <c r="L70" s="3"/>
      <c r="M70" s="3"/>
    </row>
    <row r="71" spans="8:13" ht="15" customHeight="1" x14ac:dyDescent="0.3">
      <c r="H71" s="103"/>
      <c r="I71" s="4"/>
      <c r="J71" s="4"/>
      <c r="K71" s="4"/>
      <c r="L71" s="4"/>
      <c r="M71" s="4"/>
    </row>
    <row r="72" spans="8:13" ht="15" customHeight="1" x14ac:dyDescent="0.3">
      <c r="H72" s="103"/>
      <c r="I72" s="3"/>
      <c r="J72" s="3"/>
      <c r="K72" s="3"/>
      <c r="L72" s="3"/>
      <c r="M72" s="3"/>
    </row>
    <row r="73" spans="8:13" ht="15" customHeight="1" x14ac:dyDescent="0.3">
      <c r="H73" s="103"/>
      <c r="I73" s="4"/>
      <c r="J73" s="4"/>
      <c r="K73" s="4"/>
      <c r="L73" s="4"/>
      <c r="M73" s="4"/>
    </row>
    <row r="74" spans="8:13" ht="15" customHeight="1" x14ac:dyDescent="0.3">
      <c r="H74" s="103"/>
      <c r="I74" s="3"/>
      <c r="J74" s="3"/>
      <c r="K74" s="3"/>
      <c r="L74" s="3"/>
      <c r="M74" s="3"/>
    </row>
    <row r="75" spans="8:13" ht="15" customHeight="1" x14ac:dyDescent="0.3">
      <c r="H75" s="103"/>
      <c r="I75" s="4"/>
      <c r="J75" s="4"/>
      <c r="K75" s="4"/>
      <c r="L75" s="4"/>
      <c r="M75" s="4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topLeftCell="C1" zoomScale="80" zoomScaleNormal="80" workbookViewId="0">
      <pane ySplit="1" topLeftCell="A747" activePane="bottomLeft" state="frozen"/>
      <selection pane="bottomLeft" activeCell="N757" sqref="N757"/>
    </sheetView>
  </sheetViews>
  <sheetFormatPr defaultColWidth="8.5546875" defaultRowHeight="14.4" x14ac:dyDescent="0.3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09375" style="7" customWidth="1"/>
    <col min="8" max="8" width="23.44140625" style="7" customWidth="1"/>
    <col min="9" max="9" width="43.109375" style="7" customWidth="1"/>
    <col min="10" max="10" width="14" style="7" customWidth="1"/>
    <col min="11" max="11" width="13.109375" style="7" customWidth="1"/>
    <col min="12" max="12" width="14" style="74" customWidth="1"/>
    <col min="13" max="13" width="50.441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">
      <c r="A14" s="105" t="s">
        <v>189</v>
      </c>
      <c r="B14" s="105"/>
      <c r="C14" s="105"/>
      <c r="D14" s="105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191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 x14ac:dyDescent="0.3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189</v>
      </c>
      <c r="B41" s="105"/>
      <c r="C41" s="105"/>
      <c r="D41" s="105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191</v>
      </c>
      <c r="B54" s="105"/>
      <c r="C54" s="105"/>
      <c r="D54" s="105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 x14ac:dyDescent="0.3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">
      <c r="A68" s="105" t="s">
        <v>189</v>
      </c>
      <c r="B68" s="105"/>
      <c r="C68" s="105"/>
      <c r="D68" s="105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">
      <c r="A81" s="105" t="s">
        <v>191</v>
      </c>
      <c r="B81" s="105"/>
      <c r="C81" s="105"/>
      <c r="D81" s="105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 x14ac:dyDescent="0.3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">
      <c r="A95" s="105" t="s">
        <v>189</v>
      </c>
      <c r="B95" s="105"/>
      <c r="C95" s="105"/>
      <c r="D95" s="105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">
      <c r="A108" s="105" t="s">
        <v>191</v>
      </c>
      <c r="B108" s="105"/>
      <c r="C108" s="105"/>
      <c r="D108" s="105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 x14ac:dyDescent="0.3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 x14ac:dyDescent="0.3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">
      <c r="A122" s="105" t="s">
        <v>189</v>
      </c>
      <c r="B122" s="105"/>
      <c r="C122" s="105"/>
      <c r="D122" s="105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">
      <c r="A135" s="105" t="s">
        <v>191</v>
      </c>
      <c r="B135" s="105"/>
      <c r="C135" s="105"/>
      <c r="D135" s="105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 x14ac:dyDescent="0.3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 x14ac:dyDescent="0.3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5">
      <c r="A149" s="105" t="s">
        <v>189</v>
      </c>
      <c r="B149" s="105"/>
      <c r="C149" s="105"/>
      <c r="D149" s="105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5">
      <c r="A162" s="105" t="s">
        <v>191</v>
      </c>
      <c r="B162" s="105"/>
      <c r="C162" s="105"/>
      <c r="D162" s="105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 x14ac:dyDescent="0.3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 x14ac:dyDescent="0.3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">
      <c r="A176" s="105" t="s">
        <v>189</v>
      </c>
      <c r="B176" s="105"/>
      <c r="C176" s="105"/>
      <c r="D176" s="105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">
      <c r="A189" s="105" t="s">
        <v>191</v>
      </c>
      <c r="B189" s="105"/>
      <c r="C189" s="105"/>
      <c r="D189" s="105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 x14ac:dyDescent="0.3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 x14ac:dyDescent="0.3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 x14ac:dyDescent="0.3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">
      <c r="A203" s="105" t="s">
        <v>189</v>
      </c>
      <c r="B203" s="105"/>
      <c r="C203" s="105"/>
      <c r="D203" s="105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">
      <c r="A216" s="105" t="s">
        <v>191</v>
      </c>
      <c r="B216" s="105"/>
      <c r="C216" s="105"/>
      <c r="D216" s="105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 x14ac:dyDescent="0.3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 x14ac:dyDescent="0.3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">
      <c r="A230" s="105" t="s">
        <v>189</v>
      </c>
      <c r="B230" s="105"/>
      <c r="C230" s="105"/>
      <c r="D230" s="105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">
      <c r="A243" s="105" t="s">
        <v>191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 x14ac:dyDescent="0.3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 x14ac:dyDescent="0.3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">
      <c r="A257" s="105" t="s">
        <v>189</v>
      </c>
      <c r="B257" s="105"/>
      <c r="C257" s="105"/>
      <c r="D257" s="105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">
      <c r="A270" s="105" t="s">
        <v>191</v>
      </c>
      <c r="B270" s="105"/>
      <c r="C270" s="105"/>
      <c r="D270" s="105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 x14ac:dyDescent="0.3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 x14ac:dyDescent="0.3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 x14ac:dyDescent="0.3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">
      <c r="A284" s="105" t="s">
        <v>189</v>
      </c>
      <c r="B284" s="105"/>
      <c r="C284" s="105"/>
      <c r="D284" s="105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 x14ac:dyDescent="0.3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">
      <c r="A297" s="105" t="s">
        <v>191</v>
      </c>
      <c r="B297" s="105"/>
      <c r="C297" s="105"/>
      <c r="D297" s="105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 x14ac:dyDescent="0.3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 x14ac:dyDescent="0.3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">
      <c r="A311" s="105" t="s">
        <v>189</v>
      </c>
      <c r="B311" s="105"/>
      <c r="C311" s="105"/>
      <c r="D311" s="105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 x14ac:dyDescent="0.3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">
      <c r="A324" s="105" t="s">
        <v>191</v>
      </c>
      <c r="B324" s="105"/>
      <c r="C324" s="105"/>
      <c r="D324" s="105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 x14ac:dyDescent="0.3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">
      <c r="A338" s="105" t="s">
        <v>189</v>
      </c>
      <c r="B338" s="105"/>
      <c r="C338" s="105"/>
      <c r="D338" s="105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">
      <c r="A351" s="105" t="s">
        <v>191</v>
      </c>
      <c r="B351" s="105"/>
      <c r="C351" s="105"/>
      <c r="D351" s="105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 x14ac:dyDescent="0.3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 x14ac:dyDescent="0.3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">
      <c r="A365" s="105" t="s">
        <v>189</v>
      </c>
      <c r="B365" s="105"/>
      <c r="C365" s="105"/>
      <c r="D365" s="105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 x14ac:dyDescent="0.3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 x14ac:dyDescent="0.3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">
      <c r="A378" s="105" t="s">
        <v>191</v>
      </c>
      <c r="B378" s="105"/>
      <c r="C378" s="105"/>
      <c r="D378" s="105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 x14ac:dyDescent="0.3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">
      <c r="A392" s="105" t="s">
        <v>189</v>
      </c>
      <c r="B392" s="105"/>
      <c r="C392" s="105"/>
      <c r="D392" s="105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">
      <c r="A405" s="105" t="s">
        <v>191</v>
      </c>
      <c r="B405" s="105"/>
      <c r="C405" s="105"/>
      <c r="D405" s="105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 x14ac:dyDescent="0.3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">
      <c r="A419" s="105" t="s">
        <v>189</v>
      </c>
      <c r="B419" s="105"/>
      <c r="C419" s="105"/>
      <c r="D419" s="105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 x14ac:dyDescent="0.3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">
      <c r="A432" s="105" t="s">
        <v>191</v>
      </c>
      <c r="B432" s="105"/>
      <c r="C432" s="105"/>
      <c r="D432" s="105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 x14ac:dyDescent="0.3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 x14ac:dyDescent="0.3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">
      <c r="A459" s="105" t="s">
        <v>191</v>
      </c>
      <c r="B459" s="105"/>
      <c r="C459" s="105"/>
      <c r="D459" s="105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 x14ac:dyDescent="0.3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 x14ac:dyDescent="0.3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">
      <c r="A473" s="105" t="s">
        <v>189</v>
      </c>
      <c r="B473" s="105"/>
      <c r="C473" s="105"/>
      <c r="D473" s="105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">
      <c r="A486" s="105" t="s">
        <v>191</v>
      </c>
      <c r="B486" s="105"/>
      <c r="C486" s="105"/>
      <c r="D486" s="105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 x14ac:dyDescent="0.3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">
      <c r="A500" s="105" t="s">
        <v>189</v>
      </c>
      <c r="B500" s="105"/>
      <c r="C500" s="105"/>
      <c r="D500" s="105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 x14ac:dyDescent="0.3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">
      <c r="A513" s="105" t="s">
        <v>191</v>
      </c>
      <c r="B513" s="105"/>
      <c r="C513" s="105"/>
      <c r="D513" s="105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 x14ac:dyDescent="0.3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 x14ac:dyDescent="0.3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 x14ac:dyDescent="0.3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 x14ac:dyDescent="0.3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">
      <c r="A527" s="105" t="s">
        <v>189</v>
      </c>
      <c r="B527" s="105"/>
      <c r="C527" s="105"/>
      <c r="D527" s="105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">
      <c r="A540" s="105" t="s">
        <v>191</v>
      </c>
      <c r="B540" s="105"/>
      <c r="C540" s="105"/>
      <c r="D540" s="105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 x14ac:dyDescent="0.3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 x14ac:dyDescent="0.3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 x14ac:dyDescent="0.3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 x14ac:dyDescent="0.3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">
      <c r="A554" s="105" t="s">
        <v>189</v>
      </c>
      <c r="B554" s="105"/>
      <c r="C554" s="105"/>
      <c r="D554" s="105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">
      <c r="A567" s="105" t="s">
        <v>191</v>
      </c>
      <c r="B567" s="105"/>
      <c r="C567" s="105"/>
      <c r="D567" s="105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 x14ac:dyDescent="0.3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 x14ac:dyDescent="0.3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 x14ac:dyDescent="0.3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">
      <c r="A581" s="105" t="s">
        <v>189</v>
      </c>
      <c r="B581" s="105"/>
      <c r="C581" s="105"/>
      <c r="D581" s="105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 x14ac:dyDescent="0.3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">
      <c r="A594" s="105" t="s">
        <v>191</v>
      </c>
      <c r="B594" s="105"/>
      <c r="C594" s="105"/>
      <c r="D594" s="105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 x14ac:dyDescent="0.3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 x14ac:dyDescent="0.3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 x14ac:dyDescent="0.3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 x14ac:dyDescent="0.3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 x14ac:dyDescent="0.3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">
      <c r="A608" s="105" t="s">
        <v>189</v>
      </c>
      <c r="B608" s="105"/>
      <c r="C608" s="105"/>
      <c r="D608" s="105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">
      <c r="A621" s="105" t="s">
        <v>191</v>
      </c>
      <c r="B621" s="105"/>
      <c r="C621" s="105"/>
      <c r="D621" s="105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 x14ac:dyDescent="0.3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">
      <c r="A635" s="105" t="s">
        <v>189</v>
      </c>
      <c r="B635" s="105"/>
      <c r="C635" s="105"/>
      <c r="D635" s="105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 x14ac:dyDescent="0.3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">
      <c r="A648" s="105" t="s">
        <v>191</v>
      </c>
      <c r="B648" s="105"/>
      <c r="C648" s="105"/>
      <c r="D648" s="105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 x14ac:dyDescent="0.3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">
      <c r="A662" s="105" t="s">
        <v>189</v>
      </c>
      <c r="B662" s="105"/>
      <c r="C662" s="105"/>
      <c r="D662" s="105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">
      <c r="A675" s="105" t="s">
        <v>191</v>
      </c>
      <c r="B675" s="105"/>
      <c r="C675" s="105"/>
      <c r="D675" s="105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 x14ac:dyDescent="0.3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 x14ac:dyDescent="0.3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 x14ac:dyDescent="0.3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">
      <c r="A689" s="105" t="s">
        <v>189</v>
      </c>
      <c r="B689" s="105"/>
      <c r="C689" s="105"/>
      <c r="D689" s="105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">
      <c r="A702" s="105" t="s">
        <v>191</v>
      </c>
      <c r="B702" s="105"/>
      <c r="C702" s="105"/>
      <c r="D702" s="105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 x14ac:dyDescent="0.3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 x14ac:dyDescent="0.3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 x14ac:dyDescent="0.3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 x14ac:dyDescent="0.3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 x14ac:dyDescent="0.3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3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3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3">
      <c r="A716" s="105" t="s">
        <v>189</v>
      </c>
      <c r="B716" s="105"/>
      <c r="C716" s="105"/>
      <c r="D716" s="105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 x14ac:dyDescent="0.3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 x14ac:dyDescent="0.3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3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">
      <c r="A729" s="105" t="s">
        <v>191</v>
      </c>
      <c r="B729" s="105"/>
      <c r="C729" s="105"/>
      <c r="D729" s="105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 x14ac:dyDescent="0.3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 x14ac:dyDescent="0.3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 x14ac:dyDescent="0.3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 x14ac:dyDescent="0.3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">
      <c r="A743" s="105" t="s">
        <v>189</v>
      </c>
      <c r="B743" s="105"/>
      <c r="C743" s="105"/>
      <c r="D743" s="105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 x14ac:dyDescent="0.3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 x14ac:dyDescent="0.3">
      <c r="A758" s="58">
        <v>46202</v>
      </c>
      <c r="B758" s="9">
        <v>0.33333333333333331</v>
      </c>
      <c r="C758" s="7" t="s">
        <v>368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 x14ac:dyDescent="0.3">
      <c r="A759" s="59">
        <v>46202</v>
      </c>
      <c r="B759" s="15">
        <f t="shared" ref="B759:B769" si="173">B758+TIME(0,60,0)</f>
        <v>0.375</v>
      </c>
      <c r="C759" s="10" t="s">
        <v>29</v>
      </c>
      <c r="D759" s="67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 x14ac:dyDescent="0.3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3"/>
        <v>0.45833333333333337</v>
      </c>
      <c r="C761" s="10" t="s">
        <v>29</v>
      </c>
      <c r="D761" s="67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3"/>
        <v>0.54166666666666663</v>
      </c>
      <c r="C763" s="10" t="s">
        <v>29</v>
      </c>
      <c r="D763" s="67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">
      <c r="A765" s="59">
        <v>46202</v>
      </c>
      <c r="B765" s="15">
        <f>B764+TIME(0,60,0)</f>
        <v>0.62499999999999989</v>
      </c>
      <c r="C765" s="10" t="s">
        <v>29</v>
      </c>
      <c r="D765" s="67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3"/>
        <v>0.70833333333333315</v>
      </c>
      <c r="C767" s="10" t="s">
        <v>29</v>
      </c>
      <c r="D767" s="67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3"/>
        <v>0.79166666666666641</v>
      </c>
      <c r="C769" s="10" t="s">
        <v>29</v>
      </c>
      <c r="D769" s="67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">
      <c r="A783" s="105" t="s">
        <v>191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 x14ac:dyDescent="0.3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">
      <c r="A797" s="105" t="s">
        <v>189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">
      <c r="A810" s="105" t="s">
        <v>191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 x14ac:dyDescent="0.3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G733" zoomScale="85" zoomScaleNormal="85" workbookViewId="0">
      <selection activeCell="N757" sqref="N757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.109375" style="7" customWidth="1"/>
    <col min="5" max="5" width="13" style="7" customWidth="1"/>
    <col min="6" max="6" width="14" style="7" customWidth="1"/>
    <col min="7" max="7" width="29.44140625" style="7" customWidth="1"/>
    <col min="8" max="8" width="25" style="7" customWidth="1"/>
    <col min="9" max="9" width="48.5546875" style="7" customWidth="1"/>
    <col min="10" max="10" width="15.44140625" style="7" customWidth="1"/>
    <col min="11" max="11" width="12" style="7" customWidth="1"/>
    <col min="12" max="12" width="14" style="74" customWidth="1"/>
    <col min="13" max="13" width="99.44140625" style="7" customWidth="1"/>
    <col min="14" max="14" width="20" style="7" customWidth="1"/>
  </cols>
  <sheetData>
    <row r="1" spans="1:14" ht="37.5" customHeight="1" x14ac:dyDescent="0.3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 x14ac:dyDescent="0.3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 x14ac:dyDescent="0.3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 x14ac:dyDescent="0.3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 x14ac:dyDescent="0.3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 x14ac:dyDescent="0.3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 x14ac:dyDescent="0.3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4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4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 x14ac:dyDescent="0.3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 x14ac:dyDescent="0.3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 x14ac:dyDescent="0.3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 x14ac:dyDescent="0.3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 x14ac:dyDescent="0.3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 x14ac:dyDescent="0.3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 x14ac:dyDescent="0.3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 x14ac:dyDescent="0.3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 x14ac:dyDescent="0.3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 x14ac:dyDescent="0.3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 x14ac:dyDescent="0.3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 x14ac:dyDescent="0.3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 x14ac:dyDescent="0.3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 x14ac:dyDescent="0.3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 x14ac:dyDescent="0.3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 x14ac:dyDescent="0.3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 x14ac:dyDescent="0.3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 x14ac:dyDescent="0.3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 x14ac:dyDescent="0.3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 x14ac:dyDescent="0.3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 x14ac:dyDescent="0.3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 x14ac:dyDescent="0.3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 x14ac:dyDescent="0.3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 x14ac:dyDescent="0.3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 x14ac:dyDescent="0.3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3">
      <c r="A716" s="106" t="s">
        <v>189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 x14ac:dyDescent="0.3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 x14ac:dyDescent="0.3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 x14ac:dyDescent="0.3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 x14ac:dyDescent="0.3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0.33333333333333298</v>
      </c>
      <c r="C785" s="67"/>
      <c r="D785" s="67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7">B785+TIME(0,60,0)</f>
        <v>0.37499999999999967</v>
      </c>
      <c r="C786" s="76"/>
      <c r="D786" s="76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7"/>
        <v>0.41666666666666635</v>
      </c>
      <c r="C787" s="67"/>
      <c r="D787" s="67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7"/>
        <v>0.45833333333333304</v>
      </c>
      <c r="C788" s="76"/>
      <c r="D788" s="76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7"/>
        <v>0.49999999999999972</v>
      </c>
      <c r="C789" s="67"/>
      <c r="D789" s="67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7"/>
        <v>0.54166666666666641</v>
      </c>
      <c r="C790" s="76"/>
      <c r="D790" s="76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7"/>
        <v>0.58333333333333304</v>
      </c>
      <c r="C791" s="67"/>
      <c r="D791" s="67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7"/>
        <v>0.62499999999999967</v>
      </c>
      <c r="C792" s="76"/>
      <c r="D792" s="76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7"/>
        <v>0.6666666666666663</v>
      </c>
      <c r="C793" s="67"/>
      <c r="D793" s="67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7"/>
        <v>0.70833333333333293</v>
      </c>
      <c r="C794" s="76"/>
      <c r="D794" s="76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7"/>
        <v>0.74999999999999956</v>
      </c>
      <c r="C795" s="67"/>
      <c r="D795" s="67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7"/>
        <v>0.79166666666666619</v>
      </c>
      <c r="C796" s="76"/>
      <c r="D796" s="76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29"/>
      <c r="N796" s="30"/>
    </row>
    <row r="797" spans="1:14" ht="15.75" customHeight="1" x14ac:dyDescent="0.3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79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79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79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79"/>
        <v>0.99999999999999956</v>
      </c>
      <c r="C802" s="76"/>
      <c r="D802" s="76"/>
      <c r="E802" s="11"/>
      <c r="F802" s="80" t="str">
        <f t="shared" ref="F802:F809" si="180">IF(E802="","",E802*4)</f>
        <v/>
      </c>
      <c r="G802" s="76"/>
      <c r="H802" s="76"/>
      <c r="I802" s="76"/>
      <c r="J802" s="13"/>
      <c r="K802" s="13"/>
      <c r="L802" s="77" t="str">
        <f t="shared" si="178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79"/>
        <v>1.0416666666666663</v>
      </c>
      <c r="C803" s="67"/>
      <c r="D803" s="67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79"/>
        <v>1.083333333333333</v>
      </c>
      <c r="C804" s="76"/>
      <c r="D804" s="76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79"/>
        <v>1.1249999999999998</v>
      </c>
      <c r="C805" s="67"/>
      <c r="D805" s="67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79"/>
        <v>1.1666666666666665</v>
      </c>
      <c r="C806" s="76"/>
      <c r="D806" s="76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79"/>
        <v>1.2083333333333333</v>
      </c>
      <c r="C807" s="67"/>
      <c r="D807" s="67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79"/>
        <v>1.25</v>
      </c>
      <c r="C808" s="76"/>
      <c r="D808" s="76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79"/>
        <v>1.2916666666666667</v>
      </c>
      <c r="C809" s="67"/>
      <c r="D809" s="67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29"/>
      <c r="N809" s="30"/>
    </row>
    <row r="810" spans="1:14" ht="15.75" customHeight="1" x14ac:dyDescent="0.3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 x14ac:dyDescent="0.3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opLeftCell="C1" zoomScale="80" zoomScaleNormal="80" workbookViewId="0">
      <pane ySplit="1" topLeftCell="A738" activePane="bottomLeft" state="frozen"/>
      <selection pane="bottomLeft" activeCell="N757" sqref="N757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6640625" style="7" customWidth="1"/>
    <col min="8" max="8" width="30.44140625" style="7" customWidth="1"/>
    <col min="9" max="9" width="46.44140625" style="7" customWidth="1"/>
    <col min="10" max="10" width="12" style="7" customWidth="1"/>
    <col min="11" max="11" width="16.44140625" style="7" customWidth="1"/>
    <col min="12" max="12" width="14" style="74" customWidth="1"/>
    <col min="13" max="13" width="43.66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 x14ac:dyDescent="0.3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 x14ac:dyDescent="0.3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 x14ac:dyDescent="0.3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 x14ac:dyDescent="0.3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 x14ac:dyDescent="0.3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 x14ac:dyDescent="0.3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 x14ac:dyDescent="0.3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 x14ac:dyDescent="0.3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 x14ac:dyDescent="0.3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 x14ac:dyDescent="0.3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 x14ac:dyDescent="0.3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 x14ac:dyDescent="0.3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 x14ac:dyDescent="0.3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 x14ac:dyDescent="0.3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 x14ac:dyDescent="0.3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 x14ac:dyDescent="0.3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 x14ac:dyDescent="0.3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 x14ac:dyDescent="0.3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 x14ac:dyDescent="0.3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 x14ac:dyDescent="0.3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 x14ac:dyDescent="0.3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 x14ac:dyDescent="0.3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 x14ac:dyDescent="0.3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 x14ac:dyDescent="0.3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 x14ac:dyDescent="0.3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 x14ac:dyDescent="0.3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 x14ac:dyDescent="0.3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 x14ac:dyDescent="0.3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 x14ac:dyDescent="0.3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 x14ac:dyDescent="0.3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 x14ac:dyDescent="0.3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 x14ac:dyDescent="0.3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 x14ac:dyDescent="0.3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 x14ac:dyDescent="0.3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 x14ac:dyDescent="0.3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 x14ac:dyDescent="0.3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 x14ac:dyDescent="0.3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 x14ac:dyDescent="0.3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 x14ac:dyDescent="0.3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 x14ac:dyDescent="0.3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 x14ac:dyDescent="0.3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 x14ac:dyDescent="0.3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 x14ac:dyDescent="0.3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 x14ac:dyDescent="0.3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 x14ac:dyDescent="0.3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3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3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3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3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3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3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3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3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3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3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3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3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3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 x14ac:dyDescent="0.3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 x14ac:dyDescent="0.3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 x14ac:dyDescent="0.3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 x14ac:dyDescent="0.3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 x14ac:dyDescent="0.3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 x14ac:dyDescent="0.3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 x14ac:dyDescent="0.3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67" t="s">
        <v>30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 x14ac:dyDescent="0.3">
      <c r="A760" s="58">
        <v>46202</v>
      </c>
      <c r="B760" s="9">
        <f t="shared" si="170"/>
        <v>0.41666666666666635</v>
      </c>
      <c r="C760" s="10" t="s">
        <v>29</v>
      </c>
      <c r="D760" s="10" t="s">
        <v>30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">
      <c r="A761" s="59">
        <v>46202</v>
      </c>
      <c r="B761" s="15">
        <f t="shared" si="170"/>
        <v>0.45833333333333304</v>
      </c>
      <c r="C761" s="10" t="s">
        <v>29</v>
      </c>
      <c r="D761" s="67" t="s">
        <v>30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">
      <c r="A762" s="58">
        <v>46202</v>
      </c>
      <c r="B762" s="9">
        <f t="shared" si="170"/>
        <v>0.49999999999999972</v>
      </c>
      <c r="C762" s="10" t="s">
        <v>29</v>
      </c>
      <c r="D762" s="10" t="s">
        <v>30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">
      <c r="A763" s="59">
        <v>46202</v>
      </c>
      <c r="B763" s="15">
        <f t="shared" si="170"/>
        <v>0.54166666666666641</v>
      </c>
      <c r="C763" s="10" t="s">
        <v>29</v>
      </c>
      <c r="D763" s="67" t="s">
        <v>30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">
      <c r="A764" s="58">
        <v>46202</v>
      </c>
      <c r="B764" s="9">
        <f t="shared" si="170"/>
        <v>0.58333333333333304</v>
      </c>
      <c r="C764" s="10" t="s">
        <v>29</v>
      </c>
      <c r="D764" s="10" t="s">
        <v>30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">
      <c r="A765" s="59">
        <v>46202</v>
      </c>
      <c r="B765" s="15">
        <f t="shared" si="170"/>
        <v>0.62499999999999967</v>
      </c>
      <c r="C765" s="10" t="s">
        <v>29</v>
      </c>
      <c r="D765" s="67" t="s">
        <v>30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">
      <c r="A766" s="58">
        <v>46202</v>
      </c>
      <c r="B766" s="9">
        <f t="shared" si="170"/>
        <v>0.6666666666666663</v>
      </c>
      <c r="C766" s="10" t="s">
        <v>29</v>
      </c>
      <c r="D766" s="10" t="s">
        <v>30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">
      <c r="A767" s="59">
        <v>46202</v>
      </c>
      <c r="B767" s="15">
        <f t="shared" si="170"/>
        <v>0.70833333333333293</v>
      </c>
      <c r="C767" s="10" t="s">
        <v>29</v>
      </c>
      <c r="D767" s="67" t="s">
        <v>30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">
      <c r="A768" s="58">
        <v>46202</v>
      </c>
      <c r="B768" s="9">
        <f t="shared" si="170"/>
        <v>0.74999999999999956</v>
      </c>
      <c r="C768" s="10" t="s">
        <v>29</v>
      </c>
      <c r="D768" s="10" t="s">
        <v>30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">
      <c r="A769" s="59">
        <v>46202</v>
      </c>
      <c r="B769" s="15">
        <f t="shared" si="170"/>
        <v>0.79166666666666619</v>
      </c>
      <c r="C769" s="10" t="s">
        <v>29</v>
      </c>
      <c r="D769" s="67" t="s">
        <v>30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 x14ac:dyDescent="0.3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0.33333333333333298</v>
      </c>
      <c r="C785" s="67"/>
      <c r="D785" s="67"/>
      <c r="E785" s="11"/>
      <c r="F785" s="93" t="str">
        <f t="shared" ref="F785:F796" si="174"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30"/>
    </row>
    <row r="786" spans="1:14" ht="15" customHeight="1" x14ac:dyDescent="0.3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 t="shared" si="174"/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30"/>
    </row>
    <row r="787" spans="1:14" ht="15" customHeight="1" x14ac:dyDescent="0.3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 t="shared" si="174"/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30"/>
    </row>
    <row r="788" spans="1:14" ht="15" customHeight="1" x14ac:dyDescent="0.3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 t="shared" si="174"/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30"/>
    </row>
    <row r="789" spans="1:14" ht="15" customHeight="1" x14ac:dyDescent="0.3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 t="shared" si="174"/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30"/>
    </row>
    <row r="790" spans="1:14" ht="15" customHeight="1" x14ac:dyDescent="0.3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 t="shared" si="174"/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30"/>
    </row>
    <row r="791" spans="1:14" ht="15" customHeight="1" x14ac:dyDescent="0.3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 t="shared" si="174"/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30"/>
    </row>
    <row r="792" spans="1:14" ht="15" customHeight="1" x14ac:dyDescent="0.3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 t="shared" si="174"/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30"/>
    </row>
    <row r="793" spans="1:14" ht="15" customHeight="1" x14ac:dyDescent="0.3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 t="shared" si="174"/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30"/>
    </row>
    <row r="794" spans="1:14" ht="15" customHeight="1" x14ac:dyDescent="0.3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 t="shared" si="174"/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30"/>
    </row>
    <row r="795" spans="1:14" ht="15" customHeight="1" x14ac:dyDescent="0.3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 t="shared" si="174"/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30"/>
    </row>
    <row r="796" spans="1:14" ht="15" customHeight="1" x14ac:dyDescent="0.3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 t="shared" si="174"/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30"/>
    </row>
    <row r="797" spans="1:14" ht="15.75" customHeight="1" x14ac:dyDescent="0.3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30"/>
    </row>
    <row r="799" spans="1:14" ht="15" customHeight="1" x14ac:dyDescent="0.3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30"/>
    </row>
    <row r="800" spans="1:14" ht="15" customHeight="1" x14ac:dyDescent="0.3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30"/>
    </row>
    <row r="801" spans="1:14" ht="15" customHeight="1" x14ac:dyDescent="0.3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 t="shared" ref="F801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30"/>
    </row>
    <row r="802" spans="1:14" ht="15" customHeight="1" x14ac:dyDescent="0.3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30"/>
    </row>
    <row r="803" spans="1:14" ht="15" customHeight="1" x14ac:dyDescent="0.3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30"/>
    </row>
    <row r="804" spans="1:14" ht="15" customHeight="1" x14ac:dyDescent="0.3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30"/>
    </row>
    <row r="805" spans="1:14" ht="15" customHeight="1" x14ac:dyDescent="0.3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30"/>
    </row>
    <row r="806" spans="1:14" ht="15" customHeight="1" x14ac:dyDescent="0.3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30"/>
    </row>
    <row r="807" spans="1:14" ht="15" customHeight="1" x14ac:dyDescent="0.3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30"/>
    </row>
    <row r="808" spans="1:14" ht="15" customHeight="1" x14ac:dyDescent="0.3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30"/>
    </row>
    <row r="809" spans="1:14" ht="15" customHeight="1" x14ac:dyDescent="0.3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30"/>
    </row>
    <row r="810" spans="1:14" ht="15.75" customHeight="1" x14ac:dyDescent="0.3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 x14ac:dyDescent="0.3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opLeftCell="G1" zoomScale="70" zoomScaleNormal="70" workbookViewId="0">
      <pane ySplit="1" topLeftCell="A735" activePane="bottomLeft" state="frozen"/>
      <selection activeCell="D1" sqref="D1"/>
      <selection pane="bottomLeft" activeCell="N757" sqref="N757"/>
    </sheetView>
  </sheetViews>
  <sheetFormatPr defaultColWidth="8.5546875" defaultRowHeight="14.4" x14ac:dyDescent="0.3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09375" style="37" customWidth="1"/>
    <col min="9" max="9" width="52.109375" style="37" customWidth="1"/>
    <col min="10" max="11" width="12" style="37" customWidth="1"/>
    <col min="12" max="12" width="14" style="75" customWidth="1"/>
    <col min="13" max="13" width="126.33203125" style="37" customWidth="1"/>
    <col min="14" max="14" width="14" style="37" customWidth="1"/>
  </cols>
  <sheetData>
    <row r="1" spans="1:14" ht="37.5" customHeight="1" x14ac:dyDescent="0.3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 x14ac:dyDescent="0.3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 x14ac:dyDescent="0.3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 x14ac:dyDescent="0.3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 x14ac:dyDescent="0.3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 x14ac:dyDescent="0.3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 x14ac:dyDescent="0.3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 x14ac:dyDescent="0.3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 x14ac:dyDescent="0.3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 x14ac:dyDescent="0.3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 x14ac:dyDescent="0.3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 x14ac:dyDescent="0.3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 x14ac:dyDescent="0.3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 x14ac:dyDescent="0.3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 x14ac:dyDescent="0.3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 x14ac:dyDescent="0.3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 x14ac:dyDescent="0.3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 x14ac:dyDescent="0.3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 x14ac:dyDescent="0.3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 x14ac:dyDescent="0.3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 x14ac:dyDescent="0.3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 x14ac:dyDescent="0.3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 x14ac:dyDescent="0.3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 x14ac:dyDescent="0.3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 x14ac:dyDescent="0.3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 x14ac:dyDescent="0.3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 x14ac:dyDescent="0.3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 x14ac:dyDescent="0.3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 x14ac:dyDescent="0.3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 x14ac:dyDescent="0.3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 x14ac:dyDescent="0.3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 x14ac:dyDescent="0.3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 x14ac:dyDescent="0.3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 x14ac:dyDescent="0.3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 x14ac:dyDescent="0.3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 x14ac:dyDescent="0.3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 x14ac:dyDescent="0.3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 x14ac:dyDescent="0.3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 x14ac:dyDescent="0.3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 x14ac:dyDescent="0.3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 x14ac:dyDescent="0.3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 x14ac:dyDescent="0.3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 x14ac:dyDescent="0.3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 x14ac:dyDescent="0.3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 x14ac:dyDescent="0.3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 x14ac:dyDescent="0.3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 x14ac:dyDescent="0.3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3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 x14ac:dyDescent="0.3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 x14ac:dyDescent="0.3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 x14ac:dyDescent="0.3">
      <c r="A758" s="58">
        <v>46202</v>
      </c>
      <c r="B758" s="9">
        <v>0.33333333333333298</v>
      </c>
      <c r="C758" s="10" t="s">
        <v>29</v>
      </c>
      <c r="D758" s="62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92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29</v>
      </c>
      <c r="D761" s="9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29</v>
      </c>
      <c r="D763" s="9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29</v>
      </c>
      <c r="D765" s="9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29</v>
      </c>
      <c r="D767" s="9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29</v>
      </c>
      <c r="D769" s="9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 x14ac:dyDescent="0.3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 x14ac:dyDescent="0.3">
      <c r="A785" s="90">
        <v>46203</v>
      </c>
      <c r="B785" s="91">
        <v>0.33333333333333298</v>
      </c>
      <c r="C785" s="67"/>
      <c r="D785" s="92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11"/>
      <c r="N785" s="41"/>
    </row>
    <row r="786" spans="1:14" ht="15" customHeight="1" x14ac:dyDescent="0.3">
      <c r="A786" s="94">
        <v>46203</v>
      </c>
      <c r="B786" s="95">
        <f t="shared" ref="B786:B796" si="177">B785+TIME(0,60,0)</f>
        <v>0.37499999999999967</v>
      </c>
      <c r="C786" s="76"/>
      <c r="D786" s="87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11"/>
      <c r="N786" s="41"/>
    </row>
    <row r="787" spans="1:14" ht="15" customHeight="1" x14ac:dyDescent="0.3">
      <c r="A787" s="90">
        <v>46203</v>
      </c>
      <c r="B787" s="91">
        <f t="shared" si="177"/>
        <v>0.41666666666666635</v>
      </c>
      <c r="C787" s="67"/>
      <c r="D787" s="92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11"/>
      <c r="N787" s="41"/>
    </row>
    <row r="788" spans="1:14" ht="15" customHeight="1" x14ac:dyDescent="0.3">
      <c r="A788" s="94">
        <v>46203</v>
      </c>
      <c r="B788" s="95">
        <f t="shared" si="177"/>
        <v>0.45833333333333304</v>
      </c>
      <c r="C788" s="76"/>
      <c r="D788" s="87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11"/>
      <c r="N788" s="41"/>
    </row>
    <row r="789" spans="1:14" ht="15" customHeight="1" x14ac:dyDescent="0.3">
      <c r="A789" s="90">
        <v>46203</v>
      </c>
      <c r="B789" s="91">
        <f t="shared" si="177"/>
        <v>0.49999999999999972</v>
      </c>
      <c r="C789" s="67"/>
      <c r="D789" s="92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11"/>
      <c r="N789" s="41"/>
    </row>
    <row r="790" spans="1:14" ht="15" customHeight="1" x14ac:dyDescent="0.3">
      <c r="A790" s="94">
        <v>46203</v>
      </c>
      <c r="B790" s="95">
        <f t="shared" si="177"/>
        <v>0.54166666666666641</v>
      </c>
      <c r="C790" s="76"/>
      <c r="D790" s="87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11"/>
      <c r="N790" s="41"/>
    </row>
    <row r="791" spans="1:14" ht="15" customHeight="1" x14ac:dyDescent="0.3">
      <c r="A791" s="90">
        <v>46203</v>
      </c>
      <c r="B791" s="91">
        <f t="shared" si="177"/>
        <v>0.58333333333333304</v>
      </c>
      <c r="C791" s="67"/>
      <c r="D791" s="92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11"/>
      <c r="N791" s="41"/>
    </row>
    <row r="792" spans="1:14" ht="15" customHeight="1" x14ac:dyDescent="0.3">
      <c r="A792" s="94">
        <v>46203</v>
      </c>
      <c r="B792" s="95">
        <f t="shared" si="177"/>
        <v>0.62499999999999967</v>
      </c>
      <c r="C792" s="76"/>
      <c r="D792" s="87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11"/>
      <c r="N792" s="41"/>
    </row>
    <row r="793" spans="1:14" ht="15" customHeight="1" x14ac:dyDescent="0.3">
      <c r="A793" s="90">
        <v>46203</v>
      </c>
      <c r="B793" s="91">
        <f t="shared" si="177"/>
        <v>0.6666666666666663</v>
      </c>
      <c r="C793" s="67"/>
      <c r="D793" s="92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11"/>
      <c r="N793" s="41"/>
    </row>
    <row r="794" spans="1:14" ht="15" customHeight="1" x14ac:dyDescent="0.3">
      <c r="A794" s="94">
        <v>46203</v>
      </c>
      <c r="B794" s="95">
        <f t="shared" si="177"/>
        <v>0.70833333333333293</v>
      </c>
      <c r="C794" s="76"/>
      <c r="D794" s="87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11"/>
      <c r="N794" s="41"/>
    </row>
    <row r="795" spans="1:14" ht="15" customHeight="1" x14ac:dyDescent="0.3">
      <c r="A795" s="90">
        <v>46203</v>
      </c>
      <c r="B795" s="91">
        <f t="shared" si="177"/>
        <v>0.74999999999999956</v>
      </c>
      <c r="C795" s="67"/>
      <c r="D795" s="92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11"/>
      <c r="N795" s="41"/>
    </row>
    <row r="796" spans="1:14" ht="15" customHeight="1" x14ac:dyDescent="0.3">
      <c r="A796" s="94">
        <v>46203</v>
      </c>
      <c r="B796" s="95">
        <f t="shared" si="177"/>
        <v>0.79166666666666619</v>
      </c>
      <c r="C796" s="76"/>
      <c r="D796" s="87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11"/>
      <c r="N796" s="41"/>
    </row>
    <row r="797" spans="1:14" ht="15.75" customHeight="1" x14ac:dyDescent="0.3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 x14ac:dyDescent="0.3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11"/>
      <c r="N798" s="41"/>
    </row>
    <row r="799" spans="1:14" ht="15" customHeight="1" x14ac:dyDescent="0.3">
      <c r="A799" s="90">
        <v>46203</v>
      </c>
      <c r="B799" s="91">
        <f t="shared" ref="B799:B809" si="179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11"/>
      <c r="N799" s="41"/>
    </row>
    <row r="800" spans="1:14" ht="15" customHeight="1" x14ac:dyDescent="0.3">
      <c r="A800" s="94">
        <v>46203</v>
      </c>
      <c r="B800" s="95">
        <f t="shared" si="179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11"/>
      <c r="N800" s="41"/>
    </row>
    <row r="801" spans="1:14" ht="15" customHeight="1" x14ac:dyDescent="0.3">
      <c r="A801" s="90">
        <v>46203</v>
      </c>
      <c r="B801" s="91">
        <f t="shared" si="179"/>
        <v>0.95833333333333293</v>
      </c>
      <c r="C801" s="67"/>
      <c r="D801" s="92"/>
      <c r="E801" s="11"/>
      <c r="F801" s="93" t="str">
        <f t="shared" ref="F801:F809" si="180"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11"/>
      <c r="N801" s="41"/>
    </row>
    <row r="802" spans="1:14" ht="15" customHeight="1" x14ac:dyDescent="0.3">
      <c r="A802" s="94">
        <v>46203</v>
      </c>
      <c r="B802" s="95">
        <f t="shared" si="179"/>
        <v>0.99999999999999956</v>
      </c>
      <c r="C802" s="76"/>
      <c r="D802" s="87"/>
      <c r="E802" s="11"/>
      <c r="F802" s="80" t="str">
        <f t="shared" si="180"/>
        <v/>
      </c>
      <c r="G802" s="76"/>
      <c r="H802" s="76"/>
      <c r="I802" s="76"/>
      <c r="J802" s="13"/>
      <c r="K802" s="13"/>
      <c r="L802" s="77" t="str">
        <f t="shared" si="178"/>
        <v/>
      </c>
      <c r="M802" s="11"/>
      <c r="N802" s="41"/>
    </row>
    <row r="803" spans="1:14" ht="15" customHeight="1" x14ac:dyDescent="0.3">
      <c r="A803" s="90">
        <v>46203</v>
      </c>
      <c r="B803" s="91">
        <f t="shared" si="179"/>
        <v>1.0416666666666663</v>
      </c>
      <c r="C803" s="67"/>
      <c r="D803" s="92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11"/>
      <c r="N803" s="41"/>
    </row>
    <row r="804" spans="1:14" ht="15" customHeight="1" x14ac:dyDescent="0.3">
      <c r="A804" s="94">
        <v>46203</v>
      </c>
      <c r="B804" s="95">
        <f t="shared" si="179"/>
        <v>1.083333333333333</v>
      </c>
      <c r="C804" s="76"/>
      <c r="D804" s="87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11"/>
      <c r="N804" s="41"/>
    </row>
    <row r="805" spans="1:14" ht="15" customHeight="1" x14ac:dyDescent="0.3">
      <c r="A805" s="90">
        <v>46203</v>
      </c>
      <c r="B805" s="91">
        <f t="shared" si="179"/>
        <v>1.1249999999999998</v>
      </c>
      <c r="C805" s="67"/>
      <c r="D805" s="92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11"/>
      <c r="N805" s="41"/>
    </row>
    <row r="806" spans="1:14" ht="15" customHeight="1" x14ac:dyDescent="0.3">
      <c r="A806" s="94">
        <v>46203</v>
      </c>
      <c r="B806" s="95">
        <f t="shared" si="179"/>
        <v>1.1666666666666665</v>
      </c>
      <c r="C806" s="76"/>
      <c r="D806" s="87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11"/>
      <c r="N806" s="41"/>
    </row>
    <row r="807" spans="1:14" ht="15" customHeight="1" x14ac:dyDescent="0.3">
      <c r="A807" s="90">
        <v>46203</v>
      </c>
      <c r="B807" s="91">
        <f t="shared" si="179"/>
        <v>1.2083333333333333</v>
      </c>
      <c r="C807" s="67"/>
      <c r="D807" s="92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11"/>
      <c r="N807" s="41"/>
    </row>
    <row r="808" spans="1:14" ht="15" customHeight="1" x14ac:dyDescent="0.3">
      <c r="A808" s="94">
        <v>46203</v>
      </c>
      <c r="B808" s="95">
        <f t="shared" si="179"/>
        <v>1.25</v>
      </c>
      <c r="C808" s="76"/>
      <c r="D808" s="87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11"/>
      <c r="N808" s="41"/>
    </row>
    <row r="809" spans="1:14" ht="15" customHeight="1" x14ac:dyDescent="0.3">
      <c r="A809" s="90">
        <v>46203</v>
      </c>
      <c r="B809" s="91">
        <f t="shared" si="179"/>
        <v>1.2916666666666667</v>
      </c>
      <c r="C809" s="67"/>
      <c r="D809" s="92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11"/>
      <c r="N809" s="41"/>
    </row>
    <row r="810" spans="1:14" ht="15.75" customHeight="1" x14ac:dyDescent="0.3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 x14ac:dyDescent="0.3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96dcb152-1051-46f1-b38f-17beadf9ed92"/>
    <ds:schemaRef ds:uri="771c9ca5-affe-4166-ad8c-7e4536f98f4b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2026-06-29T11:04:03Z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