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938" documentId="8_{AF585B22-221D-4780-BB9C-493D365A6A02}" xr6:coauthVersionLast="47" xr6:coauthVersionMax="47" xr10:uidLastSave="{77D15A43-E94C-42C9-9BE4-D4FAFD8BE160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<sst xmlns="http://schemas.openxmlformats.org/spreadsheetml/2006/main" count="11777" uniqueCount="427">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</sst>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8" activePane="bottomLeft" state="frozen"/>
      <selection pane="bottomLeft" activeCell="L772" sqref="L77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274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210</v>
      </c>
      <c r="G783" s="36">
        <f>SUM(G771:G782)</f>
        <v>1050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560</v>
      </c>
      <c r="G784" s="40">
        <f>G770+G783</f>
        <v>2800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50" activePane="bottomLeft" state="frozen"/>
      <selection pane="bottomLeft" activeCell="F779" sqref="F7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0.8810694444400724</v>
      </c>
      <c r="N377" s="46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1.0387083333289613</v>
      </c>
      <c r="N378" s="36" t="s">
        <v>235</v>
      </c>
      <c r="O378" s="77">
        <v>511980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1.1484305555511836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0.85954166666488163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1.030374999998215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1.175513888887104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328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329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330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332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333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334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335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336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337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338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340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/>
      <c r="M775" s="35">
        <f t="shared" ca="1" si="172"/>
        <v>2.4819444442982785E-2</v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16</v>
      </c>
      <c r="G776" s="28">
        <f t="shared" si="171"/>
        <v>67.2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132</v>
      </c>
      <c r="G783" s="36">
        <f>SUM(G771:G782)</f>
        <v>563.19999999999993</v>
      </c>
      <c r="H783" s="37"/>
      <c r="I783" s="37"/>
      <c r="J783" s="37"/>
      <c r="K783" s="37"/>
      <c r="L783" s="37"/>
      <c r="M783" s="38">
        <f ca="1">IFERROR(SUM(M771:M782),"")</f>
        <v>7.5513888887427272E-2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266</v>
      </c>
      <c r="G784" s="40">
        <f>G770+G783</f>
        <v>1134</v>
      </c>
      <c r="H784" s="41"/>
      <c r="I784" s="41"/>
      <c r="J784" s="41"/>
      <c r="K784" s="41"/>
      <c r="L784" s="41"/>
      <c r="M784" s="42">
        <f ca="1">IFERROR(M770+M783,"")</f>
        <v>0.1706527777763161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F779" sqref="F7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288</v>
      </c>
      <c r="K141" s="29">
        <v>0.71597222222222223</v>
      </c>
      <c r="L141" s="29" t="s">
        <v>346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348</v>
      </c>
      <c r="N166" s="27" t="s">
        <v>349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325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325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/>
      <c r="M775" s="35">
        <f t="shared" ca="1" si="172"/>
        <v>2.4819444442982785E-2</v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2</v>
      </c>
      <c r="G776" s="28">
        <f t="shared" si="171"/>
        <v>8.4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47</v>
      </c>
      <c r="G783" s="36">
        <f>SUM(G771:G782)</f>
        <v>201.39999999999998</v>
      </c>
      <c r="H783" s="37"/>
      <c r="I783" s="37"/>
      <c r="J783" s="37"/>
      <c r="K783" s="37"/>
      <c r="L783" s="37"/>
      <c r="M783" s="38">
        <f ca="1">IFERROR(SUM(M771:M782),"")</f>
        <v>8.3847222220760687E-2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88</v>
      </c>
      <c r="G784" s="40">
        <f>G770+G783</f>
        <v>377.59999999999997</v>
      </c>
      <c r="H784" s="41"/>
      <c r="I784" s="41"/>
      <c r="J784" s="41"/>
      <c r="K784" s="41"/>
      <c r="L784" s="41"/>
      <c r="M784" s="42">
        <f ca="1">IFERROR(M770+M783,"")</f>
        <v>0.19773611110964961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64" activePane="bottomLeft" state="frozen"/>
      <selection pane="bottomLeft" activeCell="F779" sqref="F77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378</v>
      </c>
      <c r="L58" s="29">
        <v>0.54097222222222219</v>
      </c>
      <c r="M58" s="30" t="str">
        <f t="shared" ca="1" si="13"/>
        <v/>
      </c>
      <c r="N58" s="27" t="s">
        <v>379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0.87134722222253913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1.0706527777780948</v>
      </c>
      <c r="N135" s="36" t="s">
        <v>235</v>
      </c>
      <c r="O135" s="39">
        <v>729290</v>
      </c>
    </row>
    <row r="136" spans="1:18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1.4380138888892058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234</v>
      </c>
      <c r="B338" s="107"/>
      <c r="C338" s="107"/>
      <c r="D338" s="107"/>
      <c r="E338" s="108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283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325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424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425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426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340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423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136</v>
      </c>
      <c r="G783" s="36">
        <f>SUM(G771:G782)</f>
        <v>580.79999999999995</v>
      </c>
      <c r="H783" s="37"/>
      <c r="I783" s="37"/>
      <c r="J783" s="37"/>
      <c r="K783" s="61"/>
      <c r="L783" s="61"/>
      <c r="M783" s="38">
        <f ca="1">IFERROR(SUM(M771:M782),"")</f>
        <v>3.6111111111111219E-2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144</v>
      </c>
      <c r="G784" s="40">
        <f>G770+G783</f>
        <v>614.4</v>
      </c>
      <c r="H784" s="41"/>
      <c r="I784" s="41"/>
      <c r="J784" s="41"/>
      <c r="K784" s="63"/>
      <c r="L784" s="63"/>
      <c r="M784" s="42">
        <f ca="1">IFERROR(M770+M783,"")</f>
        <v>0.50000000000000011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2026-07-30T06:54:01Z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