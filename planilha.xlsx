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84" documentId="13_ncr:1_{0A10D8D4-8450-4366-8075-B53B08E6B7EA}" xr6:coauthVersionLast="47" xr6:coauthVersionMax="47" xr10:uidLastSave="{AACBD64D-A62D-44CB-A048-B51664734E21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1" i="5" s="1"/>
  <c r="J361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61" i="4" s="1"/>
  <c r="J361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0" i="6" l="1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<sst xmlns="http://schemas.openxmlformats.org/spreadsheetml/2006/main" count="6358" uniqueCount="346">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</sst>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2" sqref="F36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299</v>
      </c>
      <c r="G365" s="36">
        <f>SUM(G353:G364)</f>
        <v>1461.4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299</v>
      </c>
      <c r="G379" s="40">
        <f>G365+G378</f>
        <v>1461.4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2" sqref="G3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0.58093935185024748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0.71982824073913632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0.80455046296135868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11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46.2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99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415.8</v>
      </c>
      <c r="L365" s="37"/>
      <c r="M365" s="37"/>
      <c r="N365" s="37"/>
      <c r="O365" s="37"/>
      <c r="P365" s="37"/>
      <c r="Q365" s="38">
        <f ca="1">IFERROR(SUM(Q353:Q364),"")</f>
        <v>6.1111111111111005E-2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99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415.8</v>
      </c>
      <c r="L379" s="41"/>
      <c r="M379" s="41"/>
      <c r="N379" s="41"/>
      <c r="O379" s="41"/>
      <c r="P379" s="41"/>
      <c r="Q379" s="42">
        <f ca="1">IFERROR(Q365+Q378,"")</f>
        <v>6.1111111111111005E-2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P357" sqref="P3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144</v>
      </c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74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310.80000000000007</v>
      </c>
      <c r="L365" s="37"/>
      <c r="M365" s="37"/>
      <c r="N365" s="37"/>
      <c r="O365" s="37"/>
      <c r="P365" s="37"/>
      <c r="Q365" s="38">
        <f ca="1">IFERROR(SUM(Q353:Q364),"")</f>
        <v>5.9027777777777735E-2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74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310.80000000000007</v>
      </c>
      <c r="L379" s="41"/>
      <c r="M379" s="41"/>
      <c r="N379" s="41"/>
      <c r="O379" s="41"/>
      <c r="P379" s="41"/>
      <c r="Q379" s="42">
        <f ca="1">IFERROR(Q365+Q378,"")</f>
        <v>5.9027777777777735E-2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N358" sqref="N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122</v>
      </c>
      <c r="O358" s="29">
        <v>0.69444444444444442</v>
      </c>
      <c r="P358" s="29"/>
      <c r="Q358" s="30">
        <f t="shared" ca="1" si="84"/>
        <v>8.0226851860061288E-3</v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163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684.6</v>
      </c>
      <c r="L365" s="37"/>
      <c r="M365" s="37"/>
      <c r="N365" s="37"/>
      <c r="O365" s="61"/>
      <c r="P365" s="61"/>
      <c r="Q365" s="38">
        <f ca="1">IFERROR(SUM(Q353:Q364),"")</f>
        <v>0.11218935185267287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684.6</v>
      </c>
      <c r="L379" s="41"/>
      <c r="M379" s="41"/>
      <c r="N379" s="41"/>
      <c r="O379" s="63"/>
      <c r="P379" s="63"/>
      <c r="Q379" s="42">
        <f ca="1">IFERROR(Q365+Q378,"")</f>
        <v>0.11218935185267287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2026-08-14T20:52:04Z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