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111" documentId="8_{C51EB6CB-002B-4D6B-B68F-DDEBDB4460C0}" xr6:coauthVersionLast="47" xr6:coauthVersionMax="47" xr10:uidLastSave="{1DCA79D2-FAE0-463D-9FF2-9E6031F10FD3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<sst xmlns="http://schemas.openxmlformats.org/spreadsheetml/2006/main" count="4307" uniqueCount="304">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</sst>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6" sqref="F20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58</v>
      </c>
      <c r="G216" s="36">
        <f>SUM(G204:G215)</f>
        <v>290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309</v>
      </c>
      <c r="G217" s="40">
        <f>G203+G216</f>
        <v>1545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177" activePane="bottomLeft" state="frozen"/>
      <selection pane="bottomLeft" activeCell="H204" sqref="H2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0.76604722221964039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0.90493611110852923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0.98965833333075159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/>
      <c r="K204" s="29">
        <v>0.88680555555555551</v>
      </c>
      <c r="L204" s="29"/>
      <c r="M204" s="30">
        <f t="shared" ref="M204:M215" ca="1" si="46">IFERROR(IF(K204="","",IF(L204="",MOD(NOW()-K204,1),IF(L204&gt;=K204,L204-K204,L204+1-K204))),"")</f>
        <v>7.6944444299442694E-4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27</v>
      </c>
      <c r="G216" s="36">
        <f>SUM(G204:G215)</f>
        <v>113.4</v>
      </c>
      <c r="H216" s="37"/>
      <c r="I216" s="37"/>
      <c r="J216" s="37"/>
      <c r="K216" s="37"/>
      <c r="L216" s="37"/>
      <c r="M216" s="38">
        <f ca="1">IFERROR(SUM(M204:M215),"")</f>
        <v>7.6944444299442694E-4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160</v>
      </c>
      <c r="G217" s="40">
        <f>G203+G216</f>
        <v>672</v>
      </c>
      <c r="H217" s="41"/>
      <c r="I217" s="41"/>
      <c r="J217" s="41"/>
      <c r="K217" s="41"/>
      <c r="L217" s="41"/>
      <c r="M217" s="42">
        <f ca="1">IFERROR(M203+M216,"")</f>
        <v>0.14104722222077209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J206" sqref="J20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/>
      <c r="J206" s="26" t="s">
        <v>74</v>
      </c>
      <c r="K206" s="29">
        <v>0.88680555555555551</v>
      </c>
      <c r="L206" s="29"/>
      <c r="M206" s="30">
        <f t="shared" ca="1" si="46"/>
        <v>7.6944444299442694E-4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8</v>
      </c>
      <c r="G216" s="36">
        <f>SUM(G204:G215)</f>
        <v>33.6</v>
      </c>
      <c r="H216" s="37"/>
      <c r="I216" s="37"/>
      <c r="J216" s="37"/>
      <c r="K216" s="37"/>
      <c r="L216" s="37"/>
      <c r="M216" s="38">
        <f ca="1">IFERROR(SUM(M204:M215),"")</f>
        <v>5.6324999998550007E-2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23</v>
      </c>
      <c r="G217" s="40">
        <f>G203+G216</f>
        <v>96.600000000000009</v>
      </c>
      <c r="H217" s="41"/>
      <c r="I217" s="41"/>
      <c r="J217" s="41"/>
      <c r="K217" s="41"/>
      <c r="L217" s="41"/>
      <c r="M217" s="42">
        <f ca="1">IFERROR(M203+M216,"")</f>
        <v>0.21813055555410549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73" activePane="bottomLeft" state="frozen"/>
      <selection pane="bottomLeft" activeCell="J206" sqref="J20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7.5075000000651926E-2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/>
      <c r="M206" s="30">
        <f t="shared" ca="1" si="46"/>
        <v>1.0491666667803656E-2</v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20</v>
      </c>
      <c r="G216" s="36">
        <f>SUM(G204:G215)</f>
        <v>84</v>
      </c>
      <c r="H216" s="37"/>
      <c r="I216" s="37"/>
      <c r="J216" s="37"/>
      <c r="K216" s="61"/>
      <c r="L216" s="61"/>
      <c r="M216" s="38">
        <f ca="1">IFERROR(SUM(M204:M215),"")</f>
        <v>9.1816666668455671E-2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181</v>
      </c>
      <c r="G217" s="40">
        <f>G203+G216</f>
        <v>760.2</v>
      </c>
      <c r="H217" s="41"/>
      <c r="I217" s="41"/>
      <c r="J217" s="41"/>
      <c r="K217" s="63"/>
      <c r="L217" s="63"/>
      <c r="M217" s="42">
        <f ca="1">IFERROR(M203+M216,"")</f>
        <v>0.15987222222401137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2026-08-09T01:18:09Z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