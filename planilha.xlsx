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483" documentId="13_ncr:1_{0A10D8D4-8450-4366-8075-B53B08E6B7EA}" xr6:coauthVersionLast="47" xr6:coauthVersionMax="47" xr10:uidLastSave="{09DC6ABF-1449-4CD3-8427-ABFA8B2DD5A3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6" i="6" l="1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<sst xmlns="http://schemas.openxmlformats.org/spreadsheetml/2006/main" count="6692" uniqueCount="351">
  <si>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</si>
  <si>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</si>
  <si>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</si>
  <si>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</si>
  <si>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</si>
  <si>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</si>
  <si>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</si>
  <si>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</si>
  <si>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</si>
  <si>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</si>
  <si>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</si>
  <si>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</si>
  <si>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</si>
  <si>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</si>
  <si>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</si>
  <si>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</si>
  <si>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</si>
  <si>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</si>
  <si>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</si>
  <si>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</si>
  <si>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</si>
  <si>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</si>
  <si>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</si>
  <si>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</si>
  <si>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</si>
  <si>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</si>
  <si>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</si>
  <si>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</si>
  <si>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</si>
  <si>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</si>
  <si>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</si>
  <si>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</si>
  <si>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</si>
  <si>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</si>
  <si>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</si>
  <si>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</si>
  <si>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</si>
  <si>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</si>
  <si>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</si>
  <si>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</si>
  <si>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</si>
  <si>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</si>
  <si>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</si>
  <si>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</si>
  <si>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</si>
  <si>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</si>
  <si>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</si>
  <si>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</si>
  <si>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</si>
  <si>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</si>
  <si>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</si>
  <si>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</si>
  <si>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</si>
  <si>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</si>
  <si>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</si>
  <si>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</si>
  <si>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</si>
  <si>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</si>
  <si>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</si>
  <si>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</si>
  <si>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</si>
  <si>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</si>
  <si>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</si>
  <si>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</si>
  <si>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</si>
  <si>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</si>
  <si>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</si>
  <si>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</si>
  <si>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</si>
  <si>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</si>
  <si>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</si>
  <si>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</si>
  <si>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</si>
  <si>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</si>
  <si>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</si>
  <si>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</si>
  <si>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</si>
  <si>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</si>
  <si>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</si>
  <si>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</si>
  <si>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</si>
  <si>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</si>
  <si>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</si>
  <si>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</si>
  <si>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</si>
  <si>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</si>
  <si>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</si>
  <si>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</si>
  <si>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</si>
  <si>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</si>
  <si>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</si>
  <si>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</si>
  <si>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</si>
  <si>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</si>
  <si>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</si>
  <si>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</si>
  <si>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</si>
  <si>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</si>
  <si>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</si>
  <si>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</si>
  <si>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</si>
  <si>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</si>
  <si>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</si>
  <si>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</si>
  <si>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</si>
  <si>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</si>
  <si>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</si>
  <si>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</si>
  <si>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</si>
  <si>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</si>
  <si>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</si>
  <si>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</si>
  <si>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</si>
  <si>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</si>
  <si>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</si>
  <si>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</si>
  <si>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</si>
  <si>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</si>
  <si>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</si>
  <si>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</si>
  <si>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</si>
  <si>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</si>
  <si>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</si>
  <si>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</si>
  <si>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</si>
  <si>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</si>
  <si>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</si>
  <si>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</si>
  <si>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</si>
  <si>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</si>
  <si>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</si>
  <si>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</si>
  <si>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</si>
  <si>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</si>
  <si>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</si>
  <si>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</si>
  <si>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</si>
  <si>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</si>
  <si>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</si>
  <si>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</si>
  <si>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</si>
  <si>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</si>
  <si>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</si>
  <si>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</si>
  <si>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</si>
  <si>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</si>
  <si>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</si>
  <si>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</si>
  <si>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</si>
  <si>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</si>
  <si>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</si>
  <si>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</si>
  <si>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</si>
  <si>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</si>
  <si>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</si>
  <si>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</si>
  <si>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</si>
  <si>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</si>
  <si>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</si>
  <si>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</si>
  <si>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</si>
  <si>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</si>
  <si>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</si>
  <si>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</si>
  <si>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</si>
  <si>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</si>
  <si>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</si>
  <si>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</si>
  <si>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</si>
  <si>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</si>
  <si>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</si>
  <si>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</si>
  <si>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</si>
  <si>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</si>
  <si>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</si>
  <si>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</si>
  <si>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</si>
  <si>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</si>
  <si>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</si>
  <si>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</si>
  <si>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</si>
  <si>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</si>
  <si>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</si>
  <si>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</si>
  <si>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</si>
  <si>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</si>
  <si>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</si>
  <si>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</si>
  <si>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</si>
  <si>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</si>
  <si>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</si>
  <si>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</si>
  <si>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</si>
  <si>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</si>
  <si>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</si>
  <si>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</si>
  <si>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</si>
  <si>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</si>
  <si>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</si>
  <si>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</si>
  <si>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</si>
  <si>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</si>
  <si>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</si>
  <si>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</si>
  <si>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</si>
  <si>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</si>
  <si>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</si>
  <si>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</si>
  <si>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</si>
  <si>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</si>
  <si>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</si>
  <si>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</si>
  <si>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</si>
  <si>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</si>
  <si>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</si>
  <si>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</si>
  <si>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</si>
  <si>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</si>
  <si>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</si>
  <si>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</si>
  <si>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</si>
  <si>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</si>
  <si>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</si>
  <si>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</si>
  <si>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</si>
  <si>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</si>
  <si>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</si>
  <si>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</si>
  <si>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</si>
  <si>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</si>
  <si>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</si>
  <si>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</si>
  <si>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</si>
  <si>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</si>
  <si>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</si>
  <si>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</si>
  <si>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</si>
  <si>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</si>
  <si>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</si>
  <si>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</si>
  <si>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</si>
  <si>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</si>
  <si>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</si>
  <si>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</si>
  <si>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</si>
  <si>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</si>
  <si>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</si>
  <si>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</si>
  <si>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</si>
  <si>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</si>
  <si>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</si>
  <si>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</si>
  <si>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</si>
  <si>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</si>
  <si>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</si>
  <si>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</si>
  <si>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</si>
  <si>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</si>
  <si>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</si>
  <si>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</si>
  <si>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</si>
  <si>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</si>
  <si>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</si>
  <si>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</si>
  <si>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</si>
  <si>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</si>
  <si>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</si>
  <si>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</si>
  <si>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</si>
  <si>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G11</t>
  </si>
  <si>
    <t>G12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</si>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</sst>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1857.2764685373518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63" activePane="bottomLeft" state="frozen"/>
      <selection pane="bottomLeft" activeCell="D389" sqref="D38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53</v>
      </c>
      <c r="D381" s="59" t="s">
        <v>29</v>
      </c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53</v>
      </c>
      <c r="D382" s="59" t="s">
        <v>29</v>
      </c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53</v>
      </c>
      <c r="D383" s="59" t="s">
        <v>29</v>
      </c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53</v>
      </c>
      <c r="D384" s="59" t="s">
        <v>29</v>
      </c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53</v>
      </c>
      <c r="D385" s="59" t="s">
        <v>29</v>
      </c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53</v>
      </c>
      <c r="D386" s="59" t="s">
        <v>29</v>
      </c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53</v>
      </c>
      <c r="D387" s="59" t="s">
        <v>29</v>
      </c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53</v>
      </c>
      <c r="D388" s="59" t="s">
        <v>29</v>
      </c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53</v>
      </c>
      <c r="D389" s="59" t="s">
        <v>29</v>
      </c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53</v>
      </c>
      <c r="D390" s="59" t="s">
        <v>269</v>
      </c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 t="s">
        <v>270</v>
      </c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62" activePane="bottomLeft" state="frozen"/>
      <selection pane="bottomLeft" activeCell="G380" sqref="G38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0.18497858796035871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0.3238674768492476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0.40858969907146991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/>
      <c r="H380" s="140" t="str">
        <f>IFERROR(IF($G380="","",$G380*$S$392/$G$392/Cadastro!$E$33),"")</f>
        <v/>
      </c>
      <c r="I380" s="141">
        <f>IFERROR(IF($D380="","",VLOOKUP($D380,Cadastro!$C$4:$G$7,5,FALSE)),"")</f>
        <v>0.6</v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37</v>
      </c>
      <c r="E381" s="108" t="s">
        <v>259</v>
      </c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37</v>
      </c>
      <c r="E386" s="108" t="s">
        <v>259</v>
      </c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37</v>
      </c>
      <c r="E387" s="108" t="s">
        <v>259</v>
      </c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37</v>
      </c>
      <c r="E388" s="108" t="s">
        <v>259</v>
      </c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37</v>
      </c>
      <c r="E389" s="108" t="s">
        <v>259</v>
      </c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37</v>
      </c>
      <c r="E390" s="108" t="s">
        <v>259</v>
      </c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37</v>
      </c>
      <c r="E391" s="108" t="s">
        <v>259</v>
      </c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3" activePane="bottomLeft" state="frozen"/>
      <selection pane="bottomLeft" activeCell="G380" sqref="G38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/>
      <c r="H380" s="140" t="str">
        <f>IFERROR(IF($G380="","",$G380*$S$392/$G$392/Cadastro!$E$33),"")</f>
        <v/>
      </c>
      <c r="I380" s="141">
        <f>IFERROR(IF($D380="","",VLOOKUP($D380,Cadastro!$C$4:$G$7,5,FALSE)),"")</f>
        <v>0.6</v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53</v>
      </c>
      <c r="D381" s="59" t="s">
        <v>37</v>
      </c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53</v>
      </c>
      <c r="D386" s="59" t="s">
        <v>37</v>
      </c>
      <c r="E386" s="108" t="s">
        <v>259</v>
      </c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53</v>
      </c>
      <c r="D387" s="59" t="s">
        <v>37</v>
      </c>
      <c r="E387" s="108" t="s">
        <v>259</v>
      </c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53</v>
      </c>
      <c r="D388" s="59" t="s">
        <v>37</v>
      </c>
      <c r="E388" s="108" t="s">
        <v>259</v>
      </c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53</v>
      </c>
      <c r="D389" s="59" t="s">
        <v>37</v>
      </c>
      <c r="E389" s="108" t="s">
        <v>259</v>
      </c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53</v>
      </c>
      <c r="D390" s="59" t="s">
        <v>37</v>
      </c>
      <c r="E390" s="108" t="s">
        <v>259</v>
      </c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53</v>
      </c>
      <c r="D391" s="59" t="s">
        <v>37</v>
      </c>
      <c r="E391" s="108" t="s">
        <v>259</v>
      </c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4" activePane="bottomLeft" state="frozen"/>
      <selection pane="bottomLeft" activeCell="G380" sqref="G38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344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/>
      <c r="H380" s="140" t="str">
        <f>IFERROR(IF($G380="","",$G380*$S$392/$G$392/Cadastro!$E$33),"")</f>
        <v/>
      </c>
      <c r="I380" s="141">
        <f>IFERROR(IF($D380="","",VLOOKUP($D380,Cadastro!$C$4:$G$7,5,FALSE)),"")</f>
        <v>0.6</v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37</v>
      </c>
      <c r="E381" s="108" t="s">
        <v>259</v>
      </c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37</v>
      </c>
      <c r="E386" s="108" t="s">
        <v>259</v>
      </c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37</v>
      </c>
      <c r="E387" s="108" t="s">
        <v>259</v>
      </c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37</v>
      </c>
      <c r="E388" s="108" t="s">
        <v>259</v>
      </c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37</v>
      </c>
      <c r="E389" s="108" t="s">
        <v>259</v>
      </c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37</v>
      </c>
      <c r="E390" s="108" t="s">
        <v>259</v>
      </c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37</v>
      </c>
      <c r="E391" s="108" t="s">
        <v>259</v>
      </c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2026-08-15T11:21:25Z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