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00" documentId="8_{AF585B22-221D-4780-BB9C-493D365A6A02}" xr6:coauthVersionLast="47" xr6:coauthVersionMax="47" xr10:uidLastSave="{337469B3-B229-4919-991F-B05A5013466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<sst xmlns="http://schemas.openxmlformats.org/spreadsheetml/2006/main" count="2687" uniqueCount="237">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</sst>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N123" sqref="N1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4" sqref="F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58.800000000000004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14</v>
      </c>
      <c r="G135" s="36">
        <f>SUM(G123:G134)</f>
        <v>58.800000000000004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149</v>
      </c>
      <c r="G136" s="40">
        <f>G122+G135</f>
        <v>625.79999999999995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24" sqref="F1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50.400000000000006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12</v>
      </c>
      <c r="G135" s="36">
        <f>SUM(G123:G134)</f>
        <v>50.400000000000006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19</v>
      </c>
      <c r="G136" s="40">
        <f>G122+G135</f>
        <v>79.800000000000011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F124" sqref="F1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21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/>
      <c r="M123" s="35">
        <f t="shared" ref="M123:M134" ca="1" si="28">IFERROR(IF(K123="","",IF(L123="",MOD(NOW()-K123,1),IF(L123&gt;=K123,L123-K123,L123+1-K123))),"")</f>
        <v>4.1217824073100928E-2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5</v>
      </c>
      <c r="G135" s="36">
        <f>SUM(G123:G134)</f>
        <v>21</v>
      </c>
      <c r="H135" s="37"/>
      <c r="I135" s="37"/>
      <c r="J135" s="37"/>
      <c r="K135" s="61"/>
      <c r="L135" s="61"/>
      <c r="M135" s="38">
        <f ca="1">IFERROR(SUM(M123:M134),"")</f>
        <v>4.1217824073100928E-2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59</v>
      </c>
      <c r="G136" s="40">
        <f>G122+G135</f>
        <v>247.8</v>
      </c>
      <c r="H136" s="41"/>
      <c r="I136" s="41"/>
      <c r="J136" s="41"/>
      <c r="K136" s="63"/>
      <c r="L136" s="63"/>
      <c r="M136" s="42">
        <f ca="1">IFERROR(M122+M135,"")</f>
        <v>0.40857893518421201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2026-07-05T23:59:42Z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