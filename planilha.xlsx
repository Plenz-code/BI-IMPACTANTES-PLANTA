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31" documentId="8_{C51EB6CB-002B-4D6B-B68F-DDEBDB4460C0}" xr6:coauthVersionLast="47" xr6:coauthVersionMax="47" xr10:uidLastSave="{5D47A2E7-AA3D-4E90-B49B-49FE7807B16D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<sst xmlns="http://schemas.openxmlformats.org/spreadsheetml/2006/main" count="4691" uniqueCount="316">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</sst>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2165620</v>
      </c>
      <c r="D12" s="8">
        <f>IFERROR('Linha 1'!O244,"")</f>
        <v>503310</v>
      </c>
      <c r="E12" s="8">
        <f>IFERROR('Linha 2'!O244,"")</f>
        <v>329640</v>
      </c>
      <c r="F12" s="8">
        <f>IFERROR('Linha 3'!O244,"")</f>
        <v>755220</v>
      </c>
      <c r="G12" s="9">
        <f t="shared" si="0"/>
        <v>1588170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29446500</v>
      </c>
      <c r="D35" s="13">
        <f>IFERROR(SUM(D4:D34),"")</f>
        <v>8827170</v>
      </c>
      <c r="E35" s="13">
        <f>IFERROR(SUM(E4:E34),"")</f>
        <v>4207220</v>
      </c>
      <c r="F35" s="13">
        <f>IFERROR(SUM(F4:F34),"")</f>
        <v>11603970</v>
      </c>
      <c r="G35" s="13">
        <f>IFERROR(SUM(G4:G34),"")</f>
        <v>24638360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15" activePane="bottomLeft" state="frozen"/>
      <selection pane="bottomLeft" activeCell="J233" sqref="J23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134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/>
      <c r="M233" s="35">
        <f t="shared" ca="1" si="52"/>
        <v>8.2037036918336526E-4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8.6931481480294392E-2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0.16609814814696094</v>
      </c>
      <c r="N244" s="40" t="s">
        <v>239</v>
      </c>
      <c r="O244" s="48">
        <f>IFERROR(O230+O243,"")</f>
        <v>2165620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03" activePane="bottomLeft" state="frozen"/>
      <selection pane="bottomLeft" activeCell="F239" sqref="F23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3.2070370369183365E-2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0.17095925925807226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0.25568148148029457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103</v>
      </c>
      <c r="G243" s="36">
        <f>SUM(G231:G242)</f>
        <v>492.6</v>
      </c>
      <c r="H243" s="37"/>
      <c r="I243" s="37"/>
      <c r="J243" s="37"/>
      <c r="K243" s="37"/>
      <c r="L243" s="37"/>
      <c r="M243" s="38">
        <f ca="1">IFERROR(SUM(M231:M242),"")</f>
        <v>4.6527777777777835E-2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237</v>
      </c>
      <c r="G244" s="40">
        <f>G230+G243</f>
        <v>1059.4000000000001</v>
      </c>
      <c r="H244" s="41"/>
      <c r="I244" s="41"/>
      <c r="J244" s="41"/>
      <c r="K244" s="41"/>
      <c r="L244" s="41"/>
      <c r="M244" s="42">
        <f ca="1">IFERROR(M230+M243,"")</f>
        <v>0.19583333333333353</v>
      </c>
      <c r="N244" s="40" t="s">
        <v>239</v>
      </c>
      <c r="O244" s="83">
        <f>IFERROR(O230+O243,"")</f>
        <v>503310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39" sqref="F23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0.42929259259108221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0.48762592592441556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52</v>
      </c>
      <c r="G243" s="36">
        <f>SUM(G231:G242)</f>
        <v>251.20000000000002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129</v>
      </c>
      <c r="G244" s="40">
        <f>G230+G243</f>
        <v>578.6</v>
      </c>
      <c r="H244" s="41"/>
      <c r="I244" s="41"/>
      <c r="J244" s="41"/>
      <c r="K244" s="41"/>
      <c r="L244" s="41"/>
      <c r="M244" s="42">
        <f ca="1">IFERROR(M230+M243,"")</f>
        <v>0.48762592592441556</v>
      </c>
      <c r="N244" s="40" t="s">
        <v>239</v>
      </c>
      <c r="O244" s="48">
        <f>IFERROR(O230+O243,"")</f>
        <v>329640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9" activePane="bottomLeft" state="frozen"/>
      <selection pane="bottomLeft" activeCell="F239" sqref="F23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97</v>
      </c>
      <c r="G243" s="36">
        <f>SUM(G231:G242)</f>
        <v>465</v>
      </c>
      <c r="H243" s="37"/>
      <c r="I243" s="37"/>
      <c r="J243" s="37"/>
      <c r="K243" s="61"/>
      <c r="L243" s="61"/>
      <c r="M243" s="38">
        <f ca="1">IFERROR(SUM(M231:M242),"")</f>
        <v>8.9583333333333348E-2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266</v>
      </c>
      <c r="G244" s="40">
        <f>G230+G243</f>
        <v>1190.8000000000002</v>
      </c>
      <c r="H244" s="41"/>
      <c r="I244" s="41"/>
      <c r="J244" s="41"/>
      <c r="K244" s="63"/>
      <c r="L244" s="63"/>
      <c r="M244" s="42">
        <f ca="1">IFERROR(M230+M243,"")</f>
        <v>0.1437500000000001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2026-08-10T07:41:19Z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