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7" documentId="8_{AF585B22-221D-4780-BB9C-493D365A6A02}" xr6:coauthVersionLast="47" xr6:coauthVersionMax="47" xr10:uidLastSave="{88389161-4EA8-400C-9351-BA99F7BBCB5F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2" i="3" l="1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<sst xmlns="http://schemas.openxmlformats.org/spreadsheetml/2006/main" count="1669" uniqueCount="210">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</sst>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F46" sqref="F4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38</v>
      </c>
      <c r="G54" s="36">
        <f>SUM(G42:G53)</f>
        <v>190</v>
      </c>
      <c r="H54" s="37"/>
      <c r="I54" s="37"/>
      <c r="J54" s="37"/>
      <c r="K54" s="37"/>
      <c r="L54" s="37"/>
      <c r="M54" s="38">
        <f ca="1">IFERROR(SUM(M42:M53),"")</f>
        <v>8.333333333333337E-2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59</v>
      </c>
      <c r="G55" s="40">
        <f>G41+G54</f>
        <v>295</v>
      </c>
      <c r="H55" s="41"/>
      <c r="I55" s="41"/>
      <c r="J55" s="41"/>
      <c r="K55" s="41"/>
      <c r="L55" s="41"/>
      <c r="M55" s="42">
        <f ca="1">IFERROR(M41+M54,"")</f>
        <v>0.54305555555555562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L15" sqref="L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/>
      <c r="M15" s="35">
        <f t="shared" ref="M15:M26" ca="1" si="4">IFERROR(IF(K15="","",IF(L15="",MOD(NOW()-K15,1),IF(L15&gt;=K15,L15-K15,L15+1-K15))),"")</f>
        <v>5.5900231483974494E-2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5.5900231483974494E-2</v>
      </c>
      <c r="N27" s="36" t="s">
        <v>194</v>
      </c>
      <c r="O27" s="78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0.14548356481730779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/>
      <c r="M42" s="30">
        <f ca="1">IFERROR(IF(K42="","",IF(L42="",MOD(NOW()-K42,1),IF(L42&gt;=K42,L42-K42,L42+1-K42))),"")</f>
        <v>4.5483564812457189E-2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/>
      <c r="I43" s="33"/>
      <c r="J43" s="33"/>
      <c r="K43" s="29"/>
      <c r="L43" s="29"/>
      <c r="M43" s="35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1"/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1"/>
        <v/>
      </c>
      <c r="N53" s="46"/>
      <c r="O53" s="31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25</v>
      </c>
      <c r="G54" s="36">
        <f>SUM(G42:G53)</f>
        <v>105</v>
      </c>
      <c r="H54" s="37"/>
      <c r="I54" s="37"/>
      <c r="J54" s="37"/>
      <c r="K54" s="37"/>
      <c r="L54" s="37"/>
      <c r="M54" s="38">
        <f ca="1">IFERROR(SUM(M42:M53),"")</f>
        <v>4.5483564812457189E-2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113</v>
      </c>
      <c r="G55" s="40">
        <f>G41+G54</f>
        <v>474.6</v>
      </c>
      <c r="H55" s="41"/>
      <c r="I55" s="41"/>
      <c r="J55" s="41"/>
      <c r="K55" s="41"/>
      <c r="L55" s="41"/>
      <c r="M55" s="42">
        <f ca="1">IFERROR(M41+M54,"")</f>
        <v>0.12534467592356829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46" sqref="F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/>
      <c r="M42" s="30">
        <f t="shared" ref="M42:M53" ca="1" si="10">IFERROR(IF(K42="","",IF(L42="",MOD(NOW()-K42,1),IF(L42&gt;=K42,L42-K42,L42+1-K42))),"")</f>
        <v>9.0622453702962957E-2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14</v>
      </c>
      <c r="G54" s="36">
        <f>SUM(G42:G53)</f>
        <v>58.800000000000004</v>
      </c>
      <c r="H54" s="37"/>
      <c r="I54" s="37"/>
      <c r="J54" s="37"/>
      <c r="K54" s="37"/>
      <c r="L54" s="37"/>
      <c r="M54" s="38">
        <f ca="1">IFERROR(SUM(M42:M53),"")</f>
        <v>9.0622453702962957E-2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0.24548356481407402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46" sqref="F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55</v>
      </c>
      <c r="G54" s="36">
        <f>SUM(G42:G53)</f>
        <v>231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140</v>
      </c>
      <c r="G55" s="40">
        <f>G41+G54</f>
        <v>588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2026-07-03T03:20:49Z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