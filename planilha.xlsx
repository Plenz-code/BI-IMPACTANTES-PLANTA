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399" documentId="8_{AF585B22-221D-4780-BB9C-493D365A6A02}" xr6:coauthVersionLast="47" xr6:coauthVersionMax="47" xr10:uidLastSave="{A6243C25-70F8-4570-8AD0-B6668380E982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Linha 1" sheetId="4" r:id="rId3"/>
    <sheet name="Britador" sheetId="3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<sst xmlns="http://schemas.openxmlformats.org/spreadsheetml/2006/main" count="4942" uniqueCount="294">
  <si>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</si>
  <si>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</si>
  <si>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</si>
  <si>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</si>
  <si>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</si>
  <si>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</si>
  <si>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</si>
  <si>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</si>
  <si>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</si>
  <si>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</si>
  <si>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</si>
  <si>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</si>
  <si>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</si>
  <si>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</si>
  <si>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</si>
  <si>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</si>
  <si>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</si>
  <si>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</si>
  <si>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</si>
  <si>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</si>
  <si>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</si>
  <si>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</si>
  <si>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</si>
  <si>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</si>
  <si>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</si>
  <si>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</si>
  <si>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</si>
  <si>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</si>
  <si>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</si>
  <si>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</si>
  <si>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</si>
  <si>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</si>
  <si>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</si>
  <si>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</si>
  <si>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</si>
  <si>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</si>
  <si>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</si>
  <si>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</si>
  <si>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</si>
  <si>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</si>
  <si>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</si>
  <si>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</si>
  <si>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</si>
  <si>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</si>
  <si>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</si>
  <si>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</si>
  <si>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</si>
  <si>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</si>
  <si>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</si>
  <si>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</si>
  <si>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</si>
  <si>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</si>
  <si>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</si>
  <si>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</si>
  <si>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</si>
  <si>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</si>
  <si>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</si>
  <si>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</si>
  <si>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</si>
  <si>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</si>
  <si>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</si>
  <si>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</si>
  <si>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</si>
  <si>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</si>
  <si>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</si>
  <si>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</si>
  <si>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</si>
  <si>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</si>
  <si>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</si>
  <si>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</si>
  <si>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</si>
  <si>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</si>
  <si>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</si>
  <si>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</si>
  <si>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</si>
  <si>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</si>
  <si>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</si>
  <si>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</si>
  <si>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</si>
  <si>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</si>
  <si>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</si>
  <si>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</si>
  <si>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</si>
  <si>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</si>
  <si>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</si>
  <si>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</si>
  <si>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</si>
  <si>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</si>
  <si>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</si>
  <si>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</si>
  <si>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</si>
  <si>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</si>
  <si>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</si>
  <si>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</si>
  <si>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</si>
  <si>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</si>
  <si>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</si>
  <si>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</si>
  <si>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</si>
  <si>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</si>
  <si>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</si>
  <si>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</si>
  <si>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</si>
  <si>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</si>
  <si>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</si>
  <si>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</si>
  <si>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</si>
  <si>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</si>
  <si>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</si>
  <si>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</si>
  <si>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</si>
  <si>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</si>
  <si>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</si>
  <si>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</si>
  <si>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</si>
  <si>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</si>
  <si>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</si>
  <si>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</si>
  <si>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</si>
  <si>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</si>
  <si>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</si>
  <si>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</si>
  <si>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</si>
  <si>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</si>
  <si>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</si>
  <si>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</si>
  <si>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</si>
  <si>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</si>
  <si>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</si>
  <si>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</si>
  <si>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</si>
  <si>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</si>
  <si>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</si>
  <si>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</si>
  <si>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</si>
  <si>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</si>
  <si>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</si>
  <si>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</si>
  <si>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</si>
  <si>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</si>
  <si>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</si>
  <si>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</si>
  <si>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</si>
  <si>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</si>
  <si>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</si>
  <si>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</si>
  <si>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</si>
  <si>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</si>
  <si>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</si>
  <si>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</si>
  <si>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</si>
  <si>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</si>
  <si>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</si>
  <si>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</si>
  <si>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</si>
  <si>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</si>
  <si>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</si>
  <si>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</si>
  <si>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</si>
  <si>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</si>
  <si>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</si>
  <si>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</si>
  <si>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</si>
  <si>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</si>
  <si>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</si>
  <si>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</si>
  <si>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</si>
  <si>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</si>
  <si>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</si>
  <si>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</si>
  <si>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</si>
  <si>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</si>
  <si>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</si>
  <si>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</si>
  <si>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</si>
  <si>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</si>
  <si>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</si>
  <si>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</si>
  <si>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</si>
  <si>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</si>
  <si>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</si>
  <si>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</si>
  <si>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</si>
  <si>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</si>
  <si>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</si>
  <si>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</si>
  <si>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</si>
  <si>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</si>
  <si>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</si>
  <si>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</si>
  <si>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</si>
  <si>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</si>
  <si>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</si>
  <si>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</si>
  <si>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</si>
  <si>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</si>
  <si>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</si>
  <si>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</si>
  <si>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</si>
  <si>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</si>
  <si>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</si>
  <si>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</si>
  <si>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</si>
  <si>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</si>
  <si>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</si>
  <si>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</si>
  <si>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</si>
  <si>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</si>
  <si>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</si>
  <si>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</si>
  <si>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</si>
  <si>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</si>
  <si>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17</t>
  </si>
  <si>
    <t>☀  TURNO DIURNO</t>
  </si>
  <si>
    <t>Totalizador da balança  ➜</t>
  </si>
  <si>
    <t>🌙  TURNO NOTURNO</t>
  </si>
  <si>
    <t>TOTAL GLOBAL DO DIA</t>
  </si>
  <si>
    <t>Totalizador global  ➜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</si>
  <si>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</si>
  <si>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</si>
  <si>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</si>
  <si>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</si>
  <si>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</si>
  <si>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PC 19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</si>
  <si>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</si>
  <si>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</si>
  <si>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</si>
  <si>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</si>
  <si>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</si>
  <si>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</si>
  <si>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</si>
  <si>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</si>
  <si>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</si>
  <si>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</si>
  <si>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</si>
  <si>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</si>
  <si>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</si>
  <si>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</si>
  <si>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</si>
  <si>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</si>
  <si>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</si>
  <si>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</si>
  <si>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</si>
  <si>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</si>
  <si>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baixo teor</t>
  </si>
  <si>
    <t>limpeza na tc 2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</si>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</sst>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8" activePane="bottomLeft" state="frozen"/>
      <selection pane="bottomLeft" activeCell="F294" sqref="F2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213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215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214</v>
      </c>
      <c r="O27" s="78">
        <v>393200</v>
      </c>
    </row>
    <row r="28" spans="1:15" ht="18" customHeight="1">
      <c r="A28" s="94" t="s">
        <v>216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217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213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214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215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214</v>
      </c>
      <c r="O54" s="85">
        <v>276360</v>
      </c>
    </row>
    <row r="55" spans="1:15" ht="18" customHeight="1">
      <c r="A55" s="94" t="s">
        <v>216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217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213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214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215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214</v>
      </c>
      <c r="O81" s="54">
        <v>787860</v>
      </c>
    </row>
    <row r="82" spans="1:15" ht="18" customHeight="1">
      <c r="A82" s="94" t="s">
        <v>216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217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213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214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215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214</v>
      </c>
      <c r="O108" s="54">
        <v>1087080</v>
      </c>
    </row>
    <row r="109" spans="1:15" ht="18" customHeight="1">
      <c r="A109" s="94" t="s">
        <v>216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217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213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214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215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214</v>
      </c>
      <c r="O135" s="54">
        <v>794480</v>
      </c>
    </row>
    <row r="136" spans="1:15" ht="18" customHeight="1">
      <c r="A136" s="94" t="s">
        <v>216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217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213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214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215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214</v>
      </c>
      <c r="O162" s="54">
        <v>882280</v>
      </c>
    </row>
    <row r="163" spans="1:15" ht="18" customHeight="1">
      <c r="A163" s="94" t="s">
        <v>216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217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213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214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215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214</v>
      </c>
      <c r="O189" s="78"/>
    </row>
    <row r="190" spans="1:15" ht="18" customHeight="1">
      <c r="A190" s="94" t="s">
        <v>216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217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213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214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215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214</v>
      </c>
      <c r="O216" s="78">
        <v>648410</v>
      </c>
    </row>
    <row r="217" spans="1:15" ht="18" customHeight="1">
      <c r="A217" s="94" t="s">
        <v>216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217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238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213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214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239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215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214</v>
      </c>
      <c r="O243" s="78">
        <v>849060</v>
      </c>
    </row>
    <row r="244" spans="1:15" ht="18" customHeight="1">
      <c r="A244" s="94" t="s">
        <v>216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217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213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214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215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214</v>
      </c>
      <c r="O270" s="78">
        <v>625070</v>
      </c>
    </row>
    <row r="271" spans="1:15" ht="18" customHeight="1">
      <c r="A271" s="94" t="s">
        <v>216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217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242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213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214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243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212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212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212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215</v>
      </c>
      <c r="B297" s="92"/>
      <c r="C297" s="92"/>
      <c r="D297" s="92"/>
      <c r="E297" s="93">
        <f>SUM(E285:E296)</f>
        <v>0</v>
      </c>
      <c r="F297" s="36">
        <f>SUM(F285:F296)</f>
        <v>124</v>
      </c>
      <c r="G297" s="36">
        <f>SUM(G285:G296)</f>
        <v>527.19999999999993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214</v>
      </c>
      <c r="O297" s="78"/>
    </row>
    <row r="298" spans="1:15" ht="18" customHeight="1">
      <c r="A298" s="94" t="s">
        <v>216</v>
      </c>
      <c r="B298" s="95"/>
      <c r="C298" s="95"/>
      <c r="D298" s="95"/>
      <c r="E298" s="96">
        <f>E284+E297</f>
        <v>0</v>
      </c>
      <c r="F298" s="40">
        <f>F284+F297</f>
        <v>307</v>
      </c>
      <c r="G298" s="40">
        <f>G284+G297</f>
        <v>1295.7999999999997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217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213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214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215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214</v>
      </c>
      <c r="O324" s="78"/>
    </row>
    <row r="325" spans="1:15" ht="18" customHeight="1">
      <c r="A325" s="94" t="s">
        <v>216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217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213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214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215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214</v>
      </c>
      <c r="O351" s="78"/>
    </row>
    <row r="352" spans="1:15" ht="18" customHeight="1">
      <c r="A352" s="94" t="s">
        <v>216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217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213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214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215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214</v>
      </c>
      <c r="O378" s="78"/>
    </row>
    <row r="379" spans="1:15" ht="18" customHeight="1">
      <c r="A379" s="94" t="s">
        <v>216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217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213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214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215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214</v>
      </c>
      <c r="O405" s="78"/>
    </row>
    <row r="406" spans="1:15" ht="18" customHeight="1">
      <c r="A406" s="94" t="s">
        <v>216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217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213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214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215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214</v>
      </c>
      <c r="O432" s="78"/>
    </row>
    <row r="433" spans="1:15" ht="18" customHeight="1">
      <c r="A433" s="94" t="s">
        <v>216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217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213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214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215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214</v>
      </c>
      <c r="O459" s="78"/>
    </row>
    <row r="460" spans="1:15" ht="18" customHeight="1">
      <c r="A460" s="94" t="s">
        <v>216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217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213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214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215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214</v>
      </c>
      <c r="O486" s="78"/>
    </row>
    <row r="487" spans="1:15" ht="18" customHeight="1">
      <c r="A487" s="94" t="s">
        <v>216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217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213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214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215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214</v>
      </c>
      <c r="O513" s="78"/>
    </row>
    <row r="514" spans="1:15" ht="18" customHeight="1">
      <c r="A514" s="94" t="s">
        <v>216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217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213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214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215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214</v>
      </c>
      <c r="O540" s="78"/>
    </row>
    <row r="541" spans="1:15" ht="18" customHeight="1">
      <c r="A541" s="94" t="s">
        <v>216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217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213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214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215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214</v>
      </c>
      <c r="O567" s="78"/>
    </row>
    <row r="568" spans="1:15" ht="18" customHeight="1">
      <c r="A568" s="94" t="s">
        <v>216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217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213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214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215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214</v>
      </c>
      <c r="O594" s="78"/>
    </row>
    <row r="595" spans="1:15" ht="18" customHeight="1">
      <c r="A595" s="94" t="s">
        <v>216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217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213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214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215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214</v>
      </c>
      <c r="O621" s="78"/>
    </row>
    <row r="622" spans="1:15" ht="18" customHeight="1">
      <c r="A622" s="94" t="s">
        <v>216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217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213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214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215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214</v>
      </c>
      <c r="O648" s="78"/>
    </row>
    <row r="649" spans="1:15" ht="18" customHeight="1">
      <c r="A649" s="94" t="s">
        <v>216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217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213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214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215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214</v>
      </c>
      <c r="O675" s="78"/>
    </row>
    <row r="676" spans="1:15" ht="18" customHeight="1">
      <c r="A676" s="94" t="s">
        <v>216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217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213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214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215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214</v>
      </c>
      <c r="O702" s="78"/>
    </row>
    <row r="703" spans="1:15" ht="18" customHeight="1">
      <c r="A703" s="94" t="s">
        <v>216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217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213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214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215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214</v>
      </c>
      <c r="O729" s="78"/>
    </row>
    <row r="730" spans="1:15" ht="18" customHeight="1">
      <c r="A730" s="94" t="s">
        <v>216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217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213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214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215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214</v>
      </c>
      <c r="O756" s="39"/>
    </row>
    <row r="757" spans="1:15" ht="18" customHeight="1">
      <c r="A757" s="94" t="s">
        <v>216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217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213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214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215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214</v>
      </c>
      <c r="O783" s="39"/>
    </row>
    <row r="784" spans="1:15" ht="18" customHeight="1">
      <c r="A784" s="94" t="s">
        <v>216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217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213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214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215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214</v>
      </c>
      <c r="O810" s="39"/>
    </row>
    <row r="811" spans="1:15" ht="18" customHeight="1">
      <c r="A811" s="94" t="s">
        <v>216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217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O290" sqref="O29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244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245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213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215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214</v>
      </c>
      <c r="O27" s="39">
        <v>1183060</v>
      </c>
    </row>
    <row r="28" spans="1:15" ht="18" customHeight="1">
      <c r="A28" s="94" t="s">
        <v>216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213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215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214</v>
      </c>
      <c r="O54" s="39">
        <v>959290</v>
      </c>
    </row>
    <row r="55" spans="1:15" ht="18" customHeight="1">
      <c r="A55" s="94" t="s">
        <v>216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213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214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215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214</v>
      </c>
      <c r="O81" s="39">
        <v>878050</v>
      </c>
    </row>
    <row r="82" spans="1:15" ht="18" customHeight="1">
      <c r="A82" s="94" t="s">
        <v>216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217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213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214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215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214</v>
      </c>
      <c r="O108" s="39">
        <v>1700000</v>
      </c>
    </row>
    <row r="109" spans="1:15" ht="18" customHeight="1">
      <c r="A109" s="94" t="s">
        <v>216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217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213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214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215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214</v>
      </c>
      <c r="O135" s="39">
        <v>862330</v>
      </c>
    </row>
    <row r="136" spans="1:15" ht="18" customHeight="1">
      <c r="A136" s="94" t="s">
        <v>216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217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213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214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215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214</v>
      </c>
      <c r="O162" s="44">
        <v>1546080</v>
      </c>
    </row>
    <row r="163" spans="1:15" ht="18" customHeight="1">
      <c r="A163" s="94" t="s">
        <v>216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217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213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214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215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214</v>
      </c>
      <c r="O189" s="39">
        <v>2355810</v>
      </c>
    </row>
    <row r="190" spans="1:15" ht="18" customHeight="1">
      <c r="A190" s="94" t="s">
        <v>216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217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213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214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215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214</v>
      </c>
      <c r="O216" s="45">
        <v>2013260</v>
      </c>
    </row>
    <row r="217" spans="1:15" ht="18" customHeight="1">
      <c r="A217" s="94" t="s">
        <v>216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217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250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213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214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215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214</v>
      </c>
      <c r="O243" s="39">
        <v>1545480</v>
      </c>
    </row>
    <row r="244" spans="1:15" ht="18" customHeight="1">
      <c r="A244" s="94" t="s">
        <v>216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217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251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213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214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215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214</v>
      </c>
      <c r="O270" s="39">
        <v>1182690</v>
      </c>
    </row>
    <row r="271" spans="1:15" ht="18" customHeight="1">
      <c r="A271" s="94" t="s">
        <v>216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217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213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214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252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253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253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253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253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253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215</v>
      </c>
      <c r="B297" s="92"/>
      <c r="C297" s="92"/>
      <c r="D297" s="92"/>
      <c r="E297" s="93">
        <f>SUM(E285:E296)</f>
        <v>0</v>
      </c>
      <c r="F297" s="36">
        <f>SUM(F285:F296)</f>
        <v>238</v>
      </c>
      <c r="G297" s="36">
        <f>SUM(G285:G296)</f>
        <v>1190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214</v>
      </c>
      <c r="O297" s="39"/>
    </row>
    <row r="298" spans="1:15" ht="18" customHeight="1">
      <c r="A298" s="94" t="s">
        <v>216</v>
      </c>
      <c r="B298" s="95"/>
      <c r="C298" s="95"/>
      <c r="D298" s="95"/>
      <c r="E298" s="96">
        <f>E284+E297</f>
        <v>0</v>
      </c>
      <c r="F298" s="40">
        <f>F284+F297</f>
        <v>554</v>
      </c>
      <c r="G298" s="40">
        <f>G284+G297</f>
        <v>2770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217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213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215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214</v>
      </c>
      <c r="O324" s="39"/>
    </row>
    <row r="325" spans="1:15" ht="18" customHeight="1">
      <c r="A325" s="94" t="s">
        <v>216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213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215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214</v>
      </c>
      <c r="O351" s="39"/>
    </row>
    <row r="352" spans="1:15" ht="18" customHeight="1">
      <c r="A352" s="94" t="s">
        <v>216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213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215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214</v>
      </c>
      <c r="O378" s="39"/>
    </row>
    <row r="379" spans="1:15" ht="18" customHeight="1">
      <c r="A379" s="94" t="s">
        <v>216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213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215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214</v>
      </c>
      <c r="O405" s="39"/>
    </row>
    <row r="406" spans="1:15" ht="18" customHeight="1">
      <c r="A406" s="94" t="s">
        <v>216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213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215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214</v>
      </c>
      <c r="O432" s="39"/>
    </row>
    <row r="433" spans="1:15" ht="18" customHeight="1">
      <c r="A433" s="94" t="s">
        <v>216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213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215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214</v>
      </c>
      <c r="O459" s="39"/>
    </row>
    <row r="460" spans="1:15" ht="18" customHeight="1">
      <c r="A460" s="94" t="s">
        <v>216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213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215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214</v>
      </c>
      <c r="O486" s="39"/>
    </row>
    <row r="487" spans="1:15" ht="18" customHeight="1">
      <c r="A487" s="94" t="s">
        <v>216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213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215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214</v>
      </c>
      <c r="O513" s="39"/>
    </row>
    <row r="514" spans="1:15" ht="18" customHeight="1">
      <c r="A514" s="94" t="s">
        <v>216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213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215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214</v>
      </c>
      <c r="O540" s="39"/>
    </row>
    <row r="541" spans="1:15" ht="18" customHeight="1">
      <c r="A541" s="94" t="s">
        <v>216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213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215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214</v>
      </c>
      <c r="O567" s="39"/>
    </row>
    <row r="568" spans="1:15" ht="18" customHeight="1">
      <c r="A568" s="94" t="s">
        <v>216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213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215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214</v>
      </c>
      <c r="O594" s="39"/>
    </row>
    <row r="595" spans="1:15" ht="18" customHeight="1">
      <c r="A595" s="94" t="s">
        <v>216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213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215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214</v>
      </c>
      <c r="O621" s="39"/>
    </row>
    <row r="622" spans="1:15" ht="18" customHeight="1">
      <c r="A622" s="94" t="s">
        <v>216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213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215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214</v>
      </c>
      <c r="O648" s="39"/>
    </row>
    <row r="649" spans="1:15" ht="18" customHeight="1">
      <c r="A649" s="94" t="s">
        <v>216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213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215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214</v>
      </c>
      <c r="O675" s="39"/>
    </row>
    <row r="676" spans="1:15" ht="18" customHeight="1">
      <c r="A676" s="94" t="s">
        <v>216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213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215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214</v>
      </c>
      <c r="O702" s="39"/>
    </row>
    <row r="703" spans="1:15" ht="18" customHeight="1">
      <c r="A703" s="94" t="s">
        <v>216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213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215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214</v>
      </c>
      <c r="O729" s="39"/>
    </row>
    <row r="730" spans="1:15" ht="18" customHeight="1">
      <c r="A730" s="94" t="s">
        <v>216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213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215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214</v>
      </c>
      <c r="O756" s="39"/>
    </row>
    <row r="757" spans="1:15" ht="18" customHeight="1">
      <c r="A757" s="94" t="s">
        <v>216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213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215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214</v>
      </c>
      <c r="O783" s="39"/>
    </row>
    <row r="784" spans="1:15" ht="18" customHeight="1">
      <c r="A784" s="94" t="s">
        <v>216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213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215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214</v>
      </c>
      <c r="O810" s="39"/>
    </row>
    <row r="811" spans="1:15" ht="18" customHeight="1">
      <c r="A811" s="94" t="s">
        <v>216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73" zoomScale="50" zoomScaleNormal="50" workbookViewId="0">
      <selection activeCell="F294" sqref="F2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213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215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214</v>
      </c>
      <c r="O27" s="39">
        <v>308500</v>
      </c>
    </row>
    <row r="28" spans="1:15" ht="18" customHeight="1">
      <c r="A28" s="94" t="s">
        <v>216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213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215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214</v>
      </c>
      <c r="O54" s="39">
        <v>124290</v>
      </c>
    </row>
    <row r="55" spans="1:15" ht="18" customHeight="1">
      <c r="A55" s="94" t="s">
        <v>216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213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214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215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214</v>
      </c>
      <c r="O81" s="39">
        <v>396340</v>
      </c>
    </row>
    <row r="82" spans="1:15" ht="18" customHeight="1">
      <c r="A82" s="94" t="s">
        <v>216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217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213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214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215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214</v>
      </c>
      <c r="O108" s="39">
        <v>41230</v>
      </c>
    </row>
    <row r="109" spans="1:15" ht="18" customHeight="1">
      <c r="A109" s="94" t="s">
        <v>216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217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213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214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215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214</v>
      </c>
      <c r="O135" s="39">
        <v>381250</v>
      </c>
    </row>
    <row r="136" spans="1:15" ht="18" customHeight="1">
      <c r="A136" s="94" t="s">
        <v>216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217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213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214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215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214</v>
      </c>
      <c r="O162" s="39">
        <v>337120</v>
      </c>
    </row>
    <row r="163" spans="1:15" ht="18" customHeight="1">
      <c r="A163" s="94" t="s">
        <v>216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217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262</v>
      </c>
      <c r="N166" s="27" t="s">
        <v>263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213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214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215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214</v>
      </c>
      <c r="O189" s="39">
        <v>747210</v>
      </c>
    </row>
    <row r="190" spans="1:15" ht="18" customHeight="1">
      <c r="A190" s="94" t="s">
        <v>216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217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213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214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215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214</v>
      </c>
      <c r="O216" s="39">
        <v>468430</v>
      </c>
    </row>
    <row r="217" spans="1:15" ht="18" customHeight="1">
      <c r="A217" s="94" t="s">
        <v>216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217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212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212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212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212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212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212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213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214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215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214</v>
      </c>
      <c r="O243" s="39">
        <v>575930</v>
      </c>
    </row>
    <row r="244" spans="1:15" ht="18" customHeight="1">
      <c r="A244" s="94" t="s">
        <v>216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217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212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212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212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212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212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212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213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214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215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214</v>
      </c>
      <c r="O270" s="39">
        <v>483510</v>
      </c>
    </row>
    <row r="271" spans="1:15" ht="18" customHeight="1">
      <c r="A271" s="94" t="s">
        <v>216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217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213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214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212</v>
      </c>
      <c r="F291" s="27">
        <v>11</v>
      </c>
      <c r="G291" s="34">
        <f t="shared" si="63"/>
        <v>46.2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212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212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212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215</v>
      </c>
      <c r="B297" s="92"/>
      <c r="C297" s="92"/>
      <c r="D297" s="92"/>
      <c r="E297" s="93">
        <f>SUM(E285:E296)</f>
        <v>0</v>
      </c>
      <c r="F297" s="36">
        <f>SUM(F285:F296)</f>
        <v>94</v>
      </c>
      <c r="G297" s="36">
        <f>SUM(G285:G296)</f>
        <v>394.80000000000007</v>
      </c>
      <c r="H297" s="37"/>
      <c r="I297" s="37"/>
      <c r="J297" s="37"/>
      <c r="K297" s="37"/>
      <c r="L297" s="37"/>
      <c r="M297" s="38">
        <f ca="1">IFERROR(SUM(M285:M296),"")</f>
        <v>8.3333333333333384E-2</v>
      </c>
      <c r="N297" s="36" t="s">
        <v>214</v>
      </c>
      <c r="O297" s="39"/>
    </row>
    <row r="298" spans="1:15" ht="18" customHeight="1">
      <c r="A298" s="94" t="s">
        <v>216</v>
      </c>
      <c r="B298" s="95"/>
      <c r="C298" s="95"/>
      <c r="D298" s="95"/>
      <c r="E298" s="96">
        <f>E284+E297</f>
        <v>0</v>
      </c>
      <c r="F298" s="40">
        <f>F284+F297</f>
        <v>94</v>
      </c>
      <c r="G298" s="40">
        <f>G284+G297</f>
        <v>701.40000000000009</v>
      </c>
      <c r="H298" s="41"/>
      <c r="I298" s="41"/>
      <c r="J298" s="41"/>
      <c r="K298" s="41"/>
      <c r="L298" s="41"/>
      <c r="M298" s="42">
        <f ca="1">IFERROR(M284+M297,"")</f>
        <v>0.1388888888888889</v>
      </c>
      <c r="N298" s="40" t="s">
        <v>217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213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215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214</v>
      </c>
      <c r="O324" s="39"/>
    </row>
    <row r="325" spans="1:15" ht="18" customHeight="1">
      <c r="A325" s="94" t="s">
        <v>216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213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215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214</v>
      </c>
      <c r="O351" s="39"/>
    </row>
    <row r="352" spans="1:15" ht="18" customHeight="1">
      <c r="A352" s="94" t="s">
        <v>216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213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215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214</v>
      </c>
      <c r="O378" s="39"/>
    </row>
    <row r="379" spans="1:15" ht="18" customHeight="1">
      <c r="A379" s="94" t="s">
        <v>216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213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215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214</v>
      </c>
      <c r="O405" s="39"/>
    </row>
    <row r="406" spans="1:15" ht="18" customHeight="1">
      <c r="A406" s="94" t="s">
        <v>216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213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215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214</v>
      </c>
      <c r="O432" s="39"/>
    </row>
    <row r="433" spans="1:15" ht="18" customHeight="1">
      <c r="A433" s="94" t="s">
        <v>216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213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215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214</v>
      </c>
      <c r="O459" s="39"/>
    </row>
    <row r="460" spans="1:15" ht="18" customHeight="1">
      <c r="A460" s="94" t="s">
        <v>216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213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215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214</v>
      </c>
      <c r="O486" s="39"/>
    </row>
    <row r="487" spans="1:15" ht="18" customHeight="1">
      <c r="A487" s="94" t="s">
        <v>216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213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215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214</v>
      </c>
      <c r="O513" s="39"/>
    </row>
    <row r="514" spans="1:15" ht="18" customHeight="1">
      <c r="A514" s="94" t="s">
        <v>216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213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215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214</v>
      </c>
      <c r="O540" s="39"/>
    </row>
    <row r="541" spans="1:15" ht="18" customHeight="1">
      <c r="A541" s="94" t="s">
        <v>216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213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215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214</v>
      </c>
      <c r="O567" s="39"/>
    </row>
    <row r="568" spans="1:15" ht="18" customHeight="1">
      <c r="A568" s="94" t="s">
        <v>216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213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215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214</v>
      </c>
      <c r="O594" s="39"/>
    </row>
    <row r="595" spans="1:15" ht="18" customHeight="1">
      <c r="A595" s="94" t="s">
        <v>216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213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215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214</v>
      </c>
      <c r="O621" s="39"/>
    </row>
    <row r="622" spans="1:15" ht="18" customHeight="1">
      <c r="A622" s="94" t="s">
        <v>216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213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215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214</v>
      </c>
      <c r="O648" s="39"/>
    </row>
    <row r="649" spans="1:15" ht="18" customHeight="1">
      <c r="A649" s="94" t="s">
        <v>216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213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215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214</v>
      </c>
      <c r="O675" s="39"/>
    </row>
    <row r="676" spans="1:15" ht="18" customHeight="1">
      <c r="A676" s="94" t="s">
        <v>216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213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215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214</v>
      </c>
      <c r="O702" s="39"/>
    </row>
    <row r="703" spans="1:15" ht="18" customHeight="1">
      <c r="A703" s="94" t="s">
        <v>216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213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215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214</v>
      </c>
      <c r="O729" s="39"/>
    </row>
    <row r="730" spans="1:15" ht="18" customHeight="1">
      <c r="A730" s="94" t="s">
        <v>216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213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215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214</v>
      </c>
      <c r="O756" s="39"/>
    </row>
    <row r="757" spans="1:15" ht="18" customHeight="1">
      <c r="A757" s="94" t="s">
        <v>216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213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215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214</v>
      </c>
      <c r="O783" s="39"/>
    </row>
    <row r="784" spans="1:15" ht="18" customHeight="1">
      <c r="A784" s="94" t="s">
        <v>216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213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215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214</v>
      </c>
      <c r="O810" s="39"/>
    </row>
    <row r="811" spans="1:15" ht="18" customHeight="1">
      <c r="A811" s="94" t="s">
        <v>216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62" activePane="bottomLeft" state="frozen"/>
      <selection pane="bottomLeft" activeCell="H288" sqref="H28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213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215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214</v>
      </c>
      <c r="O27" s="39">
        <v>202230</v>
      </c>
    </row>
    <row r="28" spans="1:15" ht="18" customHeight="1">
      <c r="A28" s="94" t="s">
        <v>216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213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215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214</v>
      </c>
      <c r="O54" s="39">
        <v>473910</v>
      </c>
    </row>
    <row r="55" spans="1:15" ht="18" customHeight="1">
      <c r="A55" s="94" t="s">
        <v>216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273</v>
      </c>
      <c r="L58" s="29">
        <v>0.54097222222222219</v>
      </c>
      <c r="M58" s="30" t="str">
        <f t="shared" ca="1" si="13"/>
        <v/>
      </c>
      <c r="N58" s="27" t="s">
        <v>274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213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214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215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214</v>
      </c>
      <c r="O81" s="39">
        <v>565120</v>
      </c>
    </row>
    <row r="82" spans="1:15" ht="18" customHeight="1">
      <c r="A82" s="94" t="s">
        <v>216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217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213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214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215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214</v>
      </c>
      <c r="O108" s="39">
        <v>558590</v>
      </c>
    </row>
    <row r="109" spans="1:15" ht="18" customHeight="1">
      <c r="A109" s="94" t="s">
        <v>216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217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213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214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0.93630914352252148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215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1.1356146990780771</v>
      </c>
      <c r="N135" s="36" t="s">
        <v>214</v>
      </c>
      <c r="O135" s="39">
        <v>729290</v>
      </c>
    </row>
    <row r="136" spans="1:18" ht="18" customHeight="1">
      <c r="A136" s="94" t="s">
        <v>216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1.5029758101891881</v>
      </c>
      <c r="N136" s="40" t="s">
        <v>217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213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214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215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214</v>
      </c>
      <c r="O162" s="39">
        <v>697320</v>
      </c>
    </row>
    <row r="163" spans="1:15" ht="18" customHeight="1">
      <c r="A163" s="94" t="s">
        <v>216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217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213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214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215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214</v>
      </c>
      <c r="O189" s="39">
        <v>973580</v>
      </c>
    </row>
    <row r="190" spans="1:15" ht="18" customHeight="1">
      <c r="A190" s="94" t="s">
        <v>216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217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213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214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215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214</v>
      </c>
      <c r="O216" s="45">
        <v>1060630</v>
      </c>
    </row>
    <row r="217" spans="1:15" ht="18" customHeight="1">
      <c r="A217" s="94" t="s">
        <v>216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217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213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214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215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214</v>
      </c>
      <c r="O243" s="39">
        <v>982340</v>
      </c>
    </row>
    <row r="244" spans="1:15" ht="18" customHeight="1">
      <c r="A244" s="94" t="s">
        <v>216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217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213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214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215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214</v>
      </c>
      <c r="O270" s="39">
        <v>1208450</v>
      </c>
    </row>
    <row r="271" spans="1:15" ht="18" customHeight="1">
      <c r="A271" s="94" t="s">
        <v>216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217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213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214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212</v>
      </c>
      <c r="F288" s="27">
        <v>16</v>
      </c>
      <c r="G288" s="28">
        <f t="shared" si="63"/>
        <v>67.2</v>
      </c>
      <c r="H288" s="26" t="s">
        <v>20</v>
      </c>
      <c r="I288" s="26" t="s">
        <v>52</v>
      </c>
      <c r="J288" s="26" t="s">
        <v>27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223</v>
      </c>
      <c r="F289" s="27">
        <v>17</v>
      </c>
      <c r="G289" s="34">
        <f t="shared" si="63"/>
        <v>85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212</v>
      </c>
      <c r="F290" s="27">
        <v>25</v>
      </c>
      <c r="G290" s="28">
        <f t="shared" si="63"/>
        <v>105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212</v>
      </c>
      <c r="F291" s="27">
        <v>21</v>
      </c>
      <c r="G291" s="34">
        <f t="shared" si="63"/>
        <v>88.2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212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212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215</v>
      </c>
      <c r="B297" s="92"/>
      <c r="C297" s="92"/>
      <c r="D297" s="92"/>
      <c r="E297" s="93">
        <f>SUM(E285:E296)</f>
        <v>0</v>
      </c>
      <c r="F297" s="36">
        <f>SUM(F285:F296)</f>
        <v>167</v>
      </c>
      <c r="G297" s="36">
        <f>SUM(G285:G296)</f>
        <v>715</v>
      </c>
      <c r="H297" s="37"/>
      <c r="I297" s="37"/>
      <c r="J297" s="37"/>
      <c r="K297" s="61"/>
      <c r="L297" s="61"/>
      <c r="M297" s="38">
        <f ca="1">IFERROR(SUM(M285:M296),"")</f>
        <v>8.8194444444444506E-2</v>
      </c>
      <c r="N297" s="36" t="s">
        <v>214</v>
      </c>
      <c r="O297" s="39"/>
    </row>
    <row r="298" spans="1:15" ht="18" customHeight="1">
      <c r="A298" s="94" t="s">
        <v>216</v>
      </c>
      <c r="B298" s="95"/>
      <c r="C298" s="95"/>
      <c r="D298" s="95"/>
      <c r="E298" s="96">
        <f>E284+E297</f>
        <v>0</v>
      </c>
      <c r="F298" s="40">
        <f>F284+F297</f>
        <v>354</v>
      </c>
      <c r="G298" s="40">
        <f>G284+G297</f>
        <v>1500.4</v>
      </c>
      <c r="H298" s="41"/>
      <c r="I298" s="41"/>
      <c r="J298" s="41"/>
      <c r="K298" s="63"/>
      <c r="L298" s="63"/>
      <c r="M298" s="42">
        <f ca="1">IFERROR(M284+M297,"")</f>
        <v>0.15208333333333335</v>
      </c>
      <c r="N298" s="40" t="s">
        <v>217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213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215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214</v>
      </c>
      <c r="O324" s="39"/>
    </row>
    <row r="325" spans="1:15" ht="18" customHeight="1">
      <c r="A325" s="94" t="s">
        <v>216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213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215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214</v>
      </c>
      <c r="O351" s="39"/>
    </row>
    <row r="352" spans="1:15" ht="18" customHeight="1">
      <c r="A352" s="94" t="s">
        <v>216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213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215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214</v>
      </c>
      <c r="O378" s="39"/>
    </row>
    <row r="379" spans="1:15" ht="18" customHeight="1">
      <c r="A379" s="94" t="s">
        <v>216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213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215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214</v>
      </c>
      <c r="O405" s="39"/>
    </row>
    <row r="406" spans="1:15" ht="18" customHeight="1">
      <c r="A406" s="94" t="s">
        <v>216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213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215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214</v>
      </c>
      <c r="O432" s="39"/>
    </row>
    <row r="433" spans="1:17" ht="18" customHeight="1">
      <c r="A433" s="94" t="s">
        <v>216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213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215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214</v>
      </c>
      <c r="O459" s="39"/>
    </row>
    <row r="460" spans="1:15" ht="18" customHeight="1">
      <c r="A460" s="94" t="s">
        <v>216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213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215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214</v>
      </c>
      <c r="O486" s="39"/>
    </row>
    <row r="487" spans="1:15" ht="18" customHeight="1">
      <c r="A487" s="94" t="s">
        <v>216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213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215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214</v>
      </c>
      <c r="O513" s="39"/>
    </row>
    <row r="514" spans="1:15" ht="18" customHeight="1">
      <c r="A514" s="94" t="s">
        <v>216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213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215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214</v>
      </c>
      <c r="O540" s="39"/>
    </row>
    <row r="541" spans="1:15" ht="18" customHeight="1">
      <c r="A541" s="94" t="s">
        <v>216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213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215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214</v>
      </c>
      <c r="O567" s="39"/>
    </row>
    <row r="568" spans="1:15" ht="18" customHeight="1">
      <c r="A568" s="94" t="s">
        <v>216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213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215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214</v>
      </c>
      <c r="O594" s="39"/>
    </row>
    <row r="595" spans="1:15" ht="18" customHeight="1">
      <c r="A595" s="94" t="s">
        <v>216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213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215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214</v>
      </c>
      <c r="O621" s="39"/>
    </row>
    <row r="622" spans="1:15" ht="18" customHeight="1">
      <c r="A622" s="94" t="s">
        <v>216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213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215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214</v>
      </c>
      <c r="O648" s="39"/>
    </row>
    <row r="649" spans="1:15" ht="18" customHeight="1">
      <c r="A649" s="94" t="s">
        <v>216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213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215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214</v>
      </c>
      <c r="O675" s="39"/>
    </row>
    <row r="676" spans="1:15" ht="18" customHeight="1">
      <c r="A676" s="94" t="s">
        <v>216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213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215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214</v>
      </c>
      <c r="O702" s="39"/>
    </row>
    <row r="703" spans="1:15" ht="18" customHeight="1">
      <c r="A703" s="94" t="s">
        <v>216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213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215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214</v>
      </c>
      <c r="O729" s="39"/>
    </row>
    <row r="730" spans="1:15" ht="18" customHeight="1">
      <c r="A730" s="94" t="s">
        <v>216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213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215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214</v>
      </c>
      <c r="O756" s="39"/>
    </row>
    <row r="757" spans="1:15" ht="18" customHeight="1">
      <c r="A757" s="94" t="s">
        <v>216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213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215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214</v>
      </c>
      <c r="O783" s="39"/>
    </row>
    <row r="784" spans="1:15" ht="18" customHeight="1">
      <c r="A784" s="94" t="s">
        <v>216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213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215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214</v>
      </c>
      <c r="O810" s="39"/>
    </row>
    <row r="811" spans="1:15" ht="18" customHeight="1">
      <c r="A811" s="94" t="s">
        <v>216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2026-07-12T08:27:34Z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