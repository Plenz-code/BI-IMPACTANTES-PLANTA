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36" documentId="13_ncr:1_{A6DBCFB4-28D9-4249-9038-216934055CA6}" xr6:coauthVersionLast="47" xr6:coauthVersionMax="47" xr10:uidLastSave="{2480138D-3FDD-4D07-BAEE-A5C0243D0895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<sst xmlns="http://schemas.openxmlformats.org/spreadsheetml/2006/main" count="10954" uniqueCount="444">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</sst>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3" sqref="F663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327</v>
      </c>
      <c r="G676" s="1">
        <f>G662+G675</f>
        <v>1635</v>
      </c>
      <c r="H676" s="75"/>
      <c r="I676" s="75"/>
      <c r="J676" s="75"/>
      <c r="K676" s="75"/>
      <c r="L676" s="75"/>
      <c r="M676" s="76">
        <f ca="1">IFERROR(M662+M675,"")</f>
        <v>0.13541666666666663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63" sqref="G66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0.67224363425339106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0.81113252314227879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0.8958547453645016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/>
      <c r="H663" s="100" t="str">
        <f>IFERROR(IF($G663="","",$G663*$S$675/$G$675/Cadastro!$E$33),"")</f>
        <v/>
      </c>
      <c r="I663" s="101">
        <f>IFERROR(IF($D663="","",VLOOKUP($D663,Cadastro!$C$4:$G$7,5,FALSE())),"")</f>
        <v>0.6</v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67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281.40000000000003</v>
      </c>
      <c r="L676" s="75"/>
      <c r="M676" s="75"/>
      <c r="N676" s="75"/>
      <c r="O676" s="75"/>
      <c r="P676" s="75"/>
      <c r="Q676" s="76">
        <f ca="1">IFERROR(Q662+Q675,"")</f>
        <v>0.36458333333333331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41" activePane="bottomLeft" state="frozen"/>
      <selection pane="bottomLeft" activeCell="D664" sqref="D664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372</v>
      </c>
      <c r="Q222" s="65" t="str">
        <f t="shared" ca="1" si="49"/>
        <v/>
      </c>
      <c r="R222" s="62" t="s">
        <v>373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/>
      <c r="F663" s="100">
        <f>IFERROR(IF($D663="","",VLOOKUP($D663,Cadastro!$C$4:$E$7,3,FALSE())),"")</f>
        <v>0.35</v>
      </c>
      <c r="G663" s="88"/>
      <c r="H663" s="100" t="str">
        <f>IFERROR(IF($G663="","",$G663*$S$675/$G$675/Cadastro!$E$33),"")</f>
        <v/>
      </c>
      <c r="I663" s="101">
        <f>IFERROR(IF($D663="","",VLOOKUP($D663,Cadastro!$C$4:$G$7,5,FALSE())),"")</f>
        <v>0.6</v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/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8.4</v>
      </c>
      <c r="L676" s="75"/>
      <c r="M676" s="75"/>
      <c r="N676" s="75"/>
      <c r="O676" s="75"/>
      <c r="P676" s="75"/>
      <c r="Q676" s="76">
        <f ca="1">IFERROR(Q662+Q675,"")</f>
        <v>0.45555555555555555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49" activePane="bottomLeft" state="frozen"/>
      <selection pane="bottomLeft" activeCell="P682" sqref="P68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390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391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392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393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394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395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396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397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398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399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400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401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402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403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404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405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406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407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408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409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410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411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412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413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414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415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416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417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418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419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420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421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422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423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417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424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425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426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427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428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429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430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431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432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433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416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417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434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435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436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437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416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438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433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439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440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441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442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443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130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556.4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2026-08-25T23:03:03Z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