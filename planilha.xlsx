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40" documentId="8_{AF585B22-221D-4780-BB9C-493D365A6A02}" xr6:coauthVersionLast="47" xr6:coauthVersionMax="47" xr10:uidLastSave="{00026A6A-C168-4B68-93D4-57BC31F9997E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<sst xmlns="http://schemas.openxmlformats.org/spreadsheetml/2006/main" count="6765" uniqueCount="333">
  <si>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</si>
  <si>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</si>
  <si>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</si>
  <si>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</si>
  <si>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</si>
  <si>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</si>
  <si>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</si>
  <si>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</si>
  <si>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</si>
  <si>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</si>
  <si>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</si>
  <si>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</si>
  <si>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</si>
  <si>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</si>
  <si>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</si>
  <si>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</si>
  <si>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</si>
  <si>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</si>
  <si>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</si>
  <si>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</si>
  <si>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</si>
  <si>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</si>
  <si>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</si>
  <si>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</si>
  <si>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</si>
  <si>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</si>
  <si>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</si>
  <si>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</si>
  <si>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</si>
  <si>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</si>
  <si>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</si>
  <si>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</si>
  <si>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</si>
  <si>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</si>
  <si>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</si>
  <si>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</si>
  <si>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</si>
  <si>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</si>
  <si>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</si>
  <si>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</si>
  <si>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</si>
  <si>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</si>
  <si>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</si>
  <si>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</si>
  <si>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</si>
  <si>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</si>
  <si>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</si>
  <si>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</si>
  <si>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</si>
  <si>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</si>
  <si>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</si>
  <si>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</si>
  <si>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</si>
  <si>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</si>
  <si>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</si>
  <si>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</si>
  <si>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</si>
  <si>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</si>
  <si>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</si>
  <si>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</si>
  <si>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</si>
  <si>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</si>
  <si>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</si>
  <si>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</si>
  <si>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</si>
  <si>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</si>
  <si>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</si>
  <si>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</si>
  <si>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</si>
  <si>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</si>
  <si>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</si>
  <si>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</si>
  <si>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</si>
  <si>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</si>
  <si>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</si>
  <si>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</si>
  <si>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</si>
  <si>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</si>
  <si>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</si>
  <si>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</si>
  <si>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</si>
  <si>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</si>
  <si>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</si>
  <si>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</si>
  <si>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</si>
  <si>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</si>
  <si>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</si>
  <si>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</si>
  <si>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</si>
  <si>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</si>
  <si>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</si>
  <si>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</si>
  <si>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</si>
  <si>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</si>
  <si>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</si>
  <si>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</si>
  <si>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</si>
  <si>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</si>
  <si>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</si>
  <si>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</si>
  <si>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</si>
  <si>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</si>
  <si>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</si>
  <si>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</si>
  <si>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</si>
  <si>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</si>
  <si>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</si>
  <si>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</si>
  <si>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</si>
  <si>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</si>
  <si>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</si>
  <si>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</si>
  <si>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</si>
  <si>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</si>
  <si>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</si>
  <si>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</si>
  <si>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</si>
  <si>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</si>
  <si>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</si>
  <si>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</si>
  <si>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</si>
  <si>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</si>
  <si>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</si>
  <si>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</si>
  <si>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</si>
  <si>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</si>
  <si>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</si>
  <si>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</si>
  <si>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</si>
  <si>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</si>
  <si>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</si>
  <si>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</si>
  <si>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</si>
  <si>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</si>
  <si>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</si>
  <si>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</si>
  <si>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</si>
  <si>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</si>
  <si>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</si>
  <si>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</si>
  <si>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</si>
  <si>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</si>
  <si>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</si>
  <si>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</si>
  <si>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</si>
  <si>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</si>
  <si>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</si>
  <si>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</si>
  <si>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</si>
  <si>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</si>
  <si>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</si>
  <si>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</si>
  <si>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</si>
  <si>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</si>
  <si>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</si>
  <si>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</si>
  <si>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</si>
  <si>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</si>
  <si>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</si>
  <si>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</si>
  <si>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</si>
  <si>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</si>
  <si>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</si>
  <si>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</si>
  <si>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</si>
  <si>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</si>
  <si>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</si>
  <si>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</si>
  <si>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</si>
  <si>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</si>
  <si>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</si>
  <si>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</si>
  <si>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</si>
  <si>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</si>
  <si>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</si>
  <si>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</si>
  <si>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</si>
  <si>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</si>
  <si>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</si>
  <si>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</si>
  <si>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</si>
  <si>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</si>
  <si>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</si>
  <si>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</si>
  <si>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</si>
  <si>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</si>
  <si>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</si>
  <si>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</si>
  <si>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</si>
  <si>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</si>
  <si>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</si>
  <si>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</si>
  <si>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</si>
  <si>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</si>
  <si>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</si>
  <si>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</si>
  <si>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</si>
  <si>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</si>
  <si>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</si>
  <si>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</si>
  <si>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</si>
  <si>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</si>
  <si>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</si>
  <si>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</si>
  <si>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</si>
  <si>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</si>
  <si>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</si>
  <si>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</si>
  <si>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</si>
  <si>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</si>
  <si>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</si>
  <si>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</si>
  <si>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</si>
  <si>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</si>
  <si>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</si>
  <si>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</si>
  <si>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</si>
  <si>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</si>
  <si>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</si>
  <si>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</si>
  <si>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</si>
  <si>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</si>
  <si>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</si>
  <si>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</si>
  <si>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</si>
  <si>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</si>
  <si>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</si>
  <si>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</si>
  <si>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</si>
  <si>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</si>
  <si>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</si>
  <si>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</si>
  <si>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</si>
  <si>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</si>
  <si>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</si>
  <si>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</si>
  <si>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</si>
  <si>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</si>
  <si>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</si>
  <si>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</si>
  <si>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</si>
  <si>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</si>
  <si>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</si>
  <si>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</si>
  <si>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</si>
  <si>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2 caminhões basculantes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</si>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</sst>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1" activePane="bottomLeft" state="frozen"/>
      <selection pane="bottomLeft" activeCell="N410" sqref="N4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/>
      <c r="M409" s="35">
        <f t="shared" ca="1" si="91"/>
        <v>7.0361111138481647E-3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246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207</v>
      </c>
      <c r="G419" s="36">
        <f>SUM(G407:G418)</f>
        <v>1035</v>
      </c>
      <c r="H419" s="37"/>
      <c r="I419" s="37"/>
      <c r="J419" s="37"/>
      <c r="K419" s="37"/>
      <c r="L419" s="37"/>
      <c r="M419" s="38">
        <f ca="1">IFERROR(SUM(M407:M418),"")</f>
        <v>2.7175000002737038E-2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207</v>
      </c>
      <c r="G433" s="40">
        <f>G419+G432</f>
        <v>1035</v>
      </c>
      <c r="H433" s="41"/>
      <c r="I433" s="41"/>
      <c r="J433" s="41"/>
      <c r="K433" s="41"/>
      <c r="L433" s="41"/>
      <c r="M433" s="42">
        <f ca="1">IFERROR(M419+M432,"")</f>
        <v>2.7175000002737038E-2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17" sqref="F4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273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277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278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0.48759166666422971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0.64523055555311859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0.75495277777534076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262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279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280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247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247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104</v>
      </c>
      <c r="G419" s="36">
        <f>SUM(G407:G418)</f>
        <v>449.6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104</v>
      </c>
      <c r="G433" s="40">
        <f>G419+G432</f>
        <v>449.6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0" zoomScale="50" zoomScaleNormal="50" workbookViewId="0">
      <selection activeCell="J381" sqref="J3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261</v>
      </c>
      <c r="K141" s="29">
        <v>0.71597222222222223</v>
      </c>
      <c r="L141" s="29" t="s">
        <v>288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290</v>
      </c>
      <c r="N166" s="27" t="s">
        <v>291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247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247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50</v>
      </c>
      <c r="G419" s="36">
        <f>SUM(G407:G418)</f>
        <v>214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50</v>
      </c>
      <c r="G433" s="40">
        <f>G419+G432</f>
        <v>214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F417" sqref="F4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305</v>
      </c>
      <c r="L58" s="29">
        <v>0.54097222222222219</v>
      </c>
      <c r="M58" s="30" t="str">
        <f t="shared" ca="1" si="13"/>
        <v/>
      </c>
      <c r="N58" s="27" t="s">
        <v>306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0.47786944444669643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0.67717500000225206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1.0445361111133631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285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247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247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94</v>
      </c>
      <c r="G419" s="36">
        <f>SUM(G407:G418)</f>
        <v>394.8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94</v>
      </c>
      <c r="G433" s="40">
        <f>G419+G432</f>
        <v>394.8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2026-07-16T21:29:08Z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