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706" documentId="8_{AF585B22-221D-4780-BB9C-493D365A6A02}" xr6:coauthVersionLast="47" xr6:coauthVersionMax="47" xr10:uidLastSave="{B8B69559-E9DD-49CB-B0FE-C7077C7B9BC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<sst xmlns="http://schemas.openxmlformats.org/spreadsheetml/2006/main" count="5940" uniqueCount="314">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</sst>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F16" sqref="F1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2064210</v>
      </c>
      <c r="D17" s="11">
        <f>IFERROR('Linha 1'!O379,"")</f>
        <v>808550</v>
      </c>
      <c r="E17" s="11">
        <f>IFERROR('Linha 2'!O379,"")</f>
        <v>29130</v>
      </c>
      <c r="F17" s="11">
        <f>IFERROR('Linha 3'!O379,"")</f>
        <v>0</v>
      </c>
      <c r="G17" s="12">
        <f t="shared" si="0"/>
        <v>837680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41054312</v>
      </c>
      <c r="D35" s="13">
        <f>IFERROR(SUM(D4:D34),"")</f>
        <v>15234220</v>
      </c>
      <c r="E35" s="13">
        <f>IFERROR(SUM(E4:E34),"")</f>
        <v>9826580</v>
      </c>
      <c r="F35" s="13">
        <f>IFERROR(SUM(F4:F34),"")</f>
        <v>18114640</v>
      </c>
      <c r="G35" s="13">
        <f>IFERROR(SUM(G4:G34),"")</f>
        <v>43175440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O366" sqref="O36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275</v>
      </c>
      <c r="G379" s="40">
        <f>G365+G378</f>
        <v>1375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2064210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258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259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261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265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266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87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219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158</v>
      </c>
      <c r="G379" s="40">
        <f>G365+G378</f>
        <v>663.6</v>
      </c>
      <c r="H379" s="41"/>
      <c r="I379" s="41"/>
      <c r="J379" s="41"/>
      <c r="K379" s="41"/>
      <c r="L379" s="41"/>
      <c r="M379" s="42">
        <f ca="1">IFERROR(M365+M378,"")</f>
        <v>0.10972222222222217</v>
      </c>
      <c r="N379" s="40" t="s">
        <v>222</v>
      </c>
      <c r="O379" s="84">
        <f>IFERROR(O365+O378,"")</f>
        <v>808550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39" zoomScale="50" zoomScaleNormal="50" workbookViewId="0">
      <selection activeCell="O366" sqref="O36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275</v>
      </c>
      <c r="N166" s="27" t="s">
        <v>276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219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9</v>
      </c>
      <c r="G379" s="40">
        <f>G365+G378</f>
        <v>37.800000000000004</v>
      </c>
      <c r="H379" s="41"/>
      <c r="I379" s="41"/>
      <c r="J379" s="41"/>
      <c r="K379" s="41"/>
      <c r="L379" s="41"/>
      <c r="M379" s="42">
        <f ca="1">IFERROR(M365+M378,"")</f>
        <v>0.43124999999999997</v>
      </c>
      <c r="N379" s="40" t="s">
        <v>222</v>
      </c>
      <c r="O379" s="48">
        <f>IFERROR(O365+O378,"")</f>
        <v>29130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40" activePane="bottomLeft" state="frozen"/>
      <selection pane="bottomLeft" activeCell="F365" sqref="F36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290</v>
      </c>
      <c r="L58" s="29">
        <v>0.54097222222222219</v>
      </c>
      <c r="M58" s="30" t="str">
        <f t="shared" ca="1" si="13"/>
        <v/>
      </c>
      <c r="N58" s="27" t="s">
        <v>291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0.52496701389463851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0.72427256945019414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1.0916336805613052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236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236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236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236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236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236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236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236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236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236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125</v>
      </c>
      <c r="G379" s="40">
        <f>G365+G378</f>
        <v>525</v>
      </c>
      <c r="H379" s="41"/>
      <c r="I379" s="41"/>
      <c r="J379" s="41"/>
      <c r="K379" s="63"/>
      <c r="L379" s="63"/>
      <c r="M379" s="42">
        <f ca="1">IFERROR(M365+M378,"")</f>
        <v>0.10486111111111118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2026-07-14T22:35:27Z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