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90" documentId="8_{AF585B22-221D-4780-BB9C-493D365A6A02}" xr6:coauthVersionLast="47" xr6:coauthVersionMax="47" xr10:uidLastSave="{E9E4E370-1D41-4844-A772-239018BF5A6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<sst xmlns="http://schemas.openxmlformats.org/spreadsheetml/2006/main" count="12593" uniqueCount="445">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</sst>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5" sqref="F83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>
        <v>39</v>
      </c>
      <c r="G833" s="101">
        <f>IF(F833="","",IF(E833="PC 17",F833*4.2,IF(E833="PC 19",F833*5,"")))</f>
        <v>195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>
        <v>36</v>
      </c>
      <c r="G834" s="101">
        <f>IF(F834="","",IF(E834="PC 17",F834*4.2,IF(E834="PC 19",F834*5,"")))</f>
        <v>180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269</v>
      </c>
      <c r="G837" s="109">
        <f>SUM(G825:G836)</f>
        <v>1345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402</v>
      </c>
      <c r="G838" s="111">
        <f>G824+G837</f>
        <v>1345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11" activePane="bottomLeft" state="frozen"/>
      <selection pane="bottomLeft" activeCell="L835" sqref="L8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0.98684548610617639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1.1444843749950653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1.2542065972172876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0.96531770833098562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1.136151041664319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1.2812899305532079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>
        <v>0.1388888888888889</v>
      </c>
      <c r="M831" s="79">
        <f ca="1">IFERROR(IF(K831="","",IF(L831="",MOD(NOW()-K831,1),IF(L831&gt;=K831,L831-K831,L831+1-K831))),"")</f>
        <v>2.7777777777777957E-3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 t="s">
        <v>20</v>
      </c>
      <c r="I832" s="80"/>
      <c r="J832" s="80" t="s">
        <v>129</v>
      </c>
      <c r="K832" s="98">
        <v>0.15277777777777779</v>
      </c>
      <c r="L832" s="98">
        <v>0.15972222222222221</v>
      </c>
      <c r="M832" s="78">
        <f ca="1">IFERROR(IF(K832="","",IF(L832="",MOD(NOW()-K832,1),IF(L832&gt;=K832,L832-K832,L832+1-K832))),"")</f>
        <v>6.9444444444444198E-3</v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>
        <v>7</v>
      </c>
      <c r="G833" s="104">
        <f>IF(F833="","",IF(E833="PC 17",F833*4.2,IF(E833="PC 19",F833*5,"")))</f>
        <v>29.400000000000002</v>
      </c>
      <c r="H833" s="81" t="s">
        <v>20</v>
      </c>
      <c r="I833" s="81" t="s">
        <v>31</v>
      </c>
      <c r="J833" s="81" t="s">
        <v>36</v>
      </c>
      <c r="K833" s="98">
        <v>0.15972222222222221</v>
      </c>
      <c r="L833" s="98">
        <v>0.16597222222222222</v>
      </c>
      <c r="M833" s="79">
        <f ca="1">IFERROR(IF(K833="","",IF(L833="",MOD(NOW()-K833,1),IF(L833&gt;=K833,L833-K833,L833+1-K833))),"")</f>
        <v>6.2500000000000056E-3</v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>
        <v>10</v>
      </c>
      <c r="G834" s="104">
        <f>IF(F834="","",IF(E834="PC 17",F834*4.2,IF(E834="PC 19",F834*5,"")))</f>
        <v>42</v>
      </c>
      <c r="H834" s="80" t="s">
        <v>20</v>
      </c>
      <c r="I834" s="80" t="s">
        <v>136</v>
      </c>
      <c r="J834" s="80" t="s">
        <v>74</v>
      </c>
      <c r="K834" s="98">
        <v>0.21458333333333332</v>
      </c>
      <c r="L834" s="98">
        <v>0.22222222222222221</v>
      </c>
      <c r="M834" s="78">
        <f ca="1">IFERROR(IF(K834="","",IF(L834="",MOD(NOW()-K834,1),IF(L834&gt;=K834,L834-K834,L834+1-K834))),"")</f>
        <v>7.6388888888888895E-3</v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177</v>
      </c>
      <c r="G837" s="109">
        <f>SUM(G825:G836)</f>
        <v>756.2</v>
      </c>
      <c r="H837" s="37"/>
      <c r="I837" s="37"/>
      <c r="J837" s="37"/>
      <c r="K837" s="37"/>
      <c r="L837" s="37"/>
      <c r="M837" s="110">
        <f ca="1">IFERROR(SUM(M825:M836),"")</f>
        <v>6.944444444444435E-2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346</v>
      </c>
      <c r="G838" s="111">
        <f>G824+G837</f>
        <v>1466</v>
      </c>
      <c r="H838" s="41"/>
      <c r="I838" s="41"/>
      <c r="J838" s="41"/>
      <c r="K838" s="41"/>
      <c r="L838" s="41"/>
      <c r="M838" s="112">
        <f ca="1">IFERROR(M824+M837,"")</f>
        <v>0.17430555555555549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801" zoomScale="50" zoomScaleNormal="50" workbookViewId="0">
      <selection activeCell="I827" sqref="I8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 t="s">
        <v>19</v>
      </c>
      <c r="I826" s="80" t="s">
        <v>47</v>
      </c>
      <c r="J826" s="80" t="s">
        <v>27</v>
      </c>
      <c r="K826" s="98">
        <v>0.17916666666666667</v>
      </c>
      <c r="L826" s="98">
        <v>0.19166666666666668</v>
      </c>
      <c r="M826" s="78">
        <f ca="1">IFERROR(IF(K826="","",IF(L826="",MOD(NOW()-K826,1),IF(L826&gt;=K826,L826-K826,L826+1-K826))),"")</f>
        <v>1.2500000000000011E-2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 t="s">
        <v>20</v>
      </c>
      <c r="I827" s="81" t="s">
        <v>136</v>
      </c>
      <c r="J827" s="81"/>
      <c r="K827" s="98">
        <v>0.22569444444444445</v>
      </c>
      <c r="L827" s="98"/>
      <c r="M827" s="79">
        <f ca="1">IFERROR(IF(K827="","",IF(L827="",MOD(NOW()-K827,1),IF(L827&gt;=K827,L827-K827,L827+1-K827))),"")</f>
        <v>7.3437499668216333E-4</v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14</v>
      </c>
      <c r="G833" s="104">
        <f>IF(F833="","",IF(E833="PC 17",F833*4.2,IF(E833="PC 19",F833*5,"")))</f>
        <v>58.800000000000004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2</v>
      </c>
      <c r="G834" s="104">
        <f>IF(F834="","",IF(E834="PC 17",F834*4.2,IF(E834="PC 19",F834*5,"")))</f>
        <v>8.4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122</v>
      </c>
      <c r="G837" s="109">
        <f>SUM(G825:G836)</f>
        <v>521.19999999999993</v>
      </c>
      <c r="H837" s="37"/>
      <c r="I837" s="37"/>
      <c r="J837" s="37"/>
      <c r="K837" s="37"/>
      <c r="L837" s="37"/>
      <c r="M837" s="110">
        <f ca="1">IFERROR(SUM(M825:M836),"")</f>
        <v>1.53177083300155E-2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217</v>
      </c>
      <c r="G838" s="111">
        <f>G824+G837</f>
        <v>920.19999999999982</v>
      </c>
      <c r="H838" s="41"/>
      <c r="I838" s="41"/>
      <c r="J838" s="41"/>
      <c r="K838" s="41"/>
      <c r="L838" s="41"/>
      <c r="M838" s="112">
        <f ca="1">IFERROR(M824+M837,"")</f>
        <v>7.2956597218904407E-2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5" sqref="F8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0.97712326388864312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1.1764288194441987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1.5437899305553098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>
        <v>24</v>
      </c>
      <c r="G833" s="104">
        <f>IF(F833="","",IF(E833="PC 17",F833*4.2,IF(E833="PC 19",F833*5,"")))</f>
        <v>100.80000000000001</v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>
        <v>12</v>
      </c>
      <c r="G834" s="104">
        <f>IF(F834="","",IF(E834="PC 17",F834*4.2,IF(E834="PC 19",F834*5,"")))</f>
        <v>50.400000000000006</v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125</v>
      </c>
      <c r="G837" s="109">
        <f>SUM(G825:G836)</f>
        <v>525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244</v>
      </c>
      <c r="G838" s="111">
        <f>G824+G837</f>
        <v>1024.8000000000002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2026-08-01T09:26:27Z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