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88" documentId="8_{AF585B22-221D-4780-BB9C-493D365A6A02}" xr6:coauthVersionLast="47" xr6:coauthVersionMax="47" xr10:uidLastSave="{1688D014-BCF5-484C-87DB-F745947E7A98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<sst xmlns="http://schemas.openxmlformats.org/spreadsheetml/2006/main" count="9841" uniqueCount="386">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</sst>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E27" sqref="E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19" activePane="bottomLeft" state="frozen"/>
      <selection pane="bottomLeft" activeCell="F643" sqref="F6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 t="shared" si="141"/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194</v>
      </c>
      <c r="G648" s="36">
        <f>SUM(G636:G647)</f>
        <v>970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527</v>
      </c>
      <c r="G649" s="40">
        <f>G635+G648</f>
        <v>2635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2" sqref="F6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0.84638356481445953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1.0040224537033484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1.1137446759255707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0.82485578703926876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0.99568912037260215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1.1408280092614911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/>
      <c r="M638" s="30">
        <f t="shared" ca="1" si="142"/>
        <v>6.5133564814459532E-2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98</v>
      </c>
      <c r="G648" s="36">
        <f>SUM(G636:G647)</f>
        <v>411.6</v>
      </c>
      <c r="H648" s="37"/>
      <c r="I648" s="37"/>
      <c r="J648" s="37"/>
      <c r="K648" s="37"/>
      <c r="L648" s="37"/>
      <c r="M648" s="38">
        <f ca="1">IFERROR(SUM(M636:M647),"")</f>
        <v>8.8744675925570671E-2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191</v>
      </c>
      <c r="G649" s="40">
        <f>G635+G648</f>
        <v>802.2</v>
      </c>
      <c r="H649" s="41"/>
      <c r="I649" s="41"/>
      <c r="J649" s="41"/>
      <c r="K649" s="41"/>
      <c r="L649" s="41"/>
      <c r="M649" s="42">
        <f ca="1">IFERROR(M635+M648,"")</f>
        <v>1.064439120370015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42" sqref="F6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/>
      <c r="M636" s="30">
        <f t="shared" ref="M636:M647" ca="1" si="142">IFERROR(IF(K636="","",IF(L636="",MOD(NOW()-K636,1),IF(L636&gt;=K636,L636-K636,L636+1-K636))),"")</f>
        <v>6.5133564814459532E-2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55</v>
      </c>
      <c r="G648" s="36">
        <f>SUM(G636:G647)</f>
        <v>231</v>
      </c>
      <c r="H648" s="37"/>
      <c r="I648" s="37"/>
      <c r="J648" s="37"/>
      <c r="K648" s="37"/>
      <c r="L648" s="37"/>
      <c r="M648" s="38">
        <f ca="1">IFERROR(SUM(M636:M647),"")</f>
        <v>6.5133564814459532E-2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201</v>
      </c>
      <c r="G649" s="40">
        <f>G635+G648</f>
        <v>844.19999999999993</v>
      </c>
      <c r="H649" s="41"/>
      <c r="I649" s="41"/>
      <c r="J649" s="41"/>
      <c r="K649" s="41"/>
      <c r="L649" s="41"/>
      <c r="M649" s="42">
        <f ca="1">IFERROR(M635+M648,"")</f>
        <v>7.0689120370015068E-2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F642" sqref="F64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0.83666134259692626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1.0359668981524819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1.4033280092635929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22</v>
      </c>
      <c r="G648" s="36">
        <f>SUM(G636:G647)</f>
        <v>92.4</v>
      </c>
      <c r="H648" s="37"/>
      <c r="I648" s="37"/>
      <c r="J648" s="37"/>
      <c r="K648" s="61"/>
      <c r="L648" s="61"/>
      <c r="M648" s="38">
        <f ca="1">IFERROR(SUM(M636:M647),"")</f>
        <v>0.23541666666666672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108</v>
      </c>
      <c r="G649" s="40">
        <f>G635+G648</f>
        <v>453.6</v>
      </c>
      <c r="H649" s="41"/>
      <c r="I649" s="41"/>
      <c r="J649" s="41"/>
      <c r="K649" s="63"/>
      <c r="L649" s="63"/>
      <c r="M649" s="42">
        <f ca="1">IFERROR(M635+M648,"")</f>
        <v>0.4118055555555557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2026-07-25T06:04:22Z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