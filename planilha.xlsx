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1" documentId="13_ncr:1_{0A10D8D4-8450-4366-8075-B53B08E6B7EA}" xr6:coauthVersionLast="47" xr6:coauthVersionMax="47" xr10:uidLastSave="{5C05C80B-5CCF-42C6-8411-84F7D2BABC6D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<sst xmlns="http://schemas.openxmlformats.org/spreadsheetml/2006/main" count="7758" uniqueCount="374">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</sst>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1187750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2410950</v>
      </c>
      <c r="H20" s="96">
        <f>IFERROR('Linha 1'!T460+'Linha 2'!T460+'Linha 3'!T460,0)</f>
        <v>489.85767183840744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20725020</v>
      </c>
      <c r="E35" s="13">
        <f t="shared" si="2"/>
        <v>10451720</v>
      </c>
      <c r="F35" s="13">
        <f t="shared" si="2"/>
        <v>25736290</v>
      </c>
      <c r="G35" s="13">
        <f t="shared" si="2"/>
        <v>56913030</v>
      </c>
      <c r="H35" s="97">
        <f t="shared" si="2"/>
        <v>4176.8592046291396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L447" sqref="L44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S452" sqref="S45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0.16293854165996891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0.3018274305488578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0.38654965277108011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D450" sqref="D4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08"/>
        <v>0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08"/>
        <v>0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D452" sqref="D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0</v>
      </c>
      <c r="I457" s="135">
        <f>IFERROR(IF($D457="","",VLOOKUP($D457,Cadastro!$C$4:$G$7,5,FALSE)),"")</f>
        <v>0.6</v>
      </c>
      <c r="J457" s="136">
        <f t="shared" si="110"/>
        <v>0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