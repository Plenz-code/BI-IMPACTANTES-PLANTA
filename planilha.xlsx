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528" documentId="13_ncr:1_{A6DBCFB4-28D9-4249-9038-216934055CA6}" xr6:coauthVersionLast="47" xr6:coauthVersionMax="47" xr10:uidLastSave="{0AF06DDC-D7DD-4AC4-A0BA-EE77FE750A57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43" i="5" l="1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<sst xmlns="http://schemas.openxmlformats.org/spreadsheetml/2006/main" count="9339" uniqueCount="408">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</sst>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2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24" sqref="G24:G3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216930</v>
      </c>
      <c r="E24" s="19">
        <f>IFERROR('Linha 2'!S568,"")</f>
        <v>39890</v>
      </c>
      <c r="F24" s="19">
        <f>IFERROR('Linha 3'!S568,"")</f>
        <v>766150</v>
      </c>
      <c r="G24" s="20">
        <f t="shared" si="0"/>
        <v>1022970</v>
      </c>
      <c r="H24" s="21">
        <f>IFERROR('Linha 1'!T568+'Linha 2'!T568+'Linha 3'!T568,0)</f>
        <v>147.30768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74069910</v>
      </c>
      <c r="D35" s="30">
        <f t="shared" si="2"/>
        <v>24659450</v>
      </c>
      <c r="E35" s="30">
        <f t="shared" si="2"/>
        <v>12971540</v>
      </c>
      <c r="F35" s="30">
        <f t="shared" si="2"/>
        <v>32182760</v>
      </c>
      <c r="G35" s="30">
        <f t="shared" si="2"/>
        <v>69813750</v>
      </c>
      <c r="H35" s="31">
        <f t="shared" si="2"/>
        <v>6312.9931526915116</v>
      </c>
      <c r="I35" s="31">
        <f t="shared" si="2"/>
        <v>4967.05</v>
      </c>
      <c r="J35" s="32">
        <f>I35/H35</f>
        <v>0.78679793876892201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R60" sqref="R6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224</v>
      </c>
      <c r="Q61" s="40"/>
      <c r="R61" s="40"/>
    </row>
    <row r="62" spans="1:18" ht="15" customHeight="1">
      <c r="M62" s="162"/>
      <c r="N62" s="37"/>
      <c r="O62" s="37"/>
      <c r="P62" s="37" t="s">
        <v>225</v>
      </c>
      <c r="Q62" s="37"/>
      <c r="R62" s="37"/>
    </row>
    <row r="63" spans="1:18" ht="15" customHeight="1">
      <c r="M63" s="162"/>
      <c r="N63" s="40"/>
      <c r="O63" s="40"/>
      <c r="P63" s="40" t="s">
        <v>226</v>
      </c>
      <c r="Q63" s="40"/>
      <c r="R63" s="40"/>
    </row>
    <row r="64" spans="1:18" ht="15" customHeight="1">
      <c r="M64" s="162"/>
      <c r="N64" s="37"/>
      <c r="O64" s="37"/>
      <c r="P64" s="37" t="s">
        <v>227</v>
      </c>
      <c r="Q64" s="37"/>
      <c r="R64" s="37"/>
    </row>
    <row r="65" spans="13:18" ht="15" customHeight="1">
      <c r="M65" s="162"/>
      <c r="N65" s="40"/>
      <c r="O65" s="40"/>
      <c r="P65" s="40" t="s">
        <v>228</v>
      </c>
      <c r="Q65" s="40"/>
      <c r="R65" s="40"/>
    </row>
    <row r="66" spans="13:18" ht="15" customHeight="1">
      <c r="M66" s="162"/>
      <c r="N66" s="37"/>
      <c r="O66" s="37"/>
      <c r="P66" s="37" t="s">
        <v>229</v>
      </c>
      <c r="Q66" s="37"/>
      <c r="R66" s="37"/>
    </row>
    <row r="67" spans="13:18" ht="15" customHeight="1">
      <c r="M67" s="162"/>
      <c r="N67" s="40"/>
      <c r="O67" s="40"/>
      <c r="P67" s="40" t="s">
        <v>230</v>
      </c>
      <c r="Q67" s="40"/>
      <c r="R67" s="40"/>
    </row>
    <row r="68" spans="13:18" ht="15" customHeight="1">
      <c r="M68" s="162"/>
      <c r="N68" s="37"/>
      <c r="O68" s="37"/>
      <c r="P68" s="37" t="s">
        <v>231</v>
      </c>
      <c r="Q68" s="37"/>
      <c r="R68" s="37"/>
    </row>
    <row r="69" spans="13:18" ht="15" customHeight="1">
      <c r="M69" s="162"/>
      <c r="N69" s="40"/>
      <c r="O69" s="40"/>
      <c r="P69" s="40" t="s">
        <v>232</v>
      </c>
      <c r="Q69" s="40"/>
      <c r="R69" s="40"/>
    </row>
    <row r="70" spans="13:18" ht="15" customHeight="1">
      <c r="M70" s="162"/>
      <c r="N70" s="37"/>
      <c r="O70" s="37"/>
      <c r="P70" s="37" t="s">
        <v>233</v>
      </c>
      <c r="Q70" s="37"/>
      <c r="R70" s="37"/>
    </row>
    <row r="71" spans="13:18" ht="15" customHeight="1">
      <c r="M71" s="162"/>
      <c r="N71" s="40"/>
      <c r="O71" s="40"/>
      <c r="P71" s="40" t="s">
        <v>234</v>
      </c>
      <c r="Q71" s="40"/>
      <c r="R71" s="40"/>
    </row>
    <row r="72" spans="13:18" ht="15" customHeight="1">
      <c r="M72" s="162"/>
      <c r="N72" s="37"/>
      <c r="O72" s="37"/>
      <c r="P72" s="37" t="s">
        <v>235</v>
      </c>
      <c r="Q72" s="37"/>
      <c r="R72" s="37"/>
    </row>
    <row r="73" spans="13:18" ht="15" customHeight="1">
      <c r="M73" s="162"/>
      <c r="N73" s="40"/>
      <c r="O73" s="40"/>
      <c r="P73" s="40" t="s">
        <v>236</v>
      </c>
      <c r="Q73" s="40"/>
      <c r="R73" s="40"/>
    </row>
    <row r="74" spans="13:18" ht="15" customHeight="1">
      <c r="M74" s="162"/>
      <c r="N74" s="37"/>
      <c r="O74" s="37"/>
      <c r="P74" s="37" t="s">
        <v>237</v>
      </c>
      <c r="Q74" s="37"/>
      <c r="R74" s="37"/>
    </row>
    <row r="75" spans="13:18" ht="15" customHeight="1">
      <c r="M75" s="162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250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250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250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250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250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250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250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250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250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250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250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250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250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250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250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250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250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250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250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4" t="s">
        <v>250</v>
      </c>
      <c r="B61" s="164"/>
      <c r="C61" s="164"/>
      <c r="D61" s="164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250</v>
      </c>
      <c r="B64" s="164"/>
      <c r="C64" s="164"/>
      <c r="D64" s="164"/>
      <c r="E64" s="149">
        <f>SUM(E62:E63)</f>
        <v>50</v>
      </c>
      <c r="F64" s="150">
        <f>IFERROR(SUM(F62:F63),"")</f>
        <v>135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250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250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250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250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250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250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250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250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250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250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540" activePane="bottomLeft" state="frozen"/>
      <selection pane="bottomLeft" activeCell="N555" sqref="N555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261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264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6" t="s">
        <v>250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261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264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6" t="s">
        <v>250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261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264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6" t="s">
        <v>250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261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264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6" t="s">
        <v>250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261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264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6" t="s">
        <v>250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261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264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6" t="s">
        <v>250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261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264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6" t="s">
        <v>250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261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264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6" t="s">
        <v>250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261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264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6" t="s">
        <v>250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261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264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6" t="s">
        <v>250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261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264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6" t="s">
        <v>250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261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264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6" t="s">
        <v>250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261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264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6" t="s">
        <v>250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261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264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6" t="s">
        <v>250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261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264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6" t="s">
        <v>250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261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264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6" t="s">
        <v>250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261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264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6" t="s">
        <v>250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261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264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6" t="s">
        <v>250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261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264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6" t="s">
        <v>250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261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264</v>
      </c>
      <c r="B540" s="165"/>
      <c r="C540" s="165"/>
      <c r="D540" s="165"/>
      <c r="E540" s="165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6" t="s">
        <v>250</v>
      </c>
      <c r="B541" s="166"/>
      <c r="C541" s="166"/>
      <c r="D541" s="166"/>
      <c r="E541" s="166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261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0.87708333333333333</v>
      </c>
      <c r="M555" s="71">
        <f t="shared" ref="M555:M566" ca="1" si="120">IFERROR(IF(K555="","",IF(L555="",MOD(NOW()-K555,1),IF(L555&gt;=K555,L555-K555,L555+1-K555))),"")</f>
        <v>8.5416666666666696E-2</v>
      </c>
      <c r="N555" s="167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264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8.5416666666666696E-2</v>
      </c>
      <c r="N567" s="2" t="s">
        <v>262</v>
      </c>
      <c r="O567" s="74"/>
    </row>
    <row r="568" spans="1:15" ht="18" customHeight="1">
      <c r="A568" s="166" t="s">
        <v>250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0.5854166666666667</v>
      </c>
      <c r="N568" s="1" t="s">
        <v>265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261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264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6" t="s">
        <v>250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261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264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6" t="s">
        <v>250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261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264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6" t="s">
        <v>250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261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264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6" t="s">
        <v>250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261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264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6" t="s">
        <v>250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261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264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6" t="s">
        <v>250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261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264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6" t="s">
        <v>250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261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264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6" t="s">
        <v>250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261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264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6" t="s">
        <v>250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261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264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6" t="s">
        <v>250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40" activePane="bottomLeft" state="frozen"/>
      <selection pane="bottomLeft" activeCell="M562" sqref="M562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300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301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302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304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305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306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307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0.75737268518423662</v>
      </c>
      <c r="R53" s="80" t="s">
        <v>308</v>
      </c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0.89626157407312435</v>
      </c>
      <c r="R54" s="2" t="s">
        <v>262</v>
      </c>
      <c r="S54" s="113">
        <v>352430</v>
      </c>
      <c r="T54" s="114"/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0.98098379629534715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300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309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310</v>
      </c>
      <c r="Q96" s="66" t="str">
        <f t="shared" ref="Q96:Q107" ca="1" si="22">IFERROR(IF(O96="","",IF(P96="",MOD(NOW()-O96,1),IF(P96&gt;=O96,P96-O96,P96+1-O96))),"")</f>
        <v/>
      </c>
      <c r="R96" s="80" t="s">
        <v>311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312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313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314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315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316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317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319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316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320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321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314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309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322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323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324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325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326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327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328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329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321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316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309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330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331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332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333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334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335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336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337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338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339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316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340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341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/>
      <c r="F555" s="101">
        <f>IFERROR(IF($D555="","",VLOOKUP($D555,Cadastro!$C$4:$E$7,3,FALSE())),"")</f>
        <v>0.24</v>
      </c>
      <c r="G555" s="89"/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>
        <v>0.79166666666666663</v>
      </c>
      <c r="P555" s="65"/>
      <c r="Q555" s="71">
        <f t="shared" ref="Q555:Q566" ca="1" si="144">IFERROR(IF(O555="","",IF(P555="",MOD(NOW()-O555,1),IF(P555&gt;=O555,P555-O555,P555+1-O555))),"")</f>
        <v>8.7233796301006805E-2</v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/>
      <c r="F556" s="88">
        <f>IFERROR(IF($D556="","",VLOOKUP($D556,Cadastro!$C$4:$E$7,3,FALSE())),"")</f>
        <v>0.24</v>
      </c>
      <c r="G556" s="89"/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8.7233796301006805E-2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0.40876157407878444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36" activePane="bottomLeft" state="frozen"/>
      <selection pane="bottomLeft" activeCell="M558" sqref="M558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342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303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343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309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342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342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344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345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346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347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348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349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350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317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261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309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351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352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320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320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353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354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355</v>
      </c>
      <c r="Q222" s="66" t="str">
        <f t="shared" ca="1" si="49"/>
        <v/>
      </c>
      <c r="R222" s="63" t="s">
        <v>356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357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327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358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328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309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261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359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331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360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361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362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362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363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309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364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349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365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366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367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309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368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369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39"/>
        <v>0</v>
      </c>
      <c r="K556" s="64">
        <f t="shared" si="140"/>
        <v>95</v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19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95</v>
      </c>
      <c r="L567" s="72"/>
      <c r="M567" s="72"/>
      <c r="N567" s="72"/>
      <c r="O567" s="72"/>
      <c r="P567" s="72"/>
      <c r="Q567" s="73">
        <f ca="1">IFERROR(SUM(Q555:Q566),"")</f>
        <v>1.736111111111116E-2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28</v>
      </c>
      <c r="H568" s="108">
        <f>IFERROR(H554+H567,"")</f>
        <v>39.89</v>
      </c>
      <c r="I568" s="110"/>
      <c r="J568" s="111">
        <f>IFERROR(J554+J567,"")</f>
        <v>5.7441599999999999</v>
      </c>
      <c r="K568" s="1">
        <f>K554+K567</f>
        <v>132.80000000000001</v>
      </c>
      <c r="L568" s="76"/>
      <c r="M568" s="76"/>
      <c r="N568" s="76"/>
      <c r="O568" s="76"/>
      <c r="P568" s="76"/>
      <c r="Q568" s="77">
        <f ca="1">IFERROR(Q554+Q567,"")</f>
        <v>0.42777777777777787</v>
      </c>
      <c r="R568" s="1" t="s">
        <v>265</v>
      </c>
      <c r="S568" s="82">
        <f>IFERROR(S554+S567,"")</f>
        <v>39890</v>
      </c>
      <c r="T568" s="118">
        <f>IFERROR(J568,"")</f>
        <v>5.7441599999999999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36" activePane="bottomLeft" state="frozen"/>
      <selection pane="bottomLeft" activeCell="E556" sqref="E55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298</v>
      </c>
      <c r="I1" s="86" t="s">
        <v>22</v>
      </c>
      <c r="J1" s="86" t="s">
        <v>299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299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261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370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306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342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371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372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264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7" t="s">
        <v>250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261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373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264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7" t="s">
        <v>250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374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375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261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376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342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264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7" t="s">
        <v>250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261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342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264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7" t="s">
        <v>250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377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261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378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309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342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264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7" t="s">
        <v>250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379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380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317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381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382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264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7" t="s">
        <v>250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383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261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384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264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7" t="s">
        <v>250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385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261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386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387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388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264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7" t="s">
        <v>250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389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390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261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391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392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264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7" t="s">
        <v>250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393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261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264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7" t="s">
        <v>250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261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264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7" t="s">
        <v>250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261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264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250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261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394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395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264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250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396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397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398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264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250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331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399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261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400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264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250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401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261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402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264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250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261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403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397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264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250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261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404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364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264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250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261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405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264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250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261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264</v>
      </c>
      <c r="B540" s="156"/>
      <c r="C540" s="156"/>
      <c r="D540" s="156"/>
      <c r="E540" s="156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7" t="s">
        <v>250</v>
      </c>
      <c r="B541" s="157"/>
      <c r="C541" s="157"/>
      <c r="D541" s="157"/>
      <c r="E541" s="157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406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407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6" t="s">
        <v>261</v>
      </c>
      <c r="B554" s="156"/>
      <c r="C554" s="156"/>
      <c r="D554" s="156"/>
      <c r="E554" s="156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0</v>
      </c>
      <c r="K555" s="69">
        <f t="shared" ref="K555:K566" si="143">IF(G555="","",IF(E555="PC 17",G555*4.2,IF(E555="PC 19",G555*5,IF(E555="CB",G555*24,""))))</f>
        <v>92.4</v>
      </c>
      <c r="L555" s="70" t="s">
        <v>27</v>
      </c>
      <c r="M555" s="70" t="s">
        <v>61</v>
      </c>
      <c r="N555" s="70" t="s">
        <v>167</v>
      </c>
      <c r="O555" s="65">
        <v>0.83819444444444446</v>
      </c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0</v>
      </c>
      <c r="I556" s="90">
        <f>IFERROR(IF($D556="","",VLOOKUP($D556,Cadastro!$C$4:$G$7,5,FALSE())),"")</f>
        <v>0.6</v>
      </c>
      <c r="J556" s="91">
        <f t="shared" si="142"/>
        <v>0</v>
      </c>
      <c r="K556" s="64">
        <f t="shared" si="143"/>
        <v>15</v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/>
      <c r="F557" s="88">
        <f>IFERROR(IF($D557="","",VLOOKUP($D557,Cadastro!$C$4:$E$7,3,FALSE())),"")</f>
        <v>0.24</v>
      </c>
      <c r="G557" s="89"/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/>
      <c r="F558" s="88">
        <f>IFERROR(IF($D558="","",VLOOKUP($D558,Cadastro!$C$4:$E$7,3,FALSE())),"")</f>
        <v>0.24</v>
      </c>
      <c r="G558" s="89"/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264</v>
      </c>
      <c r="B567" s="156"/>
      <c r="C567" s="156"/>
      <c r="D567" s="156"/>
      <c r="E567" s="156"/>
      <c r="F567" s="105"/>
      <c r="G567" s="96">
        <f>SUM(G555:G566)</f>
        <v>25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107.4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262</v>
      </c>
      <c r="S567" s="74"/>
      <c r="T567" s="99">
        <f>IFERROR(J567,"")</f>
        <v>0</v>
      </c>
    </row>
    <row r="568" spans="1:20" ht="18" customHeight="1">
      <c r="A568" s="157" t="s">
        <v>250</v>
      </c>
      <c r="B568" s="157"/>
      <c r="C568" s="157"/>
      <c r="D568" s="157"/>
      <c r="E568" s="157"/>
      <c r="F568" s="108"/>
      <c r="G568" s="109">
        <f>G554+G567</f>
        <v>156</v>
      </c>
      <c r="H568" s="108">
        <f>IFERROR(H554+H567,"")</f>
        <v>766.15</v>
      </c>
      <c r="I568" s="110"/>
      <c r="J568" s="111">
        <f>IFERROR(J554+J567,"")</f>
        <v>110.32559999999999</v>
      </c>
      <c r="K568" s="1">
        <f>K554+K567</f>
        <v>657.6</v>
      </c>
      <c r="L568" s="76"/>
      <c r="M568" s="76"/>
      <c r="N568" s="76"/>
      <c r="O568" s="135"/>
      <c r="P568" s="135"/>
      <c r="Q568" s="77">
        <f ca="1">IFERROR(Q554+Q567,"")</f>
        <v>0.15625000000000006</v>
      </c>
      <c r="R568" s="1" t="s">
        <v>265</v>
      </c>
      <c r="S568" s="82">
        <f>IFERROR(S554+S567,"")</f>
        <v>766150</v>
      </c>
      <c r="T568" s="118">
        <f>IFERROR(J568,"")</f>
        <v>110.32559999999999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261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264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7" t="s">
        <v>250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261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264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7" t="s">
        <v>250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261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264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7" t="s">
        <v>250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261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264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7" t="s">
        <v>250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261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264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7" t="s">
        <v>250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261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264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7" t="s">
        <v>250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261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264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7" t="s">
        <v>250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261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264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7" t="s">
        <v>250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261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264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7" t="s">
        <v>250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261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264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7" t="s">
        <v>250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2026-08-22T01:06:10Z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