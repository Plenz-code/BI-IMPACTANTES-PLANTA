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60" documentId="8_{AF585B22-221D-4780-BB9C-493D365A6A02}" xr6:coauthVersionLast="47" xr6:coauthVersionMax="47" xr10:uidLastSave="{A57C1F70-25C6-4D7B-BF15-DCA32383B0DD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<sst xmlns="http://schemas.openxmlformats.org/spreadsheetml/2006/main" count="12363" uniqueCount="440">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</sst>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J812" sqref="J81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7.771643518935889E-3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/>
      <c r="G818" s="104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7.771643518935889E-3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7.771643518935889E-3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91" activePane="bottomLeft" state="frozen"/>
      <selection pane="bottomLeft" activeCell="F817" sqref="F8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0.26818831018317724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0.42582719907206612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0.53554942129428829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0.24666053240798647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0.41749386574131986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0.56263275463020879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85</v>
      </c>
      <c r="G824" s="109">
        <f>SUM(G812:G823)</f>
        <v>357</v>
      </c>
      <c r="H824" s="37"/>
      <c r="I824" s="37"/>
      <c r="J824" s="37"/>
      <c r="K824" s="37"/>
      <c r="L824" s="37"/>
      <c r="M824" s="110">
        <f ca="1">IFERROR(SUM(M812:M823),"")</f>
        <v>1.8055555555555547E-2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85</v>
      </c>
      <c r="G838" s="111">
        <f>G824+G837</f>
        <v>357</v>
      </c>
      <c r="H838" s="41"/>
      <c r="I838" s="41"/>
      <c r="J838" s="41"/>
      <c r="K838" s="41"/>
      <c r="L838" s="41"/>
      <c r="M838" s="112">
        <f ca="1">IFERROR(M824+M837,"")</f>
        <v>1.8055555555555547E-2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788" zoomScale="50" zoomScaleNormal="50" workbookViewId="0">
      <selection activeCell="J812" sqref="J81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355</v>
      </c>
      <c r="N166" s="27" t="s">
        <v>356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377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378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379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380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381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/>
      <c r="M812" s="78">
        <f ca="1">IFERROR(IF(K812="","",IF(L812="",MOD(NOW()-K812,1),IF(L812&gt;=K812,L812-K812,L812+1-K812))),"")</f>
        <v>7.771643518935889E-3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50</v>
      </c>
      <c r="G824" s="109">
        <f>SUM(G812:G823)</f>
        <v>210</v>
      </c>
      <c r="H824" s="37"/>
      <c r="I824" s="37"/>
      <c r="J824" s="37"/>
      <c r="K824" s="37"/>
      <c r="L824" s="37"/>
      <c r="M824" s="110">
        <f ca="1">IFERROR(SUM(M812:M823),"")</f>
        <v>7.771643518935889E-3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50</v>
      </c>
      <c r="G838" s="111">
        <f>G824+G837</f>
        <v>210</v>
      </c>
      <c r="H838" s="41"/>
      <c r="I838" s="41"/>
      <c r="J838" s="41"/>
      <c r="K838" s="41"/>
      <c r="L838" s="41"/>
      <c r="M838" s="112">
        <f ca="1">IFERROR(M824+M837,"")</f>
        <v>7.771643518935889E-3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17" sqref="F81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386</v>
      </c>
      <c r="L58" s="29">
        <v>0.54097222222222219</v>
      </c>
      <c r="M58" s="30" t="str">
        <f t="shared" ca="1" si="13"/>
        <v/>
      </c>
      <c r="N58" s="27" t="s">
        <v>387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0.25846608796564396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0.45777164352119959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0.82513275463231062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432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433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434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431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435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436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437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438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439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/>
      <c r="G817" s="104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261</v>
      </c>
      <c r="F818" s="100"/>
      <c r="G818" s="104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39</v>
      </c>
      <c r="G824" s="109">
        <f>SUM(G812:G823)</f>
        <v>163.80000000000001</v>
      </c>
      <c r="H824" s="37"/>
      <c r="I824" s="37"/>
      <c r="J824" s="37"/>
      <c r="K824" s="37"/>
      <c r="L824" s="37"/>
      <c r="M824" s="110">
        <f ca="1">IFERROR(SUM(M812:M823),"")</f>
        <v>7.0833333333333304E-2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39</v>
      </c>
      <c r="G838" s="111">
        <f>G824+G837</f>
        <v>163.80000000000001</v>
      </c>
      <c r="H838" s="41"/>
      <c r="I838" s="41"/>
      <c r="J838" s="41"/>
      <c r="K838" s="41"/>
      <c r="L838" s="41"/>
      <c r="M838" s="112">
        <f ca="1">IFERROR(M824+M837,"")</f>
        <v>7.0833333333333304E-2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2026-07-31T16:12:59Z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