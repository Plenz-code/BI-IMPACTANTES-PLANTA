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46" documentId="8_{AF585B22-221D-4780-BB9C-493D365A6A02}" xr6:coauthVersionLast="47" xr6:coauthVersionMax="47" xr10:uidLastSave="{29C33CAD-BFBB-4978-A11A-002C4B999A0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<sst xmlns="http://schemas.openxmlformats.org/spreadsheetml/2006/main" count="9650" uniqueCount="383">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</sst>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8" sqref="F6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135</v>
      </c>
      <c r="G635" s="36">
        <f>SUM(G623:G634)</f>
        <v>675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135</v>
      </c>
      <c r="G649" s="40">
        <f>G635+G648</f>
        <v>675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07" activePane="bottomLeft" state="frozen"/>
      <selection pane="bottomLeft" activeCell="L624" sqref="L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0.27438275462918682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0.4320216435180757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0.54174386574029787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0.25285497685399605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0.42368831018732944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0.56882719907621837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M624" s="30" t="str">
        <f ca="1">IFERROR(IF(K624="","",IF(L623="",MOD(NOW()-K624,1),IF(L623&gt;=K624,L623-K624,L623+1-K624))),"")</f>
        <v/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51</v>
      </c>
      <c r="G635" s="36">
        <f>SUM(G623:G634)</f>
        <v>214.2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51</v>
      </c>
      <c r="G649" s="40">
        <f>G635+G648</f>
        <v>214.2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8" sqref="F6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70</v>
      </c>
      <c r="G635" s="36">
        <f>SUM(G623:G634)</f>
        <v>294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70</v>
      </c>
      <c r="G649" s="40">
        <f>G635+G648</f>
        <v>294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I631" sqref="I6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0.26466053241165355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0.46396608796720917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0.8313271990783202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64</v>
      </c>
      <c r="G635" s="36">
        <f>SUM(G623:G634)</f>
        <v>268.8</v>
      </c>
      <c r="H635" s="37"/>
      <c r="I635" s="37"/>
      <c r="J635" s="37"/>
      <c r="K635" s="61"/>
      <c r="L635" s="61"/>
      <c r="M635" s="38">
        <f ca="1">IFERROR(SUM(M623:M634),"")</f>
        <v>3.4722222222222654E-3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</v>
      </c>
      <c r="G649" s="40">
        <f>G635+G648</f>
        <v>268.8</v>
      </c>
      <c r="H649" s="41"/>
      <c r="I649" s="41"/>
      <c r="J649" s="41"/>
      <c r="K649" s="63"/>
      <c r="L649" s="63"/>
      <c r="M649" s="42">
        <f ca="1">IFERROR(M635+M648,"")</f>
        <v>3.4722222222222654E-3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2026-07-24T16:22:09Z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