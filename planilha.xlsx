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74" documentId="8_{AF585B22-221D-4780-BB9C-493D365A6A02}" xr6:coauthVersionLast="47" xr6:coauthVersionMax="47" xr10:uidLastSave="{4BAACA40-AC69-4FFC-9E8F-2D21D31D7E6A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23" i="4" l="1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4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<sst xmlns="http://schemas.openxmlformats.org/spreadsheetml/2006/main" count="1315" uniqueCount="201">
  <si>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</si>
  <si>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</si>
  <si>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</si>
  <si>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</si>
  <si>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</si>
  <si>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</si>
  <si>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</si>
  <si>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</si>
  <si>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</si>
  <si>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</si>
  <si>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</si>
  <si>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</si>
  <si>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</si>
  <si>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</si>
  <si>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</si>
  <si>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</si>
  <si>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</si>
  <si>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</si>
  <si>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</si>
  <si>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</si>
  <si>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</si>
  <si>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</si>
  <si>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</si>
  <si>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</si>
  <si>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</si>
  <si>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</si>
  <si>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</si>
  <si>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</si>
  <si>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</si>
  <si>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</si>
  <si>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</si>
  <si>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</si>
  <si>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</si>
  <si>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</si>
  <si>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</si>
  <si>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</si>
  <si>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</si>
  <si>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</si>
  <si>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</si>
  <si>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</si>
  <si>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</si>
  <si>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</si>
  <si>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</si>
  <si>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</si>
  <si>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</si>
  <si>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</si>
  <si>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</si>
  <si>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</si>
  <si>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</si>
  <si>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</si>
  <si>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</si>
  <si>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</si>
  <si>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</si>
  <si>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</si>
  <si>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</si>
  <si>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</si>
  <si>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</si>
  <si>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</si>
  <si>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</si>
  <si>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</si>
  <si>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</si>
  <si>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</si>
  <si>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</si>
  <si>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</si>
  <si>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</si>
  <si>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</si>
  <si>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</si>
  <si>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</si>
  <si>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</si>
  <si>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</si>
  <si>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</si>
  <si>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</si>
  <si>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</si>
  <si>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</si>
  <si>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</si>
  <si>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</si>
  <si>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</si>
  <si>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</si>
  <si>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</si>
  <si>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</si>
  <si>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</si>
  <si>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</si>
  <si>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</si>
  <si>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</si>
  <si>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</si>
  <si>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</si>
  <si>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</si>
  <si>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</si>
  <si>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</si>
  <si>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</si>
  <si>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</si>
  <si>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</si>
  <si>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</si>
  <si>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</si>
  <si>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</si>
  <si>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</si>
  <si>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</si>
  <si>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</si>
  <si>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</si>
  <si>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</si>
  <si>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</si>
  <si>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</si>
  <si>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</si>
  <si>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</si>
  <si>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</si>
  <si>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</si>
  <si>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</si>
  <si>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</si>
  <si>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</si>
  <si>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</si>
  <si>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</si>
  <si>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</si>
  <si>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</si>
  <si>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</si>
  <si>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</si>
  <si>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</si>
  <si>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</si>
  <si>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</si>
  <si>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</si>
  <si>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</si>
  <si>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</si>
  <si>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</si>
  <si>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</si>
  <si>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</si>
  <si>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</si>
  <si>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</si>
  <si>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</si>
  <si>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</si>
  <si>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</si>
  <si>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</si>
  <si>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</si>
  <si>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</si>
  <si>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</si>
  <si>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</si>
  <si>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</si>
  <si>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</si>
  <si>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</si>
  <si>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</si>
  <si>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</si>
  <si>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</si>
  <si>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</si>
  <si>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</si>
  <si>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</si>
  <si>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</si>
  <si>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</si>
  <si>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</si>
  <si>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</si>
  <si>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</si>
  <si>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</si>
  <si>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</si>
  <si>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</si>
  <si>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</si>
  <si>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</si>
  <si>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</si>
  <si>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</si>
  <si>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</si>
  <si>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</si>
  <si>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</si>
  <si>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</si>
  <si>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</si>
  <si>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</si>
  <si>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</si>
  <si>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</si>
  <si>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</si>
  <si>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</si>
  <si>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</si>
  <si>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</si>
  <si>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</si>
  <si>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</si>
  <si>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</si>
  <si>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</si>
  <si>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</si>
  <si>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</si>
  <si>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</si>
  <si>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</si>
  <si>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</si>
  <si>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</si>
  <si>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</si>
  <si>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</si>
  <si>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</si>
  <si>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</si>
  <si>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</si>
  <si>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</si>
  <si>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</si>
  <si>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</si>
  <si>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</si>
  <si>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</si>
  <si>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</si>
  <si>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</si>
  <si>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</si>
  <si>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</si>
  <si>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</si>
  <si>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</si>
  <si>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</si>
  <si>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</si>
  <si>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</si>
  <si>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</si>
  <si>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</si>
  <si>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manutençao no rolamento do moinho 4</t>
  </si>
  <si>
    <t>troca de martelo</t>
  </si>
  <si>
    <t>OBS: APENAS MM 05 EM OPERACÃO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</si>
</sst>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1489420</v>
      </c>
      <c r="D4" s="8">
        <f>IFERROR('Linha 1'!O28,"")</f>
        <v>627260</v>
      </c>
      <c r="E4" s="8">
        <f>IFERROR('Linha 2'!O28,"")</f>
        <v>292530</v>
      </c>
      <c r="F4" s="8">
        <f>IFERROR('Linha 3'!O28,"")</f>
        <v>327070</v>
      </c>
      <c r="G4" s="9">
        <f t="shared" ref="G4:G34" si="0">IFERROR(D4+E4+F4,"")</f>
        <v>1246860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1489420</v>
      </c>
      <c r="D35" s="13">
        <f>IFERROR(SUM(D4:D34),"")</f>
        <v>627260</v>
      </c>
      <c r="E35" s="13">
        <f>IFERROR(SUM(E4:E34),"")</f>
        <v>292530</v>
      </c>
      <c r="F35" s="13">
        <f>IFERROR(SUM(F4:F34),"")</f>
        <v>327070</v>
      </c>
      <c r="G35" s="13">
        <f>IFERROR(SUM(G4:G34),"")</f>
        <v>1246860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51" sqref="I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9" activePane="bottomLeft" state="frozen"/>
      <selection pane="bottomLeft" activeCell="F25" sqref="F2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188</v>
      </c>
      <c r="F16" s="27">
        <v>12</v>
      </c>
      <c r="G16" s="34">
        <f t="shared" si="3"/>
        <v>60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188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188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188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188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188</v>
      </c>
      <c r="F22" s="27">
        <v>24</v>
      </c>
      <c r="G22" s="34">
        <f t="shared" si="3"/>
        <v>120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188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188</v>
      </c>
      <c r="F24" s="27">
        <v>19</v>
      </c>
      <c r="G24" s="34">
        <f t="shared" si="3"/>
        <v>95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188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188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176</v>
      </c>
      <c r="G27" s="36">
        <f>SUM(G15:G26)</f>
        <v>880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448</v>
      </c>
      <c r="G28" s="40">
        <f>G14+G27</f>
        <v>2240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1489420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F24" sqref="F2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80</v>
      </c>
      <c r="G27" s="36">
        <f>SUM(G15:G26)</f>
        <v>336.00000000000006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191</v>
      </c>
      <c r="O27" s="54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228</v>
      </c>
      <c r="G28" s="40">
        <f>G14+G27</f>
        <v>957.60000000000014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194</v>
      </c>
      <c r="O28" s="43">
        <f>IFERROR(O14+O27,"")</f>
        <v>627260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F23" sqref="F2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10</v>
      </c>
      <c r="G15" s="34">
        <f t="shared" ref="G15:G26" si="3">IF(F15="","",IF(E15="PC 17",F15*4.2,IF(E15="PC 19",F15*5,"")))</f>
        <v>42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59</v>
      </c>
      <c r="G27" s="36">
        <f>SUM(G15:G26)</f>
        <v>247.8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118</v>
      </c>
      <c r="G28" s="40">
        <f>G14+G27</f>
        <v>495.6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194</v>
      </c>
      <c r="O28" s="43">
        <f>IFERROR(O14+O27,"")</f>
        <v>292530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9" activePane="bottomLeft" state="frozen"/>
      <selection pane="bottomLeft" activeCell="F24" sqref="F2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199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/>
      <c r="M16" s="30"/>
      <c r="N16" s="27" t="s">
        <v>200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29</v>
      </c>
      <c r="G27" s="36">
        <f>SUM(G15:G26)</f>
        <v>121.80000000000001</v>
      </c>
      <c r="H27" s="37"/>
      <c r="I27" s="37"/>
      <c r="J27" s="37"/>
      <c r="K27" s="61"/>
      <c r="L27" s="61"/>
      <c r="M27" s="38">
        <f ca="1">IFERROR(SUM(M15:M26),"")</f>
        <v>3.0555555555555558E-2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93</v>
      </c>
      <c r="G28" s="40">
        <f>G14+G27</f>
        <v>390.59999999999997</v>
      </c>
      <c r="H28" s="41"/>
      <c r="I28" s="41"/>
      <c r="J28" s="41"/>
      <c r="K28" s="63"/>
      <c r="L28" s="63"/>
      <c r="M28" s="42">
        <f ca="1">IFERROR(M14+M27,"")</f>
        <v>0.25138888888888883</v>
      </c>
      <c r="N28" s="40" t="s">
        <v>194</v>
      </c>
      <c r="O28" s="48">
        <f>IFERROR(O14+O27,"")</f>
        <v>327070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2026-07-02T08:38:40Z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