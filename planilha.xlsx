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94" documentId="8_{C51EB6CB-002B-4D6B-B68F-DDEBDB4460C0}" xr6:coauthVersionLast="47" xr6:coauthVersionMax="47" xr10:uidLastSave="{AC930DD9-61AC-4517-B0FD-F852EA630A8C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<sst xmlns="http://schemas.openxmlformats.org/spreadsheetml/2006/main" count="4842" uniqueCount="318">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</sst>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C246" sqref="C2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3" t="s">
        <v>234</v>
      </c>
      <c r="B230" s="114"/>
      <c r="C230" s="114"/>
      <c r="D230" s="114"/>
      <c r="E230" s="11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252</v>
      </c>
      <c r="F245" s="27">
        <v>3</v>
      </c>
      <c r="G245" s="28">
        <f t="shared" ref="G245:G256" si="54">IF(F245="","",IF(E245="PC 17",F245*4.2,IF(E245="PC 19",F245*5,IF(E245="CB",F245*35,""))))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252</v>
      </c>
      <c r="F246" s="27">
        <v>4</v>
      </c>
      <c r="G246" s="34">
        <f t="shared" si="54"/>
        <v>140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7</v>
      </c>
      <c r="G257" s="36">
        <f>SUM(G245:G256)</f>
        <v>245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7</v>
      </c>
      <c r="G271" s="40">
        <f>G257+G270</f>
        <v>245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3" activePane="bottomLeft" state="frozen"/>
      <selection pane="bottomLeft" activeCell="H248" sqref="H2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0.27415624999412103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0.41304513888300992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0.49776736110523223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234</v>
      </c>
      <c r="B230" s="114"/>
      <c r="C230" s="114"/>
      <c r="D230" s="114"/>
      <c r="E230" s="115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41</v>
      </c>
      <c r="G257" s="36">
        <f>SUM(G245:G256)</f>
        <v>205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41</v>
      </c>
      <c r="G271" s="40">
        <f>G257+G270</f>
        <v>205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N249" sqref="N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21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21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21"/>
      <c r="G247" s="28" t="str">
        <f t="shared" si="54"/>
        <v/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121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121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121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121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121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121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121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121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121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19"/>
      <c r="F257" s="120">
        <f>SUM(F245:F256)</f>
        <v>9</v>
      </c>
      <c r="G257" s="36">
        <f>SUM(G245:G256)</f>
        <v>45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19"/>
      <c r="F258" s="121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19"/>
      <c r="F259" s="121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19"/>
      <c r="F260" s="121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9</v>
      </c>
      <c r="G271" s="40">
        <f>G257+G270</f>
        <v>45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8" activePane="bottomLeft" state="frozen"/>
      <selection pane="bottomLeft" activeCell="H256" sqref="H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30</v>
      </c>
      <c r="G257" s="36">
        <f>SUM(G245:G256)</f>
        <v>150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30</v>
      </c>
      <c r="G271" s="40">
        <f>G257+G270</f>
        <v>150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2026-08-10T13:31:35Z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