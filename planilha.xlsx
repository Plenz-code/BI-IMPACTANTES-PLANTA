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3" documentId="13_ncr:1_{A6DBCFB4-28D9-4249-9038-216934055CA6}" xr6:coauthVersionLast="47" xr6:coauthVersionMax="47" xr10:uidLastSave="{34A950D0-7A6C-483C-B96F-74DCB59CF6F6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8" i="1" l="1"/>
  <c r="J16" i="1"/>
  <c r="J17" i="1"/>
  <c r="J18" i="1"/>
  <c r="J19" i="1"/>
  <c r="J20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4" i="1"/>
  <c r="J5" i="1"/>
  <c r="J6" i="1"/>
  <c r="J7" i="1"/>
  <c r="J8" i="1"/>
  <c r="J9" i="1"/>
  <c r="J10" i="1"/>
  <c r="J11" i="1"/>
  <c r="J12" i="1"/>
  <c r="J13" i="1"/>
  <c r="J14" i="1"/>
  <c r="J15" i="1"/>
  <c r="K609" i="6" l="1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<sst xmlns="http://schemas.openxmlformats.org/spreadsheetml/2006/main" count="10853" uniqueCount="442">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</sst>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20" activePane="bottomLeft" state="frozen"/>
      <selection activeCell="B1" sqref="B1"/>
      <selection pane="bottomLeft" activeCell="J38" sqref="J3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e">
        <f t="shared" ref="J4:J34" si="1">H4/I4</f>
        <v>#DIV/0!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e">
        <f t="shared" si="1"/>
        <v>#DIV/0!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e">
        <f t="shared" si="1"/>
        <v>#DIV/0!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e">
        <f t="shared" si="1"/>
        <v>#DIV/0!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e">
        <f t="shared" si="1"/>
        <v>#DIV/0!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e">
        <f t="shared" si="1"/>
        <v>#DIV/0!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e">
        <f t="shared" si="1"/>
        <v>#DIV/0!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e">
        <f t="shared" si="1"/>
        <v>#DIV/0!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e">
        <f t="shared" si="1"/>
        <v>#DIV/0!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e">
        <f t="shared" si="1"/>
        <v>#DIV/0!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e">
        <f t="shared" si="1"/>
        <v>#DIV/0!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ref="J15:J27" si="2">H15/I15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1.0291997066616196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1.7814414385524513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1.6391510824965805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1.5870358075043722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>
        <v>480.1</v>
      </c>
      <c r="J23" s="22">
        <f t="shared" si="1"/>
        <v>1.4136527600725493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>
        <v>589.76</v>
      </c>
      <c r="J25" s="22">
        <f t="shared" si="1"/>
        <v>1.2676342919153554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>
        <v>1614.33</v>
      </c>
      <c r="J27" s="22">
        <f t="shared" si="2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e">
        <f>H28/I28</f>
        <v>#DIV/0!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e">
        <f t="shared" si="1"/>
        <v>#DIV/0!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e">
        <f t="shared" si="1"/>
        <v>#DIV/0!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e">
        <f t="shared" si="1"/>
        <v>#DIV/0!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e">
        <f t="shared" si="1"/>
        <v>#DIV/0!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e">
        <f t="shared" si="1"/>
        <v>#DIV/0!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e">
        <f t="shared" si="1"/>
        <v>#DIV/0!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3">IFERROR(SUM(C4:C34),"")</f>
        <v>88225050</v>
      </c>
      <c r="D35" s="30">
        <f t="shared" si="3"/>
        <v>27924670</v>
      </c>
      <c r="E35" s="30">
        <f t="shared" si="3"/>
        <v>15888570</v>
      </c>
      <c r="F35" s="30">
        <f t="shared" si="3"/>
        <v>37613570</v>
      </c>
      <c r="G35" s="30">
        <f t="shared" si="3"/>
        <v>81426810</v>
      </c>
      <c r="H35" s="31">
        <f t="shared" si="3"/>
        <v>8678.4145946384142</v>
      </c>
      <c r="I35" s="31">
        <f t="shared" si="3"/>
        <v>9156.869999999999</v>
      </c>
      <c r="J35" s="32">
        <f>I35/H35</f>
        <v>1.0551316602985501</v>
      </c>
      <c r="K35" s="32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3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3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3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3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3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3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3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3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3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3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3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3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3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3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3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3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3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3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3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3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3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3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3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3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3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3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3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3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3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3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3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3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3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3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3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3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3">
      <c r="M61" s="164"/>
      <c r="N61" s="39"/>
      <c r="O61" s="39"/>
      <c r="P61" s="39" t="s">
        <v>227</v>
      </c>
      <c r="Q61" s="39"/>
      <c r="R61" s="39"/>
    </row>
    <row r="62" spans="1:18" ht="15" customHeight="1" x14ac:dyDescent="0.3">
      <c r="M62" s="164"/>
      <c r="N62" s="36"/>
      <c r="O62" s="36"/>
      <c r="P62" s="36" t="s">
        <v>228</v>
      </c>
      <c r="Q62" s="36"/>
      <c r="R62" s="36"/>
    </row>
    <row r="63" spans="1:18" ht="15" customHeight="1" x14ac:dyDescent="0.3">
      <c r="M63" s="164"/>
      <c r="N63" s="39"/>
      <c r="O63" s="39"/>
      <c r="P63" s="39" t="s">
        <v>229</v>
      </c>
      <c r="Q63" s="39"/>
      <c r="R63" s="39"/>
    </row>
    <row r="64" spans="1:18" ht="15" customHeight="1" x14ac:dyDescent="0.3">
      <c r="M64" s="164"/>
      <c r="N64" s="36"/>
      <c r="O64" s="36"/>
      <c r="P64" s="36" t="s">
        <v>230</v>
      </c>
      <c r="Q64" s="36"/>
      <c r="R64" s="36"/>
    </row>
    <row r="65" spans="13:18" ht="15" customHeight="1" x14ac:dyDescent="0.3">
      <c r="M65" s="164"/>
      <c r="N65" s="39"/>
      <c r="O65" s="39"/>
      <c r="P65" s="39" t="s">
        <v>231</v>
      </c>
      <c r="Q65" s="39"/>
      <c r="R65" s="39"/>
    </row>
    <row r="66" spans="13:18" ht="15" customHeight="1" x14ac:dyDescent="0.3">
      <c r="M66" s="164"/>
      <c r="N66" s="36"/>
      <c r="O66" s="36"/>
      <c r="P66" s="36" t="s">
        <v>232</v>
      </c>
      <c r="Q66" s="36"/>
      <c r="R66" s="36"/>
    </row>
    <row r="67" spans="13:18" ht="15" customHeight="1" x14ac:dyDescent="0.3">
      <c r="M67" s="164"/>
      <c r="N67" s="39"/>
      <c r="O67" s="39"/>
      <c r="P67" s="39" t="s">
        <v>233</v>
      </c>
      <c r="Q67" s="39"/>
      <c r="R67" s="39"/>
    </row>
    <row r="68" spans="13:18" ht="15" customHeight="1" x14ac:dyDescent="0.3">
      <c r="M68" s="164"/>
      <c r="N68" s="36"/>
      <c r="O68" s="36"/>
      <c r="P68" s="36" t="s">
        <v>234</v>
      </c>
      <c r="Q68" s="36"/>
      <c r="R68" s="36"/>
    </row>
    <row r="69" spans="13:18" ht="15" customHeight="1" x14ac:dyDescent="0.3">
      <c r="M69" s="164"/>
      <c r="N69" s="39"/>
      <c r="O69" s="39"/>
      <c r="P69" s="39" t="s">
        <v>235</v>
      </c>
      <c r="Q69" s="39"/>
      <c r="R69" s="39"/>
    </row>
    <row r="70" spans="13:18" ht="15" customHeight="1" x14ac:dyDescent="0.3">
      <c r="M70" s="164"/>
      <c r="N70" s="36"/>
      <c r="O70" s="36"/>
      <c r="P70" s="36" t="s">
        <v>236</v>
      </c>
      <c r="Q70" s="36"/>
      <c r="R70" s="36"/>
    </row>
    <row r="71" spans="13:18" ht="15" customHeight="1" x14ac:dyDescent="0.3">
      <c r="M71" s="164"/>
      <c r="N71" s="39"/>
      <c r="O71" s="39"/>
      <c r="P71" s="39" t="s">
        <v>237</v>
      </c>
      <c r="Q71" s="39"/>
      <c r="R71" s="39"/>
    </row>
    <row r="72" spans="13:18" ht="15" customHeight="1" x14ac:dyDescent="0.3">
      <c r="M72" s="164"/>
      <c r="N72" s="36"/>
      <c r="O72" s="36"/>
      <c r="P72" s="36" t="s">
        <v>238</v>
      </c>
      <c r="Q72" s="36"/>
      <c r="R72" s="36"/>
    </row>
    <row r="73" spans="13:18" ht="15" customHeight="1" x14ac:dyDescent="0.3">
      <c r="M73" s="164"/>
      <c r="N73" s="39"/>
      <c r="O73" s="39"/>
      <c r="P73" s="39" t="s">
        <v>239</v>
      </c>
      <c r="Q73" s="39"/>
      <c r="R73" s="39"/>
    </row>
    <row r="74" spans="13:18" ht="15" customHeight="1" x14ac:dyDescent="0.3">
      <c r="M74" s="164"/>
      <c r="N74" s="36"/>
      <c r="O74" s="36"/>
      <c r="P74" s="36" t="s">
        <v>240</v>
      </c>
      <c r="Q74" s="36"/>
      <c r="R74" s="36"/>
    </row>
    <row r="75" spans="13:18" ht="15" customHeight="1" x14ac:dyDescent="0.3">
      <c r="M75" s="164"/>
      <c r="N75" s="39"/>
      <c r="O75" s="39"/>
      <c r="P75" s="39" t="s">
        <v>241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3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7" sqref="F657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3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3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3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3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3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3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3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3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3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3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3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3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3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3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3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3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3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3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3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3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3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3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3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3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/>
      <c r="M650" s="65">
        <f t="shared" ref="M650:M661" ca="1" si="141">IFERROR(IF(K650="","",IF(L650="",MOD(NOW()-K650,1),IF(L650&gt;=K650,L650-K650,L650+1-K650))),"")</f>
        <v>9.8596759264182765E-2</v>
      </c>
      <c r="N650" s="79"/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9.8596759264182765E-2</v>
      </c>
      <c r="N662" s="2" t="s">
        <v>265</v>
      </c>
      <c r="O662" s="73"/>
    </row>
    <row r="663" spans="1:15" ht="15" customHeight="1" x14ac:dyDescent="0.3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 x14ac:dyDescent="0.3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9.8596759264182765E-2</v>
      </c>
      <c r="N676" s="1" t="s">
        <v>268</v>
      </c>
      <c r="O676" s="81">
        <f>IFERROR(O662+O675,"")</f>
        <v>0</v>
      </c>
    </row>
    <row r="677" spans="1:15" ht="15" customHeight="1" x14ac:dyDescent="0.3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3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3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3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3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3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3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3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3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37" sqref="P637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0.49443009259266546</v>
      </c>
      <c r="R53" s="79" t="s">
        <v>319</v>
      </c>
      <c r="S53" s="66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0.63331898148155319</v>
      </c>
      <c r="R54" s="2" t="s">
        <v>265</v>
      </c>
      <c r="S54" s="112">
        <v>352430</v>
      </c>
      <c r="T54" s="113"/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0.718041203703776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58" t="s">
        <v>264</v>
      </c>
      <c r="B68" s="158"/>
      <c r="C68" s="158"/>
      <c r="D68" s="158"/>
      <c r="E68" s="15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58" t="s">
        <v>267</v>
      </c>
      <c r="B81" s="158"/>
      <c r="C81" s="158"/>
      <c r="D81" s="158"/>
      <c r="E81" s="15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58" t="s">
        <v>264</v>
      </c>
      <c r="B95" s="158"/>
      <c r="C95" s="158"/>
      <c r="D95" s="158"/>
      <c r="E95" s="15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58" t="s">
        <v>267</v>
      </c>
      <c r="B108" s="158"/>
      <c r="C108" s="158"/>
      <c r="D108" s="158"/>
      <c r="E108" s="15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58" t="s">
        <v>264</v>
      </c>
      <c r="B122" s="158"/>
      <c r="C122" s="158"/>
      <c r="D122" s="158"/>
      <c r="E122" s="15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58" t="s">
        <v>267</v>
      </c>
      <c r="B135" s="158"/>
      <c r="C135" s="158"/>
      <c r="D135" s="158"/>
      <c r="E135" s="15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58" t="s">
        <v>264</v>
      </c>
      <c r="B149" s="158"/>
      <c r="C149" s="158"/>
      <c r="D149" s="158"/>
      <c r="E149" s="15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58" t="s">
        <v>267</v>
      </c>
      <c r="B162" s="158"/>
      <c r="C162" s="158"/>
      <c r="D162" s="158"/>
      <c r="E162" s="15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58" t="s">
        <v>264</v>
      </c>
      <c r="B365" s="158"/>
      <c r="C365" s="158"/>
      <c r="D365" s="158"/>
      <c r="E365" s="15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3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72">IFERROR(IF(O650="","",IF(P650="",MOD(NOW()-O650,1),IF(P650&gt;=O650,P650-O650,P650+1-O650))),"")</f>
        <v>0.32429120370943565</v>
      </c>
      <c r="R650" s="79"/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0.32429120370943565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0.32429120370943565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357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358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357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357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359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58" t="s">
        <v>264</v>
      </c>
      <c r="B68" s="158"/>
      <c r="C68" s="158"/>
      <c r="D68" s="158"/>
      <c r="E68" s="15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360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58" t="s">
        <v>267</v>
      </c>
      <c r="B81" s="158"/>
      <c r="C81" s="158"/>
      <c r="D81" s="158"/>
      <c r="E81" s="15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361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362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58" t="s">
        <v>264</v>
      </c>
      <c r="B95" s="158"/>
      <c r="C95" s="158"/>
      <c r="D95" s="158"/>
      <c r="E95" s="15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363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58" t="s">
        <v>267</v>
      </c>
      <c r="B108" s="158"/>
      <c r="C108" s="158"/>
      <c r="D108" s="158"/>
      <c r="E108" s="15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58" t="s">
        <v>264</v>
      </c>
      <c r="B122" s="158"/>
      <c r="C122" s="158"/>
      <c r="D122" s="158"/>
      <c r="E122" s="15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364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58" t="s">
        <v>267</v>
      </c>
      <c r="B135" s="158"/>
      <c r="C135" s="158"/>
      <c r="D135" s="158"/>
      <c r="E135" s="15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365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58" t="s">
        <v>264</v>
      </c>
      <c r="B149" s="158"/>
      <c r="C149" s="158"/>
      <c r="D149" s="158"/>
      <c r="E149" s="15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58" t="s">
        <v>267</v>
      </c>
      <c r="B162" s="158"/>
      <c r="C162" s="158"/>
      <c r="D162" s="158"/>
      <c r="E162" s="15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366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367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368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369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370</v>
      </c>
      <c r="Q222" s="65" t="str">
        <f t="shared" ca="1" si="49"/>
        <v/>
      </c>
      <c r="R222" s="62" t="s">
        <v>371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372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373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58" t="s">
        <v>264</v>
      </c>
      <c r="B365" s="158"/>
      <c r="C365" s="158"/>
      <c r="D365" s="158"/>
      <c r="E365" s="15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374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375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376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58" t="s">
        <v>267</v>
      </c>
      <c r="B432" s="158"/>
      <c r="C432" s="158"/>
      <c r="D432" s="158"/>
      <c r="E432" s="15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59" t="s">
        <v>253</v>
      </c>
      <c r="B433" s="159"/>
      <c r="C433" s="159"/>
      <c r="D433" s="159"/>
      <c r="E433" s="15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377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377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378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379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364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380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381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58" t="s">
        <v>267</v>
      </c>
      <c r="B513" s="158"/>
      <c r="C513" s="158"/>
      <c r="D513" s="158"/>
      <c r="E513" s="15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3">
      <c r="A514" s="159" t="s">
        <v>253</v>
      </c>
      <c r="B514" s="159"/>
      <c r="C514" s="159"/>
      <c r="D514" s="159"/>
      <c r="E514" s="15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382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383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384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385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357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380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377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386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386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386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362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0.32429120370943565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0.32429120370943565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0.32429120370943565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4" activePane="bottomLeft" state="frozen"/>
      <selection pane="bottomLeft" activeCell="L609" sqref="L609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388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357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389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390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391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392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393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58" t="s">
        <v>264</v>
      </c>
      <c r="B68" s="158"/>
      <c r="C68" s="158"/>
      <c r="D68" s="158"/>
      <c r="E68" s="15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394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357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58" t="s">
        <v>267</v>
      </c>
      <c r="B81" s="158"/>
      <c r="C81" s="158"/>
      <c r="D81" s="158"/>
      <c r="E81" s="15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58" t="s">
        <v>264</v>
      </c>
      <c r="B95" s="158"/>
      <c r="C95" s="158"/>
      <c r="D95" s="158"/>
      <c r="E95" s="15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357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58" t="s">
        <v>267</v>
      </c>
      <c r="B108" s="158"/>
      <c r="C108" s="158"/>
      <c r="D108" s="158"/>
      <c r="E108" s="15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395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58" t="s">
        <v>264</v>
      </c>
      <c r="B122" s="158"/>
      <c r="C122" s="158"/>
      <c r="D122" s="158"/>
      <c r="E122" s="15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396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357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58" t="s">
        <v>267</v>
      </c>
      <c r="B135" s="158"/>
      <c r="C135" s="158"/>
      <c r="D135" s="158"/>
      <c r="E135" s="15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397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398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399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400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58" t="s">
        <v>267</v>
      </c>
      <c r="B162" s="158"/>
      <c r="C162" s="158"/>
      <c r="D162" s="158"/>
      <c r="E162" s="15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401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402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403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404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405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406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407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408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409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410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411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412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413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414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415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416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417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418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419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420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58" t="s">
        <v>267</v>
      </c>
      <c r="B432" s="158"/>
      <c r="C432" s="158"/>
      <c r="D432" s="158"/>
      <c r="E432" s="15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59" t="s">
        <v>253</v>
      </c>
      <c r="B433" s="159"/>
      <c r="C433" s="159"/>
      <c r="D433" s="159"/>
      <c r="E433" s="15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421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415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422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379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423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58" t="s">
        <v>267</v>
      </c>
      <c r="B513" s="158"/>
      <c r="C513" s="158"/>
      <c r="D513" s="158"/>
      <c r="E513" s="15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3">
      <c r="A514" s="159" t="s">
        <v>253</v>
      </c>
      <c r="B514" s="159"/>
      <c r="C514" s="159"/>
      <c r="D514" s="159"/>
      <c r="E514" s="15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424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425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426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427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428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429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430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431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414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415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432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433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434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379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435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63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379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414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436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431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437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438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439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440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/>
      <c r="Q652" s="65">
        <f t="shared" ca="1" si="172"/>
        <v>6.8009259848622605E-4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37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165.8</v>
      </c>
      <c r="L662" s="71"/>
      <c r="M662" s="71"/>
      <c r="N662" s="71"/>
      <c r="O662" s="133"/>
      <c r="P662" s="133"/>
      <c r="Q662" s="72">
        <f ca="1">IFERROR(SUM(Q650:Q661),"")</f>
        <v>0.21873564815404173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37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165.8</v>
      </c>
      <c r="L676" s="75"/>
      <c r="M676" s="75"/>
      <c r="N676" s="75"/>
      <c r="O676" s="134"/>
      <c r="P676" s="134"/>
      <c r="Q676" s="76">
        <f ca="1">IFERROR(Q662+Q675,"")</f>
        <v>0.21873564815404173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2026-08-25T18:47:41Z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