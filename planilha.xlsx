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60" documentId="8_{AF585B22-221D-4780-BB9C-493D365A6A02}" xr6:coauthVersionLast="47" xr6:coauthVersionMax="47" xr10:uidLastSave="{8EF66DDF-3365-49D7-AA5C-ED6C3EFBD428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<sst xmlns="http://schemas.openxmlformats.org/spreadsheetml/2006/main" count="5321" uniqueCount="303">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</sst>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92" activePane="bottomLeft" state="frozen"/>
      <selection pane="bottomLeft" activeCell="F316" sqref="F3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23.6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 t="s">
        <v>232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>
        <v>14</v>
      </c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80.8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298.3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J313" sqref="J3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/>
      <c r="M314" s="30">
        <f t="shared" ca="1" si="70"/>
        <v>4.3453703707200475E-2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43</v>
      </c>
      <c r="G324" s="36">
        <f>SUM(G312:G323)</f>
        <v>180.60000000000002</v>
      </c>
      <c r="H324" s="37"/>
      <c r="I324" s="37"/>
      <c r="J324" s="37"/>
      <c r="K324" s="37"/>
      <c r="L324" s="37"/>
      <c r="M324" s="38">
        <f ca="1">IFERROR(SUM(M312:M323),"")</f>
        <v>8.0259259262756122E-2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134</v>
      </c>
      <c r="G325" s="40">
        <f>G311+G324</f>
        <v>562.79999999999995</v>
      </c>
      <c r="H325" s="41"/>
      <c r="I325" s="41"/>
      <c r="J325" s="41"/>
      <c r="K325" s="41"/>
      <c r="L325" s="41"/>
      <c r="M325" s="42">
        <f ca="1">IFERROR(M311+M324,"")</f>
        <v>0.23095370370720053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J312" sqref="J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/>
      <c r="M312" s="30">
        <f t="shared" ref="M312:M323" ca="1" si="70">IFERROR(IF(K312="","",IF(L312="",MOD(NOW()-K312,1),IF(L312&gt;=K312,L312-K312,L312+1-K312))),"")</f>
        <v>1.0120370374352206E-2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28</v>
      </c>
      <c r="G324" s="36">
        <f>SUM(G312:G323)</f>
        <v>117.60000000000002</v>
      </c>
      <c r="H324" s="37"/>
      <c r="I324" s="37"/>
      <c r="J324" s="37"/>
      <c r="K324" s="37"/>
      <c r="L324" s="37"/>
      <c r="M324" s="38">
        <f ca="1">IFERROR(SUM(M312:M323),"")</f>
        <v>1.0120370374352206E-2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97</v>
      </c>
      <c r="G325" s="40">
        <f>G311+G324</f>
        <v>412.20000000000005</v>
      </c>
      <c r="H325" s="41"/>
      <c r="I325" s="41"/>
      <c r="J325" s="41"/>
      <c r="K325" s="41"/>
      <c r="L325" s="41"/>
      <c r="M325" s="42">
        <f ca="1">IFERROR(M311+M324,"")</f>
        <v>0.10942592592990764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H320" sqref="H32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281</v>
      </c>
      <c r="L58" s="29">
        <v>0.54097222222222219</v>
      </c>
      <c r="M58" s="30" t="str">
        <f t="shared" ca="1" si="13"/>
        <v/>
      </c>
      <c r="N58" s="27" t="s">
        <v>282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0.70664814815245336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0.90595370370800898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1.27331481481912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/>
      <c r="M317" s="35">
        <f t="shared" ca="1" si="70"/>
        <v>6.0120370369986631E-2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48</v>
      </c>
      <c r="G324" s="36">
        <f>SUM(G312:G323)</f>
        <v>217.6</v>
      </c>
      <c r="H324" s="37"/>
      <c r="I324" s="37"/>
      <c r="J324" s="37"/>
      <c r="K324" s="61"/>
      <c r="L324" s="61"/>
      <c r="M324" s="38">
        <f ca="1">IFERROR(SUM(M312:M323),"")</f>
        <v>0.10039814814776438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78</v>
      </c>
      <c r="G325" s="40">
        <f>G311+G324</f>
        <v>343.6</v>
      </c>
      <c r="H325" s="41"/>
      <c r="I325" s="41"/>
      <c r="J325" s="41"/>
      <c r="K325" s="63"/>
      <c r="L325" s="63"/>
      <c r="M325" s="42">
        <f ca="1">IFERROR(M311+M324,"")</f>
        <v>0.51359259259220891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2026-07-13T02:57:04Z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