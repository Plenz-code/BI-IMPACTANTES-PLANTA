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33" documentId="13_ncr:1_{0A10D8D4-8450-4366-8075-B53B08E6B7EA}" xr6:coauthVersionLast="47" xr6:coauthVersionMax="47" xr10:uidLastSave="{CE1AC012-DBC4-456C-8727-D942EEBDD079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H486" i="5"/>
  <c r="H474" i="4"/>
  <c r="H475" i="4"/>
  <c r="J475" i="4" s="1"/>
  <c r="J474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H473" i="5"/>
  <c r="H487" i="5" s="1"/>
  <c r="J461" i="4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73" i="5" l="1"/>
  <c r="J486" i="5"/>
  <c r="T486" i="5" s="1"/>
  <c r="J473" i="4"/>
  <c r="T473" i="4" s="1"/>
  <c r="K514" i="5"/>
  <c r="H486" i="6"/>
  <c r="J486" i="6"/>
  <c r="T486" i="6" s="1"/>
  <c r="J461" i="6"/>
  <c r="J473" i="6" s="1"/>
  <c r="H473" i="6"/>
  <c r="H487" i="6" s="1"/>
  <c r="T473" i="5"/>
  <c r="J487" i="5"/>
  <c r="T487" i="5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4" l="1"/>
  <c r="T487" i="4" s="1"/>
  <c r="J487" i="6"/>
  <c r="T487" i="6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21" i="1" l="1"/>
  <c r="J21" i="1" s="1"/>
  <c r="J35" i="1" s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<sst xmlns="http://schemas.openxmlformats.org/spreadsheetml/2006/main" count="8303" uniqueCount="382">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</sst>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13" activePane="bottomLeft" state="frozen"/>
      <selection pane="bottomLeft" activeCell="O17" sqref="O17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8.5546875" customWidth="1"/>
    <col min="7" max="7" width="14.66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1" ht="31.5" customHeight="1" x14ac:dyDescent="0.3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 x14ac:dyDescent="0.3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580.7890799999999</v>
      </c>
      <c r="I21" s="96"/>
      <c r="J21" s="129">
        <f t="shared" si="1"/>
        <v>0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5034.9149250601886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 x14ac:dyDescent="0.3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 x14ac:dyDescent="0.3">
      <c r="M2" s="178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 x14ac:dyDescent="0.3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 x14ac:dyDescent="0.3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 x14ac:dyDescent="0.3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 x14ac:dyDescent="0.3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 x14ac:dyDescent="0.3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 x14ac:dyDescent="0.3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 x14ac:dyDescent="0.3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 x14ac:dyDescent="0.3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 x14ac:dyDescent="0.3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 x14ac:dyDescent="0.3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 x14ac:dyDescent="0.3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 x14ac:dyDescent="0.3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 x14ac:dyDescent="0.3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 x14ac:dyDescent="0.3">
      <c r="M59" s="178"/>
      <c r="N59" s="17"/>
      <c r="O59" s="17"/>
      <c r="P59" s="17" t="s">
        <v>220</v>
      </c>
      <c r="Q59" s="17"/>
      <c r="R59" s="17"/>
    </row>
    <row r="60" spans="1:18" ht="15" customHeight="1" x14ac:dyDescent="0.3">
      <c r="M60" s="178"/>
      <c r="N60" s="16"/>
      <c r="O60" s="16"/>
      <c r="P60" s="77" t="s">
        <v>112</v>
      </c>
      <c r="Q60" s="16"/>
      <c r="R60" s="16"/>
    </row>
    <row r="61" spans="1:18" ht="15" customHeight="1" x14ac:dyDescent="0.3">
      <c r="M61" s="178"/>
      <c r="N61" s="17"/>
      <c r="O61" s="17"/>
      <c r="P61" s="17" t="s">
        <v>221</v>
      </c>
      <c r="Q61" s="17"/>
      <c r="R61" s="17"/>
    </row>
    <row r="62" spans="1:18" ht="15" customHeight="1" x14ac:dyDescent="0.3">
      <c r="M62" s="178"/>
      <c r="N62" s="16"/>
      <c r="O62" s="16"/>
      <c r="P62" s="16" t="s">
        <v>222</v>
      </c>
      <c r="Q62" s="16"/>
      <c r="R62" s="16"/>
    </row>
    <row r="63" spans="1:18" ht="15" customHeight="1" x14ac:dyDescent="0.3">
      <c r="M63" s="178"/>
      <c r="N63" s="17"/>
      <c r="O63" s="17"/>
      <c r="P63" s="17" t="s">
        <v>223</v>
      </c>
      <c r="Q63" s="17"/>
      <c r="R63" s="17"/>
    </row>
    <row r="64" spans="1:18" ht="15" customHeight="1" x14ac:dyDescent="0.3">
      <c r="M64" s="178"/>
      <c r="N64" s="16"/>
      <c r="O64" s="16"/>
      <c r="P64" s="16" t="s">
        <v>224</v>
      </c>
      <c r="Q64" s="16"/>
      <c r="R64" s="16"/>
    </row>
    <row r="65" spans="13:18" ht="15" customHeight="1" x14ac:dyDescent="0.3">
      <c r="M65" s="178"/>
      <c r="N65" s="17"/>
      <c r="O65" s="17"/>
      <c r="P65" s="17" t="s">
        <v>225</v>
      </c>
      <c r="Q65" s="17"/>
      <c r="R65" s="17"/>
    </row>
    <row r="66" spans="13:18" ht="15" customHeight="1" x14ac:dyDescent="0.3">
      <c r="M66" s="178"/>
      <c r="N66" s="16"/>
      <c r="O66" s="16"/>
      <c r="P66" s="16" t="s">
        <v>226</v>
      </c>
      <c r="Q66" s="16"/>
      <c r="R66" s="16"/>
    </row>
    <row r="67" spans="13:18" ht="15" customHeight="1" x14ac:dyDescent="0.3">
      <c r="M67" s="178"/>
      <c r="N67" s="17"/>
      <c r="O67" s="17"/>
      <c r="P67" s="17" t="s">
        <v>227</v>
      </c>
      <c r="Q67" s="17"/>
      <c r="R67" s="17"/>
    </row>
    <row r="68" spans="13:18" ht="15" customHeight="1" x14ac:dyDescent="0.3">
      <c r="M68" s="178"/>
      <c r="N68" s="16"/>
      <c r="O68" s="16"/>
      <c r="P68" s="16" t="s">
        <v>228</v>
      </c>
      <c r="Q68" s="16"/>
      <c r="R68" s="16"/>
    </row>
    <row r="69" spans="13:18" ht="15" customHeight="1" x14ac:dyDescent="0.3">
      <c r="M69" s="178"/>
      <c r="N69" s="17"/>
      <c r="O69" s="17"/>
      <c r="P69" s="17" t="s">
        <v>229</v>
      </c>
      <c r="Q69" s="17"/>
      <c r="R69" s="17"/>
    </row>
    <row r="70" spans="13:18" ht="15" customHeight="1" x14ac:dyDescent="0.3">
      <c r="M70" s="178"/>
      <c r="N70" s="16"/>
      <c r="O70" s="16"/>
      <c r="P70" s="16" t="s">
        <v>230</v>
      </c>
      <c r="Q70" s="16"/>
      <c r="R70" s="16"/>
    </row>
    <row r="71" spans="13:18" ht="15" customHeight="1" x14ac:dyDescent="0.3">
      <c r="M71" s="178"/>
      <c r="N71" s="17"/>
      <c r="O71" s="17"/>
      <c r="P71" s="17" t="s">
        <v>231</v>
      </c>
      <c r="Q71" s="17"/>
      <c r="R71" s="17"/>
    </row>
    <row r="72" spans="13:18" ht="15" customHeight="1" x14ac:dyDescent="0.3">
      <c r="M72" s="178"/>
      <c r="N72" s="16"/>
      <c r="O72" s="16"/>
      <c r="P72" s="16" t="s">
        <v>232</v>
      </c>
      <c r="Q72" s="16"/>
      <c r="R72" s="16"/>
    </row>
    <row r="73" spans="13:18" ht="15" customHeight="1" x14ac:dyDescent="0.3">
      <c r="M73" s="178"/>
      <c r="N73" s="17"/>
      <c r="O73" s="17"/>
      <c r="P73" s="17" t="s">
        <v>233</v>
      </c>
      <c r="Q73" s="17"/>
      <c r="R73" s="17"/>
    </row>
    <row r="74" spans="13:18" ht="15" customHeight="1" x14ac:dyDescent="0.3">
      <c r="M74" s="178"/>
      <c r="N74" s="16"/>
      <c r="O74" s="16"/>
      <c r="P74" s="16" t="s">
        <v>234</v>
      </c>
      <c r="Q74" s="16"/>
      <c r="R74" s="16"/>
    </row>
    <row r="75" spans="13:18" ht="15" customHeight="1" x14ac:dyDescent="0.3">
      <c r="M75" s="178"/>
      <c r="N75" s="17"/>
      <c r="O75" s="17"/>
      <c r="P75" s="17" t="s">
        <v>235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F1" zoomScale="80" zoomScaleNormal="80" workbookViewId="0">
      <pane ySplit="1" topLeftCell="A472" activePane="bottomLeft" state="frozen"/>
      <selection sqref="A1:G409"/>
      <selection pane="bottomLeft" activeCell="O487" sqref="O487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 x14ac:dyDescent="0.3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 x14ac:dyDescent="0.3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 x14ac:dyDescent="0.3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 x14ac:dyDescent="0.3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 x14ac:dyDescent="0.3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 x14ac:dyDescent="0.3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 x14ac:dyDescent="0.3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 x14ac:dyDescent="0.3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 x14ac:dyDescent="0.3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 x14ac:dyDescent="0.3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 x14ac:dyDescent="0.3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 x14ac:dyDescent="0.3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 x14ac:dyDescent="0.3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 x14ac:dyDescent="0.3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 x14ac:dyDescent="0.3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 x14ac:dyDescent="0.3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 x14ac:dyDescent="0.3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 x14ac:dyDescent="0.3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 x14ac:dyDescent="0.3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 x14ac:dyDescent="0.3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 x14ac:dyDescent="0.3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 x14ac:dyDescent="0.3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 x14ac:dyDescent="0.3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 x14ac:dyDescent="0.3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 x14ac:dyDescent="0.3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 x14ac:dyDescent="0.3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 x14ac:dyDescent="0.3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 x14ac:dyDescent="0.3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 x14ac:dyDescent="0.3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 x14ac:dyDescent="0.3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 x14ac:dyDescent="0.3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5" activePane="bottomLeft" state="frozen"/>
      <selection sqref="A1:G409"/>
      <selection pane="bottomLeft" activeCell="D472" sqref="D461:D472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0.18755891203181818</v>
      </c>
      <c r="R53" s="46" t="s">
        <v>291</v>
      </c>
      <c r="S53" s="31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0.32644780092070708</v>
      </c>
      <c r="R54" s="36" t="s">
        <v>248</v>
      </c>
      <c r="S54" s="75">
        <v>352430</v>
      </c>
      <c r="T54" s="117"/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0.41117002314292939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 x14ac:dyDescent="0.3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0" activePane="bottomLeft" state="frozen"/>
      <selection pane="bottomLeft" activeCell="D474" sqref="D474:D485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7" activePane="bottomLeft" state="frozen"/>
      <selection pane="bottomLeft" activeCell="D488" sqref="D488:D499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5">IFERROR(IF($H461="","",$H461*$F461*$I461),"")</f>
        <v>13.097086363636363</v>
      </c>
      <c r="K461" s="34">
        <f t="shared" ref="K461:K472" si="116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7">IFERROR(IF(O461="","",IF(P461="",MOD(NOW()-O461,1),IF(P461&gt;=O461,P461-O461,P461+1-O461))),"")</f>
        <v>0.24027777777777776</v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5"/>
        <v>16.119490909090906</v>
      </c>
      <c r="K462" s="28">
        <f t="shared" si="116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7"/>
        <v>2.1527777777777701E-2</v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5"/>
        <v>10.074681818181817</v>
      </c>
      <c r="K463" s="34">
        <f t="shared" si="116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7"/>
        <v>6.2499999999999778E-3</v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5"/>
        <v>14.104554545454546</v>
      </c>
      <c r="K464" s="28">
        <f t="shared" si="116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7"/>
        <v>9.0277777777777457E-3</v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5"/>
        <v>8.0597454545454532</v>
      </c>
      <c r="K465" s="34">
        <f t="shared" si="116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7"/>
        <v>1.5972222222222165E-2</v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5"/>
        <v>9.0672136363636362</v>
      </c>
      <c r="K466" s="28">
        <f t="shared" si="116"/>
        <v>37.800000000000004</v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5"/>
        <v>10.074681818181817</v>
      </c>
      <c r="K467" s="34">
        <f t="shared" si="116"/>
        <v>42</v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5"/>
        <v>24.17923636363636</v>
      </c>
      <c r="K468" s="28">
        <f t="shared" si="116"/>
        <v>100.80000000000001</v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5"/>
        <v>16.119490909090906</v>
      </c>
      <c r="K469" s="34">
        <f t="shared" si="116"/>
        <v>67.2</v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5"/>
        <v>15.112022727272725</v>
      </c>
      <c r="K470" s="28">
        <f t="shared" si="116"/>
        <v>63</v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5"/>
        <v>11.082149999999997</v>
      </c>
      <c r="K471" s="34">
        <f t="shared" si="116"/>
        <v>46.2</v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5"/>
        <v>8.0597454545454532</v>
      </c>
      <c r="K472" s="28">
        <f t="shared" si="116"/>
        <v>33.6</v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9">IFERROR(IF($H474="","",$H474*$F474*$I474),"")</f>
        <v>11.994615894039732</v>
      </c>
      <c r="K474" s="28">
        <f t="shared" ref="K474:K485" si="120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1">IFERROR(IF(O474="","",IF(P474="",MOD(NOW()-O474,1),IF(P474&gt;=O474,P474-O474,P474+1-O474))),"")</f>
        <v>1.3194444444444398E-2</v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9"/>
        <v>20.562198675496685</v>
      </c>
      <c r="K475" s="34">
        <f t="shared" si="120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1"/>
        <v>1.388888888888884E-3</v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9"/>
        <v>0</v>
      </c>
      <c r="K476" s="28">
        <f t="shared" si="120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1"/>
        <v>0.10208333333333341</v>
      </c>
      <c r="R476" s="27" t="s">
        <v>381</v>
      </c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9"/>
        <v>6.8540662251655613</v>
      </c>
      <c r="K477" s="34">
        <f t="shared" si="120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1"/>
        <v>9.0277777777777735E-3</v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9"/>
        <v>10.281099337748342</v>
      </c>
      <c r="K478" s="28">
        <f t="shared" si="120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1"/>
        <v>1.6666666666666691E-2</v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9"/>
        <v>10.281099337748342</v>
      </c>
      <c r="K479" s="34">
        <f t="shared" si="120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1"/>
        <v>1.5972222222222221E-2</v>
      </c>
      <c r="R479" s="27" t="s">
        <v>346</v>
      </c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9"/>
        <v>14.564890728476822</v>
      </c>
      <c r="K480" s="28">
        <f t="shared" si="120"/>
        <v>71.400000000000006</v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9"/>
        <v>3.4270331125827806</v>
      </c>
      <c r="K481" s="34">
        <f t="shared" si="120"/>
        <v>16.8</v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9"/>
        <v>22.275715231788073</v>
      </c>
      <c r="K482" s="28">
        <f t="shared" si="120"/>
        <v>109.2</v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9"/>
        <v>8.5675827814569541</v>
      </c>
      <c r="K483" s="34">
        <f t="shared" si="120"/>
        <v>42</v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9"/>
        <v>11.994615894039732</v>
      </c>
      <c r="K484" s="28">
        <f t="shared" si="120"/>
        <v>58.800000000000004</v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9"/>
        <v>8.5675827814569541</v>
      </c>
      <c r="K485" s="34">
        <f t="shared" si="120"/>
        <v>42</v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2026-08-19T11:25:20Z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