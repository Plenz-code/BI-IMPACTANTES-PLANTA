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73" documentId="13_ncr:1_{0A10D8D4-8450-4366-8075-B53B08E6B7EA}" xr6:coauthVersionLast="47" xr6:coauthVersionMax="47" xr10:uidLastSave="{B2108063-B6D2-4637-B943-3EEFFD10E9E0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8" i="6"/>
  <c r="J368" i="6" s="1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8" i="5"/>
  <c r="J368" i="5" s="1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8" i="4"/>
  <c r="J368" i="4" s="1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6" i="5" l="1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<sst xmlns="http://schemas.openxmlformats.org/spreadsheetml/2006/main" count="6529" uniqueCount="348">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</sst>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K367" sqref="K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>
        <v>0.90625</v>
      </c>
      <c r="L366" s="29"/>
      <c r="M366" s="30">
        <f t="shared" ref="M366:M377" ca="1" si="77">IFERROR(IF(K366="","",IF(L366="",MOD(NOW()-K366,1),IF(L366&gt;=K366,L366-K366,L366+1-K366))),"")</f>
        <v>1.2744791667500976E-2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85</v>
      </c>
      <c r="G378" s="36">
        <f>SUM(G366:G377)</f>
        <v>425</v>
      </c>
      <c r="H378" s="37"/>
      <c r="I378" s="37"/>
      <c r="J378" s="37"/>
      <c r="K378" s="37"/>
      <c r="L378" s="37"/>
      <c r="M378" s="38">
        <f ca="1">IFERROR(SUM(M366:M377),"")</f>
        <v>1.2744791667500976E-2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485</v>
      </c>
      <c r="G379" s="40">
        <f>G365+G378</f>
        <v>2391.4</v>
      </c>
      <c r="H379" s="41"/>
      <c r="I379" s="41"/>
      <c r="J379" s="41"/>
      <c r="K379" s="41"/>
      <c r="L379" s="41"/>
      <c r="M379" s="42">
        <f ca="1">IFERROR(M365+M378,"")</f>
        <v>5.9967013889723142E-2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P368" sqref="P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0.79746701388648944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0.93635590277537828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1.0210781249976006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67.2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124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520.80000000000007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N368" sqref="N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/>
      <c r="Q368" s="30">
        <f t="shared" ca="1" si="86"/>
        <v>2.328125003259629E-3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9.1911458336592977E-2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382.2000000000001</v>
      </c>
      <c r="L379" s="41"/>
      <c r="M379" s="41"/>
      <c r="N379" s="41"/>
      <c r="O379" s="41"/>
      <c r="P379" s="41"/>
      <c r="Q379" s="42">
        <f ca="1">IFERROR(Q365+Q378,"")</f>
        <v>0.28705034722548178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N367" sqref="N36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/>
      <c r="Q367" s="35">
        <f t="shared" ca="1" si="88"/>
        <v>4.4114583361078985E-3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40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168</v>
      </c>
      <c r="L378" s="37"/>
      <c r="M378" s="37"/>
      <c r="N378" s="37"/>
      <c r="O378" s="61"/>
      <c r="P378" s="61"/>
      <c r="Q378" s="38">
        <f ca="1">IFERROR(SUM(Q366:Q377),"")</f>
        <v>3.7744791669441224E-2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236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991.2</v>
      </c>
      <c r="L379" s="41"/>
      <c r="M379" s="41"/>
      <c r="N379" s="41"/>
      <c r="O379" s="63"/>
      <c r="P379" s="63"/>
      <c r="Q379" s="42">
        <f ca="1">IFERROR(Q365+Q378,"")</f>
        <v>0.15580034722499692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2026-08-15T02:03:33Z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