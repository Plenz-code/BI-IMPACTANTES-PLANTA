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678" documentId="8_{AF585B22-221D-4780-BB9C-493D365A6A02}" xr6:coauthVersionLast="47" xr6:coauthVersionMax="47" xr10:uidLastSave="{5423573D-2CA2-4E68-AB43-69A80B98F519}"/>
  <bookViews>
    <workbookView xWindow="-110" yWindow="-110" windowWidth="25820" windowHeight="15500" tabRatio="500" firstSheet="2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23" i="4" l="1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4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4" i="4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G769" i="4"/>
  <c r="G768" i="4"/>
  <c r="G767" i="4"/>
  <c r="G766" i="4"/>
  <c r="G765" i="4"/>
  <c r="G764" i="4"/>
  <c r="G763" i="4"/>
  <c r="G762" i="4"/>
  <c r="G761" i="4"/>
  <c r="G760" i="4"/>
  <c r="G759" i="4"/>
  <c r="G770" i="4" s="1"/>
  <c r="G784" i="4" s="1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F730" i="4" s="1"/>
  <c r="G728" i="4"/>
  <c r="G727" i="4"/>
  <c r="G726" i="4"/>
  <c r="G725" i="4"/>
  <c r="G724" i="4"/>
  <c r="G723" i="4"/>
  <c r="G722" i="4"/>
  <c r="G721" i="4"/>
  <c r="G720" i="4"/>
  <c r="G729" i="4" s="1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89" i="4" s="1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F649" i="4" s="1"/>
  <c r="G647" i="4"/>
  <c r="G646" i="4"/>
  <c r="G645" i="4"/>
  <c r="G644" i="4"/>
  <c r="G643" i="4"/>
  <c r="G642" i="4"/>
  <c r="G641" i="4"/>
  <c r="G648" i="4" s="1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G649" i="4" s="1"/>
  <c r="G621" i="4"/>
  <c r="F621" i="4"/>
  <c r="G620" i="4"/>
  <c r="G619" i="4"/>
  <c r="G618" i="4"/>
  <c r="G617" i="4"/>
  <c r="G616" i="4"/>
  <c r="G614" i="4"/>
  <c r="G613" i="4"/>
  <c r="G612" i="4"/>
  <c r="G611" i="4"/>
  <c r="G610" i="4"/>
  <c r="G609" i="4"/>
  <c r="F608" i="4"/>
  <c r="F622" i="4" s="1"/>
  <c r="G607" i="4"/>
  <c r="G606" i="4"/>
  <c r="G605" i="4"/>
  <c r="G604" i="4"/>
  <c r="G603" i="4"/>
  <c r="G602" i="4"/>
  <c r="G601" i="4"/>
  <c r="G600" i="4"/>
  <c r="G608" i="4" s="1"/>
  <c r="G622" i="4" s="1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G581" i="4"/>
  <c r="G595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F567" i="4"/>
  <c r="F568" i="4" s="1"/>
  <c r="G566" i="4"/>
  <c r="G567" i="4" s="1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7" i="4" s="1"/>
  <c r="G541" i="4" s="1"/>
  <c r="G525" i="4"/>
  <c r="G524" i="4"/>
  <c r="G523" i="4"/>
  <c r="G522" i="4"/>
  <c r="G521" i="4"/>
  <c r="G520" i="4"/>
  <c r="G519" i="4"/>
  <c r="G518" i="4"/>
  <c r="G517" i="4"/>
  <c r="G516" i="4"/>
  <c r="G515" i="4"/>
  <c r="F513" i="4"/>
  <c r="F514" i="4" s="1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7" i="4"/>
  <c r="G486" i="4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F473" i="4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G446" i="4"/>
  <c r="G460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F432" i="4"/>
  <c r="F433" i="4" s="1"/>
  <c r="G431" i="4"/>
  <c r="G430" i="4"/>
  <c r="G429" i="4"/>
  <c r="G428" i="4"/>
  <c r="G427" i="4"/>
  <c r="G426" i="4"/>
  <c r="G425" i="4"/>
  <c r="G424" i="4"/>
  <c r="G423" i="4"/>
  <c r="G422" i="4"/>
  <c r="G432" i="4" s="1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92" i="4" s="1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78" i="4" s="1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G379" i="4" s="1"/>
  <c r="F351" i="4"/>
  <c r="F352" i="4" s="1"/>
  <c r="G350" i="4"/>
  <c r="G349" i="4"/>
  <c r="G348" i="4"/>
  <c r="G347" i="4"/>
  <c r="G346" i="4"/>
  <c r="G345" i="4"/>
  <c r="G344" i="4"/>
  <c r="G343" i="4"/>
  <c r="G351" i="4" s="1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38" i="4" s="1"/>
  <c r="G352" i="4" s="1"/>
  <c r="G326" i="4"/>
  <c r="G324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F311" i="4"/>
  <c r="F325" i="4" s="1"/>
  <c r="G310" i="4"/>
  <c r="G309" i="4"/>
  <c r="G308" i="4"/>
  <c r="G307" i="4"/>
  <c r="G306" i="4"/>
  <c r="G305" i="4"/>
  <c r="G304" i="4"/>
  <c r="G303" i="4"/>
  <c r="G311" i="4" s="1"/>
  <c r="G325" i="4" s="1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G284" i="4"/>
  <c r="G298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F270" i="4"/>
  <c r="F271" i="4" s="1"/>
  <c r="G269" i="4"/>
  <c r="G270" i="4" s="1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G271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30" i="4" s="1"/>
  <c r="G244" i="4" s="1"/>
  <c r="G228" i="4"/>
  <c r="G227" i="4"/>
  <c r="G226" i="4"/>
  <c r="G225" i="4"/>
  <c r="G224" i="4"/>
  <c r="G223" i="4"/>
  <c r="G222" i="4"/>
  <c r="G221" i="4"/>
  <c r="G220" i="4"/>
  <c r="G219" i="4"/>
  <c r="G218" i="4"/>
  <c r="F216" i="4"/>
  <c r="F217" i="4" s="1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90" i="4"/>
  <c r="G189" i="4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F176" i="4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G149" i="4"/>
  <c r="G163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F135" i="4"/>
  <c r="F136" i="4" s="1"/>
  <c r="G134" i="4"/>
  <c r="G133" i="4"/>
  <c r="G132" i="4"/>
  <c r="G131" i="4"/>
  <c r="G130" i="4"/>
  <c r="G129" i="4"/>
  <c r="G128" i="4"/>
  <c r="G127" i="4"/>
  <c r="G126" i="4"/>
  <c r="G125" i="4"/>
  <c r="G135" i="4" s="1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G136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95" i="4" s="1"/>
  <c r="G109" i="4" s="1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81" i="4" s="1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G82" i="4" s="1"/>
  <c r="F54" i="4"/>
  <c r="F55" i="4" s="1"/>
  <c r="G53" i="4"/>
  <c r="G52" i="4"/>
  <c r="G51" i="4"/>
  <c r="G50" i="4"/>
  <c r="G49" i="4"/>
  <c r="G48" i="4"/>
  <c r="G47" i="4"/>
  <c r="G46" i="4"/>
  <c r="G54" i="4" s="1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41" i="4" s="1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F784" i="5" s="1"/>
  <c r="G782" i="5"/>
  <c r="G781" i="5"/>
  <c r="G783" i="5" s="1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70" i="5" s="1"/>
  <c r="G784" i="5" s="1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43" i="5" s="1"/>
  <c r="G757" i="5" s="1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29" i="5" s="1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G730" i="5" s="1"/>
  <c r="F702" i="5"/>
  <c r="F703" i="5" s="1"/>
  <c r="G701" i="5"/>
  <c r="G702" i="5" s="1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89" i="5" s="1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2" i="5" s="1"/>
  <c r="G676" i="5" s="1"/>
  <c r="G660" i="5"/>
  <c r="G659" i="5"/>
  <c r="G658" i="5"/>
  <c r="G657" i="5"/>
  <c r="G656" i="5"/>
  <c r="G655" i="5"/>
  <c r="G654" i="5"/>
  <c r="G653" i="5"/>
  <c r="G652" i="5"/>
  <c r="G651" i="5"/>
  <c r="G650" i="5"/>
  <c r="F648" i="5"/>
  <c r="F649" i="5" s="1"/>
  <c r="G647" i="5"/>
  <c r="G646" i="5"/>
  <c r="G645" i="5"/>
  <c r="G644" i="5"/>
  <c r="G643" i="5"/>
  <c r="G642" i="5"/>
  <c r="G641" i="5"/>
  <c r="G648" i="5" s="1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2" i="5"/>
  <c r="G621" i="5"/>
  <c r="F621" i="5"/>
  <c r="G620" i="5"/>
  <c r="G619" i="5"/>
  <c r="G618" i="5"/>
  <c r="G617" i="5"/>
  <c r="G616" i="5"/>
  <c r="G614" i="5"/>
  <c r="G613" i="5"/>
  <c r="G612" i="5"/>
  <c r="G611" i="5"/>
  <c r="G610" i="5"/>
  <c r="G609" i="5"/>
  <c r="F608" i="5"/>
  <c r="G607" i="5"/>
  <c r="G606" i="5"/>
  <c r="G605" i="5"/>
  <c r="G604" i="5"/>
  <c r="G603" i="5"/>
  <c r="G602" i="5"/>
  <c r="G601" i="5"/>
  <c r="G600" i="5"/>
  <c r="G608" i="5" s="1"/>
  <c r="G622" i="5" s="1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G581" i="5"/>
  <c r="G595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F567" i="5"/>
  <c r="F568" i="5" s="1"/>
  <c r="G566" i="5"/>
  <c r="G565" i="5"/>
  <c r="G564" i="5"/>
  <c r="G563" i="5"/>
  <c r="G562" i="5"/>
  <c r="G561" i="5"/>
  <c r="G567" i="5" s="1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1" i="5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G526" i="5"/>
  <c r="G525" i="5"/>
  <c r="G524" i="5"/>
  <c r="G523" i="5"/>
  <c r="G522" i="5"/>
  <c r="G521" i="5"/>
  <c r="G527" i="5" s="1"/>
  <c r="G520" i="5"/>
  <c r="G519" i="5"/>
  <c r="G518" i="5"/>
  <c r="G517" i="5"/>
  <c r="G516" i="5"/>
  <c r="G515" i="5"/>
  <c r="F513" i="5"/>
  <c r="F514" i="5" s="1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F487" i="5" s="1"/>
  <c r="G485" i="5"/>
  <c r="G484" i="5"/>
  <c r="G483" i="5"/>
  <c r="G482" i="5"/>
  <c r="G486" i="5" s="1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6" i="5" s="1"/>
  <c r="G460" i="5" s="1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32" i="5" s="1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G433" i="5" s="1"/>
  <c r="F405" i="5"/>
  <c r="F406" i="5" s="1"/>
  <c r="G404" i="5"/>
  <c r="G403" i="5"/>
  <c r="G405" i="5" s="1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92" i="5" s="1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5" i="5" s="1"/>
  <c r="G362" i="5"/>
  <c r="G361" i="5"/>
  <c r="G360" i="5"/>
  <c r="G359" i="5"/>
  <c r="G358" i="5"/>
  <c r="G357" i="5"/>
  <c r="G356" i="5"/>
  <c r="G355" i="5"/>
  <c r="G354" i="5"/>
  <c r="G353" i="5"/>
  <c r="F351" i="5"/>
  <c r="F352" i="5" s="1"/>
  <c r="G350" i="5"/>
  <c r="G349" i="5"/>
  <c r="G348" i="5"/>
  <c r="G347" i="5"/>
  <c r="G346" i="5"/>
  <c r="G345" i="5"/>
  <c r="G344" i="5"/>
  <c r="G343" i="5"/>
  <c r="G351" i="5" s="1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G324" i="5"/>
  <c r="F324" i="5"/>
  <c r="F325" i="5" s="1"/>
  <c r="G323" i="5"/>
  <c r="G322" i="5"/>
  <c r="G321" i="5"/>
  <c r="G320" i="5"/>
  <c r="G319" i="5"/>
  <c r="G318" i="5"/>
  <c r="G317" i="5"/>
  <c r="G316" i="5"/>
  <c r="G315" i="5"/>
  <c r="G314" i="5"/>
  <c r="G313" i="5"/>
  <c r="G312" i="5"/>
  <c r="F311" i="5"/>
  <c r="G310" i="5"/>
  <c r="G309" i="5"/>
  <c r="G308" i="5"/>
  <c r="G307" i="5"/>
  <c r="G306" i="5"/>
  <c r="G305" i="5"/>
  <c r="G304" i="5"/>
  <c r="G303" i="5"/>
  <c r="G311" i="5" s="1"/>
  <c r="G325" i="5" s="1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G284" i="5"/>
  <c r="G298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F270" i="5"/>
  <c r="F271" i="5" s="1"/>
  <c r="G269" i="5"/>
  <c r="G268" i="5"/>
  <c r="G267" i="5"/>
  <c r="G266" i="5"/>
  <c r="G265" i="5"/>
  <c r="G264" i="5"/>
  <c r="G270" i="5" s="1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4" i="5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G229" i="5"/>
  <c r="G228" i="5"/>
  <c r="G227" i="5"/>
  <c r="G226" i="5"/>
  <c r="G225" i="5"/>
  <c r="G224" i="5"/>
  <c r="G230" i="5" s="1"/>
  <c r="G244" i="5" s="1"/>
  <c r="G223" i="5"/>
  <c r="G222" i="5"/>
  <c r="G221" i="5"/>
  <c r="G220" i="5"/>
  <c r="G219" i="5"/>
  <c r="G218" i="5"/>
  <c r="F216" i="5"/>
  <c r="F217" i="5" s="1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90" i="5"/>
  <c r="F189" i="5"/>
  <c r="G188" i="5"/>
  <c r="G187" i="5"/>
  <c r="G186" i="5"/>
  <c r="G185" i="5"/>
  <c r="G189" i="5" s="1"/>
  <c r="G184" i="5"/>
  <c r="G183" i="5"/>
  <c r="G182" i="5"/>
  <c r="G181" i="5"/>
  <c r="G180" i="5"/>
  <c r="G179" i="5"/>
  <c r="G178" i="5"/>
  <c r="G177" i="5"/>
  <c r="F176" i="5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9" i="5" s="1"/>
  <c r="G163" i="5" s="1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35" i="5" s="1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F109" i="5" s="1"/>
  <c r="G107" i="5"/>
  <c r="G106" i="5"/>
  <c r="G108" i="5" s="1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95" i="5" s="1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8" i="5" s="1"/>
  <c r="G65" i="5"/>
  <c r="G64" i="5"/>
  <c r="G63" i="5"/>
  <c r="G62" i="5"/>
  <c r="G61" i="5"/>
  <c r="G60" i="5"/>
  <c r="G59" i="5"/>
  <c r="G58" i="5"/>
  <c r="G57" i="5"/>
  <c r="G56" i="5"/>
  <c r="F54" i="5"/>
  <c r="F55" i="5" s="1"/>
  <c r="G53" i="5"/>
  <c r="G52" i="5"/>
  <c r="G51" i="5"/>
  <c r="G50" i="5"/>
  <c r="G49" i="5"/>
  <c r="G48" i="5"/>
  <c r="G47" i="5"/>
  <c r="G46" i="5"/>
  <c r="G54" i="5" s="1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G55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7" i="4"/>
  <c r="B788" i="4" s="1"/>
  <c r="B789" i="4" s="1"/>
  <c r="B790" i="4" s="1"/>
  <c r="B791" i="4" s="1"/>
  <c r="B792" i="4" s="1"/>
  <c r="B793" i="4" s="1"/>
  <c r="B794" i="4" s="1"/>
  <c r="B795" i="4" s="1"/>
  <c r="B796" i="4" s="1"/>
  <c r="B786" i="4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69" i="4"/>
  <c r="B760" i="4"/>
  <c r="B761" i="4" s="1"/>
  <c r="B762" i="4" s="1"/>
  <c r="B763" i="4" s="1"/>
  <c r="B764" i="4" s="1"/>
  <c r="B765" i="4" s="1"/>
  <c r="B766" i="4" s="1"/>
  <c r="B767" i="4" s="1"/>
  <c r="B768" i="4" s="1"/>
  <c r="B759" i="4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E730" i="4" s="1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E703" i="4" s="1"/>
  <c r="B692" i="4"/>
  <c r="B693" i="4" s="1"/>
  <c r="B694" i="4" s="1"/>
  <c r="B695" i="4" s="1"/>
  <c r="B696" i="4" s="1"/>
  <c r="B697" i="4" s="1"/>
  <c r="B698" i="4" s="1"/>
  <c r="B699" i="4" s="1"/>
  <c r="B700" i="4" s="1"/>
  <c r="B701" i="4" s="1"/>
  <c r="B691" i="4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6" i="4"/>
  <c r="E675" i="4"/>
  <c r="B665" i="4"/>
  <c r="B666" i="4" s="1"/>
  <c r="B667" i="4" s="1"/>
  <c r="B668" i="4" s="1"/>
  <c r="B669" i="4" s="1"/>
  <c r="B670" i="4" s="1"/>
  <c r="B671" i="4" s="1"/>
  <c r="B672" i="4" s="1"/>
  <c r="B673" i="4" s="1"/>
  <c r="B674" i="4" s="1"/>
  <c r="B664" i="4"/>
  <c r="E662" i="4"/>
  <c r="B652" i="4"/>
  <c r="B653" i="4" s="1"/>
  <c r="B654" i="4" s="1"/>
  <c r="B655" i="4" s="1"/>
  <c r="B656" i="4" s="1"/>
  <c r="B657" i="4" s="1"/>
  <c r="B658" i="4" s="1"/>
  <c r="B659" i="4" s="1"/>
  <c r="B660" i="4" s="1"/>
  <c r="B661" i="4" s="1"/>
  <c r="B651" i="4"/>
  <c r="E648" i="4"/>
  <c r="E649" i="4" s="1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60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7" i="4"/>
  <c r="B558" i="4" s="1"/>
  <c r="B559" i="4" s="1"/>
  <c r="B560" i="4" s="1"/>
  <c r="B561" i="4" s="1"/>
  <c r="B562" i="4" s="1"/>
  <c r="B563" i="4" s="1"/>
  <c r="B564" i="4" s="1"/>
  <c r="B565" i="4" s="1"/>
  <c r="B566" i="4" s="1"/>
  <c r="B556" i="4"/>
  <c r="E554" i="4"/>
  <c r="E568" i="4" s="1"/>
  <c r="B544" i="4"/>
  <c r="B545" i="4" s="1"/>
  <c r="B546" i="4" s="1"/>
  <c r="B547" i="4" s="1"/>
  <c r="B548" i="4" s="1"/>
  <c r="B549" i="4" s="1"/>
  <c r="B550" i="4" s="1"/>
  <c r="B551" i="4" s="1"/>
  <c r="B552" i="4" s="1"/>
  <c r="B553" i="4" s="1"/>
  <c r="B543" i="4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E514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7" i="4"/>
  <c r="E486" i="4"/>
  <c r="B480" i="4"/>
  <c r="B481" i="4" s="1"/>
  <c r="B482" i="4" s="1"/>
  <c r="B483" i="4" s="1"/>
  <c r="B484" i="4" s="1"/>
  <c r="B485" i="4" s="1"/>
  <c r="B475" i="4"/>
  <c r="B476" i="4" s="1"/>
  <c r="B477" i="4" s="1"/>
  <c r="B478" i="4" s="1"/>
  <c r="B479" i="4" s="1"/>
  <c r="E473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E460" i="4" s="1"/>
  <c r="B449" i="4"/>
  <c r="B450" i="4" s="1"/>
  <c r="B451" i="4" s="1"/>
  <c r="B452" i="4" s="1"/>
  <c r="B453" i="4" s="1"/>
  <c r="B454" i="4" s="1"/>
  <c r="B455" i="4" s="1"/>
  <c r="B456" i="4" s="1"/>
  <c r="B457" i="4" s="1"/>
  <c r="B458" i="4" s="1"/>
  <c r="B448" i="4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11" i="4"/>
  <c r="B412" i="4" s="1"/>
  <c r="B413" i="4" s="1"/>
  <c r="B414" i="4" s="1"/>
  <c r="B415" i="4" s="1"/>
  <c r="B416" i="4" s="1"/>
  <c r="B417" i="4" s="1"/>
  <c r="B418" i="4" s="1"/>
  <c r="B410" i="4"/>
  <c r="B409" i="4"/>
  <c r="B408" i="4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8" i="4"/>
  <c r="B369" i="4" s="1"/>
  <c r="B370" i="4" s="1"/>
  <c r="B371" i="4" s="1"/>
  <c r="B372" i="4" s="1"/>
  <c r="B373" i="4" s="1"/>
  <c r="B374" i="4" s="1"/>
  <c r="B375" i="4" s="1"/>
  <c r="B376" i="4" s="1"/>
  <c r="B377" i="4" s="1"/>
  <c r="B367" i="4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E325" i="4" s="1"/>
  <c r="B314" i="4"/>
  <c r="B315" i="4" s="1"/>
  <c r="B316" i="4" s="1"/>
  <c r="B317" i="4" s="1"/>
  <c r="B318" i="4" s="1"/>
  <c r="B319" i="4" s="1"/>
  <c r="B320" i="4" s="1"/>
  <c r="B321" i="4" s="1"/>
  <c r="B322" i="4" s="1"/>
  <c r="B323" i="4" s="1"/>
  <c r="B313" i="4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E298" i="4" s="1"/>
  <c r="B290" i="4"/>
  <c r="B291" i="4" s="1"/>
  <c r="B292" i="4" s="1"/>
  <c r="B293" i="4" s="1"/>
  <c r="B294" i="4" s="1"/>
  <c r="B295" i="4" s="1"/>
  <c r="B296" i="4" s="1"/>
  <c r="B286" i="4"/>
  <c r="B287" i="4" s="1"/>
  <c r="B288" i="4" s="1"/>
  <c r="B289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E271" i="4" s="1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7" i="4"/>
  <c r="B248" i="4" s="1"/>
  <c r="B249" i="4" s="1"/>
  <c r="B250" i="4" s="1"/>
  <c r="B251" i="4" s="1"/>
  <c r="B252" i="4" s="1"/>
  <c r="B253" i="4" s="1"/>
  <c r="B254" i="4" s="1"/>
  <c r="B255" i="4" s="1"/>
  <c r="B256" i="4" s="1"/>
  <c r="B246" i="4"/>
  <c r="E243" i="4"/>
  <c r="E244" i="4" s="1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5" i="4"/>
  <c r="B196" i="4" s="1"/>
  <c r="B197" i="4" s="1"/>
  <c r="B198" i="4" s="1"/>
  <c r="B199" i="4" s="1"/>
  <c r="B200" i="4" s="1"/>
  <c r="B201" i="4" s="1"/>
  <c r="B202" i="4" s="1"/>
  <c r="B193" i="4"/>
  <c r="B194" i="4" s="1"/>
  <c r="B192" i="4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6" i="4"/>
  <c r="B167" i="4" s="1"/>
  <c r="B168" i="4" s="1"/>
  <c r="B169" i="4" s="1"/>
  <c r="B170" i="4" s="1"/>
  <c r="B171" i="4" s="1"/>
  <c r="B172" i="4" s="1"/>
  <c r="B173" i="4" s="1"/>
  <c r="B174" i="4" s="1"/>
  <c r="B175" i="4" s="1"/>
  <c r="B165" i="4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E136" i="4" s="1"/>
  <c r="B125" i="4"/>
  <c r="B126" i="4" s="1"/>
  <c r="B127" i="4" s="1"/>
  <c r="B128" i="4" s="1"/>
  <c r="B129" i="4" s="1"/>
  <c r="B130" i="4" s="1"/>
  <c r="B131" i="4" s="1"/>
  <c r="B132" i="4" s="1"/>
  <c r="B133" i="4" s="1"/>
  <c r="B134" i="4" s="1"/>
  <c r="B124" i="4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9" i="4"/>
  <c r="E108" i="4"/>
  <c r="B98" i="4"/>
  <c r="B99" i="4" s="1"/>
  <c r="B100" i="4" s="1"/>
  <c r="B101" i="4" s="1"/>
  <c r="B102" i="4" s="1"/>
  <c r="B103" i="4" s="1"/>
  <c r="B104" i="4" s="1"/>
  <c r="B105" i="4" s="1"/>
  <c r="B106" i="4" s="1"/>
  <c r="B107" i="4" s="1"/>
  <c r="B97" i="4"/>
  <c r="E95" i="4"/>
  <c r="B85" i="4"/>
  <c r="B86" i="4" s="1"/>
  <c r="B87" i="4" s="1"/>
  <c r="B88" i="4" s="1"/>
  <c r="B89" i="4" s="1"/>
  <c r="B90" i="4" s="1"/>
  <c r="B91" i="4" s="1"/>
  <c r="B92" i="4" s="1"/>
  <c r="B93" i="4" s="1"/>
  <c r="B94" i="4" s="1"/>
  <c r="B84" i="4"/>
  <c r="E81" i="4"/>
  <c r="E82" i="4" s="1"/>
  <c r="B71" i="4"/>
  <c r="B72" i="4" s="1"/>
  <c r="B73" i="4" s="1"/>
  <c r="B74" i="4" s="1"/>
  <c r="B75" i="4" s="1"/>
  <c r="B76" i="4" s="1"/>
  <c r="B77" i="4" s="1"/>
  <c r="B78" i="4" s="1"/>
  <c r="B79" i="4" s="1"/>
  <c r="B80" i="4" s="1"/>
  <c r="B70" i="4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E55" i="4" s="1"/>
  <c r="B52" i="4"/>
  <c r="B53" i="4" s="1"/>
  <c r="B43" i="4"/>
  <c r="B44" i="4" s="1"/>
  <c r="B45" i="4" s="1"/>
  <c r="B46" i="4" s="1"/>
  <c r="B47" i="4" s="1"/>
  <c r="B48" i="4" s="1"/>
  <c r="B49" i="4" s="1"/>
  <c r="B50" i="4" s="1"/>
  <c r="B51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5" i="4"/>
  <c r="B6" i="4" s="1"/>
  <c r="B7" i="4" s="1"/>
  <c r="B8" i="4" s="1"/>
  <c r="B9" i="4" s="1"/>
  <c r="B10" i="4" s="1"/>
  <c r="B11" i="4" s="1"/>
  <c r="B12" i="4" s="1"/>
  <c r="B13" i="4" s="1"/>
  <c r="B4" i="4"/>
  <c r="B3" i="4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60" i="5"/>
  <c r="B761" i="5" s="1"/>
  <c r="B762" i="5" s="1"/>
  <c r="B763" i="5" s="1"/>
  <c r="B764" i="5" s="1"/>
  <c r="B765" i="5" s="1"/>
  <c r="B766" i="5" s="1"/>
  <c r="B767" i="5" s="1"/>
  <c r="B768" i="5" s="1"/>
  <c r="B769" i="5" s="1"/>
  <c r="B759" i="5"/>
  <c r="E757" i="5"/>
  <c r="E756" i="5"/>
  <c r="B746" i="5"/>
  <c r="B747" i="5" s="1"/>
  <c r="B748" i="5" s="1"/>
  <c r="B749" i="5" s="1"/>
  <c r="B750" i="5" s="1"/>
  <c r="B751" i="5" s="1"/>
  <c r="B752" i="5" s="1"/>
  <c r="B753" i="5" s="1"/>
  <c r="B754" i="5" s="1"/>
  <c r="B755" i="5" s="1"/>
  <c r="B745" i="5"/>
  <c r="E743" i="5"/>
  <c r="B734" i="5"/>
  <c r="B735" i="5" s="1"/>
  <c r="B736" i="5" s="1"/>
  <c r="B737" i="5" s="1"/>
  <c r="B738" i="5" s="1"/>
  <c r="B739" i="5" s="1"/>
  <c r="B740" i="5" s="1"/>
  <c r="B741" i="5" s="1"/>
  <c r="B742" i="5" s="1"/>
  <c r="B732" i="5"/>
  <c r="B733" i="5" s="1"/>
  <c r="E729" i="5"/>
  <c r="E730" i="5" s="1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E703" i="5" s="1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E649" i="5" s="1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2" i="5"/>
  <c r="E621" i="5"/>
  <c r="B616" i="5"/>
  <c r="B617" i="5" s="1"/>
  <c r="B618" i="5" s="1"/>
  <c r="B619" i="5" s="1"/>
  <c r="B620" i="5" s="1"/>
  <c r="B610" i="5"/>
  <c r="B611" i="5" s="1"/>
  <c r="B612" i="5" s="1"/>
  <c r="B613" i="5" s="1"/>
  <c r="B614" i="5" s="1"/>
  <c r="B615" i="5" s="1"/>
  <c r="E608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5" i="5"/>
  <c r="B586" i="5" s="1"/>
  <c r="B587" i="5" s="1"/>
  <c r="B588" i="5" s="1"/>
  <c r="B589" i="5" s="1"/>
  <c r="B590" i="5" s="1"/>
  <c r="B591" i="5" s="1"/>
  <c r="B592" i="5" s="1"/>
  <c r="B593" i="5" s="1"/>
  <c r="B584" i="5"/>
  <c r="B583" i="5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4" i="5"/>
  <c r="B545" i="5" s="1"/>
  <c r="B546" i="5" s="1"/>
  <c r="B547" i="5" s="1"/>
  <c r="B548" i="5" s="1"/>
  <c r="B549" i="5" s="1"/>
  <c r="B550" i="5" s="1"/>
  <c r="B551" i="5" s="1"/>
  <c r="B552" i="5" s="1"/>
  <c r="B553" i="5" s="1"/>
  <c r="B543" i="5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E514" i="5" s="1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E487" i="5" s="1"/>
  <c r="B480" i="5"/>
  <c r="B481" i="5" s="1"/>
  <c r="B482" i="5" s="1"/>
  <c r="B483" i="5" s="1"/>
  <c r="B484" i="5" s="1"/>
  <c r="B485" i="5" s="1"/>
  <c r="B475" i="5"/>
  <c r="B476" i="5" s="1"/>
  <c r="B477" i="5" s="1"/>
  <c r="B478" i="5" s="1"/>
  <c r="B479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E460" i="5" s="1"/>
  <c r="B449" i="5"/>
  <c r="B450" i="5" s="1"/>
  <c r="B451" i="5" s="1"/>
  <c r="B452" i="5" s="1"/>
  <c r="B453" i="5" s="1"/>
  <c r="B454" i="5" s="1"/>
  <c r="B455" i="5" s="1"/>
  <c r="B456" i="5" s="1"/>
  <c r="B457" i="5" s="1"/>
  <c r="B458" i="5" s="1"/>
  <c r="B448" i="5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9" i="5"/>
  <c r="B410" i="5" s="1"/>
  <c r="B411" i="5" s="1"/>
  <c r="B412" i="5" s="1"/>
  <c r="B413" i="5" s="1"/>
  <c r="B414" i="5" s="1"/>
  <c r="B415" i="5" s="1"/>
  <c r="B416" i="5" s="1"/>
  <c r="B417" i="5" s="1"/>
  <c r="B418" i="5" s="1"/>
  <c r="B408" i="5"/>
  <c r="E405" i="5"/>
  <c r="B395" i="5"/>
  <c r="B396" i="5" s="1"/>
  <c r="B397" i="5" s="1"/>
  <c r="B398" i="5" s="1"/>
  <c r="B399" i="5" s="1"/>
  <c r="B400" i="5" s="1"/>
  <c r="B401" i="5" s="1"/>
  <c r="B402" i="5" s="1"/>
  <c r="B403" i="5" s="1"/>
  <c r="B404" i="5" s="1"/>
  <c r="B394" i="5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5" i="5"/>
  <c r="B356" i="5" s="1"/>
  <c r="B357" i="5" s="1"/>
  <c r="B358" i="5" s="1"/>
  <c r="B359" i="5" s="1"/>
  <c r="B360" i="5" s="1"/>
  <c r="B361" i="5" s="1"/>
  <c r="B362" i="5" s="1"/>
  <c r="B363" i="5" s="1"/>
  <c r="B364" i="5" s="1"/>
  <c r="B354" i="5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E325" i="5" s="1"/>
  <c r="B315" i="5"/>
  <c r="B316" i="5" s="1"/>
  <c r="B317" i="5" s="1"/>
  <c r="B318" i="5" s="1"/>
  <c r="B319" i="5" s="1"/>
  <c r="B320" i="5" s="1"/>
  <c r="B321" i="5" s="1"/>
  <c r="B322" i="5" s="1"/>
  <c r="B323" i="5" s="1"/>
  <c r="B314" i="5"/>
  <c r="B313" i="5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8" i="5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E271" i="5" s="1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E244" i="5" s="1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3" i="5"/>
  <c r="E162" i="5"/>
  <c r="B152" i="5"/>
  <c r="B153" i="5" s="1"/>
  <c r="B154" i="5" s="1"/>
  <c r="B155" i="5" s="1"/>
  <c r="B156" i="5" s="1"/>
  <c r="B157" i="5" s="1"/>
  <c r="B158" i="5" s="1"/>
  <c r="B159" i="5" s="1"/>
  <c r="B160" i="5" s="1"/>
  <c r="B161" i="5" s="1"/>
  <c r="B151" i="5"/>
  <c r="E149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E136" i="5" s="1"/>
  <c r="B129" i="5"/>
  <c r="B130" i="5" s="1"/>
  <c r="B131" i="5" s="1"/>
  <c r="B132" i="5" s="1"/>
  <c r="B133" i="5" s="1"/>
  <c r="B134" i="5" s="1"/>
  <c r="B124" i="5"/>
  <c r="B125" i="5" s="1"/>
  <c r="B126" i="5" s="1"/>
  <c r="B127" i="5" s="1"/>
  <c r="B128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E109" i="5" s="1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E55" i="5" s="1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9" i="5"/>
  <c r="B20" i="5" s="1"/>
  <c r="B21" i="5" s="1"/>
  <c r="B22" i="5" s="1"/>
  <c r="B23" i="5" s="1"/>
  <c r="B24" i="5" s="1"/>
  <c r="B25" i="5" s="1"/>
  <c r="B26" i="5" s="1"/>
  <c r="B16" i="5"/>
  <c r="B17" i="5" s="1"/>
  <c r="B18" i="5" s="1"/>
  <c r="B4" i="5"/>
  <c r="B5" i="5" s="1"/>
  <c r="B6" i="5" s="1"/>
  <c r="B7" i="5" s="1"/>
  <c r="B8" i="5" s="1"/>
  <c r="B9" i="5" s="1"/>
  <c r="B10" i="5" s="1"/>
  <c r="B11" i="5" s="1"/>
  <c r="B12" i="5" s="1"/>
  <c r="B13" i="5" s="1"/>
  <c r="B3" i="5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G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G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6" i="5"/>
  <c r="M25" i="5"/>
  <c r="M24" i="5"/>
  <c r="M23" i="5"/>
  <c r="M22" i="5"/>
  <c r="M21" i="5"/>
  <c r="M20" i="5"/>
  <c r="M19" i="5"/>
  <c r="M18" i="5"/>
  <c r="M17" i="5"/>
  <c r="M16" i="5"/>
  <c r="M1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G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8" i="4"/>
  <c r="M57" i="4"/>
  <c r="M56" i="4"/>
  <c r="O55" i="4"/>
  <c r="M53" i="4"/>
  <c r="M52" i="4"/>
  <c r="M51" i="4"/>
  <c r="M50" i="4"/>
  <c r="M49" i="4"/>
  <c r="M48" i="4"/>
  <c r="M47" i="4"/>
  <c r="M46" i="4"/>
  <c r="M45" i="4"/>
  <c r="M44" i="4"/>
  <c r="M43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O28" i="4"/>
  <c r="D4" i="1" s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O109" i="3"/>
  <c r="C7" i="1" s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52" i="3"/>
  <c r="M51" i="3"/>
  <c r="M50" i="3"/>
  <c r="M49" i="3"/>
  <c r="M48" i="3"/>
  <c r="M47" i="3"/>
  <c r="M46" i="3"/>
  <c r="M45" i="3"/>
  <c r="M44" i="3"/>
  <c r="M43" i="3"/>
  <c r="M42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G34" i="1" s="1"/>
  <c r="E34" i="1"/>
  <c r="D34" i="1"/>
  <c r="C34" i="1"/>
  <c r="E33" i="1"/>
  <c r="D33" i="1"/>
  <c r="E32" i="1"/>
  <c r="D32" i="1"/>
  <c r="E31" i="1"/>
  <c r="D31" i="1"/>
  <c r="G31" i="1" s="1"/>
  <c r="C31" i="1"/>
  <c r="E30" i="1"/>
  <c r="F29" i="1"/>
  <c r="E29" i="1"/>
  <c r="E28" i="1"/>
  <c r="F27" i="1"/>
  <c r="E27" i="1"/>
  <c r="C27" i="1"/>
  <c r="F26" i="1"/>
  <c r="E26" i="1"/>
  <c r="C26" i="1"/>
  <c r="F25" i="1"/>
  <c r="E25" i="1"/>
  <c r="D25" i="1"/>
  <c r="C25" i="1"/>
  <c r="D24" i="1"/>
  <c r="G24" i="1" s="1"/>
  <c r="F23" i="1"/>
  <c r="E23" i="1"/>
  <c r="E22" i="1"/>
  <c r="E21" i="1"/>
  <c r="D21" i="1"/>
  <c r="C21" i="1"/>
  <c r="F20" i="1"/>
  <c r="E20" i="1"/>
  <c r="G20" i="1" s="1"/>
  <c r="C20" i="1"/>
  <c r="G19" i="1"/>
  <c r="F19" i="1"/>
  <c r="E19" i="1"/>
  <c r="D19" i="1"/>
  <c r="C19" i="1"/>
  <c r="E18" i="1"/>
  <c r="D18" i="1"/>
  <c r="G18" i="1" s="1"/>
  <c r="C18" i="1"/>
  <c r="D17" i="1"/>
  <c r="F16" i="1"/>
  <c r="C16" i="1"/>
  <c r="E15" i="1"/>
  <c r="D15" i="1"/>
  <c r="F14" i="1"/>
  <c r="G14" i="1" s="1"/>
  <c r="E14" i="1"/>
  <c r="D14" i="1"/>
  <c r="F13" i="1"/>
  <c r="D13" i="1"/>
  <c r="G13" i="1" s="1"/>
  <c r="C13" i="1"/>
  <c r="G12" i="1"/>
  <c r="C12" i="1"/>
  <c r="G11" i="1"/>
  <c r="F11" i="1"/>
  <c r="E10" i="1"/>
  <c r="G10" i="1" s="1"/>
  <c r="D10" i="1"/>
  <c r="F9" i="1"/>
  <c r="E9" i="1"/>
  <c r="D9" i="1"/>
  <c r="G9" i="1" s="1"/>
  <c r="F8" i="1"/>
  <c r="E8" i="1"/>
  <c r="D8" i="1"/>
  <c r="C8" i="1"/>
  <c r="D7" i="1"/>
  <c r="F6" i="1"/>
  <c r="D6" i="1"/>
  <c r="G6" i="1" s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G783" i="6" s="1"/>
  <c r="B776" i="6"/>
  <c r="B777" i="6" s="1"/>
  <c r="B778" i="6" s="1"/>
  <c r="B779" i="6" s="1"/>
  <c r="B780" i="6" s="1"/>
  <c r="B781" i="6" s="1"/>
  <c r="B782" i="6" s="1"/>
  <c r="M775" i="6"/>
  <c r="G775" i="6"/>
  <c r="M774" i="6"/>
  <c r="G774" i="6"/>
  <c r="B774" i="6"/>
  <c r="B775" i="6" s="1"/>
  <c r="M773" i="6"/>
  <c r="G773" i="6"/>
  <c r="B773" i="6"/>
  <c r="M772" i="6"/>
  <c r="G772" i="6"/>
  <c r="B772" i="6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G770" i="6" s="1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E757" i="6" s="1"/>
  <c r="M755" i="6"/>
  <c r="G755" i="6"/>
  <c r="M754" i="6"/>
  <c r="G754" i="6"/>
  <c r="M753" i="6"/>
  <c r="G753" i="6"/>
  <c r="M752" i="6"/>
  <c r="G752" i="6"/>
  <c r="B752" i="6"/>
  <c r="B753" i="6" s="1"/>
  <c r="B754" i="6" s="1"/>
  <c r="B755" i="6" s="1"/>
  <c r="M751" i="6"/>
  <c r="G751" i="6"/>
  <c r="M750" i="6"/>
  <c r="G750" i="6"/>
  <c r="M749" i="6"/>
  <c r="G749" i="6"/>
  <c r="M748" i="6"/>
  <c r="G748" i="6"/>
  <c r="M747" i="6"/>
  <c r="G747" i="6"/>
  <c r="B747" i="6"/>
  <c r="B748" i="6" s="1"/>
  <c r="B749" i="6" s="1"/>
  <c r="B750" i="6" s="1"/>
  <c r="B751" i="6" s="1"/>
  <c r="M746" i="6"/>
  <c r="G746" i="6"/>
  <c r="B746" i="6"/>
  <c r="M745" i="6"/>
  <c r="G745" i="6"/>
  <c r="B745" i="6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B739" i="6"/>
  <c r="B740" i="6" s="1"/>
  <c r="B741" i="6" s="1"/>
  <c r="B742" i="6" s="1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M731" i="6"/>
  <c r="G731" i="6"/>
  <c r="O730" i="6"/>
  <c r="F30" i="1" s="1"/>
  <c r="E730" i="6"/>
  <c r="G729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B721" i="6"/>
  <c r="B722" i="6" s="1"/>
  <c r="B723" i="6" s="1"/>
  <c r="B724" i="6" s="1"/>
  <c r="B725" i="6" s="1"/>
  <c r="B726" i="6" s="1"/>
  <c r="B727" i="6" s="1"/>
  <c r="B728" i="6" s="1"/>
  <c r="M720" i="6"/>
  <c r="G720" i="6"/>
  <c r="M719" i="6"/>
  <c r="G719" i="6"/>
  <c r="M718" i="6"/>
  <c r="G718" i="6"/>
  <c r="B718" i="6"/>
  <c r="B719" i="6" s="1"/>
  <c r="B720" i="6" s="1"/>
  <c r="M717" i="6"/>
  <c r="G717" i="6"/>
  <c r="F716" i="6"/>
  <c r="F730" i="6" s="1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B706" i="6"/>
  <c r="B707" i="6" s="1"/>
  <c r="B708" i="6" s="1"/>
  <c r="B709" i="6" s="1"/>
  <c r="B710" i="6" s="1"/>
  <c r="B711" i="6" s="1"/>
  <c r="B712" i="6" s="1"/>
  <c r="B713" i="6" s="1"/>
  <c r="B714" i="6" s="1"/>
  <c r="B715" i="6" s="1"/>
  <c r="M705" i="6"/>
  <c r="G705" i="6"/>
  <c r="B705" i="6"/>
  <c r="M704" i="6"/>
  <c r="G704" i="6"/>
  <c r="G716" i="6" s="1"/>
  <c r="O703" i="6"/>
  <c r="E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B693" i="6"/>
  <c r="B694" i="6" s="1"/>
  <c r="B695" i="6" s="1"/>
  <c r="B696" i="6" s="1"/>
  <c r="B697" i="6" s="1"/>
  <c r="B698" i="6" s="1"/>
  <c r="B699" i="6" s="1"/>
  <c r="B700" i="6" s="1"/>
  <c r="B701" i="6" s="1"/>
  <c r="M692" i="6"/>
  <c r="G692" i="6"/>
  <c r="B692" i="6"/>
  <c r="M691" i="6"/>
  <c r="G691" i="6"/>
  <c r="B691" i="6"/>
  <c r="M690" i="6"/>
  <c r="G690" i="6"/>
  <c r="F689" i="6"/>
  <c r="E689" i="6"/>
  <c r="M688" i="6"/>
  <c r="G688" i="6"/>
  <c r="M687" i="6"/>
  <c r="G687" i="6"/>
  <c r="M686" i="6"/>
  <c r="G686" i="6"/>
  <c r="M685" i="6"/>
  <c r="G685" i="6"/>
  <c r="M684" i="6"/>
  <c r="G684" i="6"/>
  <c r="B684" i="6"/>
  <c r="B685" i="6" s="1"/>
  <c r="B686" i="6" s="1"/>
  <c r="B687" i="6" s="1"/>
  <c r="B688" i="6" s="1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M677" i="6"/>
  <c r="G677" i="6"/>
  <c r="O676" i="6"/>
  <c r="F28" i="1" s="1"/>
  <c r="F676" i="6"/>
  <c r="E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B668" i="6"/>
  <c r="B669" i="6" s="1"/>
  <c r="B670" i="6" s="1"/>
  <c r="B671" i="6" s="1"/>
  <c r="B672" i="6" s="1"/>
  <c r="B673" i="6" s="1"/>
  <c r="B674" i="6" s="1"/>
  <c r="M667" i="6"/>
  <c r="G667" i="6"/>
  <c r="B667" i="6"/>
  <c r="M666" i="6"/>
  <c r="G666" i="6"/>
  <c r="B666" i="6"/>
  <c r="M665" i="6"/>
  <c r="G665" i="6"/>
  <c r="B665" i="6"/>
  <c r="M664" i="6"/>
  <c r="G664" i="6"/>
  <c r="B664" i="6"/>
  <c r="M663" i="6"/>
  <c r="G663" i="6"/>
  <c r="F662" i="6"/>
  <c r="E662" i="6"/>
  <c r="M661" i="6"/>
  <c r="G661" i="6"/>
  <c r="M660" i="6"/>
  <c r="G660" i="6"/>
  <c r="B660" i="6"/>
  <c r="B661" i="6" s="1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B653" i="6"/>
  <c r="B654" i="6" s="1"/>
  <c r="B655" i="6" s="1"/>
  <c r="B656" i="6" s="1"/>
  <c r="B657" i="6" s="1"/>
  <c r="B658" i="6" s="1"/>
  <c r="B659" i="6" s="1"/>
  <c r="M652" i="6"/>
  <c r="G652" i="6"/>
  <c r="B652" i="6"/>
  <c r="M651" i="6"/>
  <c r="G651" i="6"/>
  <c r="B651" i="6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B644" i="6"/>
  <c r="B645" i="6" s="1"/>
  <c r="B646" i="6" s="1"/>
  <c r="B647" i="6" s="1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622" i="6"/>
  <c r="E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B616" i="6"/>
  <c r="B617" i="6" s="1"/>
  <c r="B618" i="6" s="1"/>
  <c r="B619" i="6" s="1"/>
  <c r="B620" i="6" s="1"/>
  <c r="M615" i="6"/>
  <c r="M614" i="6"/>
  <c r="G614" i="6"/>
  <c r="B614" i="6"/>
  <c r="B615" i="6" s="1"/>
  <c r="M613" i="6"/>
  <c r="G613" i="6"/>
  <c r="M612" i="6"/>
  <c r="G612" i="6"/>
  <c r="M611" i="6"/>
  <c r="G611" i="6"/>
  <c r="G621" i="6" s="1"/>
  <c r="M610" i="6"/>
  <c r="G610" i="6"/>
  <c r="B610" i="6"/>
  <c r="B611" i="6" s="1"/>
  <c r="B612" i="6" s="1"/>
  <c r="B613" i="6" s="1"/>
  <c r="M609" i="6"/>
  <c r="G609" i="6"/>
  <c r="F608" i="6"/>
  <c r="E608" i="6"/>
  <c r="M607" i="6"/>
  <c r="G607" i="6"/>
  <c r="B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M596" i="6"/>
  <c r="G596" i="6"/>
  <c r="O595" i="6"/>
  <c r="E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M580" i="6"/>
  <c r="G580" i="6"/>
  <c r="M579" i="6"/>
  <c r="G579" i="6"/>
  <c r="M578" i="6"/>
  <c r="G578" i="6"/>
  <c r="M577" i="6"/>
  <c r="G577" i="6"/>
  <c r="M576" i="6"/>
  <c r="G576" i="6"/>
  <c r="G575" i="6"/>
  <c r="B575" i="6"/>
  <c r="B576" i="6" s="1"/>
  <c r="B577" i="6" s="1"/>
  <c r="B578" i="6" s="1"/>
  <c r="B579" i="6" s="1"/>
  <c r="B580" i="6" s="1"/>
  <c r="M574" i="6"/>
  <c r="G574" i="6"/>
  <c r="G581" i="6" s="1"/>
  <c r="G595" i="6" s="1"/>
  <c r="M573" i="6"/>
  <c r="G573" i="6"/>
  <c r="M572" i="6"/>
  <c r="G572" i="6"/>
  <c r="B572" i="6"/>
  <c r="B573" i="6" s="1"/>
  <c r="B574" i="6" s="1"/>
  <c r="M571" i="6"/>
  <c r="G571" i="6"/>
  <c r="B571" i="6"/>
  <c r="M570" i="6"/>
  <c r="G570" i="6"/>
  <c r="B570" i="6"/>
  <c r="M569" i="6"/>
  <c r="G569" i="6"/>
  <c r="O568" i="6"/>
  <c r="F24" i="1" s="1"/>
  <c r="F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B557" i="6"/>
  <c r="B558" i="6" s="1"/>
  <c r="B559" i="6" s="1"/>
  <c r="B560" i="6" s="1"/>
  <c r="B561" i="6" s="1"/>
  <c r="B562" i="6" s="1"/>
  <c r="B563" i="6" s="1"/>
  <c r="B564" i="6" s="1"/>
  <c r="B565" i="6" s="1"/>
  <c r="B566" i="6" s="1"/>
  <c r="M556" i="6"/>
  <c r="G556" i="6"/>
  <c r="G567" i="6" s="1"/>
  <c r="B556" i="6"/>
  <c r="M555" i="6"/>
  <c r="G555" i="6"/>
  <c r="F554" i="6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G554" i="6" s="1"/>
  <c r="G568" i="6" s="1"/>
  <c r="M546" i="6"/>
  <c r="G546" i="6"/>
  <c r="B546" i="6"/>
  <c r="B547" i="6" s="1"/>
  <c r="B548" i="6" s="1"/>
  <c r="B549" i="6" s="1"/>
  <c r="B550" i="6" s="1"/>
  <c r="B551" i="6" s="1"/>
  <c r="B552" i="6" s="1"/>
  <c r="B553" i="6" s="1"/>
  <c r="M545" i="6"/>
  <c r="G545" i="6"/>
  <c r="M544" i="6"/>
  <c r="G544" i="6"/>
  <c r="M543" i="6"/>
  <c r="G543" i="6"/>
  <c r="B543" i="6"/>
  <c r="B544" i="6" s="1"/>
  <c r="B545" i="6" s="1"/>
  <c r="M542" i="6"/>
  <c r="G542" i="6"/>
  <c r="O541" i="6"/>
  <c r="F541" i="6"/>
  <c r="F540" i="6"/>
  <c r="E540" i="6"/>
  <c r="E541" i="6" s="1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B518" i="6"/>
  <c r="B519" i="6" s="1"/>
  <c r="B520" i="6" s="1"/>
  <c r="B521" i="6" s="1"/>
  <c r="B522" i="6" s="1"/>
  <c r="B523" i="6" s="1"/>
  <c r="B524" i="6" s="1"/>
  <c r="B525" i="6" s="1"/>
  <c r="B526" i="6" s="1"/>
  <c r="M517" i="6"/>
  <c r="G517" i="6"/>
  <c r="B517" i="6"/>
  <c r="M516" i="6"/>
  <c r="G516" i="6"/>
  <c r="B516" i="6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B481" i="6"/>
  <c r="B482" i="6" s="1"/>
  <c r="B483" i="6" s="1"/>
  <c r="B484" i="6" s="1"/>
  <c r="B485" i="6" s="1"/>
  <c r="M480" i="6"/>
  <c r="G480" i="6"/>
  <c r="M479" i="6"/>
  <c r="G479" i="6"/>
  <c r="M478" i="6"/>
  <c r="G478" i="6"/>
  <c r="M477" i="6"/>
  <c r="G477" i="6"/>
  <c r="M476" i="6"/>
  <c r="G476" i="6"/>
  <c r="B476" i="6"/>
  <c r="B477" i="6" s="1"/>
  <c r="B478" i="6" s="1"/>
  <c r="B479" i="6" s="1"/>
  <c r="B480" i="6" s="1"/>
  <c r="M475" i="6"/>
  <c r="G475" i="6"/>
  <c r="B475" i="6"/>
  <c r="M474" i="6"/>
  <c r="G474" i="6"/>
  <c r="F473" i="6"/>
  <c r="F487" i="6" s="1"/>
  <c r="E473" i="6"/>
  <c r="E487" i="6" s="1"/>
  <c r="M472" i="6"/>
  <c r="G472" i="6"/>
  <c r="G473" i="6" s="1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B465" i="6"/>
  <c r="B466" i="6" s="1"/>
  <c r="B467" i="6" s="1"/>
  <c r="B468" i="6" s="1"/>
  <c r="B469" i="6" s="1"/>
  <c r="B470" i="6" s="1"/>
  <c r="B471" i="6" s="1"/>
  <c r="B472" i="6" s="1"/>
  <c r="M464" i="6"/>
  <c r="G464" i="6"/>
  <c r="B464" i="6"/>
  <c r="M463" i="6"/>
  <c r="G463" i="6"/>
  <c r="B463" i="6"/>
  <c r="M462" i="6"/>
  <c r="G462" i="6"/>
  <c r="B462" i="6"/>
  <c r="M461" i="6"/>
  <c r="G461" i="6"/>
  <c r="O460" i="6"/>
  <c r="F459" i="6"/>
  <c r="F460" i="6" s="1"/>
  <c r="E459" i="6"/>
  <c r="E460" i="6" s="1"/>
  <c r="M458" i="6"/>
  <c r="G458" i="6"/>
  <c r="M457" i="6"/>
  <c r="G457" i="6"/>
  <c r="M456" i="6"/>
  <c r="G456" i="6"/>
  <c r="M455" i="6"/>
  <c r="G455" i="6"/>
  <c r="M454" i="6"/>
  <c r="G454" i="6"/>
  <c r="M453" i="6"/>
  <c r="G453" i="6"/>
  <c r="B453" i="6"/>
  <c r="B454" i="6" s="1"/>
  <c r="B455" i="6" s="1"/>
  <c r="B456" i="6" s="1"/>
  <c r="B457" i="6" s="1"/>
  <c r="B458" i="6" s="1"/>
  <c r="M452" i="6"/>
  <c r="G452" i="6"/>
  <c r="M451" i="6"/>
  <c r="G451" i="6"/>
  <c r="M450" i="6"/>
  <c r="G450" i="6"/>
  <c r="B450" i="6"/>
  <c r="B451" i="6" s="1"/>
  <c r="B452" i="6" s="1"/>
  <c r="M449" i="6"/>
  <c r="G449" i="6"/>
  <c r="G459" i="6" s="1"/>
  <c r="M448" i="6"/>
  <c r="G448" i="6"/>
  <c r="B448" i="6"/>
  <c r="B449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B442" i="6"/>
  <c r="B443" i="6" s="1"/>
  <c r="B444" i="6" s="1"/>
  <c r="B445" i="6" s="1"/>
  <c r="M441" i="6"/>
  <c r="G441" i="6"/>
  <c r="M440" i="6"/>
  <c r="G440" i="6"/>
  <c r="M439" i="6"/>
  <c r="G439" i="6"/>
  <c r="M438" i="6"/>
  <c r="G438" i="6"/>
  <c r="M437" i="6"/>
  <c r="G437" i="6"/>
  <c r="M436" i="6"/>
  <c r="G436" i="6"/>
  <c r="B436" i="6"/>
  <c r="B437" i="6" s="1"/>
  <c r="B438" i="6" s="1"/>
  <c r="B439" i="6" s="1"/>
  <c r="B440" i="6" s="1"/>
  <c r="B441" i="6" s="1"/>
  <c r="M435" i="6"/>
  <c r="G435" i="6"/>
  <c r="B435" i="6"/>
  <c r="M434" i="6"/>
  <c r="G434" i="6"/>
  <c r="G446" i="6" s="1"/>
  <c r="O433" i="6"/>
  <c r="E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B424" i="6"/>
  <c r="B425" i="6" s="1"/>
  <c r="B426" i="6" s="1"/>
  <c r="B427" i="6" s="1"/>
  <c r="B428" i="6" s="1"/>
  <c r="B429" i="6" s="1"/>
  <c r="B430" i="6" s="1"/>
  <c r="B431" i="6" s="1"/>
  <c r="M423" i="6"/>
  <c r="G423" i="6"/>
  <c r="M422" i="6"/>
  <c r="G422" i="6"/>
  <c r="M421" i="6"/>
  <c r="G421" i="6"/>
  <c r="B421" i="6"/>
  <c r="B422" i="6" s="1"/>
  <c r="B423" i="6" s="1"/>
  <c r="M420" i="6"/>
  <c r="G420" i="6"/>
  <c r="F419" i="6"/>
  <c r="F433" i="6" s="1"/>
  <c r="E419" i="6"/>
  <c r="M418" i="6"/>
  <c r="G418" i="6"/>
  <c r="M417" i="6"/>
  <c r="G417" i="6"/>
  <c r="M416" i="6"/>
  <c r="G416" i="6"/>
  <c r="B416" i="6"/>
  <c r="B417" i="6" s="1"/>
  <c r="B418" i="6" s="1"/>
  <c r="M415" i="6"/>
  <c r="G415" i="6"/>
  <c r="M414" i="6"/>
  <c r="G414" i="6"/>
  <c r="M413" i="6"/>
  <c r="G413" i="6"/>
  <c r="M412" i="6"/>
  <c r="G412" i="6"/>
  <c r="M411" i="6"/>
  <c r="G411" i="6"/>
  <c r="M410" i="6"/>
  <c r="G410" i="6"/>
  <c r="B410" i="6"/>
  <c r="B411" i="6" s="1"/>
  <c r="B412" i="6" s="1"/>
  <c r="B413" i="6" s="1"/>
  <c r="B414" i="6" s="1"/>
  <c r="B415" i="6" s="1"/>
  <c r="M409" i="6"/>
  <c r="G409" i="6"/>
  <c r="M408" i="6"/>
  <c r="G408" i="6"/>
  <c r="B408" i="6"/>
  <c r="B409" i="6" s="1"/>
  <c r="M407" i="6"/>
  <c r="G407" i="6"/>
  <c r="O406" i="6"/>
  <c r="F18" i="1" s="1"/>
  <c r="F406" i="6"/>
  <c r="F405" i="6"/>
  <c r="E405" i="6"/>
  <c r="M404" i="6"/>
  <c r="G404" i="6"/>
  <c r="M403" i="6"/>
  <c r="G403" i="6"/>
  <c r="M402" i="6"/>
  <c r="G402" i="6"/>
  <c r="M401" i="6"/>
  <c r="G401" i="6"/>
  <c r="B401" i="6"/>
  <c r="B402" i="6" s="1"/>
  <c r="B403" i="6" s="1"/>
  <c r="B404" i="6" s="1"/>
  <c r="M400" i="6"/>
  <c r="G400" i="6"/>
  <c r="M399" i="6"/>
  <c r="G399" i="6"/>
  <c r="M398" i="6"/>
  <c r="G398" i="6"/>
  <c r="M397" i="6"/>
  <c r="G397" i="6"/>
  <c r="M396" i="6"/>
  <c r="G396" i="6"/>
  <c r="M395" i="6"/>
  <c r="G395" i="6"/>
  <c r="B395" i="6"/>
  <c r="B396" i="6" s="1"/>
  <c r="B397" i="6" s="1"/>
  <c r="B398" i="6" s="1"/>
  <c r="B399" i="6" s="1"/>
  <c r="B400" i="6" s="1"/>
  <c r="M394" i="6"/>
  <c r="G394" i="6"/>
  <c r="B394" i="6"/>
  <c r="M393" i="6"/>
  <c r="G393" i="6"/>
  <c r="F392" i="6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B385" i="6"/>
  <c r="B386" i="6" s="1"/>
  <c r="B387" i="6" s="1"/>
  <c r="B388" i="6" s="1"/>
  <c r="B389" i="6" s="1"/>
  <c r="B390" i="6" s="1"/>
  <c r="B391" i="6" s="1"/>
  <c r="M384" i="6"/>
  <c r="G384" i="6"/>
  <c r="B384" i="6"/>
  <c r="M383" i="6"/>
  <c r="G383" i="6"/>
  <c r="M382" i="6"/>
  <c r="G382" i="6"/>
  <c r="M381" i="6"/>
  <c r="G381" i="6"/>
  <c r="B381" i="6"/>
  <c r="B382" i="6" s="1"/>
  <c r="B383" i="6" s="1"/>
  <c r="M380" i="6"/>
  <c r="G380" i="6"/>
  <c r="O379" i="6"/>
  <c r="F17" i="1" s="1"/>
  <c r="F379" i="6"/>
  <c r="E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B370" i="6"/>
  <c r="B371" i="6" s="1"/>
  <c r="B372" i="6" s="1"/>
  <c r="B373" i="6" s="1"/>
  <c r="B374" i="6" s="1"/>
  <c r="B375" i="6" s="1"/>
  <c r="B376" i="6" s="1"/>
  <c r="B377" i="6" s="1"/>
  <c r="M369" i="6"/>
  <c r="G369" i="6"/>
  <c r="M368" i="6"/>
  <c r="G368" i="6"/>
  <c r="M367" i="6"/>
  <c r="G367" i="6"/>
  <c r="G378" i="6" s="1"/>
  <c r="B367" i="6"/>
  <c r="B368" i="6" s="1"/>
  <c r="B369" i="6" s="1"/>
  <c r="M366" i="6"/>
  <c r="G366" i="6"/>
  <c r="F365" i="6"/>
  <c r="E365" i="6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B358" i="6"/>
  <c r="B359" i="6" s="1"/>
  <c r="B360" i="6" s="1"/>
  <c r="B361" i="6" s="1"/>
  <c r="B362" i="6" s="1"/>
  <c r="B363" i="6" s="1"/>
  <c r="B364" i="6" s="1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M353" i="6"/>
  <c r="G353" i="6"/>
  <c r="O352" i="6"/>
  <c r="F352" i="6"/>
  <c r="F351" i="6"/>
  <c r="E351" i="6"/>
  <c r="E352" i="6" s="1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B341" i="6"/>
  <c r="B342" i="6" s="1"/>
  <c r="B343" i="6" s="1"/>
  <c r="B344" i="6" s="1"/>
  <c r="B345" i="6" s="1"/>
  <c r="B346" i="6" s="1"/>
  <c r="B347" i="6" s="1"/>
  <c r="B348" i="6" s="1"/>
  <c r="B349" i="6" s="1"/>
  <c r="B350" i="6" s="1"/>
  <c r="M340" i="6"/>
  <c r="G340" i="6"/>
  <c r="B340" i="6"/>
  <c r="M339" i="6"/>
  <c r="G339" i="6"/>
  <c r="F338" i="6"/>
  <c r="E338" i="6"/>
  <c r="M337" i="6"/>
  <c r="G337" i="6"/>
  <c r="M336" i="6"/>
  <c r="G336" i="6"/>
  <c r="M335" i="6"/>
  <c r="G335" i="6"/>
  <c r="M334" i="6"/>
  <c r="G334" i="6"/>
  <c r="B334" i="6"/>
  <c r="B335" i="6" s="1"/>
  <c r="B336" i="6" s="1"/>
  <c r="B337" i="6" s="1"/>
  <c r="M333" i="6"/>
  <c r="G333" i="6"/>
  <c r="M332" i="6"/>
  <c r="G332" i="6"/>
  <c r="M331" i="6"/>
  <c r="G331" i="6"/>
  <c r="M330" i="6"/>
  <c r="G330" i="6"/>
  <c r="M329" i="6"/>
  <c r="G329" i="6"/>
  <c r="M328" i="6"/>
  <c r="G328" i="6"/>
  <c r="B328" i="6"/>
  <c r="B329" i="6" s="1"/>
  <c r="B330" i="6" s="1"/>
  <c r="B331" i="6" s="1"/>
  <c r="B332" i="6" s="1"/>
  <c r="B333" i="6" s="1"/>
  <c r="M327" i="6"/>
  <c r="G327" i="6"/>
  <c r="B327" i="6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B315" i="6"/>
  <c r="B316" i="6" s="1"/>
  <c r="B317" i="6" s="1"/>
  <c r="B318" i="6" s="1"/>
  <c r="B319" i="6" s="1"/>
  <c r="B320" i="6" s="1"/>
  <c r="B321" i="6" s="1"/>
  <c r="B322" i="6" s="1"/>
  <c r="B323" i="6" s="1"/>
  <c r="M314" i="6"/>
  <c r="G314" i="6"/>
  <c r="M313" i="6"/>
  <c r="G313" i="6"/>
  <c r="B313" i="6"/>
  <c r="B314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B303" i="6"/>
  <c r="B304" i="6" s="1"/>
  <c r="B305" i="6" s="1"/>
  <c r="B306" i="6" s="1"/>
  <c r="B307" i="6" s="1"/>
  <c r="B308" i="6" s="1"/>
  <c r="B309" i="6" s="1"/>
  <c r="B310" i="6" s="1"/>
  <c r="M302" i="6"/>
  <c r="G302" i="6"/>
  <c r="M301" i="6"/>
  <c r="G301" i="6"/>
  <c r="B301" i="6"/>
  <c r="B302" i="6" s="1"/>
  <c r="M300" i="6"/>
  <c r="G300" i="6"/>
  <c r="B300" i="6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B276" i="6"/>
  <c r="B277" i="6" s="1"/>
  <c r="B278" i="6" s="1"/>
  <c r="B279" i="6" s="1"/>
  <c r="B280" i="6" s="1"/>
  <c r="B281" i="6" s="1"/>
  <c r="B282" i="6" s="1"/>
  <c r="B283" i="6" s="1"/>
  <c r="M275" i="6"/>
  <c r="G275" i="6"/>
  <c r="M274" i="6"/>
  <c r="G274" i="6"/>
  <c r="M273" i="6"/>
  <c r="G273" i="6"/>
  <c r="B273" i="6"/>
  <c r="B274" i="6" s="1"/>
  <c r="B275" i="6" s="1"/>
  <c r="M272" i="6"/>
  <c r="G272" i="6"/>
  <c r="O271" i="6"/>
  <c r="E271" i="6"/>
  <c r="F270" i="6"/>
  <c r="F271" i="6" s="1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G270" i="6" s="1"/>
  <c r="M260" i="6"/>
  <c r="G260" i="6"/>
  <c r="B260" i="6"/>
  <c r="B261" i="6" s="1"/>
  <c r="B262" i="6" s="1"/>
  <c r="B263" i="6" s="1"/>
  <c r="B264" i="6" s="1"/>
  <c r="B265" i="6" s="1"/>
  <c r="B266" i="6" s="1"/>
  <c r="B267" i="6" s="1"/>
  <c r="B268" i="6" s="1"/>
  <c r="B269" i="6" s="1"/>
  <c r="M259" i="6"/>
  <c r="G259" i="6"/>
  <c r="B259" i="6"/>
  <c r="M258" i="6"/>
  <c r="G258" i="6"/>
  <c r="F257" i="6"/>
  <c r="E257" i="6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B247" i="6"/>
  <c r="B248" i="6" s="1"/>
  <c r="B249" i="6" s="1"/>
  <c r="B250" i="6" s="1"/>
  <c r="B251" i="6" s="1"/>
  <c r="B252" i="6" s="1"/>
  <c r="B253" i="6" s="1"/>
  <c r="B254" i="6" s="1"/>
  <c r="B255" i="6" s="1"/>
  <c r="B256" i="6" s="1"/>
  <c r="M246" i="6"/>
  <c r="G246" i="6"/>
  <c r="B246" i="6"/>
  <c r="M245" i="6"/>
  <c r="G245" i="6"/>
  <c r="O244" i="6"/>
  <c r="F12" i="1" s="1"/>
  <c r="E244" i="6"/>
  <c r="F243" i="6"/>
  <c r="E243" i="6"/>
  <c r="M242" i="6"/>
  <c r="G242" i="6"/>
  <c r="M241" i="6"/>
  <c r="G241" i="6"/>
  <c r="M240" i="6"/>
  <c r="G240" i="6"/>
  <c r="M239" i="6"/>
  <c r="G239" i="6"/>
  <c r="M238" i="6"/>
  <c r="G238" i="6"/>
  <c r="G243" i="6" s="1"/>
  <c r="B238" i="6"/>
  <c r="B239" i="6" s="1"/>
  <c r="B240" i="6" s="1"/>
  <c r="B241" i="6" s="1"/>
  <c r="B242" i="6" s="1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M231" i="6"/>
  <c r="G231" i="6"/>
  <c r="F230" i="6"/>
  <c r="F244" i="6" s="1"/>
  <c r="E230" i="6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G230" i="6" s="1"/>
  <c r="G244" i="6" s="1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E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B210" i="6"/>
  <c r="B211" i="6" s="1"/>
  <c r="B212" i="6" s="1"/>
  <c r="B213" i="6" s="1"/>
  <c r="B214" i="6" s="1"/>
  <c r="B215" i="6" s="1"/>
  <c r="M209" i="6"/>
  <c r="G209" i="6"/>
  <c r="M208" i="6"/>
  <c r="G208" i="6"/>
  <c r="M207" i="6"/>
  <c r="G207" i="6"/>
  <c r="B207" i="6"/>
  <c r="B208" i="6" s="1"/>
  <c r="B209" i="6" s="1"/>
  <c r="M206" i="6"/>
  <c r="G206" i="6"/>
  <c r="B206" i="6"/>
  <c r="M205" i="6"/>
  <c r="G205" i="6"/>
  <c r="B205" i="6"/>
  <c r="M204" i="6"/>
  <c r="G204" i="6"/>
  <c r="F203" i="6"/>
  <c r="F217" i="6" s="1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E190" i="6"/>
  <c r="F189" i="6"/>
  <c r="E189" i="6"/>
  <c r="M188" i="6"/>
  <c r="G188" i="6"/>
  <c r="M187" i="6"/>
  <c r="G187" i="6"/>
  <c r="M186" i="6"/>
  <c r="G186" i="6"/>
  <c r="M185" i="6"/>
  <c r="G185" i="6"/>
  <c r="B185" i="6"/>
  <c r="B186" i="6" s="1"/>
  <c r="B187" i="6" s="1"/>
  <c r="B188" i="6" s="1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M177" i="6"/>
  <c r="G177" i="6"/>
  <c r="G176" i="6"/>
  <c r="F176" i="6"/>
  <c r="F190" i="6" s="1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B170" i="6"/>
  <c r="B171" i="6" s="1"/>
  <c r="B172" i="6" s="1"/>
  <c r="B173" i="6" s="1"/>
  <c r="B174" i="6" s="1"/>
  <c r="B175" i="6" s="1"/>
  <c r="M169" i="6"/>
  <c r="G169" i="6"/>
  <c r="B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M164" i="6"/>
  <c r="G164" i="6"/>
  <c r="O163" i="6"/>
  <c r="F162" i="6"/>
  <c r="E162" i="6"/>
  <c r="E163" i="6" s="1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B154" i="6"/>
  <c r="B155" i="6" s="1"/>
  <c r="B156" i="6" s="1"/>
  <c r="B157" i="6" s="1"/>
  <c r="B158" i="6" s="1"/>
  <c r="B159" i="6" s="1"/>
  <c r="B160" i="6" s="1"/>
  <c r="B161" i="6" s="1"/>
  <c r="M153" i="6"/>
  <c r="G153" i="6"/>
  <c r="M152" i="6"/>
  <c r="G152" i="6"/>
  <c r="M151" i="6"/>
  <c r="G151" i="6"/>
  <c r="B151" i="6"/>
  <c r="B152" i="6" s="1"/>
  <c r="B153" i="6" s="1"/>
  <c r="M150" i="6"/>
  <c r="G150" i="6"/>
  <c r="G149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F136" i="6" s="1"/>
  <c r="E135" i="6"/>
  <c r="M134" i="6"/>
  <c r="G134" i="6"/>
  <c r="M133" i="6"/>
  <c r="G133" i="6"/>
  <c r="M132" i="6"/>
  <c r="G132" i="6"/>
  <c r="B132" i="6"/>
  <c r="B133" i="6" s="1"/>
  <c r="B134" i="6" s="1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B114" i="6"/>
  <c r="B115" i="6" s="1"/>
  <c r="B116" i="6" s="1"/>
  <c r="B117" i="6" s="1"/>
  <c r="B118" i="6" s="1"/>
  <c r="B119" i="6" s="1"/>
  <c r="B120" i="6" s="1"/>
  <c r="B121" i="6" s="1"/>
  <c r="M113" i="6"/>
  <c r="G113" i="6"/>
  <c r="M112" i="6"/>
  <c r="G112" i="6"/>
  <c r="M111" i="6"/>
  <c r="G111" i="6"/>
  <c r="B111" i="6"/>
  <c r="B112" i="6" s="1"/>
  <c r="B113" i="6" s="1"/>
  <c r="M110" i="6"/>
  <c r="G110" i="6"/>
  <c r="O109" i="6"/>
  <c r="F7" i="1" s="1"/>
  <c r="F108" i="6"/>
  <c r="E108" i="6"/>
  <c r="M107" i="6"/>
  <c r="G107" i="6"/>
  <c r="M106" i="6"/>
  <c r="G106" i="6"/>
  <c r="M105" i="6"/>
  <c r="G105" i="6"/>
  <c r="M104" i="6"/>
  <c r="G104" i="6"/>
  <c r="M103" i="6"/>
  <c r="G103" i="6"/>
  <c r="B103" i="6"/>
  <c r="B104" i="6" s="1"/>
  <c r="B105" i="6" s="1"/>
  <c r="B106" i="6" s="1"/>
  <c r="B107" i="6" s="1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M96" i="6"/>
  <c r="G96" i="6"/>
  <c r="G95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B87" i="6"/>
  <c r="B88" i="6" s="1"/>
  <c r="B89" i="6" s="1"/>
  <c r="B90" i="6" s="1"/>
  <c r="B91" i="6" s="1"/>
  <c r="B92" i="6" s="1"/>
  <c r="B93" i="6" s="1"/>
  <c r="B94" i="6" s="1"/>
  <c r="M86" i="6"/>
  <c r="G86" i="6"/>
  <c r="M85" i="6"/>
  <c r="G85" i="6"/>
  <c r="M84" i="6"/>
  <c r="G84" i="6"/>
  <c r="B84" i="6"/>
  <c r="B85" i="6" s="1"/>
  <c r="B86" i="6" s="1"/>
  <c r="M83" i="6"/>
  <c r="G83" i="6"/>
  <c r="O82" i="6"/>
  <c r="G81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B73" i="6"/>
  <c r="B74" i="6" s="1"/>
  <c r="B75" i="6" s="1"/>
  <c r="B76" i="6" s="1"/>
  <c r="B77" i="6" s="1"/>
  <c r="B78" i="6" s="1"/>
  <c r="B79" i="6" s="1"/>
  <c r="B80" i="6" s="1"/>
  <c r="M72" i="6"/>
  <c r="G72" i="6"/>
  <c r="M71" i="6"/>
  <c r="G71" i="6"/>
  <c r="M70" i="6"/>
  <c r="G70" i="6"/>
  <c r="B70" i="6"/>
  <c r="B71" i="6" s="1"/>
  <c r="B72" i="6" s="1"/>
  <c r="M69" i="6"/>
  <c r="G69" i="6"/>
  <c r="F68" i="6"/>
  <c r="E68" i="6"/>
  <c r="E82" i="6" s="1"/>
  <c r="M67" i="6"/>
  <c r="G67" i="6"/>
  <c r="M66" i="6"/>
  <c r="G66" i="6"/>
  <c r="M65" i="6"/>
  <c r="G65" i="6"/>
  <c r="M64" i="6"/>
  <c r="G64" i="6"/>
  <c r="B64" i="6"/>
  <c r="B65" i="6" s="1"/>
  <c r="B66" i="6" s="1"/>
  <c r="B67" i="6" s="1"/>
  <c r="M63" i="6"/>
  <c r="G63" i="6"/>
  <c r="M62" i="6"/>
  <c r="G62" i="6"/>
  <c r="M61" i="6"/>
  <c r="G61" i="6"/>
  <c r="M60" i="6"/>
  <c r="G60" i="6"/>
  <c r="B60" i="6"/>
  <c r="B61" i="6" s="1"/>
  <c r="B62" i="6" s="1"/>
  <c r="B63" i="6" s="1"/>
  <c r="M59" i="6"/>
  <c r="G59" i="6"/>
  <c r="B59" i="6"/>
  <c r="M58" i="6"/>
  <c r="G58" i="6"/>
  <c r="B58" i="6"/>
  <c r="M57" i="6"/>
  <c r="G57" i="6"/>
  <c r="B57" i="6"/>
  <c r="M56" i="6"/>
  <c r="G56" i="6"/>
  <c r="G68" i="6" s="1"/>
  <c r="O55" i="6"/>
  <c r="F5" i="1" s="1"/>
  <c r="G5" i="1" s="1"/>
  <c r="F55" i="6"/>
  <c r="E55" i="6"/>
  <c r="F54" i="6"/>
  <c r="E54" i="6"/>
  <c r="M53" i="6"/>
  <c r="G53" i="6"/>
  <c r="M52" i="6"/>
  <c r="G52" i="6"/>
  <c r="M51" i="6"/>
  <c r="G51" i="6"/>
  <c r="M50" i="6"/>
  <c r="G50" i="6"/>
  <c r="M49" i="6"/>
  <c r="G49" i="6"/>
  <c r="M48" i="6"/>
  <c r="G48" i="6"/>
  <c r="M47" i="6"/>
  <c r="G47" i="6"/>
  <c r="B47" i="6"/>
  <c r="B48" i="6" s="1"/>
  <c r="B49" i="6" s="1"/>
  <c r="B50" i="6" s="1"/>
  <c r="B51" i="6" s="1"/>
  <c r="B52" i="6" s="1"/>
  <c r="B53" i="6" s="1"/>
  <c r="M46" i="6"/>
  <c r="G46" i="6"/>
  <c r="M45" i="6"/>
  <c r="G45" i="6"/>
  <c r="M44" i="6"/>
  <c r="G44" i="6"/>
  <c r="B44" i="6"/>
  <c r="B45" i="6" s="1"/>
  <c r="B46" i="6" s="1"/>
  <c r="M43" i="6"/>
  <c r="G43" i="6"/>
  <c r="B43" i="6"/>
  <c r="M42" i="6"/>
  <c r="G42" i="6"/>
  <c r="F41" i="6"/>
  <c r="E41" i="6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B31" i="6"/>
  <c r="B32" i="6" s="1"/>
  <c r="B33" i="6" s="1"/>
  <c r="B34" i="6" s="1"/>
  <c r="B35" i="6" s="1"/>
  <c r="B36" i="6" s="1"/>
  <c r="B37" i="6" s="1"/>
  <c r="B38" i="6" s="1"/>
  <c r="B39" i="6" s="1"/>
  <c r="B40" i="6" s="1"/>
  <c r="M30" i="6"/>
  <c r="G30" i="6"/>
  <c r="B30" i="6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B19" i="6"/>
  <c r="B20" i="6" s="1"/>
  <c r="B21" i="6" s="1"/>
  <c r="B22" i="6" s="1"/>
  <c r="B23" i="6" s="1"/>
  <c r="B24" i="6" s="1"/>
  <c r="B25" i="6" s="1"/>
  <c r="B26" i="6" s="1"/>
  <c r="M18" i="6"/>
  <c r="G18" i="6"/>
  <c r="B18" i="6"/>
  <c r="M17" i="6"/>
  <c r="G17" i="6"/>
  <c r="B17" i="6"/>
  <c r="G16" i="6"/>
  <c r="B16" i="6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14" i="5" l="1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G406" i="6" s="1"/>
  <c r="M392" i="3"/>
  <c r="M162" i="6"/>
  <c r="G514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109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G757" i="6" s="1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G541" i="6" s="1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460" i="3" l="1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<sst xmlns="http://schemas.openxmlformats.org/spreadsheetml/2006/main" count="1315" uniqueCount="201">
  <si>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</si>
  <si>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</si>
  <si>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</si>
  <si>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</si>
  <si>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</si>
  <si>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</si>
  <si>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</si>
  <si>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</si>
  <si>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</si>
  <si>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</si>
  <si>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</si>
  <si>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</si>
  <si>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</si>
  <si>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</si>
  <si>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</si>
  <si>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</si>
  <si>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</si>
  <si>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</si>
  <si>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</si>
  <si>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</si>
  <si>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</si>
  <si>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</si>
  <si>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</si>
  <si>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</si>
  <si>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</si>
  <si>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</si>
  <si>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</si>
  <si>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</si>
  <si>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</si>
  <si>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</si>
  <si>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</si>
  <si>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</si>
  <si>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</si>
  <si>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</si>
  <si>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</si>
  <si>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</si>
  <si>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</si>
  <si>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</si>
  <si>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</si>
  <si>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</si>
  <si>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</si>
  <si>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</si>
  <si>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</si>
  <si>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</si>
  <si>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</si>
  <si>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</si>
  <si>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</si>
  <si>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</si>
  <si>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</si>
  <si>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</si>
  <si>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</si>
  <si>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</si>
  <si>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</si>
  <si>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</si>
  <si>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</si>
  <si>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</si>
  <si>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</si>
  <si>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</si>
  <si>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</si>
  <si>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</si>
  <si>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</si>
  <si>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</si>
  <si>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</si>
  <si>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</si>
  <si>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</si>
  <si>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</si>
  <si>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</si>
  <si>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</si>
  <si>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</si>
  <si>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</si>
  <si>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</si>
  <si>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</si>
  <si>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</si>
  <si>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</si>
  <si>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</si>
  <si>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</si>
  <si>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</si>
  <si>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</si>
  <si>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</si>
  <si>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</si>
  <si>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</si>
  <si>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</si>
  <si>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</si>
  <si>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</si>
  <si>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</si>
  <si>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</si>
  <si>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</si>
  <si>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</si>
  <si>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</si>
  <si>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</si>
  <si>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</si>
  <si>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</si>
  <si>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</si>
  <si>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</si>
  <si>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</si>
  <si>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</si>
  <si>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</si>
  <si>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</si>
  <si>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</si>
  <si>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</si>
  <si>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</si>
  <si>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</si>
  <si>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</si>
  <si>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</si>
  <si>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</si>
  <si>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</si>
  <si>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</si>
  <si>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</si>
  <si>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</si>
  <si>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</si>
  <si>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</si>
  <si>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</si>
  <si>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</si>
  <si>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</si>
  <si>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</si>
  <si>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</si>
  <si>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</si>
  <si>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</si>
  <si>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</si>
  <si>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</si>
  <si>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</si>
  <si>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</si>
  <si>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</si>
  <si>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</si>
  <si>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</si>
  <si>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</si>
  <si>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</si>
  <si>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</si>
  <si>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</si>
  <si>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</si>
  <si>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</si>
  <si>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</si>
  <si>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</si>
  <si>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</si>
  <si>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</si>
  <si>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</si>
  <si>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</si>
  <si>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</si>
  <si>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</si>
  <si>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</si>
  <si>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</si>
  <si>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</si>
  <si>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</si>
  <si>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</si>
  <si>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</si>
  <si>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</si>
  <si>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</si>
  <si>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</si>
  <si>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</si>
  <si>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</si>
  <si>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</si>
  <si>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</si>
  <si>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</si>
  <si>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</si>
  <si>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</si>
  <si>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</si>
  <si>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</si>
  <si>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</si>
  <si>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</si>
  <si>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</si>
  <si>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</si>
  <si>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</si>
  <si>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</si>
  <si>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</si>
  <si>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</si>
  <si>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</si>
  <si>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</si>
  <si>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</si>
  <si>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</si>
  <si>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</si>
  <si>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</si>
  <si>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</si>
  <si>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</si>
  <si>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</si>
  <si>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</si>
  <si>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</si>
  <si>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anel de vedaçao encostando na trampa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</si>
  <si>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</si>
  <si>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</si>
  <si>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</si>
  <si>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</si>
  <si>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</si>
  <si>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</si>
  <si>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</si>
  <si>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</si>
  <si>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</si>
  <si>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</si>
  <si>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</si>
  <si>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</si>
  <si>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</si>
  <si>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</si>
  <si>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</si>
  <si>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</si>
  <si>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</si>
  <si>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</si>
  <si>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PC 17</t>
  </si>
  <si>
    <t>solda na grelha</t>
  </si>
  <si>
    <t>solda na tampa do moinho</t>
  </si>
  <si>
    <t>manutençao no rolamento do moinho 4</t>
  </si>
  <si>
    <t>troca de martelo</t>
  </si>
  <si>
    <t>OBS: APENAS MM 05 EM OPERACÃO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</si>
</sst>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19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0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11" fillId="13" borderId="2" xfId="0" applyFont="1" applyFill="1" applyBorder="1" applyAlignment="1" applyProtection="1">
      <alignment horizontal="center" vertical="center" wrapText="1"/>
      <protection locked="0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B3" sqref="B3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83" t="s">
        <v>0</v>
      </c>
      <c r="B1" s="83"/>
      <c r="C1" s="83"/>
      <c r="D1" s="83"/>
      <c r="E1" s="83"/>
      <c r="F1" s="83"/>
      <c r="G1" s="83"/>
    </row>
    <row r="2" spans="1:7" ht="24.75" customHeight="1">
      <c r="A2" s="84"/>
      <c r="B2" s="8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1489420</v>
      </c>
      <c r="D4" s="8">
        <f>IFERROR('Linha 1'!O28,"")</f>
        <v>627260</v>
      </c>
      <c r="E4" s="8">
        <f>IFERROR('Linha 2'!O28,"")</f>
        <v>292530</v>
      </c>
      <c r="F4" s="8">
        <f>IFERROR('Linha 3'!O28,"")</f>
        <v>327070</v>
      </c>
      <c r="G4" s="9">
        <f t="shared" ref="G4:G34" si="0">IFERROR(D4+E4+F4,"")</f>
        <v>1246860</v>
      </c>
    </row>
    <row r="5" spans="1:7" ht="15.75" customHeight="1">
      <c r="A5" s="10">
        <v>2</v>
      </c>
      <c r="B5" s="74">
        <v>46205</v>
      </c>
      <c r="C5" s="11">
        <f>IFERROR(Britador!O55,"")</f>
        <v>0</v>
      </c>
      <c r="D5" s="11">
        <f>IFERROR('Linha 1'!O55,"")</f>
        <v>0</v>
      </c>
      <c r="E5" s="11">
        <f>IFERROR('Linha 2'!O55,"")</f>
        <v>0</v>
      </c>
      <c r="F5" s="11">
        <f>IFERROR('Linha 3'!O55,"")</f>
        <v>0</v>
      </c>
      <c r="G5" s="12">
        <f t="shared" si="0"/>
        <v>0</v>
      </c>
    </row>
    <row r="6" spans="1:7" ht="15.75" customHeight="1">
      <c r="A6" s="7">
        <v>3</v>
      </c>
      <c r="B6" s="73">
        <v>46206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4">
        <v>46207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85" t="s">
        <v>9</v>
      </c>
      <c r="B35" s="85"/>
      <c r="C35" s="13">
        <f>IFERROR(SUM(C4:C34),"")</f>
        <v>1489420</v>
      </c>
      <c r="D35" s="13">
        <f>IFERROR(SUM(D4:D34),"")</f>
        <v>627260</v>
      </c>
      <c r="E35" s="13">
        <f>IFERROR(SUM(E4:E34),"")</f>
        <v>292530</v>
      </c>
      <c r="F35" s="13">
        <f>IFERROR(SUM(F4:F34),"")</f>
        <v>327070</v>
      </c>
      <c r="G35" s="13">
        <f>IFERROR(SUM(G4:G34),"")</f>
        <v>1246860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1" zoomScale="85" zoomScaleNormal="85" workbookViewId="0">
      <selection activeCell="I51" sqref="I51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86" t="s">
        <v>10</v>
      </c>
      <c r="B1" s="86"/>
      <c r="C1" s="86"/>
      <c r="D1" s="86"/>
      <c r="E1" s="86"/>
      <c r="F1" s="86"/>
      <c r="G1" s="86"/>
      <c r="H1" s="87"/>
      <c r="I1" s="88" t="s">
        <v>11</v>
      </c>
      <c r="J1" s="88"/>
      <c r="K1" s="88"/>
      <c r="L1" s="88"/>
      <c r="M1" s="88"/>
    </row>
    <row r="2" spans="1:13" ht="4.5" customHeight="1">
      <c r="H2" s="87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87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87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87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87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87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87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87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87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87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87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87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87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87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87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87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87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87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87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87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87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87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87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87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87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87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87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87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87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87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87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87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87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87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87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87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87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87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87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87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87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87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87"/>
      <c r="I44" s="16"/>
      <c r="J44" s="16"/>
      <c r="K44" s="16" t="s">
        <v>170</v>
      </c>
      <c r="L44" s="16"/>
      <c r="M44" s="16"/>
    </row>
    <row r="45" spans="1:13" ht="15.75" customHeight="1">
      <c r="A45" s="17"/>
      <c r="C45" s="17"/>
      <c r="E45" s="17"/>
      <c r="G45" s="17"/>
      <c r="H45" s="87"/>
      <c r="I45" s="17"/>
      <c r="J45" s="17"/>
      <c r="K45" s="17"/>
      <c r="L45" s="17"/>
      <c r="M45" s="17"/>
    </row>
    <row r="46" spans="1:13" ht="15.75" customHeight="1">
      <c r="A46" s="16"/>
      <c r="C46" s="16"/>
      <c r="E46" s="16"/>
      <c r="G46" s="16"/>
      <c r="H46" s="87"/>
      <c r="I46" s="16"/>
      <c r="J46" s="16"/>
      <c r="K46" s="16" t="s">
        <v>171</v>
      </c>
      <c r="L46" s="16"/>
      <c r="M46" s="16"/>
    </row>
    <row r="47" spans="1:13" ht="15.75" customHeight="1">
      <c r="A47" s="17"/>
      <c r="C47" s="17"/>
      <c r="E47" s="17"/>
      <c r="G47" s="17"/>
      <c r="H47" s="87"/>
      <c r="I47" s="17"/>
      <c r="J47" s="17"/>
      <c r="K47" s="17" t="s">
        <v>172</v>
      </c>
      <c r="L47" s="17"/>
      <c r="M47" s="17"/>
    </row>
    <row r="48" spans="1:13" ht="15.75" customHeight="1">
      <c r="A48" s="16"/>
      <c r="C48" s="16"/>
      <c r="E48" s="16"/>
      <c r="G48" s="16"/>
      <c r="H48" s="87"/>
      <c r="I48" s="16"/>
      <c r="J48" s="16"/>
      <c r="K48" s="16" t="s">
        <v>173</v>
      </c>
      <c r="L48" s="16"/>
      <c r="M48" s="16"/>
    </row>
    <row r="49" spans="1:13" ht="18" customHeight="1">
      <c r="H49" s="87"/>
      <c r="I49" s="17"/>
      <c r="J49" s="17"/>
      <c r="K49" s="17" t="s">
        <v>174</v>
      </c>
      <c r="L49" s="17"/>
      <c r="M49" s="17"/>
    </row>
    <row r="50" spans="1:13" ht="21" customHeight="1">
      <c r="A50" s="19" t="s">
        <v>175</v>
      </c>
      <c r="B50" s="19"/>
      <c r="C50" s="19"/>
      <c r="D50" s="19"/>
      <c r="E50" s="19"/>
      <c r="F50" s="19"/>
      <c r="G50" s="19"/>
      <c r="H50" s="87"/>
      <c r="I50" s="16"/>
      <c r="J50" s="16"/>
      <c r="K50" s="16" t="s">
        <v>176</v>
      </c>
      <c r="L50" s="16"/>
      <c r="M50" s="16"/>
    </row>
    <row r="51" spans="1:13" ht="24" customHeight="1">
      <c r="H51" s="87"/>
      <c r="I51" s="17"/>
      <c r="J51" s="17"/>
      <c r="K51" s="17"/>
      <c r="L51" s="17"/>
      <c r="M51" s="17"/>
    </row>
    <row r="52" spans="1:13" ht="24" customHeight="1">
      <c r="H52" s="87"/>
      <c r="I52" s="16"/>
      <c r="J52" s="16"/>
      <c r="K52" s="16"/>
      <c r="L52" s="16"/>
      <c r="M52" s="16"/>
    </row>
    <row r="53" spans="1:13" ht="36" customHeight="1">
      <c r="H53" s="87"/>
      <c r="I53" s="17"/>
      <c r="J53" s="17"/>
      <c r="K53" s="17"/>
      <c r="L53" s="17"/>
      <c r="M53" s="17"/>
    </row>
    <row r="54" spans="1:13" ht="15" customHeight="1">
      <c r="H54" s="87"/>
      <c r="I54" s="16"/>
      <c r="J54" s="16"/>
      <c r="K54" s="16"/>
      <c r="L54" s="16"/>
      <c r="M54" s="16"/>
    </row>
    <row r="55" spans="1:13" ht="15" customHeight="1">
      <c r="H55" s="87"/>
      <c r="I55" s="17"/>
      <c r="J55" s="17"/>
      <c r="K55" s="17"/>
      <c r="L55" s="17"/>
      <c r="M55" s="17"/>
    </row>
    <row r="56" spans="1:13" ht="15" customHeight="1">
      <c r="H56" s="87"/>
      <c r="I56" s="16"/>
      <c r="J56" s="16"/>
      <c r="K56" s="16"/>
      <c r="L56" s="16"/>
      <c r="M56" s="16"/>
    </row>
    <row r="57" spans="1:13" ht="15" customHeight="1">
      <c r="H57" s="87"/>
      <c r="I57" s="17"/>
      <c r="J57" s="17"/>
      <c r="K57" s="17"/>
      <c r="L57" s="17"/>
      <c r="M57" s="17"/>
    </row>
    <row r="58" spans="1:13" ht="15" customHeight="1">
      <c r="H58" s="87"/>
      <c r="I58" s="16"/>
      <c r="J58" s="16"/>
      <c r="K58" s="16"/>
      <c r="L58" s="16"/>
      <c r="M58" s="16"/>
    </row>
    <row r="59" spans="1:13" ht="15" customHeight="1">
      <c r="H59" s="87"/>
      <c r="I59" s="17"/>
      <c r="J59" s="17"/>
      <c r="K59" s="17"/>
      <c r="L59" s="17"/>
      <c r="M59" s="17"/>
    </row>
    <row r="60" spans="1:13" ht="15" customHeight="1">
      <c r="H60" s="87"/>
      <c r="I60" s="16"/>
      <c r="J60" s="16"/>
      <c r="K60" s="16"/>
      <c r="L60" s="16"/>
      <c r="M60" s="16"/>
    </row>
    <row r="61" spans="1:13" ht="15" customHeight="1">
      <c r="H61" s="87"/>
      <c r="I61" s="17"/>
      <c r="J61" s="17"/>
      <c r="K61" s="17"/>
      <c r="L61" s="17"/>
      <c r="M61" s="17"/>
    </row>
    <row r="62" spans="1:13" ht="15" customHeight="1">
      <c r="H62" s="87"/>
      <c r="I62" s="16"/>
      <c r="J62" s="16"/>
      <c r="K62" s="16"/>
      <c r="L62" s="16"/>
      <c r="M62" s="16"/>
    </row>
    <row r="63" spans="1:13" ht="15" customHeight="1">
      <c r="H63" s="87"/>
      <c r="I63" s="17"/>
      <c r="J63" s="17"/>
      <c r="K63" s="17"/>
      <c r="L63" s="17"/>
      <c r="M63" s="17"/>
    </row>
    <row r="64" spans="1:13" ht="15" customHeight="1">
      <c r="H64" s="87"/>
      <c r="I64" s="16"/>
      <c r="J64" s="16"/>
      <c r="K64" s="16"/>
      <c r="L64" s="16"/>
      <c r="M64" s="16"/>
    </row>
    <row r="65" spans="8:13" ht="15" customHeight="1">
      <c r="H65" s="87"/>
      <c r="I65" s="17"/>
      <c r="J65" s="17"/>
      <c r="K65" s="17"/>
      <c r="L65" s="17"/>
      <c r="M65" s="17"/>
    </row>
    <row r="66" spans="8:13" ht="15" customHeight="1">
      <c r="H66" s="87"/>
      <c r="I66" s="16"/>
      <c r="J66" s="16"/>
      <c r="K66" s="16"/>
      <c r="L66" s="16"/>
      <c r="M66" s="16"/>
    </row>
    <row r="67" spans="8:13" ht="15" customHeight="1">
      <c r="H67" s="87"/>
      <c r="I67" s="17"/>
      <c r="J67" s="17"/>
      <c r="K67" s="17"/>
      <c r="L67" s="17"/>
      <c r="M67" s="17"/>
    </row>
    <row r="68" spans="8:13" ht="15" customHeight="1">
      <c r="H68" s="87"/>
      <c r="I68" s="16"/>
      <c r="J68" s="16"/>
      <c r="K68" s="16"/>
      <c r="L68" s="16"/>
      <c r="M68" s="16"/>
    </row>
    <row r="69" spans="8:13" ht="15" customHeight="1">
      <c r="H69" s="87"/>
      <c r="I69" s="17"/>
      <c r="J69" s="17"/>
      <c r="K69" s="17"/>
      <c r="L69" s="17"/>
      <c r="M69" s="17"/>
    </row>
    <row r="70" spans="8:13" ht="15" customHeight="1">
      <c r="H70" s="87"/>
      <c r="I70" s="16"/>
      <c r="J70" s="16"/>
      <c r="K70" s="16"/>
      <c r="L70" s="16"/>
      <c r="M70" s="16"/>
    </row>
    <row r="71" spans="8:13" ht="15" customHeight="1">
      <c r="H71" s="87"/>
      <c r="I71" s="17"/>
      <c r="J71" s="17"/>
      <c r="K71" s="17"/>
      <c r="L71" s="17"/>
      <c r="M71" s="17"/>
    </row>
    <row r="72" spans="8:13" ht="15" customHeight="1">
      <c r="H72" s="87"/>
      <c r="I72" s="16"/>
      <c r="J72" s="16"/>
      <c r="K72" s="16"/>
      <c r="L72" s="16"/>
      <c r="M72" s="16"/>
    </row>
    <row r="73" spans="8:13" ht="15" customHeight="1">
      <c r="H73" s="87"/>
      <c r="I73" s="17"/>
      <c r="J73" s="17"/>
      <c r="K73" s="17"/>
      <c r="L73" s="17"/>
      <c r="M73" s="17"/>
    </row>
    <row r="74" spans="8:13" ht="15" customHeight="1">
      <c r="H74" s="87"/>
      <c r="I74" s="16"/>
      <c r="J74" s="16"/>
      <c r="K74" s="16"/>
      <c r="L74" s="16"/>
      <c r="M74" s="16"/>
    </row>
    <row r="75" spans="8:13" ht="15" customHeight="1">
      <c r="H75" s="87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tabSelected="1" zoomScale="60" zoomScaleNormal="60" workbookViewId="0">
      <pane ySplit="1" topLeftCell="A9" activePane="bottomLeft" state="frozen"/>
      <selection pane="bottomLeft" activeCell="F17" sqref="F17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177</v>
      </c>
      <c r="C1" s="23" t="s">
        <v>12</v>
      </c>
      <c r="D1" s="22" t="s">
        <v>13</v>
      </c>
      <c r="E1" s="22" t="s">
        <v>178</v>
      </c>
      <c r="F1" s="23" t="s">
        <v>179</v>
      </c>
      <c r="G1" s="23" t="s">
        <v>180</v>
      </c>
      <c r="H1" s="23" t="s">
        <v>14</v>
      </c>
      <c r="I1" s="23" t="s">
        <v>15</v>
      </c>
      <c r="J1" s="23" t="s">
        <v>181</v>
      </c>
      <c r="K1" s="23" t="s">
        <v>182</v>
      </c>
      <c r="L1" s="23" t="s">
        <v>183</v>
      </c>
      <c r="M1" s="24" t="s">
        <v>184</v>
      </c>
      <c r="N1" s="23" t="s">
        <v>185</v>
      </c>
      <c r="O1" s="23" t="s">
        <v>186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187</v>
      </c>
      <c r="E2" s="59" t="s">
        <v>188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189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188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188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188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188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188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188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188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188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188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188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188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77" t="s">
        <v>190</v>
      </c>
      <c r="B14" s="78"/>
      <c r="C14" s="78"/>
      <c r="D14" s="78"/>
      <c r="E14" s="79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191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188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188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188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188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188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188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188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188</v>
      </c>
      <c r="F22" s="27">
        <v>24</v>
      </c>
      <c r="G22" s="34">
        <f t="shared" si="3"/>
        <v>120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188</v>
      </c>
      <c r="F23" s="27">
        <v>26</v>
      </c>
      <c r="G23" s="34">
        <f t="shared" si="3"/>
        <v>130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188</v>
      </c>
      <c r="F24" s="27">
        <v>19</v>
      </c>
      <c r="G24" s="34">
        <f t="shared" si="3"/>
        <v>95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188</v>
      </c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188</v>
      </c>
      <c r="F26" s="27"/>
      <c r="G26" s="34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77" t="s">
        <v>192</v>
      </c>
      <c r="B27" s="78"/>
      <c r="C27" s="78"/>
      <c r="D27" s="78"/>
      <c r="E27" s="79"/>
      <c r="F27" s="36">
        <f>SUM(F15:F26)</f>
        <v>205</v>
      </c>
      <c r="G27" s="36">
        <f>SUM(G15:G26)</f>
        <v>1025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191</v>
      </c>
      <c r="O27" s="39"/>
    </row>
    <row r="28" spans="1:15" ht="18" customHeight="1">
      <c r="A28" s="80" t="s">
        <v>193</v>
      </c>
      <c r="B28" s="81"/>
      <c r="C28" s="81"/>
      <c r="D28" s="81"/>
      <c r="E28" s="82"/>
      <c r="F28" s="40">
        <f>F14+F27</f>
        <v>477</v>
      </c>
      <c r="G28" s="40">
        <f>G14+G27</f>
        <v>2385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194</v>
      </c>
      <c r="O28" s="43">
        <f>IFERROR(O14+O27,"")</f>
        <v>1489420</v>
      </c>
    </row>
    <row r="29" spans="1:15" ht="15" customHeight="1">
      <c r="A29" s="69">
        <v>46205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19",F29*5,"")))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77" t="s">
        <v>190</v>
      </c>
      <c r="B41" s="78"/>
      <c r="C41" s="78"/>
      <c r="D41" s="78"/>
      <c r="E41" s="79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191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77" t="s">
        <v>192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191</v>
      </c>
      <c r="O54" s="39"/>
    </row>
    <row r="55" spans="1:15" ht="18" customHeight="1">
      <c r="A55" s="80" t="s">
        <v>193</v>
      </c>
      <c r="B55" s="81"/>
      <c r="C55" s="81"/>
      <c r="D55" s="81"/>
      <c r="E55" s="82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194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77" t="s">
        <v>190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191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77" t="s">
        <v>192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191</v>
      </c>
      <c r="O81" s="39"/>
    </row>
    <row r="82" spans="1:15" ht="18" customHeight="1">
      <c r="A82" s="80" t="s">
        <v>193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194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77" t="s">
        <v>190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191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77" t="s">
        <v>192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191</v>
      </c>
      <c r="O108" s="39"/>
    </row>
    <row r="109" spans="1:15" ht="18" customHeight="1">
      <c r="A109" s="80" t="s">
        <v>193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194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77" t="s">
        <v>190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191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77" t="s">
        <v>192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191</v>
      </c>
      <c r="O135" s="39"/>
    </row>
    <row r="136" spans="1:15" ht="18" customHeight="1">
      <c r="A136" s="80" t="s">
        <v>193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194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190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191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192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191</v>
      </c>
      <c r="O162" s="44"/>
    </row>
    <row r="163" spans="1:15" ht="18" customHeight="1">
      <c r="A163" s="80" t="s">
        <v>193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194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190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191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192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191</v>
      </c>
      <c r="O189" s="39"/>
    </row>
    <row r="190" spans="1:15" ht="18" customHeight="1">
      <c r="A190" s="80" t="s">
        <v>193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194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190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191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77" t="s">
        <v>192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191</v>
      </c>
      <c r="O216" s="45"/>
    </row>
    <row r="217" spans="1:15" ht="18" customHeight="1">
      <c r="A217" s="80" t="s">
        <v>193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194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77" t="s">
        <v>190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191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77" t="s">
        <v>192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191</v>
      </c>
      <c r="O243" s="39"/>
    </row>
    <row r="244" spans="1:15" ht="18" customHeight="1">
      <c r="A244" s="80" t="s">
        <v>193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194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77" t="s">
        <v>190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191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77" t="s">
        <v>192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191</v>
      </c>
      <c r="O270" s="39"/>
    </row>
    <row r="271" spans="1:15" ht="18" customHeight="1">
      <c r="A271" s="80" t="s">
        <v>193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194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77" t="s">
        <v>190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191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77" t="s">
        <v>192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191</v>
      </c>
      <c r="O297" s="39"/>
    </row>
    <row r="298" spans="1:15" ht="18" customHeight="1">
      <c r="A298" s="80" t="s">
        <v>193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194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77" t="s">
        <v>190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191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77" t="s">
        <v>192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191</v>
      </c>
      <c r="O324" s="39"/>
    </row>
    <row r="325" spans="1:15" ht="18" customHeight="1">
      <c r="A325" s="80" t="s">
        <v>193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194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77" t="s">
        <v>190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191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77" t="s">
        <v>192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191</v>
      </c>
      <c r="O351" s="39"/>
    </row>
    <row r="352" spans="1:15" ht="18" customHeight="1">
      <c r="A352" s="80" t="s">
        <v>193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194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77" t="s">
        <v>190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191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77" t="s">
        <v>192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191</v>
      </c>
      <c r="O378" s="39"/>
    </row>
    <row r="379" spans="1:15" ht="18" customHeight="1">
      <c r="A379" s="80" t="s">
        <v>193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194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77" t="s">
        <v>190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191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77" t="s">
        <v>192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191</v>
      </c>
      <c r="O405" s="39"/>
    </row>
    <row r="406" spans="1:15" ht="18" customHeight="1">
      <c r="A406" s="80" t="s">
        <v>193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194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77" t="s">
        <v>190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191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77" t="s">
        <v>192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191</v>
      </c>
      <c r="O432" s="39"/>
    </row>
    <row r="433" spans="1:15" ht="18" customHeight="1">
      <c r="A433" s="80" t="s">
        <v>193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194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77" t="s">
        <v>190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191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77" t="s">
        <v>192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191</v>
      </c>
      <c r="O459" s="39"/>
    </row>
    <row r="460" spans="1:15" ht="18" customHeight="1">
      <c r="A460" s="80" t="s">
        <v>193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194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77" t="s">
        <v>190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191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77" t="s">
        <v>192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191</v>
      </c>
      <c r="O486" s="39"/>
    </row>
    <row r="487" spans="1:15" ht="18" customHeight="1">
      <c r="A487" s="80" t="s">
        <v>193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194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77" t="s">
        <v>190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191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77" t="s">
        <v>192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191</v>
      </c>
      <c r="O513" s="39"/>
    </row>
    <row r="514" spans="1:15" ht="18" customHeight="1">
      <c r="A514" s="80" t="s">
        <v>193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194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77" t="s">
        <v>190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191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77" t="s">
        <v>192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191</v>
      </c>
      <c r="O540" s="39"/>
    </row>
    <row r="541" spans="1:15" ht="18" customHeight="1">
      <c r="A541" s="80" t="s">
        <v>193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194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77" t="s">
        <v>190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191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77" t="s">
        <v>192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191</v>
      </c>
      <c r="O567" s="39"/>
    </row>
    <row r="568" spans="1:15" ht="18" customHeight="1">
      <c r="A568" s="80" t="s">
        <v>193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194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77" t="s">
        <v>190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191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77" t="s">
        <v>192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191</v>
      </c>
      <c r="O594" s="39"/>
    </row>
    <row r="595" spans="1:15" ht="18" customHeight="1">
      <c r="A595" s="80" t="s">
        <v>193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194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77" t="s">
        <v>190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191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77" t="s">
        <v>192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191</v>
      </c>
      <c r="O621" s="39"/>
    </row>
    <row r="622" spans="1:15" ht="18" customHeight="1">
      <c r="A622" s="80" t="s">
        <v>193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194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77" t="s">
        <v>190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191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77" t="s">
        <v>192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191</v>
      </c>
      <c r="O648" s="39"/>
    </row>
    <row r="649" spans="1:15" ht="18" customHeight="1">
      <c r="A649" s="80" t="s">
        <v>193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194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77" t="s">
        <v>190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191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77" t="s">
        <v>192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191</v>
      </c>
      <c r="O675" s="39"/>
    </row>
    <row r="676" spans="1:15" ht="18" customHeight="1">
      <c r="A676" s="80" t="s">
        <v>193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194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77" t="s">
        <v>190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191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77" t="s">
        <v>192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191</v>
      </c>
      <c r="O702" s="39"/>
    </row>
    <row r="703" spans="1:15" ht="18" customHeight="1">
      <c r="A703" s="80" t="s">
        <v>193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194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77" t="s">
        <v>190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191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77" t="s">
        <v>192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191</v>
      </c>
      <c r="O729" s="39"/>
    </row>
    <row r="730" spans="1:15" ht="18" customHeight="1">
      <c r="A730" s="80" t="s">
        <v>193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194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77" t="s">
        <v>190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191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77" t="s">
        <v>192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191</v>
      </c>
      <c r="O756" s="39"/>
    </row>
    <row r="757" spans="1:15" ht="18" customHeight="1">
      <c r="A757" s="80" t="s">
        <v>193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194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77" t="s">
        <v>190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191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77" t="s">
        <v>192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191</v>
      </c>
      <c r="O783" s="39"/>
    </row>
    <row r="784" spans="1:15" ht="18" customHeight="1">
      <c r="A784" s="80" t="s">
        <v>193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194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77" t="s">
        <v>190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191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77" t="s">
        <v>192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191</v>
      </c>
      <c r="O810" s="39"/>
    </row>
    <row r="811" spans="1:15" ht="18" customHeight="1">
      <c r="A811" s="80" t="s">
        <v>193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194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2:E13 E15:E26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C29:C900 C2:C13 C15:C26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D29:D900 D3:D13 D15:D26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2" activePane="bottomLeft" state="frozen"/>
      <selection pane="bottomLeft" activeCell="F24" sqref="F24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4" style="20" customWidth="1"/>
    <col min="14" max="14" width="99.42578125" style="20" customWidth="1"/>
    <col min="15" max="15" width="20" customWidth="1"/>
  </cols>
  <sheetData>
    <row r="1" spans="1:15" ht="37.5" customHeight="1">
      <c r="A1" s="68" t="s">
        <v>7</v>
      </c>
      <c r="B1" s="23" t="s">
        <v>177</v>
      </c>
      <c r="C1" s="23" t="s">
        <v>12</v>
      </c>
      <c r="D1" s="22" t="s">
        <v>13</v>
      </c>
      <c r="E1" s="22" t="s">
        <v>178</v>
      </c>
      <c r="F1" s="23" t="s">
        <v>179</v>
      </c>
      <c r="G1" s="23" t="s">
        <v>180</v>
      </c>
      <c r="H1" s="23" t="s">
        <v>14</v>
      </c>
      <c r="I1" s="23" t="s">
        <v>15</v>
      </c>
      <c r="J1" s="23" t="s">
        <v>181</v>
      </c>
      <c r="K1" s="23" t="s">
        <v>182</v>
      </c>
      <c r="L1" s="23" t="s">
        <v>183</v>
      </c>
      <c r="M1" s="24" t="s">
        <v>184</v>
      </c>
      <c r="N1" s="23" t="s">
        <v>185</v>
      </c>
      <c r="O1" s="23" t="s">
        <v>186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195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195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195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195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195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195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195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195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195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195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195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77" t="s">
        <v>190</v>
      </c>
      <c r="B14" s="78"/>
      <c r="C14" s="78"/>
      <c r="D14" s="78"/>
      <c r="E14" s="79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191</v>
      </c>
      <c r="O14" s="54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195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195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195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195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195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195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195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195</v>
      </c>
      <c r="F23" s="89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195</v>
      </c>
      <c r="F24" s="27"/>
      <c r="G24" s="34" t="str">
        <f t="shared" si="3"/>
        <v/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195</v>
      </c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195</v>
      </c>
      <c r="F26" s="27"/>
      <c r="G26" s="34" t="str">
        <f t="shared" si="3"/>
        <v/>
      </c>
      <c r="H26" s="26"/>
      <c r="I26" s="26"/>
      <c r="J26" s="26"/>
      <c r="K26" s="29"/>
      <c r="L26" s="29"/>
      <c r="M26" s="35" t="str">
        <f t="shared" ca="1" si="4"/>
        <v/>
      </c>
      <c r="N26" s="46"/>
      <c r="O26" s="31"/>
    </row>
    <row r="27" spans="1:15" ht="15.75" customHeight="1">
      <c r="A27" s="77" t="s">
        <v>192</v>
      </c>
      <c r="B27" s="78"/>
      <c r="C27" s="78"/>
      <c r="D27" s="78"/>
      <c r="E27" s="79"/>
      <c r="F27" s="36">
        <f>SUM(F15:F26)</f>
        <v>80</v>
      </c>
      <c r="G27" s="36">
        <f>SUM(G15:G26)</f>
        <v>336.00000000000006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191</v>
      </c>
      <c r="O27" s="54"/>
    </row>
    <row r="28" spans="1:15" ht="18" customHeight="1">
      <c r="A28" s="80" t="s">
        <v>193</v>
      </c>
      <c r="B28" s="81"/>
      <c r="C28" s="81"/>
      <c r="D28" s="81"/>
      <c r="E28" s="82"/>
      <c r="F28" s="40">
        <f>F14+F27</f>
        <v>228</v>
      </c>
      <c r="G28" s="40">
        <f>G14+G27</f>
        <v>957.60000000000014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194</v>
      </c>
      <c r="O28" s="43">
        <f>IFERROR(O14+O27,"")</f>
        <v>627260</v>
      </c>
    </row>
    <row r="29" spans="1:15" ht="15" customHeight="1">
      <c r="A29" s="69">
        <v>46205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19",F29*5,"")))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46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77" t="s">
        <v>190</v>
      </c>
      <c r="B41" s="78"/>
      <c r="C41" s="78"/>
      <c r="D41" s="78"/>
      <c r="E41" s="79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191</v>
      </c>
      <c r="O41" s="54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46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46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46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46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46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46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46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46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46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46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46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46"/>
      <c r="O53" s="31"/>
    </row>
    <row r="54" spans="1:15" ht="15.75" customHeight="1">
      <c r="A54" s="77" t="s">
        <v>192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191</v>
      </c>
      <c r="O54" s="54"/>
    </row>
    <row r="55" spans="1:15" ht="18" customHeight="1">
      <c r="A55" s="80" t="s">
        <v>193</v>
      </c>
      <c r="B55" s="81"/>
      <c r="C55" s="81"/>
      <c r="D55" s="81"/>
      <c r="E55" s="82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194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0" t="str">
        <f t="shared" ca="1" si="13"/>
        <v/>
      </c>
      <c r="N57" s="46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5" t="str">
        <f t="shared" ca="1" si="13"/>
        <v/>
      </c>
      <c r="N58" s="46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77" t="s">
        <v>190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191</v>
      </c>
      <c r="O68" s="54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77" t="s">
        <v>192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191</v>
      </c>
      <c r="O81" s="54"/>
    </row>
    <row r="82" spans="1:15" ht="18" customHeight="1">
      <c r="A82" s="80" t="s">
        <v>193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194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77" t="s">
        <v>190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191</v>
      </c>
      <c r="O95" s="54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77" t="s">
        <v>192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191</v>
      </c>
      <c r="O108" s="54"/>
    </row>
    <row r="109" spans="1:15" ht="18" customHeight="1">
      <c r="A109" s="80" t="s">
        <v>193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194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77" t="s">
        <v>190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191</v>
      </c>
      <c r="O122" s="54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77" t="s">
        <v>192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191</v>
      </c>
      <c r="O135" s="54"/>
    </row>
    <row r="136" spans="1:15" ht="18" customHeight="1">
      <c r="A136" s="80" t="s">
        <v>193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194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77" t="s">
        <v>190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191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77" t="s">
        <v>192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191</v>
      </c>
      <c r="O162" s="54"/>
    </row>
    <row r="163" spans="1:15" ht="18" customHeight="1">
      <c r="A163" s="80" t="s">
        <v>193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194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77" t="s">
        <v>190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191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77" t="s">
        <v>192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191</v>
      </c>
      <c r="O189" s="39"/>
    </row>
    <row r="190" spans="1:15" ht="18" customHeight="1">
      <c r="A190" s="80" t="s">
        <v>193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194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77" t="s">
        <v>190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191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77" t="s">
        <v>192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191</v>
      </c>
      <c r="O216" s="45"/>
    </row>
    <row r="217" spans="1:15" ht="18" customHeight="1">
      <c r="A217" s="80" t="s">
        <v>193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194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77" t="s">
        <v>190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191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77" t="s">
        <v>192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191</v>
      </c>
      <c r="O243" s="39"/>
    </row>
    <row r="244" spans="1:15" ht="18" customHeight="1">
      <c r="A244" s="80" t="s">
        <v>193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194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77" t="s">
        <v>190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191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77" t="s">
        <v>192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191</v>
      </c>
      <c r="O270" s="39"/>
    </row>
    <row r="271" spans="1:15" ht="18" customHeight="1">
      <c r="A271" s="80" t="s">
        <v>193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194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77" t="s">
        <v>190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191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77" t="s">
        <v>192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191</v>
      </c>
      <c r="O297" s="39"/>
    </row>
    <row r="298" spans="1:15" ht="18" customHeight="1">
      <c r="A298" s="80" t="s">
        <v>193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194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77" t="s">
        <v>190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191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77" t="s">
        <v>192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191</v>
      </c>
      <c r="O324" s="39"/>
    </row>
    <row r="325" spans="1:15" ht="18" customHeight="1">
      <c r="A325" s="80" t="s">
        <v>193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194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77" t="s">
        <v>190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191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77" t="s">
        <v>192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191</v>
      </c>
      <c r="O351" s="39"/>
    </row>
    <row r="352" spans="1:15" ht="18" customHeight="1">
      <c r="A352" s="80" t="s">
        <v>193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194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77" t="s">
        <v>190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191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77" t="s">
        <v>192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191</v>
      </c>
      <c r="O378" s="39"/>
    </row>
    <row r="379" spans="1:15" ht="18" customHeight="1">
      <c r="A379" s="80" t="s">
        <v>193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194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77" t="s">
        <v>190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191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77" t="s">
        <v>192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191</v>
      </c>
      <c r="O405" s="39"/>
    </row>
    <row r="406" spans="1:15" ht="18" customHeight="1">
      <c r="A406" s="80" t="s">
        <v>193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194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77" t="s">
        <v>190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191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77" t="s">
        <v>192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191</v>
      </c>
      <c r="O432" s="39"/>
    </row>
    <row r="433" spans="1:15" ht="18" customHeight="1">
      <c r="A433" s="80" t="s">
        <v>193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194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77" t="s">
        <v>190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191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77" t="s">
        <v>192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191</v>
      </c>
      <c r="O459" s="39"/>
    </row>
    <row r="460" spans="1:15" ht="18" customHeight="1">
      <c r="A460" s="80" t="s">
        <v>193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194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77" t="s">
        <v>190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191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77" t="s">
        <v>192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191</v>
      </c>
      <c r="O486" s="39"/>
    </row>
    <row r="487" spans="1:15" ht="18" customHeight="1">
      <c r="A487" s="80" t="s">
        <v>193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194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77" t="s">
        <v>190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191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77" t="s">
        <v>192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191</v>
      </c>
      <c r="O513" s="39"/>
    </row>
    <row r="514" spans="1:15" ht="18" customHeight="1">
      <c r="A514" s="80" t="s">
        <v>193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194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77" t="s">
        <v>190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191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77" t="s">
        <v>192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191</v>
      </c>
      <c r="O540" s="39"/>
    </row>
    <row r="541" spans="1:15" ht="18" customHeight="1">
      <c r="A541" s="80" t="s">
        <v>193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194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77" t="s">
        <v>190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191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77" t="s">
        <v>192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191</v>
      </c>
      <c r="O567" s="39"/>
    </row>
    <row r="568" spans="1:15" ht="18" customHeight="1">
      <c r="A568" s="80" t="s">
        <v>193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194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77" t="s">
        <v>190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191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77" t="s">
        <v>192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191</v>
      </c>
      <c r="O594" s="39"/>
    </row>
    <row r="595" spans="1:15" ht="18" customHeight="1">
      <c r="A595" s="80" t="s">
        <v>193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194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77" t="s">
        <v>190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191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77" t="s">
        <v>192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191</v>
      </c>
      <c r="O621" s="39"/>
    </row>
    <row r="622" spans="1:15" ht="18" customHeight="1">
      <c r="A622" s="80" t="s">
        <v>193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194</v>
      </c>
      <c r="O622" s="48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77" t="s">
        <v>190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191</v>
      </c>
      <c r="O635" s="45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77" t="s">
        <v>192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191</v>
      </c>
      <c r="O648" s="39"/>
    </row>
    <row r="649" spans="1:15" ht="18" customHeight="1">
      <c r="A649" s="80" t="s">
        <v>193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194</v>
      </c>
      <c r="O649" s="48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77" t="s">
        <v>190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191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77" t="s">
        <v>192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191</v>
      </c>
      <c r="O675" s="39"/>
    </row>
    <row r="676" spans="1:15" ht="18" customHeight="1">
      <c r="A676" s="80" t="s">
        <v>193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194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77" t="s">
        <v>190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191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77" t="s">
        <v>192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191</v>
      </c>
      <c r="O702" s="39"/>
    </row>
    <row r="703" spans="1:15" ht="18" customHeight="1">
      <c r="A703" s="80" t="s">
        <v>193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194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77" t="s">
        <v>190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191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77" t="s">
        <v>192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191</v>
      </c>
      <c r="O729" s="39"/>
    </row>
    <row r="730" spans="1:15" ht="18" customHeight="1">
      <c r="A730" s="80" t="s">
        <v>193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194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77" t="s">
        <v>190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191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77" t="s">
        <v>192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191</v>
      </c>
      <c r="O756" s="39"/>
    </row>
    <row r="757" spans="1:15" ht="18" customHeight="1">
      <c r="A757" s="80" t="s">
        <v>193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194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77" t="s">
        <v>190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191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77" t="s">
        <v>192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191</v>
      </c>
      <c r="O783" s="39"/>
    </row>
    <row r="784" spans="1:15" ht="18" customHeight="1">
      <c r="A784" s="80" t="s">
        <v>193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194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77" t="s">
        <v>190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191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77" t="s">
        <v>192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191</v>
      </c>
      <c r="O810" s="39"/>
    </row>
    <row r="811" spans="1:15" ht="18" customHeight="1">
      <c r="A811" s="80" t="s">
        <v>193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194</v>
      </c>
      <c r="O811" s="4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29:E811 E15:E26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C29:C900 C2:C13 C15:C26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D29:D900 D2:D13 D15:D26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9" activePane="bottomLeft" state="frozen"/>
      <selection pane="bottomLeft" activeCell="F23" sqref="F23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8" t="s">
        <v>7</v>
      </c>
      <c r="B1" s="23" t="s">
        <v>177</v>
      </c>
      <c r="C1" s="23" t="s">
        <v>12</v>
      </c>
      <c r="D1" s="22" t="s">
        <v>13</v>
      </c>
      <c r="E1" s="22" t="s">
        <v>178</v>
      </c>
      <c r="F1" s="23" t="s">
        <v>179</v>
      </c>
      <c r="G1" s="23" t="s">
        <v>180</v>
      </c>
      <c r="H1" s="23" t="s">
        <v>14</v>
      </c>
      <c r="I1" s="23" t="s">
        <v>15</v>
      </c>
      <c r="J1" s="23" t="s">
        <v>181</v>
      </c>
      <c r="K1" s="23" t="s">
        <v>182</v>
      </c>
      <c r="L1" s="23" t="s">
        <v>183</v>
      </c>
      <c r="M1" s="24" t="s">
        <v>184</v>
      </c>
      <c r="N1" s="23" t="s">
        <v>185</v>
      </c>
      <c r="O1" s="23" t="s">
        <v>186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195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195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196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195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195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197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195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195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195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195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195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195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77" t="s">
        <v>190</v>
      </c>
      <c r="B14" s="78"/>
      <c r="C14" s="78"/>
      <c r="D14" s="78"/>
      <c r="E14" s="79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191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195</v>
      </c>
      <c r="F15" s="27">
        <v>10</v>
      </c>
      <c r="G15" s="34">
        <f t="shared" ref="G15:G26" si="3">IF(F15="","",IF(E15="PC 17",F15*4.2,IF(E15="PC 19",F15*5,"")))</f>
        <v>42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195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195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195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195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195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195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195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195</v>
      </c>
      <c r="F24" s="27"/>
      <c r="G24" s="28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195</v>
      </c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195</v>
      </c>
      <c r="F26" s="27"/>
      <c r="G26" s="28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77" t="s">
        <v>192</v>
      </c>
      <c r="B27" s="78"/>
      <c r="C27" s="78"/>
      <c r="D27" s="78"/>
      <c r="E27" s="79"/>
      <c r="F27" s="36">
        <f>SUM(F15:F26)</f>
        <v>59</v>
      </c>
      <c r="G27" s="36">
        <f>SUM(G15:G26)</f>
        <v>247.8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191</v>
      </c>
      <c r="O27" s="39"/>
    </row>
    <row r="28" spans="1:15" ht="18" customHeight="1">
      <c r="A28" s="80" t="s">
        <v>193</v>
      </c>
      <c r="B28" s="81"/>
      <c r="C28" s="81"/>
      <c r="D28" s="81"/>
      <c r="E28" s="82"/>
      <c r="F28" s="40">
        <f>F14+F27</f>
        <v>118</v>
      </c>
      <c r="G28" s="40">
        <f>G14+G27</f>
        <v>495.6</v>
      </c>
      <c r="H28" s="41"/>
      <c r="I28" s="41"/>
      <c r="J28" s="41"/>
      <c r="K28" s="41"/>
      <c r="L28" s="41"/>
      <c r="M28" s="42">
        <f ca="1">IFERROR(M14+M27,"")</f>
        <v>0.16736111111111113</v>
      </c>
      <c r="N28" s="40" t="s">
        <v>194</v>
      </c>
      <c r="O28" s="43">
        <f>IFERROR(O14+O27,"")</f>
        <v>292530</v>
      </c>
    </row>
    <row r="29" spans="1:15" ht="15" customHeight="1">
      <c r="A29" s="69">
        <v>46205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19",F29*5,"")))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77" t="s">
        <v>190</v>
      </c>
      <c r="B41" s="78"/>
      <c r="C41" s="78"/>
      <c r="D41" s="78"/>
      <c r="E41" s="79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191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77" t="s">
        <v>192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191</v>
      </c>
      <c r="O54" s="39"/>
    </row>
    <row r="55" spans="1:15" ht="18" customHeight="1">
      <c r="A55" s="80" t="s">
        <v>193</v>
      </c>
      <c r="B55" s="81"/>
      <c r="C55" s="81"/>
      <c r="D55" s="81"/>
      <c r="E55" s="82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194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77" t="s">
        <v>190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191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77" t="s">
        <v>192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191</v>
      </c>
      <c r="O81" s="39"/>
    </row>
    <row r="82" spans="1:15" ht="18" customHeight="1">
      <c r="A82" s="80" t="s">
        <v>193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194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77" t="s">
        <v>190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191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77" t="s">
        <v>192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191</v>
      </c>
      <c r="O108" s="39"/>
    </row>
    <row r="109" spans="1:15" ht="18" customHeight="1">
      <c r="A109" s="80" t="s">
        <v>193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194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77" t="s">
        <v>190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191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77" t="s">
        <v>192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191</v>
      </c>
      <c r="O135" s="39"/>
    </row>
    <row r="136" spans="1:15" ht="18" customHeight="1">
      <c r="A136" s="80" t="s">
        <v>193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194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190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191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192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191</v>
      </c>
      <c r="O162" s="39"/>
    </row>
    <row r="163" spans="1:15" ht="18" customHeight="1">
      <c r="A163" s="80" t="s">
        <v>193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194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190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191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192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191</v>
      </c>
      <c r="O189" s="39"/>
    </row>
    <row r="190" spans="1:15" ht="18" customHeight="1">
      <c r="A190" s="80" t="s">
        <v>193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194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190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191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77" t="s">
        <v>192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191</v>
      </c>
      <c r="O216" s="39"/>
    </row>
    <row r="217" spans="1:15" ht="18" customHeight="1">
      <c r="A217" s="80" t="s">
        <v>193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194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77" t="s">
        <v>190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191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77" t="s">
        <v>192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191</v>
      </c>
      <c r="O243" s="39"/>
    </row>
    <row r="244" spans="1:15" ht="18" customHeight="1">
      <c r="A244" s="80" t="s">
        <v>193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194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77" t="s">
        <v>190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191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77" t="s">
        <v>192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191</v>
      </c>
      <c r="O270" s="39"/>
    </row>
    <row r="271" spans="1:15" ht="18" customHeight="1">
      <c r="A271" s="80" t="s">
        <v>193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194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77" t="s">
        <v>190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191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77" t="s">
        <v>192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191</v>
      </c>
      <c r="O297" s="39"/>
    </row>
    <row r="298" spans="1:15" ht="18" customHeight="1">
      <c r="A298" s="80" t="s">
        <v>193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194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77" t="s">
        <v>190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191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77" t="s">
        <v>192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191</v>
      </c>
      <c r="O324" s="39"/>
    </row>
    <row r="325" spans="1:15" ht="18" customHeight="1">
      <c r="A325" s="80" t="s">
        <v>193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194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77" t="s">
        <v>190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191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77" t="s">
        <v>192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191</v>
      </c>
      <c r="O351" s="39"/>
    </row>
    <row r="352" spans="1:15" ht="18" customHeight="1">
      <c r="A352" s="80" t="s">
        <v>193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194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77" t="s">
        <v>190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191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77" t="s">
        <v>192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191</v>
      </c>
      <c r="O378" s="39"/>
    </row>
    <row r="379" spans="1:15" ht="18" customHeight="1">
      <c r="A379" s="80" t="s">
        <v>193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194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77" t="s">
        <v>190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191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77" t="s">
        <v>192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191</v>
      </c>
      <c r="O405" s="39"/>
    </row>
    <row r="406" spans="1:15" ht="18" customHeight="1">
      <c r="A406" s="80" t="s">
        <v>193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194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77" t="s">
        <v>190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191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77" t="s">
        <v>192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191</v>
      </c>
      <c r="O432" s="39"/>
    </row>
    <row r="433" spans="1:15" ht="18" customHeight="1">
      <c r="A433" s="80" t="s">
        <v>193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194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77" t="s">
        <v>190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191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77" t="s">
        <v>192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191</v>
      </c>
      <c r="O459" s="39"/>
    </row>
    <row r="460" spans="1:15" ht="18" customHeight="1">
      <c r="A460" s="80" t="s">
        <v>193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194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77" t="s">
        <v>190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191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77" t="s">
        <v>192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191</v>
      </c>
      <c r="O486" s="39"/>
    </row>
    <row r="487" spans="1:15" ht="18" customHeight="1">
      <c r="A487" s="80" t="s">
        <v>193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194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77" t="s">
        <v>190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191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77" t="s">
        <v>192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191</v>
      </c>
      <c r="O513" s="39"/>
    </row>
    <row r="514" spans="1:15" ht="18" customHeight="1">
      <c r="A514" s="80" t="s">
        <v>193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194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77" t="s">
        <v>190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191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77" t="s">
        <v>192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191</v>
      </c>
      <c r="O540" s="39"/>
    </row>
    <row r="541" spans="1:15" ht="18" customHeight="1">
      <c r="A541" s="80" t="s">
        <v>193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194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77" t="s">
        <v>190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191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77" t="s">
        <v>192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191</v>
      </c>
      <c r="O567" s="39"/>
    </row>
    <row r="568" spans="1:15" ht="18" customHeight="1">
      <c r="A568" s="80" t="s">
        <v>193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194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77" t="s">
        <v>190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191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77" t="s">
        <v>192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191</v>
      </c>
      <c r="O594" s="39"/>
    </row>
    <row r="595" spans="1:15" ht="18" customHeight="1">
      <c r="A595" s="80" t="s">
        <v>193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194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77" t="s">
        <v>190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191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77" t="s">
        <v>192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191</v>
      </c>
      <c r="O621" s="39"/>
    </row>
    <row r="622" spans="1:15" ht="18" customHeight="1">
      <c r="A622" s="80" t="s">
        <v>193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194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77" t="s">
        <v>190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191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77" t="s">
        <v>192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191</v>
      </c>
      <c r="O648" s="39"/>
    </row>
    <row r="649" spans="1:15" ht="18" customHeight="1">
      <c r="A649" s="80" t="s">
        <v>193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194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77" t="s">
        <v>190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191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77" t="s">
        <v>192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191</v>
      </c>
      <c r="O675" s="39"/>
    </row>
    <row r="676" spans="1:15" ht="18" customHeight="1">
      <c r="A676" s="80" t="s">
        <v>193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194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77" t="s">
        <v>190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191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77" t="s">
        <v>192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191</v>
      </c>
      <c r="O702" s="39"/>
    </row>
    <row r="703" spans="1:15" ht="18" customHeight="1">
      <c r="A703" s="80" t="s">
        <v>193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194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77" t="s">
        <v>190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191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77" t="s">
        <v>192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191</v>
      </c>
      <c r="O729" s="39"/>
    </row>
    <row r="730" spans="1:15" ht="18" customHeight="1">
      <c r="A730" s="80" t="s">
        <v>193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194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77" t="s">
        <v>190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191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77" t="s">
        <v>192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191</v>
      </c>
      <c r="O756" s="39"/>
    </row>
    <row r="757" spans="1:15" ht="18" customHeight="1">
      <c r="A757" s="80" t="s">
        <v>193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194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77" t="s">
        <v>190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191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77" t="s">
        <v>192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191</v>
      </c>
      <c r="O783" s="39"/>
    </row>
    <row r="784" spans="1:15" ht="18" customHeight="1">
      <c r="A784" s="80" t="s">
        <v>193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194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77" t="s">
        <v>190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191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77" t="s">
        <v>192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191</v>
      </c>
      <c r="O810" s="39"/>
    </row>
    <row r="811" spans="1:15" ht="18" customHeight="1">
      <c r="A811" s="80" t="s">
        <v>193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194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2:E13 E15:E26" xr:uid="{618DBFC7-9EE5-4350-9682-B167270E51D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C29:C900 C2:C13 C15:C26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D29:D900 D2:D13 D15:D26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zoomScale="50" zoomScaleNormal="50" workbookViewId="0">
      <pane ySplit="1" topLeftCell="A9" activePane="bottomLeft" state="frozen"/>
      <selection pane="bottomLeft" activeCell="F24" sqref="F24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126.42578125" style="57" customWidth="1"/>
    <col min="15" max="15" width="14" customWidth="1"/>
  </cols>
  <sheetData>
    <row r="1" spans="1:15" ht="37.5" customHeight="1">
      <c r="A1" s="68" t="s">
        <v>7</v>
      </c>
      <c r="B1" s="23" t="s">
        <v>177</v>
      </c>
      <c r="C1" s="23" t="s">
        <v>12</v>
      </c>
      <c r="D1" s="22" t="s">
        <v>13</v>
      </c>
      <c r="E1" s="22" t="s">
        <v>178</v>
      </c>
      <c r="F1" s="23" t="s">
        <v>179</v>
      </c>
      <c r="G1" s="23" t="s">
        <v>180</v>
      </c>
      <c r="H1" s="23" t="s">
        <v>14</v>
      </c>
      <c r="I1" s="23" t="s">
        <v>15</v>
      </c>
      <c r="J1" s="23" t="s">
        <v>181</v>
      </c>
      <c r="K1" s="23" t="s">
        <v>182</v>
      </c>
      <c r="L1" s="23" t="s">
        <v>183</v>
      </c>
      <c r="M1" s="24" t="s">
        <v>184</v>
      </c>
      <c r="N1" s="23" t="s">
        <v>185</v>
      </c>
      <c r="O1" s="23" t="s">
        <v>186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195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198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195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199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195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176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195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195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195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195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195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195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195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195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77" t="s">
        <v>190</v>
      </c>
      <c r="B14" s="78"/>
      <c r="C14" s="78"/>
      <c r="D14" s="78"/>
      <c r="E14" s="79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191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195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195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/>
      <c r="M16" s="30"/>
      <c r="N16" s="27" t="s">
        <v>200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195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195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195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195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195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195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195</v>
      </c>
      <c r="F24" s="27"/>
      <c r="G24" s="28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195</v>
      </c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195</v>
      </c>
      <c r="F26" s="27"/>
      <c r="G26" s="28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77" t="s">
        <v>192</v>
      </c>
      <c r="B27" s="78"/>
      <c r="C27" s="78"/>
      <c r="D27" s="78"/>
      <c r="E27" s="79"/>
      <c r="F27" s="36">
        <f>SUM(F15:F26)</f>
        <v>29</v>
      </c>
      <c r="G27" s="36">
        <f>SUM(G15:G26)</f>
        <v>121.80000000000001</v>
      </c>
      <c r="H27" s="37"/>
      <c r="I27" s="37"/>
      <c r="J27" s="37"/>
      <c r="K27" s="61"/>
      <c r="L27" s="61"/>
      <c r="M27" s="38">
        <f ca="1">IFERROR(SUM(M15:M26),"")</f>
        <v>3.0555555555555558E-2</v>
      </c>
      <c r="N27" s="36" t="s">
        <v>191</v>
      </c>
      <c r="O27" s="39"/>
    </row>
    <row r="28" spans="1:15" ht="18" customHeight="1">
      <c r="A28" s="80" t="s">
        <v>193</v>
      </c>
      <c r="B28" s="81"/>
      <c r="C28" s="81"/>
      <c r="D28" s="81"/>
      <c r="E28" s="82"/>
      <c r="F28" s="40">
        <f>F14+F27</f>
        <v>93</v>
      </c>
      <c r="G28" s="40">
        <f>G14+G27</f>
        <v>390.59999999999997</v>
      </c>
      <c r="H28" s="41"/>
      <c r="I28" s="41"/>
      <c r="J28" s="41"/>
      <c r="K28" s="63"/>
      <c r="L28" s="63"/>
      <c r="M28" s="42">
        <f ca="1">IFERROR(M14+M27,"")</f>
        <v>0.25138888888888883</v>
      </c>
      <c r="N28" s="40" t="s">
        <v>194</v>
      </c>
      <c r="O28" s="48">
        <f>IFERROR(O14+O27,"")</f>
        <v>327070</v>
      </c>
    </row>
    <row r="29" spans="1:15" ht="15" customHeight="1">
      <c r="A29" s="69">
        <v>46205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19",F29*5,"")))</f>
        <v/>
      </c>
      <c r="H29" s="33"/>
      <c r="I29" s="33"/>
      <c r="J29" s="33"/>
      <c r="K29" s="29"/>
      <c r="L29" s="29"/>
      <c r="M29" s="30" t="str">
        <f t="shared" ref="M29:M40" ca="1" si="7">IFERROR(IF(K29="","",IF(L29="",MOD(NOW()-K29,1),IF(L29&gt;=K29,L29-K29,L29+1-K29))),"")</f>
        <v/>
      </c>
      <c r="N29" s="27"/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9">
        <v>46205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77" t="s">
        <v>190</v>
      </c>
      <c r="B41" s="78"/>
      <c r="C41" s="78"/>
      <c r="D41" s="78"/>
      <c r="E41" s="79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61"/>
      <c r="L41" s="61"/>
      <c r="M41" s="38">
        <f ca="1">IFERROR(SUM(M29:M40),"")</f>
        <v>0</v>
      </c>
      <c r="N41" s="36" t="s">
        <v>191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5" t="str">
        <f t="shared" ref="M42:M53" ca="1" si="10">IFERROR(IF(K42="","",IF(L42="",MOD(NOW()-K42,1),IF(L42&gt;=K42,L42-K42,L42+1-K42))),"")</f>
        <v/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0" t="str">
        <f t="shared" ca="1" si="10"/>
        <v/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0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0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0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0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0" t="str">
        <f t="shared" ca="1" si="10"/>
        <v/>
      </c>
      <c r="N53" s="27"/>
      <c r="O53" s="60"/>
    </row>
    <row r="54" spans="1:15" ht="15.75" customHeight="1">
      <c r="A54" s="77" t="s">
        <v>192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61"/>
      <c r="L54" s="61"/>
      <c r="M54" s="38">
        <f ca="1">IFERROR(SUM(M42:M53),"")</f>
        <v>0</v>
      </c>
      <c r="N54" s="36" t="s">
        <v>191</v>
      </c>
      <c r="O54" s="39"/>
    </row>
    <row r="55" spans="1:15" ht="18" customHeight="1">
      <c r="A55" s="80" t="s">
        <v>193</v>
      </c>
      <c r="B55" s="81"/>
      <c r="C55" s="81"/>
      <c r="D55" s="81"/>
      <c r="E55" s="82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63"/>
      <c r="L55" s="63"/>
      <c r="M55" s="42">
        <f ca="1">IFERROR(M41+M54,"")</f>
        <v>0</v>
      </c>
      <c r="N55" s="40" t="s">
        <v>194</v>
      </c>
      <c r="O55" s="48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77" t="s">
        <v>190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191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77" t="s">
        <v>192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191</v>
      </c>
      <c r="O81" s="39"/>
    </row>
    <row r="82" spans="1:15" ht="18" customHeight="1">
      <c r="A82" s="80" t="s">
        <v>193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194</v>
      </c>
      <c r="O82" s="48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77" t="s">
        <v>190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191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77" t="s">
        <v>192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191</v>
      </c>
      <c r="O108" s="39"/>
    </row>
    <row r="109" spans="1:15" ht="18" customHeight="1">
      <c r="A109" s="80" t="s">
        <v>193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194</v>
      </c>
      <c r="O109" s="48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77" t="s">
        <v>190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191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77" t="s">
        <v>192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191</v>
      </c>
      <c r="O135" s="39"/>
    </row>
    <row r="136" spans="1:15" ht="18" customHeight="1">
      <c r="A136" s="80" t="s">
        <v>193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194</v>
      </c>
      <c r="O136" s="48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190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191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192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191</v>
      </c>
      <c r="O162" s="39"/>
    </row>
    <row r="163" spans="1:15" ht="18" customHeight="1">
      <c r="A163" s="80" t="s">
        <v>193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194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190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191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192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191</v>
      </c>
      <c r="O189" s="39"/>
    </row>
    <row r="190" spans="1:15" ht="18" customHeight="1">
      <c r="A190" s="80" t="s">
        <v>193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194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190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191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77" t="s">
        <v>192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191</v>
      </c>
      <c r="O216" s="45"/>
    </row>
    <row r="217" spans="1:15" ht="18" customHeight="1">
      <c r="A217" s="80" t="s">
        <v>193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194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77" t="s">
        <v>190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191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77" t="s">
        <v>192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191</v>
      </c>
      <c r="O243" s="39"/>
    </row>
    <row r="244" spans="1:15" ht="18" customHeight="1">
      <c r="A244" s="80" t="s">
        <v>193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194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77" t="s">
        <v>190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191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77" t="s">
        <v>192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191</v>
      </c>
      <c r="O270" s="39"/>
    </row>
    <row r="271" spans="1:15" ht="18" customHeight="1">
      <c r="A271" s="80" t="s">
        <v>193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194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77" t="s">
        <v>190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191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77" t="s">
        <v>192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191</v>
      </c>
      <c r="O297" s="39"/>
    </row>
    <row r="298" spans="1:15" ht="18" customHeight="1">
      <c r="A298" s="80" t="s">
        <v>193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194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77" t="s">
        <v>190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191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77" t="s">
        <v>192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191</v>
      </c>
      <c r="O324" s="39"/>
    </row>
    <row r="325" spans="1:15" ht="18" customHeight="1">
      <c r="A325" s="80" t="s">
        <v>193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194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77" t="s">
        <v>190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191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77" t="s">
        <v>192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191</v>
      </c>
      <c r="O351" s="39"/>
    </row>
    <row r="352" spans="1:15" ht="18" customHeight="1">
      <c r="A352" s="80" t="s">
        <v>193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194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77" t="s">
        <v>190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191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77" t="s">
        <v>192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191</v>
      </c>
      <c r="O378" s="39"/>
    </row>
    <row r="379" spans="1:15" ht="18" customHeight="1">
      <c r="A379" s="80" t="s">
        <v>193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194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77" t="s">
        <v>190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191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77" t="s">
        <v>192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191</v>
      </c>
      <c r="O405" s="39"/>
    </row>
    <row r="406" spans="1:15" ht="18" customHeight="1">
      <c r="A406" s="80" t="s">
        <v>193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194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77" t="s">
        <v>190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191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77" t="s">
        <v>192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191</v>
      </c>
      <c r="O432" s="39"/>
    </row>
    <row r="433" spans="1:17" ht="18" customHeight="1">
      <c r="A433" s="80" t="s">
        <v>193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194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77" t="s">
        <v>190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191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77" t="s">
        <v>192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191</v>
      </c>
      <c r="O459" s="39"/>
    </row>
    <row r="460" spans="1:15" ht="18" customHeight="1">
      <c r="A460" s="80" t="s">
        <v>193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194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77" t="s">
        <v>190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191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77" t="s">
        <v>192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191</v>
      </c>
      <c r="O486" s="39"/>
    </row>
    <row r="487" spans="1:15" ht="18" customHeight="1">
      <c r="A487" s="80" t="s">
        <v>193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194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77" t="s">
        <v>190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191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77" t="s">
        <v>192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191</v>
      </c>
      <c r="O513" s="39"/>
    </row>
    <row r="514" spans="1:15" ht="18" customHeight="1">
      <c r="A514" s="80" t="s">
        <v>193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194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77" t="s">
        <v>190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191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77" t="s">
        <v>192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191</v>
      </c>
      <c r="O540" s="39"/>
    </row>
    <row r="541" spans="1:15" ht="18" customHeight="1">
      <c r="A541" s="80" t="s">
        <v>193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194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77" t="s">
        <v>190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191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77" t="s">
        <v>192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191</v>
      </c>
      <c r="O567" s="39"/>
    </row>
    <row r="568" spans="1:15" ht="18" customHeight="1">
      <c r="A568" s="80" t="s">
        <v>193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194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77" t="s">
        <v>190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191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77" t="s">
        <v>192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191</v>
      </c>
      <c r="O594" s="39"/>
    </row>
    <row r="595" spans="1:15" ht="18" customHeight="1">
      <c r="A595" s="80" t="s">
        <v>193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194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77" t="s">
        <v>190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191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77" t="s">
        <v>192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191</v>
      </c>
      <c r="O621" s="39"/>
    </row>
    <row r="622" spans="1:15" ht="18" customHeight="1">
      <c r="A622" s="80" t="s">
        <v>193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194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77" t="s">
        <v>190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191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77" t="s">
        <v>192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191</v>
      </c>
      <c r="O648" s="39"/>
    </row>
    <row r="649" spans="1:15" ht="18" customHeight="1">
      <c r="A649" s="80" t="s">
        <v>193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194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77" t="s">
        <v>190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191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77" t="s">
        <v>192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191</v>
      </c>
      <c r="O675" s="39"/>
    </row>
    <row r="676" spans="1:15" ht="18" customHeight="1">
      <c r="A676" s="80" t="s">
        <v>193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194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77" t="s">
        <v>190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191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77" t="s">
        <v>192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191</v>
      </c>
      <c r="O702" s="39"/>
    </row>
    <row r="703" spans="1:15" ht="18" customHeight="1">
      <c r="A703" s="80" t="s">
        <v>193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194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77" t="s">
        <v>190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191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77" t="s">
        <v>192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191</v>
      </c>
      <c r="O729" s="39"/>
    </row>
    <row r="730" spans="1:15" ht="18" customHeight="1">
      <c r="A730" s="80" t="s">
        <v>193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194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77" t="s">
        <v>190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191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77" t="s">
        <v>192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191</v>
      </c>
      <c r="O756" s="39"/>
    </row>
    <row r="757" spans="1:15" ht="18" customHeight="1">
      <c r="A757" s="80" t="s">
        <v>193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194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77" t="s">
        <v>190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191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77" t="s">
        <v>192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191</v>
      </c>
      <c r="O783" s="39"/>
    </row>
    <row r="784" spans="1:15" ht="18" customHeight="1">
      <c r="A784" s="80" t="s">
        <v>193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194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77" t="s">
        <v>190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191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77" t="s">
        <v>192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191</v>
      </c>
      <c r="O810" s="39"/>
    </row>
    <row r="811" spans="1:15" ht="18" customHeight="1">
      <c r="A811" s="80" t="s">
        <v>193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194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29:E811 E15:E26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C29:C900 C2:C13 C15:C26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D29:D900 D2:D13 D15:D26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2026-07-02T08:40:56Z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