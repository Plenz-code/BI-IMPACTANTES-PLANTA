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33" documentId="13_ncr:1_{0A10D8D4-8450-4366-8075-B53B08E6B7EA}" xr6:coauthVersionLast="47" xr6:coauthVersionMax="47" xr10:uidLastSave="{E6018F2E-E782-420F-A938-727F56B347EF}"/>
  <bookViews>
    <workbookView xWindow="-120" yWindow="-12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9" i="5" s="1"/>
  <c r="J469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9" i="4" s="1"/>
  <c r="J469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8" i="6" l="1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<sst xmlns="http://schemas.openxmlformats.org/spreadsheetml/2006/main" count="7935" uniqueCount="375">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</sst>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39" activePane="bottomLeft" state="frozen"/>
      <selection pane="bottomLeft" activeCell="N462" sqref="N46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/>
      <c r="M461" s="35">
        <f t="shared" ref="M461:M472" ca="1" si="99">IFERROR(IF(K461="","",IF(L461="",MOD(NOW()-K461,1),IF(L461&gt;=K461,L461-K461,L461+1-K461))),"")</f>
        <v>1.7619212958379649E-3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323</v>
      </c>
      <c r="G473" s="36">
        <f>SUM(G461:G472)</f>
        <v>1615</v>
      </c>
      <c r="H473" s="37"/>
      <c r="I473" s="37"/>
      <c r="J473" s="37"/>
      <c r="K473" s="37"/>
      <c r="L473" s="37"/>
      <c r="M473" s="38">
        <f ca="1">IFERROR(SUM(M461:M472),"")</f>
        <v>1.7619212958379649E-3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323</v>
      </c>
      <c r="G487" s="40">
        <f>G473+G486</f>
        <v>1615</v>
      </c>
      <c r="H487" s="41"/>
      <c r="I487" s="41"/>
      <c r="J487" s="41"/>
      <c r="K487" s="41"/>
      <c r="L487" s="41"/>
      <c r="M487" s="42">
        <f ca="1">IFERROR(M473+M486,"")</f>
        <v>1.7619212958379649E-3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70" sqref="G47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0.56773414351482643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0.70662303240371527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0.79134525462593763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/>
      <c r="Q465" s="35">
        <f t="shared" ca="1" si="116"/>
        <v>1.2873032406787388E-2</v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646.79999999999995</v>
      </c>
      <c r="L473" s="37"/>
      <c r="M473" s="37"/>
      <c r="N473" s="37"/>
      <c r="O473" s="37"/>
      <c r="P473" s="37"/>
      <c r="Q473" s="38">
        <f ca="1">IFERROR(SUM(Q461:Q472),"")</f>
        <v>0.11078969907345404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646.79999999999995</v>
      </c>
      <c r="L487" s="41"/>
      <c r="M487" s="41"/>
      <c r="N487" s="41"/>
      <c r="O487" s="41"/>
      <c r="P487" s="41"/>
      <c r="Q487" s="42">
        <f ca="1">IFERROR(Q473+Q486,"")</f>
        <v>0.11078969907345404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0" sqref="G4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0.22499999999999998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0.22499999999999998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70" sqref="G47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368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/>
      <c r="Q464" s="30">
        <f t="shared" ca="1" si="116"/>
        <v>3.8452546286862344E-3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120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504.00000000000006</v>
      </c>
      <c r="L473" s="37"/>
      <c r="M473" s="37"/>
      <c r="N473" s="37"/>
      <c r="O473" s="61"/>
      <c r="P473" s="61"/>
      <c r="Q473" s="38">
        <f ca="1">IFERROR(SUM(Q461:Q472),"")</f>
        <v>0.27190081018424167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120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504.00000000000006</v>
      </c>
      <c r="L487" s="41"/>
      <c r="M487" s="41"/>
      <c r="N487" s="41"/>
      <c r="O487" s="63"/>
      <c r="P487" s="63"/>
      <c r="Q487" s="42">
        <f ca="1">IFERROR(Q473+Q486,"")</f>
        <v>0.27190081018424167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2026-08-18T20:33:03Z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