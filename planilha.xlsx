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730" documentId="13_ncr:1_{A6DBCFB4-28D9-4249-9038-216934055CA6}" xr6:coauthVersionLast="47" xr6:coauthVersionMax="47" xr10:uidLastSave="{AA01C4BE-CBA6-4A0D-8013-095BE18D44D0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<sst xmlns="http://schemas.openxmlformats.org/spreadsheetml/2006/main" count="8842" uniqueCount="400">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</sst>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2" sqref="G2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4511.7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493" activePane="bottomLeft" state="frozen"/>
      <selection pane="bottomLeft" activeCell="J515" sqref="J51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147</v>
      </c>
      <c r="G527" s="2">
        <f>SUM(G515:G526)</f>
        <v>709.4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147</v>
      </c>
      <c r="G541" s="1">
        <f>G527+G540</f>
        <v>709.4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94" activePane="bottomLeft" state="frozen"/>
      <selection pane="bottomLeft" activeCell="G524" sqref="G524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0.57122939814144047</v>
      </c>
      <c r="R53" s="80" t="s">
        <v>305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0.7101182870303282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0.79484050925255101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133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595.40000000000009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133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595.40000000000009</v>
      </c>
      <c r="L541" s="76"/>
      <c r="M541" s="76"/>
      <c r="N541" s="76"/>
      <c r="O541" s="76"/>
      <c r="P541" s="76"/>
      <c r="Q541" s="77">
        <f ca="1">IFERROR(Q527+Q540,"")</f>
        <v>6.458333333333327E-2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96" activePane="bottomLeft" state="frozen"/>
      <selection pane="bottomLeft" activeCell="G524" sqref="G524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0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27"/>
        <v>0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27"/>
        <v>0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363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27"/>
        <v>0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27"/>
        <v>0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27"/>
        <v>0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27"/>
        <v>0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27"/>
        <v>0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27"/>
        <v>0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30"/>
        <v/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30"/>
        <v/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30"/>
        <v/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60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264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60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264</v>
      </c>
      <c r="L541" s="76"/>
      <c r="M541" s="76"/>
      <c r="N541" s="76"/>
      <c r="O541" s="76"/>
      <c r="P541" s="76"/>
      <c r="Q541" s="77">
        <f ca="1">IFERROR(Q527+Q540,"")</f>
        <v>6.8749999999999922E-2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1" activePane="bottomLeft" state="frozen"/>
      <selection pane="bottomLeft" activeCell="G524" sqref="G524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0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0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0</v>
      </c>
      <c r="I516" s="90">
        <f>IFERROR(IF($D516="","",VLOOKUP($D516,Cadastro!$C$4:$G$7,5,FALSE())),"")</f>
        <v>0.6</v>
      </c>
      <c r="J516" s="91">
        <f t="shared" si="130"/>
        <v>0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0</v>
      </c>
      <c r="I517" s="90">
        <f>IFERROR(IF($D517="","",VLOOKUP($D517,Cadastro!$C$4:$G$7,5,FALSE())),"")</f>
        <v>0.6</v>
      </c>
      <c r="J517" s="91">
        <f t="shared" si="130"/>
        <v>0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0</v>
      </c>
      <c r="I518" s="90">
        <f>IFERROR(IF($D518="","",VLOOKUP($D518,Cadastro!$C$4:$G$7,5,FALSE())),"")</f>
        <v>0.6</v>
      </c>
      <c r="J518" s="91">
        <f t="shared" si="130"/>
        <v>0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0</v>
      </c>
      <c r="I519" s="90">
        <f>IFERROR(IF($D519="","",VLOOKUP($D519,Cadastro!$C$4:$G$7,5,FALSE())),"")</f>
        <v>0.6</v>
      </c>
      <c r="J519" s="91">
        <f t="shared" si="130"/>
        <v>0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0</v>
      </c>
      <c r="I520" s="90">
        <f>IFERROR(IF($D520="","",VLOOKUP($D520,Cadastro!$C$4:$G$7,5,FALSE())),"")</f>
        <v>0.6</v>
      </c>
      <c r="J520" s="91">
        <f t="shared" si="130"/>
        <v>0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0</v>
      </c>
      <c r="I521" s="90">
        <f>IFERROR(IF($D521="","",VLOOKUP($D521,Cadastro!$C$4:$G$7,5,FALSE())),"")</f>
        <v>0.6</v>
      </c>
      <c r="J521" s="91">
        <f t="shared" si="130"/>
        <v>0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0</v>
      </c>
      <c r="I522" s="90">
        <f>IFERROR(IF($D522="","",VLOOKUP($D522,Cadastro!$C$4:$G$7,5,FALSE())),"")</f>
        <v>0.6</v>
      </c>
      <c r="J522" s="91">
        <f t="shared" si="130"/>
        <v>0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0</v>
      </c>
      <c r="I523" s="90">
        <f>IFERROR(IF($D523="","",VLOOKUP($D523,Cadastro!$C$4:$G$7,5,FALSE())),"")</f>
        <v>0.6</v>
      </c>
      <c r="J523" s="91">
        <f t="shared" si="130"/>
        <v>0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156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696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/>
      <c r="T527" s="99">
        <f>IFERROR(J527,"")</f>
        <v>0</v>
      </c>
    </row>
    <row r="528" spans="1:20" ht="15" customHeight="1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156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696</v>
      </c>
      <c r="L541" s="76"/>
      <c r="M541" s="76"/>
      <c r="N541" s="76"/>
      <c r="O541" s="135"/>
      <c r="P541" s="135"/>
      <c r="Q541" s="77">
        <f ca="1">IFERROR(Q527+Q540,"")</f>
        <v>5.00000000000001E-2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2026-08-20T20:37:38Z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