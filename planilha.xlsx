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46" documentId="13_ncr:1_{A6DBCFB4-28D9-4249-9038-216934055CA6}" xr6:coauthVersionLast="47" xr6:coauthVersionMax="47" xr10:uidLastSave="{610E1DC5-28CC-4C22-93CA-174712F48DA6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<sst xmlns="http://schemas.openxmlformats.org/spreadsheetml/2006/main" count="10626" uniqueCount="434">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</sst>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19" activePane="bottomLeft" state="frozen"/>
      <selection pane="bottomLeft" activeCell="E647" sqref="E64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406</v>
      </c>
      <c r="G649" s="1">
        <f>G635+G648</f>
        <v>2030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G636" sqref="G63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0.67136527777620358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0.81025416666509131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0.89497638888731412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162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680.40000000000009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G636" sqref="G63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72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302.40000000000003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22" activePane="bottomLeft" state="frozen"/>
      <selection pane="bottomLeft" activeCell="G636" sqref="G636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/>
      <c r="H636" s="101" t="str">
        <f>IFERROR(IF($G636="","",$G636*$S$648/$G$648/Cadastro!$E$33),"")</f>
        <v/>
      </c>
      <c r="I636" s="102">
        <f>IFERROR(IF($D636="","",VLOOKUP($D636,Cadastro!$C$4:$G$7,5,FALSE())),"")</f>
        <v>0.6</v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241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1012.2</v>
      </c>
      <c r="L649" s="76"/>
      <c r="M649" s="76"/>
      <c r="N649" s="76"/>
      <c r="O649" s="135"/>
      <c r="P649" s="135"/>
      <c r="Q649" s="77">
        <f ca="1">IFERROR(Q635+Q648,"")</f>
        <v>6.944444444444442E-2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2026-08-24T23:02:06Z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