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92" documentId="13_ncr:1_{A6DBCFB4-28D9-4249-9038-216934055CA6}" xr6:coauthVersionLast="47" xr6:coauthVersionMax="47" xr10:uidLastSave="{2333ED51-A730-4F06-8D8A-9C0B52703E51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4" i="6" l="1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<sst xmlns="http://schemas.openxmlformats.org/spreadsheetml/2006/main" count="10063" uniqueCount="428">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</sst>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25386150</v>
      </c>
      <c r="E35" s="30">
        <f t="shared" si="2"/>
        <v>14583440</v>
      </c>
      <c r="F35" s="30">
        <f t="shared" si="2"/>
        <v>34414330</v>
      </c>
      <c r="G35" s="30">
        <f t="shared" si="2"/>
        <v>74383920</v>
      </c>
      <c r="H35" s="31">
        <f t="shared" si="2"/>
        <v>7206.0576326915125</v>
      </c>
      <c r="I35" s="31">
        <f t="shared" si="2"/>
        <v>4967.05</v>
      </c>
      <c r="J35" s="32">
        <f>I35/H35</f>
        <v>0.68928813134467992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8" activePane="bottomLeft" state="frozen"/>
      <selection pane="bottomLeft" activeCell="J596" sqref="J596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/>
      <c r="M596" s="66">
        <f t="shared" ref="M596:M607" ca="1" si="129">IFERROR(IF(K596="","",IF(L596="",MOD(NOW()-K596,1),IF(L596&gt;=K596,L596-K596,L596+1-K596))),"")</f>
        <v>0.15610856481362134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0.15610856481362134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0.15610856481362134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9" sqref="G599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0.32624745369685115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0.46513634258573888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0.54985856480796169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109.2</v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63</v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4"/>
        <v>0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46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193.2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46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193.2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P598" sqref="P598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0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1"/>
        <v>0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1"/>
        <v>0</v>
      </c>
      <c r="K598" s="64">
        <f t="shared" si="152"/>
        <v>12.600000000000001</v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14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58.800000000000004</v>
      </c>
      <c r="L608" s="72"/>
      <c r="M608" s="72"/>
      <c r="N608" s="72"/>
      <c r="O608" s="72"/>
      <c r="P608" s="72"/>
      <c r="Q608" s="73">
        <f ca="1">IFERROR(SUM(Q596:Q607),"")</f>
        <v>3.2638888888888884E-2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14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58.800000000000004</v>
      </c>
      <c r="L622" s="76"/>
      <c r="M622" s="76"/>
      <c r="N622" s="76"/>
      <c r="O622" s="76"/>
      <c r="P622" s="76"/>
      <c r="Q622" s="77">
        <f ca="1">IFERROR(Q608+Q621,"")</f>
        <v>3.2638888888888884E-2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93" activePane="bottomLeft" state="frozen"/>
      <selection pane="bottomLeft" activeCell="G599" sqref="G599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4"/>
        <v>0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33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138.6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33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138.6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2026-08-23T14:44:54Z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