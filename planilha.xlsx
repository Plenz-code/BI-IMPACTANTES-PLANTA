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680" documentId="13_ncr:1_{A6DBCFB4-28D9-4249-9038-216934055CA6}" xr6:coauthVersionLast="47" xr6:coauthVersionMax="47" xr10:uidLastSave="{EBE95208-98C0-4211-9AFD-E3144CA5C2B8}"/>
  <bookViews>
    <workbookView xWindow="-120" yWindow="-120" windowWidth="29040" windowHeight="15720" tabRatio="500" firstSheet="5" activeTab="5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H584" i="5" s="1"/>
  <c r="J584" i="5" s="1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H585" i="5"/>
  <c r="J585" i="5" s="1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F566" i="5"/>
  <c r="Q565" i="5"/>
  <c r="K565" i="5"/>
  <c r="I565" i="5"/>
  <c r="H565" i="5"/>
  <c r="F565" i="5"/>
  <c r="Q564" i="5"/>
  <c r="K564" i="5"/>
  <c r="I564" i="5"/>
  <c r="H564" i="5"/>
  <c r="F564" i="5"/>
  <c r="Q563" i="5"/>
  <c r="K563" i="5"/>
  <c r="I563" i="5"/>
  <c r="H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H559" i="5"/>
  <c r="F559" i="5"/>
  <c r="Q558" i="5"/>
  <c r="K558" i="5"/>
  <c r="I558" i="5"/>
  <c r="H558" i="5"/>
  <c r="F558" i="5"/>
  <c r="Q557" i="5"/>
  <c r="K557" i="5"/>
  <c r="I557" i="5"/>
  <c r="H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H585" i="4" s="1"/>
  <c r="J585" i="4" s="1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F586" i="4"/>
  <c r="Q585" i="4"/>
  <c r="K585" i="4"/>
  <c r="I585" i="4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84" i="6" l="1"/>
  <c r="J585" i="6"/>
  <c r="J586" i="6"/>
  <c r="J587" i="6"/>
  <c r="J588" i="6"/>
  <c r="J589" i="6"/>
  <c r="J590" i="6"/>
  <c r="J591" i="6"/>
  <c r="J592" i="6"/>
  <c r="J593" i="6"/>
  <c r="K594" i="6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73" i="5"/>
  <c r="J574" i="5"/>
  <c r="J575" i="5"/>
  <c r="J576" i="5"/>
  <c r="J577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28" i="4" s="1"/>
  <c r="Q635" i="5"/>
  <c r="Q257" i="5"/>
  <c r="Q176" i="5"/>
  <c r="M621" i="3"/>
  <c r="M81" i="3"/>
  <c r="Q622" i="6"/>
  <c r="M486" i="3"/>
  <c r="M716" i="3"/>
  <c r="Q716" i="4"/>
  <c r="Q608" i="4"/>
  <c r="Q176" i="6"/>
  <c r="Q702" i="4"/>
  <c r="Q703" i="4" s="1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649" i="4" s="1"/>
  <c r="Q594" i="6"/>
  <c r="Q595" i="6" s="1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649" i="6" s="1"/>
  <c r="Q729" i="5"/>
  <c r="Q486" i="5"/>
  <c r="Q459" i="5"/>
  <c r="Q27" i="5"/>
  <c r="M837" i="3"/>
  <c r="M838" i="3" s="1"/>
  <c r="M324" i="3"/>
  <c r="Q662" i="4"/>
  <c r="Q513" i="5"/>
  <c r="Q149" i="5"/>
  <c r="Q135" i="5"/>
  <c r="M770" i="3"/>
  <c r="Q270" i="4"/>
  <c r="Q446" i="4"/>
  <c r="Q743" i="6"/>
  <c r="Q270" i="6"/>
  <c r="M729" i="3"/>
  <c r="M513" i="3"/>
  <c r="M514" i="3" s="1"/>
  <c r="M95" i="3"/>
  <c r="Q554" i="4"/>
  <c r="M392" i="3"/>
  <c r="M122" i="3"/>
  <c r="Q351" i="4"/>
  <c r="Q189" i="4"/>
  <c r="Q190" i="4" s="1"/>
  <c r="M797" i="3"/>
  <c r="M594" i="3"/>
  <c r="Q621" i="5"/>
  <c r="Q270" i="5"/>
  <c r="Q216" i="5"/>
  <c r="Q68" i="5"/>
  <c r="M783" i="3"/>
  <c r="M338" i="3"/>
  <c r="M352" i="3" s="1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Q568" i="5" s="1"/>
  <c r="M675" i="3"/>
  <c r="M189" i="3"/>
  <c r="M190" i="3" s="1"/>
  <c r="Q783" i="4"/>
  <c r="Q54" i="6"/>
  <c r="Q55" i="6" s="1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217" i="6" s="1"/>
  <c r="Q95" i="6"/>
  <c r="Q810" i="5"/>
  <c r="Q756" i="5"/>
  <c r="Q743" i="5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Q109" i="6" l="1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<sst xmlns="http://schemas.openxmlformats.org/spreadsheetml/2006/main" count="10060" uniqueCount="428">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</sst>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E34" sqref="E34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60" t="s">
        <v>0</v>
      </c>
      <c r="B1" s="160"/>
      <c r="C1" s="160"/>
      <c r="D1" s="160"/>
      <c r="E1" s="160"/>
      <c r="F1" s="160"/>
      <c r="G1" s="160"/>
      <c r="H1" s="160"/>
      <c r="I1" s="160"/>
      <c r="J1" s="160"/>
      <c r="K1" s="160"/>
      <c r="L1" s="160"/>
    </row>
    <row r="2" spans="1:12" ht="30" customHeight="1">
      <c r="A2" s="161"/>
      <c r="B2" s="16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21"/>
      <c r="J24" s="22">
        <f t="shared" si="1"/>
        <v>0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21"/>
      <c r="J25" s="22">
        <f t="shared" si="1"/>
        <v>0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2" t="s">
        <v>16</v>
      </c>
      <c r="B35" s="162"/>
      <c r="C35" s="30">
        <f t="shared" ref="C35:I35" si="2">IFERROR(SUM(C4:C34),"")</f>
        <v>79841380</v>
      </c>
      <c r="D35" s="30">
        <f t="shared" si="2"/>
        <v>25386150</v>
      </c>
      <c r="E35" s="30">
        <f t="shared" si="2"/>
        <v>14583440</v>
      </c>
      <c r="F35" s="30">
        <f t="shared" si="2"/>
        <v>34414330</v>
      </c>
      <c r="G35" s="30">
        <f t="shared" si="2"/>
        <v>74383920</v>
      </c>
      <c r="H35" s="31">
        <f t="shared" si="2"/>
        <v>7206.0576326915125</v>
      </c>
      <c r="I35" s="31">
        <f t="shared" si="2"/>
        <v>4967.05</v>
      </c>
      <c r="J35" s="32">
        <f>I35/H35</f>
        <v>0.68928813134467992</v>
      </c>
      <c r="K35" s="33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" zoomScale="85" zoomScaleNormal="85" workbookViewId="0">
      <selection activeCell="I582" sqref="I582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3" t="s">
        <v>17</v>
      </c>
      <c r="B1" s="163"/>
      <c r="C1" s="163"/>
      <c r="D1" s="163"/>
      <c r="E1" s="163"/>
      <c r="F1" s="163"/>
      <c r="G1" s="163"/>
      <c r="H1" s="163"/>
      <c r="I1" s="163"/>
      <c r="J1" s="163"/>
      <c r="K1" s="163"/>
      <c r="L1" s="163"/>
      <c r="M1" s="164"/>
      <c r="N1" s="165" t="s">
        <v>18</v>
      </c>
      <c r="O1" s="165"/>
      <c r="P1" s="165"/>
      <c r="Q1" s="165"/>
      <c r="R1" s="165"/>
    </row>
    <row r="2" spans="1:18" ht="4.5" customHeight="1">
      <c r="M2" s="16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4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4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4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4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4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4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4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4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4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4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4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4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4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4"/>
      <c r="N21" s="40"/>
      <c r="O21" s="40" t="s">
        <v>134</v>
      </c>
      <c r="P21" s="40" t="s">
        <v>135</v>
      </c>
      <c r="Q21" s="40"/>
      <c r="R21" s="40" t="s">
        <v>136</v>
      </c>
    </row>
    <row r="22" spans="1:18" ht="15.75" customHeight="1">
      <c r="A22" s="37"/>
      <c r="C22" s="37"/>
      <c r="J22" s="37"/>
      <c r="L22" s="37" t="s">
        <v>137</v>
      </c>
      <c r="M22" s="164"/>
      <c r="N22" s="37"/>
      <c r="O22" s="37"/>
      <c r="P22" s="37" t="s">
        <v>138</v>
      </c>
      <c r="Q22" s="37"/>
      <c r="R22" s="37" t="s">
        <v>139</v>
      </c>
    </row>
    <row r="23" spans="1:18" ht="15.75" customHeight="1">
      <c r="A23" s="40"/>
      <c r="C23" s="40"/>
      <c r="J23" s="40"/>
      <c r="L23" s="40" t="s">
        <v>140</v>
      </c>
      <c r="M23" s="164"/>
      <c r="N23" s="40"/>
      <c r="O23" s="40"/>
      <c r="P23" s="40" t="s">
        <v>141</v>
      </c>
      <c r="Q23" s="40"/>
      <c r="R23" s="40" t="s">
        <v>142</v>
      </c>
    </row>
    <row r="24" spans="1:18" ht="15.75" customHeight="1">
      <c r="A24" s="37"/>
      <c r="C24" s="37"/>
      <c r="J24" s="37"/>
      <c r="L24" s="37" t="s">
        <v>143</v>
      </c>
      <c r="M24" s="164"/>
      <c r="N24" s="37"/>
      <c r="O24" s="37"/>
      <c r="P24" s="37" t="s">
        <v>144</v>
      </c>
      <c r="Q24" s="37"/>
      <c r="R24" s="37" t="s">
        <v>145</v>
      </c>
    </row>
    <row r="25" spans="1:18" ht="15.75" customHeight="1">
      <c r="A25" s="40"/>
      <c r="C25" s="40"/>
      <c r="J25" s="40"/>
      <c r="L25" s="40" t="s">
        <v>146</v>
      </c>
      <c r="M25" s="164"/>
      <c r="N25" s="40"/>
      <c r="O25" s="40"/>
      <c r="P25" s="40" t="s">
        <v>147</v>
      </c>
      <c r="Q25" s="40"/>
      <c r="R25" s="40" t="s">
        <v>148</v>
      </c>
    </row>
    <row r="26" spans="1:18" ht="15.75" customHeight="1">
      <c r="A26" s="37"/>
      <c r="C26" s="37"/>
      <c r="J26" s="37"/>
      <c r="L26" s="37" t="s">
        <v>149</v>
      </c>
      <c r="M26" s="164"/>
      <c r="N26" s="37"/>
      <c r="O26" s="37"/>
      <c r="P26" s="37" t="s">
        <v>150</v>
      </c>
      <c r="Q26" s="37"/>
      <c r="R26" s="37"/>
    </row>
    <row r="27" spans="1:18" ht="15.75" customHeight="1">
      <c r="A27" s="40"/>
      <c r="C27" s="40"/>
      <c r="J27" s="40"/>
      <c r="L27" s="40" t="s">
        <v>151</v>
      </c>
      <c r="M27" s="164"/>
      <c r="N27" s="40"/>
      <c r="O27" s="40"/>
      <c r="P27" s="40" t="s">
        <v>142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152</v>
      </c>
      <c r="M28" s="164"/>
      <c r="N28" s="37"/>
      <c r="O28" s="37"/>
      <c r="P28" s="37" t="s">
        <v>121</v>
      </c>
      <c r="Q28" s="37"/>
      <c r="R28" s="37" t="s">
        <v>153</v>
      </c>
    </row>
    <row r="29" spans="1:18" ht="15.75" customHeight="1">
      <c r="A29" s="40"/>
      <c r="C29" s="40"/>
      <c r="J29" s="40"/>
      <c r="L29" s="40" t="s">
        <v>154</v>
      </c>
      <c r="M29" s="164"/>
      <c r="N29" s="40"/>
      <c r="O29" s="40"/>
      <c r="P29" s="40" t="s">
        <v>155</v>
      </c>
      <c r="Q29" s="40"/>
      <c r="R29" s="40" t="s">
        <v>156</v>
      </c>
    </row>
    <row r="30" spans="1:18" ht="15.75" customHeight="1">
      <c r="A30" s="37"/>
      <c r="C30" s="37"/>
      <c r="J30" s="37"/>
      <c r="L30" s="37" t="s">
        <v>157</v>
      </c>
      <c r="M30" s="164"/>
      <c r="N30" s="37"/>
      <c r="O30" s="37"/>
      <c r="P30" s="37" t="s">
        <v>158</v>
      </c>
      <c r="Q30" s="37"/>
      <c r="R30" s="37" t="s">
        <v>159</v>
      </c>
    </row>
    <row r="31" spans="1:18" ht="15.75" customHeight="1">
      <c r="A31" s="40"/>
      <c r="C31" s="40"/>
      <c r="J31" s="40"/>
      <c r="L31" s="40" t="s">
        <v>160</v>
      </c>
      <c r="M31" s="164"/>
      <c r="N31" s="40"/>
      <c r="O31" s="40"/>
      <c r="P31" s="40" t="s">
        <v>161</v>
      </c>
      <c r="Q31" s="40"/>
      <c r="R31" s="40" t="s">
        <v>162</v>
      </c>
    </row>
    <row r="32" spans="1:18" ht="15.75" customHeight="1">
      <c r="A32" s="37"/>
      <c r="C32" s="37"/>
      <c r="J32" s="37"/>
      <c r="L32" s="37" t="s">
        <v>163</v>
      </c>
      <c r="M32" s="164"/>
      <c r="N32" s="37"/>
      <c r="O32" s="37"/>
      <c r="P32" s="37" t="s">
        <v>164</v>
      </c>
      <c r="Q32" s="37"/>
      <c r="R32" t="s">
        <v>165</v>
      </c>
    </row>
    <row r="33" spans="1:18" ht="15.75" customHeight="1">
      <c r="A33" s="40"/>
      <c r="C33" s="50" t="s">
        <v>166</v>
      </c>
      <c r="E33" s="51">
        <v>1000</v>
      </c>
      <c r="J33" s="40"/>
      <c r="L33" s="40" t="s">
        <v>167</v>
      </c>
      <c r="M33" s="164"/>
      <c r="N33" s="40"/>
      <c r="O33" s="40"/>
      <c r="P33" s="40" t="s">
        <v>168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169</v>
      </c>
      <c r="M34" s="164"/>
      <c r="N34" s="37"/>
      <c r="O34" s="37"/>
      <c r="P34" s="37" t="s">
        <v>88</v>
      </c>
      <c r="Q34" s="37"/>
      <c r="R34" s="37" t="s">
        <v>170</v>
      </c>
    </row>
    <row r="35" spans="1:18" ht="15.75" customHeight="1">
      <c r="A35" s="40"/>
      <c r="C35" s="40"/>
      <c r="J35" s="40"/>
      <c r="L35" s="40" t="s">
        <v>171</v>
      </c>
      <c r="M35" s="164"/>
      <c r="N35" s="40"/>
      <c r="O35" s="40"/>
      <c r="P35" s="40" t="s">
        <v>172</v>
      </c>
      <c r="Q35" s="40"/>
      <c r="R35" s="40" t="s">
        <v>173</v>
      </c>
    </row>
    <row r="36" spans="1:18" ht="15.75" customHeight="1">
      <c r="A36" s="37"/>
      <c r="C36" s="37"/>
      <c r="J36" s="37"/>
      <c r="L36" s="37" t="s">
        <v>174</v>
      </c>
      <c r="M36" s="164"/>
      <c r="N36" s="37"/>
      <c r="O36" s="37"/>
      <c r="P36" s="37" t="s">
        <v>175</v>
      </c>
      <c r="Q36" s="37"/>
      <c r="R36" s="37" t="s">
        <v>176</v>
      </c>
    </row>
    <row r="37" spans="1:18" ht="15.75" customHeight="1">
      <c r="A37" s="40"/>
      <c r="C37" s="40"/>
      <c r="J37" s="40"/>
      <c r="L37" s="40" t="s">
        <v>177</v>
      </c>
      <c r="M37" s="164"/>
      <c r="N37" s="40"/>
      <c r="O37" s="40"/>
      <c r="P37" s="40" t="s">
        <v>178</v>
      </c>
      <c r="Q37" s="40"/>
      <c r="R37" s="40" t="s">
        <v>179</v>
      </c>
    </row>
    <row r="38" spans="1:18" ht="15.75" customHeight="1">
      <c r="A38" s="37"/>
      <c r="C38" s="37"/>
      <c r="J38" s="37"/>
      <c r="L38" s="37" t="s">
        <v>180</v>
      </c>
      <c r="M38" s="164"/>
      <c r="N38" s="37"/>
      <c r="O38" s="37"/>
      <c r="P38" s="37" t="s">
        <v>181</v>
      </c>
      <c r="Q38" s="37"/>
      <c r="R38" s="37" t="s">
        <v>182</v>
      </c>
    </row>
    <row r="39" spans="1:18" ht="15.75" customHeight="1">
      <c r="A39" s="40"/>
      <c r="C39" s="40"/>
      <c r="J39" s="40"/>
      <c r="L39" s="40"/>
      <c r="M39" s="164"/>
      <c r="N39" s="40"/>
      <c r="O39" s="40"/>
      <c r="P39" s="40" t="s">
        <v>183</v>
      </c>
      <c r="Q39" s="40"/>
      <c r="R39" s="40" t="s">
        <v>184</v>
      </c>
    </row>
    <row r="40" spans="1:18" ht="15.75" customHeight="1">
      <c r="A40" s="37"/>
      <c r="C40" s="37"/>
      <c r="J40" s="37"/>
      <c r="L40" s="37"/>
      <c r="M40" s="164"/>
      <c r="N40" s="37"/>
      <c r="O40" s="37"/>
      <c r="P40" s="37" t="s">
        <v>185</v>
      </c>
      <c r="Q40" s="37"/>
      <c r="R40" s="37" t="s">
        <v>186</v>
      </c>
    </row>
    <row r="41" spans="1:18" ht="15.75" customHeight="1">
      <c r="A41" s="40"/>
      <c r="C41" s="40"/>
      <c r="J41" s="40"/>
      <c r="L41" s="40"/>
      <c r="M41" s="164"/>
      <c r="N41" s="40"/>
      <c r="O41" s="40"/>
      <c r="P41" s="40" t="s">
        <v>187</v>
      </c>
      <c r="Q41" s="40"/>
      <c r="R41" s="40" t="s">
        <v>188</v>
      </c>
    </row>
    <row r="42" spans="1:18" ht="15.75" customHeight="1">
      <c r="A42" s="37"/>
      <c r="C42" s="37"/>
      <c r="J42" s="37"/>
      <c r="L42" s="37"/>
      <c r="M42" s="164"/>
      <c r="N42" s="37"/>
      <c r="O42" s="37"/>
      <c r="P42" s="37" t="s">
        <v>189</v>
      </c>
      <c r="Q42" s="37"/>
      <c r="R42" s="37" t="s">
        <v>190</v>
      </c>
    </row>
    <row r="43" spans="1:18" ht="15.75" customHeight="1">
      <c r="A43" s="40"/>
      <c r="C43" s="40"/>
      <c r="J43" s="40"/>
      <c r="L43" s="40"/>
      <c r="M43" s="164"/>
      <c r="N43" s="40"/>
      <c r="O43" s="40"/>
      <c r="P43" s="40" t="s">
        <v>191</v>
      </c>
      <c r="Q43" s="40"/>
      <c r="R43" s="40" t="s">
        <v>192</v>
      </c>
    </row>
    <row r="44" spans="1:18" ht="15.75" customHeight="1">
      <c r="A44" s="37"/>
      <c r="C44" s="37"/>
      <c r="J44" s="37"/>
      <c r="L44" s="37"/>
      <c r="M44" s="164"/>
      <c r="N44" s="37"/>
      <c r="O44" s="37"/>
      <c r="P44" s="37" t="s">
        <v>193</v>
      </c>
      <c r="Q44" s="37"/>
      <c r="R44" s="37" t="s">
        <v>194</v>
      </c>
    </row>
    <row r="45" spans="1:18" ht="15.75" customHeight="1">
      <c r="A45" s="40"/>
      <c r="C45" s="40"/>
      <c r="J45" s="40"/>
      <c r="L45" s="40"/>
      <c r="M45" s="164"/>
      <c r="N45" s="40"/>
      <c r="O45" s="40"/>
      <c r="P45" s="40" t="s">
        <v>195</v>
      </c>
      <c r="Q45" s="40"/>
      <c r="R45" s="40" t="s">
        <v>196</v>
      </c>
    </row>
    <row r="46" spans="1:18" ht="15.75" customHeight="1">
      <c r="A46" s="37"/>
      <c r="C46" s="37"/>
      <c r="J46" s="37"/>
      <c r="L46" s="37"/>
      <c r="M46" s="164"/>
      <c r="N46" s="37"/>
      <c r="O46" s="37"/>
      <c r="P46" s="37" t="s">
        <v>197</v>
      </c>
      <c r="Q46" s="37"/>
      <c r="R46" s="37" t="s">
        <v>198</v>
      </c>
    </row>
    <row r="47" spans="1:18" ht="15.75" customHeight="1">
      <c r="A47" s="40"/>
      <c r="C47" s="40"/>
      <c r="J47" s="40"/>
      <c r="L47" s="40"/>
      <c r="M47" s="164"/>
      <c r="N47" s="40"/>
      <c r="O47" s="40"/>
      <c r="P47" s="40" t="s">
        <v>199</v>
      </c>
      <c r="Q47" s="40"/>
      <c r="R47" s="40" t="s">
        <v>200</v>
      </c>
    </row>
    <row r="48" spans="1:18" ht="15.75" customHeight="1">
      <c r="A48" s="37"/>
      <c r="C48" s="37"/>
      <c r="J48" s="37"/>
      <c r="L48" s="37"/>
      <c r="M48" s="164"/>
      <c r="N48" s="37"/>
      <c r="O48" s="37"/>
      <c r="P48" s="37" t="s">
        <v>201</v>
      </c>
      <c r="Q48" s="37"/>
      <c r="R48" s="37" t="s">
        <v>202</v>
      </c>
    </row>
    <row r="49" spans="1:18" ht="18" customHeight="1">
      <c r="M49" s="164"/>
      <c r="N49" s="40"/>
      <c r="O49" s="40"/>
      <c r="P49" s="40" t="s">
        <v>203</v>
      </c>
      <c r="Q49" s="40"/>
      <c r="R49" s="40" t="s">
        <v>204</v>
      </c>
    </row>
    <row r="50" spans="1:18" ht="21" customHeight="1">
      <c r="A50" s="52" t="s">
        <v>205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4"/>
      <c r="N50" s="37"/>
      <c r="O50" s="37"/>
      <c r="P50" s="37" t="s">
        <v>206</v>
      </c>
      <c r="Q50" s="37"/>
      <c r="R50" s="37" t="s">
        <v>207</v>
      </c>
    </row>
    <row r="51" spans="1:18" ht="24" customHeight="1">
      <c r="M51" s="164"/>
      <c r="N51" s="40"/>
      <c r="O51" s="40"/>
      <c r="P51" s="40" t="s">
        <v>208</v>
      </c>
      <c r="Q51" s="40"/>
      <c r="R51" s="40" t="s">
        <v>209</v>
      </c>
    </row>
    <row r="52" spans="1:18" ht="24" customHeight="1">
      <c r="M52" s="164"/>
      <c r="N52" s="37"/>
      <c r="O52" s="37"/>
      <c r="P52" s="37" t="s">
        <v>210</v>
      </c>
      <c r="Q52" s="37"/>
      <c r="R52" s="37" t="s">
        <v>211</v>
      </c>
    </row>
    <row r="53" spans="1:18" ht="36" customHeight="1">
      <c r="M53" s="164"/>
      <c r="N53" s="40"/>
      <c r="O53" s="40"/>
      <c r="P53" s="40" t="s">
        <v>212</v>
      </c>
      <c r="Q53" s="40"/>
      <c r="R53" s="40" t="s">
        <v>213</v>
      </c>
    </row>
    <row r="54" spans="1:18" ht="15" customHeight="1">
      <c r="M54" s="164"/>
      <c r="N54" s="37"/>
      <c r="O54" s="37"/>
      <c r="P54" s="37" t="s">
        <v>214</v>
      </c>
      <c r="Q54" s="37"/>
      <c r="R54" s="37" t="s">
        <v>215</v>
      </c>
    </row>
    <row r="55" spans="1:18" ht="15" customHeight="1">
      <c r="M55" s="164"/>
      <c r="N55" s="40"/>
      <c r="O55" s="40"/>
      <c r="P55" s="40" t="s">
        <v>216</v>
      </c>
      <c r="Q55" s="40"/>
      <c r="R55" s="40" t="s">
        <v>217</v>
      </c>
    </row>
    <row r="56" spans="1:18" ht="15" customHeight="1">
      <c r="M56" s="164"/>
      <c r="N56" s="37"/>
      <c r="O56" s="37"/>
      <c r="P56" s="37" t="s">
        <v>218</v>
      </c>
      <c r="Q56" s="37"/>
      <c r="R56" s="37" t="s">
        <v>219</v>
      </c>
    </row>
    <row r="57" spans="1:18" ht="15" customHeight="1">
      <c r="M57" s="164"/>
      <c r="N57" s="40"/>
      <c r="O57" s="40"/>
      <c r="P57" s="40" t="s">
        <v>59</v>
      </c>
      <c r="Q57" s="40"/>
      <c r="R57" s="40" t="s">
        <v>220</v>
      </c>
    </row>
    <row r="58" spans="1:18" ht="15" customHeight="1">
      <c r="M58" s="164"/>
      <c r="N58" s="37"/>
      <c r="O58" s="37"/>
      <c r="P58" s="37" t="s">
        <v>221</v>
      </c>
      <c r="Q58" s="37"/>
      <c r="R58" s="37" t="s">
        <v>222</v>
      </c>
    </row>
    <row r="59" spans="1:18" ht="15" customHeight="1">
      <c r="M59" s="164"/>
      <c r="N59" s="40"/>
      <c r="O59" s="40"/>
      <c r="P59" s="40" t="s">
        <v>223</v>
      </c>
      <c r="Q59" s="40"/>
      <c r="R59" s="40" t="s">
        <v>224</v>
      </c>
    </row>
    <row r="60" spans="1:18" ht="15" customHeight="1">
      <c r="M60" s="164"/>
      <c r="N60" s="37"/>
      <c r="O60" s="37"/>
      <c r="P60" s="53" t="s">
        <v>114</v>
      </c>
      <c r="Q60" s="37"/>
      <c r="R60" s="37"/>
    </row>
    <row r="61" spans="1:18" ht="15" customHeight="1">
      <c r="M61" s="164"/>
      <c r="N61" s="40"/>
      <c r="O61" s="40"/>
      <c r="P61" s="40" t="s">
        <v>225</v>
      </c>
      <c r="Q61" s="40"/>
      <c r="R61" s="40"/>
    </row>
    <row r="62" spans="1:18" ht="15" customHeight="1">
      <c r="M62" s="164"/>
      <c r="N62" s="37"/>
      <c r="O62" s="37"/>
      <c r="P62" s="37" t="s">
        <v>226</v>
      </c>
      <c r="Q62" s="37"/>
      <c r="R62" s="37"/>
    </row>
    <row r="63" spans="1:18" ht="15" customHeight="1">
      <c r="M63" s="164"/>
      <c r="N63" s="40"/>
      <c r="O63" s="40"/>
      <c r="P63" s="40" t="s">
        <v>227</v>
      </c>
      <c r="Q63" s="40"/>
      <c r="R63" s="40"/>
    </row>
    <row r="64" spans="1:18" ht="15" customHeight="1">
      <c r="M64" s="164"/>
      <c r="N64" s="37"/>
      <c r="O64" s="37"/>
      <c r="P64" s="37" t="s">
        <v>228</v>
      </c>
      <c r="Q64" s="37"/>
      <c r="R64" s="37"/>
    </row>
    <row r="65" spans="13:18" ht="15" customHeight="1">
      <c r="M65" s="164"/>
      <c r="N65" s="40"/>
      <c r="O65" s="40"/>
      <c r="P65" s="40" t="s">
        <v>229</v>
      </c>
      <c r="Q65" s="40"/>
      <c r="R65" s="40"/>
    </row>
    <row r="66" spans="13:18" ht="15" customHeight="1">
      <c r="M66" s="164"/>
      <c r="N66" s="37"/>
      <c r="O66" s="37"/>
      <c r="P66" s="37" t="s">
        <v>230</v>
      </c>
      <c r="Q66" s="37"/>
      <c r="R66" s="37"/>
    </row>
    <row r="67" spans="13:18" ht="15" customHeight="1">
      <c r="M67" s="164"/>
      <c r="N67" s="40"/>
      <c r="O67" s="40"/>
      <c r="P67" s="40" t="s">
        <v>231</v>
      </c>
      <c r="Q67" s="40"/>
      <c r="R67" s="40"/>
    </row>
    <row r="68" spans="13:18" ht="15" customHeight="1">
      <c r="M68" s="164"/>
      <c r="N68" s="37"/>
      <c r="O68" s="37"/>
      <c r="P68" s="37" t="s">
        <v>232</v>
      </c>
      <c r="Q68" s="37"/>
      <c r="R68" s="37"/>
    </row>
    <row r="69" spans="13:18" ht="15" customHeight="1">
      <c r="M69" s="164"/>
      <c r="N69" s="40"/>
      <c r="O69" s="40"/>
      <c r="P69" s="40" t="s">
        <v>233</v>
      </c>
      <c r="Q69" s="40"/>
      <c r="R69" s="40"/>
    </row>
    <row r="70" spans="13:18" ht="15" customHeight="1">
      <c r="M70" s="164"/>
      <c r="N70" s="37"/>
      <c r="O70" s="37"/>
      <c r="P70" s="37" t="s">
        <v>234</v>
      </c>
      <c r="Q70" s="37"/>
      <c r="R70" s="37"/>
    </row>
    <row r="71" spans="13:18" ht="15" customHeight="1">
      <c r="M71" s="164"/>
      <c r="N71" s="40"/>
      <c r="O71" s="40"/>
      <c r="P71" s="40" t="s">
        <v>235</v>
      </c>
      <c r="Q71" s="40"/>
      <c r="R71" s="40"/>
    </row>
    <row r="72" spans="13:18" ht="15" customHeight="1">
      <c r="M72" s="164"/>
      <c r="N72" s="37"/>
      <c r="O72" s="37"/>
      <c r="P72" s="37" t="s">
        <v>236</v>
      </c>
      <c r="Q72" s="37"/>
      <c r="R72" s="37"/>
    </row>
    <row r="73" spans="13:18" ht="15" customHeight="1">
      <c r="M73" s="164"/>
      <c r="N73" s="40"/>
      <c r="O73" s="40"/>
      <c r="P73" s="40" t="s">
        <v>237</v>
      </c>
      <c r="Q73" s="40"/>
      <c r="R73" s="40"/>
    </row>
    <row r="74" spans="13:18" ht="15" customHeight="1">
      <c r="M74" s="164"/>
      <c r="N74" s="37"/>
      <c r="O74" s="37"/>
      <c r="P74" s="37" t="s">
        <v>238</v>
      </c>
      <c r="Q74" s="37"/>
      <c r="R74" s="37"/>
    </row>
    <row r="75" spans="13:18" ht="15" customHeight="1">
      <c r="M75" s="164"/>
      <c r="N75" s="40"/>
      <c r="O75" s="40"/>
      <c r="P75" s="40" t="s">
        <v>239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240</v>
      </c>
      <c r="C1" s="138" t="s">
        <v>241</v>
      </c>
      <c r="D1" s="138" t="s">
        <v>19</v>
      </c>
      <c r="E1" s="138" t="s">
        <v>242</v>
      </c>
      <c r="F1" s="138" t="s">
        <v>243</v>
      </c>
      <c r="G1" s="138" t="s">
        <v>244</v>
      </c>
      <c r="H1" s="138" t="s">
        <v>245</v>
      </c>
      <c r="I1" s="138" t="s">
        <v>246</v>
      </c>
      <c r="J1" s="138" t="s">
        <v>247</v>
      </c>
      <c r="K1" s="138" t="s">
        <v>248</v>
      </c>
    </row>
    <row r="2" spans="1:11" ht="15.75" customHeight="1">
      <c r="A2" s="139">
        <v>46235</v>
      </c>
      <c r="B2" s="140" t="s">
        <v>249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250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6" t="s">
        <v>251</v>
      </c>
      <c r="B4" s="166"/>
      <c r="C4" s="166"/>
      <c r="D4" s="166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249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250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6" t="s">
        <v>251</v>
      </c>
      <c r="B7" s="166"/>
      <c r="C7" s="166"/>
      <c r="D7" s="166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249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250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6" t="s">
        <v>251</v>
      </c>
      <c r="B10" s="166"/>
      <c r="C10" s="166"/>
      <c r="D10" s="166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249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250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6" t="s">
        <v>251</v>
      </c>
      <c r="B13" s="166"/>
      <c r="C13" s="166"/>
      <c r="D13" s="166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249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250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6" t="s">
        <v>251</v>
      </c>
      <c r="B16" s="166"/>
      <c r="C16" s="166"/>
      <c r="D16" s="166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249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250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6" t="s">
        <v>251</v>
      </c>
      <c r="B19" s="166"/>
      <c r="C19" s="166"/>
      <c r="D19" s="166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249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250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6" t="s">
        <v>251</v>
      </c>
      <c r="B22" s="166"/>
      <c r="C22" s="166"/>
      <c r="D22" s="166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249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250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6" t="s">
        <v>251</v>
      </c>
      <c r="B25" s="166"/>
      <c r="C25" s="166"/>
      <c r="D25" s="166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249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250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6" t="s">
        <v>251</v>
      </c>
      <c r="B28" s="166"/>
      <c r="C28" s="166"/>
      <c r="D28" s="166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249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250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6" t="s">
        <v>251</v>
      </c>
      <c r="B31" s="166"/>
      <c r="C31" s="166"/>
      <c r="D31" s="166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249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250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6" t="s">
        <v>251</v>
      </c>
      <c r="B34" s="166"/>
      <c r="C34" s="166"/>
      <c r="D34" s="166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249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250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6" t="s">
        <v>251</v>
      </c>
      <c r="B37" s="166"/>
      <c r="C37" s="166"/>
      <c r="D37" s="166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249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250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6" t="s">
        <v>251</v>
      </c>
      <c r="B40" s="166"/>
      <c r="C40" s="166"/>
      <c r="D40" s="166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249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250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6" t="s">
        <v>251</v>
      </c>
      <c r="B43" s="166"/>
      <c r="C43" s="166"/>
      <c r="D43" s="166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249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250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6" t="s">
        <v>251</v>
      </c>
      <c r="B46" s="166"/>
      <c r="C46" s="166"/>
      <c r="D46" s="166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249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250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6" t="s">
        <v>251</v>
      </c>
      <c r="B49" s="166"/>
      <c r="C49" s="166"/>
      <c r="D49" s="166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249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250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6" t="s">
        <v>251</v>
      </c>
      <c r="B52" s="166"/>
      <c r="C52" s="166"/>
      <c r="D52" s="166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249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250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6" t="s">
        <v>251</v>
      </c>
      <c r="B55" s="166"/>
      <c r="C55" s="166"/>
      <c r="D55" s="166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249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250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6" t="s">
        <v>251</v>
      </c>
      <c r="B58" s="166"/>
      <c r="C58" s="166"/>
      <c r="D58" s="166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249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>
        <v>7</v>
      </c>
      <c r="H59" s="140">
        <v>3</v>
      </c>
      <c r="I59" s="143">
        <f>IFERROR(IF(G59="","",F59/G59),"")</f>
        <v>86.01428571428572</v>
      </c>
      <c r="J59" s="140"/>
      <c r="K59" s="140"/>
    </row>
    <row r="60" spans="1:11" ht="15.75" customHeight="1">
      <c r="A60" s="144">
        <v>46254</v>
      </c>
      <c r="B60" s="145" t="s">
        <v>250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>
        <v>8</v>
      </c>
      <c r="H60" s="145">
        <v>4</v>
      </c>
      <c r="I60" s="148">
        <f>IFERROR(IF(G60="","",F60/G60),"")</f>
        <v>116.10000000000001</v>
      </c>
      <c r="J60" s="145"/>
      <c r="K60" s="145"/>
    </row>
    <row r="61" spans="1:11" ht="18" customHeight="1">
      <c r="A61" s="166" t="s">
        <v>251</v>
      </c>
      <c r="B61" s="166"/>
      <c r="C61" s="166"/>
      <c r="D61" s="166"/>
      <c r="E61" s="149">
        <f>SUM(E59:E60)</f>
        <v>567</v>
      </c>
      <c r="F61" s="150">
        <f>IFERROR(SUM(F59:F60),"")</f>
        <v>1530.9</v>
      </c>
      <c r="G61" s="150">
        <f>SUM(G59:G60)</f>
        <v>15</v>
      </c>
      <c r="H61" s="150">
        <f>SUM(H59:H60)</f>
        <v>7</v>
      </c>
      <c r="I61" s="151">
        <f>IFERROR(IF(G61=0,"",F61/G61),"")</f>
        <v>102.06</v>
      </c>
      <c r="J61" s="152"/>
      <c r="K61" s="152"/>
    </row>
    <row r="62" spans="1:11" ht="15.75" customHeight="1">
      <c r="A62" s="139">
        <v>46255</v>
      </c>
      <c r="B62" s="140" t="s">
        <v>249</v>
      </c>
      <c r="C62" s="141">
        <v>0.79166666666666696</v>
      </c>
      <c r="D62" s="140"/>
      <c r="E62" s="140">
        <v>50</v>
      </c>
      <c r="F62" s="142">
        <f>IF(E62="","",E62*1.5*1.8)</f>
        <v>135</v>
      </c>
      <c r="G62" s="140">
        <v>1</v>
      </c>
      <c r="H62" s="140">
        <v>10</v>
      </c>
      <c r="I62" s="143">
        <f>IFERROR(IF(G62="","",F62/G62),"")</f>
        <v>135</v>
      </c>
      <c r="J62" s="140"/>
      <c r="K62" s="140"/>
    </row>
    <row r="63" spans="1:11" ht="15.75" customHeight="1">
      <c r="A63" s="144">
        <v>46255</v>
      </c>
      <c r="B63" s="145" t="s">
        <v>250</v>
      </c>
      <c r="C63" s="146">
        <v>0.29166666666666702</v>
      </c>
      <c r="D63" s="145"/>
      <c r="E63" s="145">
        <v>0</v>
      </c>
      <c r="F63" s="147">
        <f>IF(E63="","",E63*1.5*1.8)</f>
        <v>0</v>
      </c>
      <c r="G63" s="145">
        <v>0</v>
      </c>
      <c r="H63" s="145">
        <v>10</v>
      </c>
      <c r="I63" s="148" t="str">
        <f>IFERROR(IF(G63="","",F63/G63),"")</f>
        <v/>
      </c>
      <c r="J63" s="145"/>
      <c r="K63" s="145"/>
    </row>
    <row r="64" spans="1:11" ht="18" customHeight="1">
      <c r="A64" s="166" t="s">
        <v>251</v>
      </c>
      <c r="B64" s="166"/>
      <c r="C64" s="166"/>
      <c r="D64" s="166"/>
      <c r="E64" s="149">
        <f>SUM(E62:E63)</f>
        <v>50</v>
      </c>
      <c r="F64" s="150">
        <f>IFERROR(SUM(F62:F63),"")</f>
        <v>135</v>
      </c>
      <c r="G64" s="150">
        <f>SUM(G62:G63)</f>
        <v>1</v>
      </c>
      <c r="H64" s="150">
        <f>SUM(H62:H63)</f>
        <v>20</v>
      </c>
      <c r="I64" s="151">
        <f>IFERROR(IF(G64=0,"",F64/G64),"")</f>
        <v>135</v>
      </c>
      <c r="J64" s="152"/>
      <c r="K64" s="152"/>
    </row>
    <row r="65" spans="1:11" ht="15.75" customHeight="1">
      <c r="A65" s="139">
        <v>46256</v>
      </c>
      <c r="B65" s="140" t="s">
        <v>249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250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6" t="s">
        <v>251</v>
      </c>
      <c r="B67" s="166"/>
      <c r="C67" s="166"/>
      <c r="D67" s="166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249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250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6" t="s">
        <v>251</v>
      </c>
      <c r="B70" s="166"/>
      <c r="C70" s="166"/>
      <c r="D70" s="166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249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250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6" t="s">
        <v>251</v>
      </c>
      <c r="B73" s="166"/>
      <c r="C73" s="166"/>
      <c r="D73" s="166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249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250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6" t="s">
        <v>251</v>
      </c>
      <c r="B76" s="166"/>
      <c r="C76" s="166"/>
      <c r="D76" s="166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249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250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6" t="s">
        <v>251</v>
      </c>
      <c r="B79" s="166"/>
      <c r="C79" s="166"/>
      <c r="D79" s="166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249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250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6" t="s">
        <v>251</v>
      </c>
      <c r="B82" s="166"/>
      <c r="C82" s="166"/>
      <c r="D82" s="166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249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250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6" t="s">
        <v>251</v>
      </c>
      <c r="B85" s="166"/>
      <c r="C85" s="166"/>
      <c r="D85" s="166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249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250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6" t="s">
        <v>251</v>
      </c>
      <c r="B88" s="166"/>
      <c r="C88" s="166"/>
      <c r="D88" s="166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249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250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6" t="s">
        <v>251</v>
      </c>
      <c r="B91" s="166"/>
      <c r="C91" s="166"/>
      <c r="D91" s="166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249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250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6" t="s">
        <v>251</v>
      </c>
      <c r="B94" s="166"/>
      <c r="C94" s="166"/>
      <c r="D94" s="166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578" activePane="bottomLeft" state="frozen"/>
      <selection pane="bottomLeft" activeCell="J596" sqref="J596"/>
    </sheetView>
  </sheetViews>
  <sheetFormatPr defaultColWidth="8.5703125" defaultRowHeight="1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252</v>
      </c>
      <c r="C1" s="57" t="s">
        <v>19</v>
      </c>
      <c r="D1" s="56" t="s">
        <v>20</v>
      </c>
      <c r="E1" s="56" t="s">
        <v>253</v>
      </c>
      <c r="F1" s="57" t="s">
        <v>254</v>
      </c>
      <c r="G1" s="57" t="s">
        <v>255</v>
      </c>
      <c r="H1" s="57" t="s">
        <v>23</v>
      </c>
      <c r="I1" s="57" t="s">
        <v>24</v>
      </c>
      <c r="J1" s="57" t="s">
        <v>256</v>
      </c>
      <c r="K1" s="57" t="s">
        <v>257</v>
      </c>
      <c r="L1" s="57" t="s">
        <v>258</v>
      </c>
      <c r="M1" s="58" t="s">
        <v>259</v>
      </c>
      <c r="N1" s="57" t="s">
        <v>248</v>
      </c>
      <c r="O1" s="57" t="s">
        <v>260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261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261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261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261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261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261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261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261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261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261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261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261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7" t="s">
        <v>262</v>
      </c>
      <c r="B14" s="167"/>
      <c r="C14" s="167"/>
      <c r="D14" s="167"/>
      <c r="E14" s="167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263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261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142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261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261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264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261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261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261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261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261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261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261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261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261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7" t="s">
        <v>265</v>
      </c>
      <c r="B27" s="167"/>
      <c r="C27" s="167"/>
      <c r="D27" s="167"/>
      <c r="E27" s="167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263</v>
      </c>
      <c r="O27" s="74">
        <v>997910</v>
      </c>
    </row>
    <row r="28" spans="1:15" ht="18" customHeight="1">
      <c r="A28" s="168" t="s">
        <v>251</v>
      </c>
      <c r="B28" s="168"/>
      <c r="C28" s="168"/>
      <c r="D28" s="168"/>
      <c r="E28" s="168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266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261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168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261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141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267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261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264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261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261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261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261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261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261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261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261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261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7" t="s">
        <v>262</v>
      </c>
      <c r="B41" s="167"/>
      <c r="C41" s="167"/>
      <c r="D41" s="167"/>
      <c r="E41" s="167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263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261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268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261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261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261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261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261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261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261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261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261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261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7" t="s">
        <v>265</v>
      </c>
      <c r="B54" s="167"/>
      <c r="C54" s="167"/>
      <c r="D54" s="167"/>
      <c r="E54" s="167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263</v>
      </c>
      <c r="O54" s="74">
        <v>981310</v>
      </c>
    </row>
    <row r="55" spans="1:15" ht="18" customHeight="1">
      <c r="A55" s="168" t="s">
        <v>251</v>
      </c>
      <c r="B55" s="168"/>
      <c r="C55" s="168"/>
      <c r="D55" s="168"/>
      <c r="E55" s="168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266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261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168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261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145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261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261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261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261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261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261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261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261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261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261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7" t="s">
        <v>262</v>
      </c>
      <c r="B68" s="167"/>
      <c r="C68" s="167"/>
      <c r="D68" s="167"/>
      <c r="E68" s="167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263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261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261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269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261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261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261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261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261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261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261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261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261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261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7" t="s">
        <v>265</v>
      </c>
      <c r="B81" s="167"/>
      <c r="C81" s="167"/>
      <c r="D81" s="167"/>
      <c r="E81" s="167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263</v>
      </c>
      <c r="O81" s="74">
        <v>1547910</v>
      </c>
    </row>
    <row r="82" spans="1:15" ht="18" customHeight="1">
      <c r="A82" s="168" t="s">
        <v>251</v>
      </c>
      <c r="B82" s="168"/>
      <c r="C82" s="168"/>
      <c r="D82" s="168"/>
      <c r="E82" s="168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266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261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261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145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261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156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270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261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261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261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261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261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261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261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261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261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7" t="s">
        <v>262</v>
      </c>
      <c r="B95" s="167"/>
      <c r="C95" s="167"/>
      <c r="D95" s="167"/>
      <c r="E95" s="167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263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261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261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261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261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261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261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271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261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261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261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261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261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261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7" t="s">
        <v>265</v>
      </c>
      <c r="B108" s="167"/>
      <c r="C108" s="167"/>
      <c r="D108" s="167"/>
      <c r="E108" s="167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263</v>
      </c>
      <c r="O108" s="74">
        <v>3156240</v>
      </c>
    </row>
    <row r="109" spans="1:15" ht="18" customHeight="1">
      <c r="A109" s="168" t="s">
        <v>251</v>
      </c>
      <c r="B109" s="168"/>
      <c r="C109" s="168"/>
      <c r="D109" s="168"/>
      <c r="E109" s="168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266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261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261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261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261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261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261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261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261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261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261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261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261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7" t="s">
        <v>262</v>
      </c>
      <c r="B122" s="167"/>
      <c r="C122" s="167"/>
      <c r="D122" s="167"/>
      <c r="E122" s="167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263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261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261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261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261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261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261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261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261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261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261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261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261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7" t="s">
        <v>265</v>
      </c>
      <c r="B135" s="167"/>
      <c r="C135" s="167"/>
      <c r="D135" s="167"/>
      <c r="E135" s="167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263</v>
      </c>
      <c r="O135" s="74">
        <v>2875180</v>
      </c>
    </row>
    <row r="136" spans="1:15" ht="18" customHeight="1">
      <c r="A136" s="168" t="s">
        <v>251</v>
      </c>
      <c r="B136" s="168"/>
      <c r="C136" s="168"/>
      <c r="D136" s="168"/>
      <c r="E136" s="168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266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261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272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261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261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261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261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261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261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261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261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261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261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261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7" t="s">
        <v>262</v>
      </c>
      <c r="B149" s="167"/>
      <c r="C149" s="167"/>
      <c r="D149" s="167"/>
      <c r="E149" s="167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263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261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145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261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273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261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145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261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261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156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261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261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261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261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261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261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261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7" t="s">
        <v>265</v>
      </c>
      <c r="B162" s="167"/>
      <c r="C162" s="167"/>
      <c r="D162" s="167"/>
      <c r="E162" s="167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263</v>
      </c>
      <c r="O162" s="79">
        <v>842000</v>
      </c>
    </row>
    <row r="163" spans="1:15" ht="18" customHeight="1">
      <c r="A163" s="168" t="s">
        <v>251</v>
      </c>
      <c r="B163" s="168"/>
      <c r="C163" s="168"/>
      <c r="D163" s="168"/>
      <c r="E163" s="168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266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261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238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274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261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261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261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261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261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261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261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261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261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261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261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7" t="s">
        <v>262</v>
      </c>
      <c r="B176" s="167"/>
      <c r="C176" s="167"/>
      <c r="D176" s="167"/>
      <c r="E176" s="167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263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261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275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261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261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261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261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261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261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261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276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261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261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261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7" t="s">
        <v>265</v>
      </c>
      <c r="B189" s="167"/>
      <c r="C189" s="167"/>
      <c r="D189" s="167"/>
      <c r="E189" s="167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263</v>
      </c>
      <c r="O189" s="74">
        <v>1901630</v>
      </c>
    </row>
    <row r="190" spans="1:15" ht="18" customHeight="1">
      <c r="A190" s="168" t="s">
        <v>251</v>
      </c>
      <c r="B190" s="168"/>
      <c r="C190" s="168"/>
      <c r="D190" s="168"/>
      <c r="E190" s="168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266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261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261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261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277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261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261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261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261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261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261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261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261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261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7" t="s">
        <v>262</v>
      </c>
      <c r="B203" s="167"/>
      <c r="C203" s="167"/>
      <c r="D203" s="167"/>
      <c r="E203" s="167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263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261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261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261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261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261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261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261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261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261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261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261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261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7" t="s">
        <v>265</v>
      </c>
      <c r="B216" s="167"/>
      <c r="C216" s="167"/>
      <c r="D216" s="167"/>
      <c r="E216" s="167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263</v>
      </c>
      <c r="O216" s="74">
        <v>1852295</v>
      </c>
    </row>
    <row r="217" spans="1:15" ht="18" customHeight="1">
      <c r="A217" s="168" t="s">
        <v>251</v>
      </c>
      <c r="B217" s="168"/>
      <c r="C217" s="168"/>
      <c r="D217" s="168"/>
      <c r="E217" s="168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266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261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178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261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261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215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278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261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261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261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261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261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261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261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261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261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7" t="s">
        <v>262</v>
      </c>
      <c r="B230" s="167"/>
      <c r="C230" s="167"/>
      <c r="D230" s="167"/>
      <c r="E230" s="167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263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261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215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261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156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261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156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279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279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279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279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279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279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279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279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279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7" t="s">
        <v>265</v>
      </c>
      <c r="B243" s="167"/>
      <c r="C243" s="167"/>
      <c r="D243" s="167"/>
      <c r="E243" s="167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263</v>
      </c>
      <c r="O243" s="74">
        <v>991010</v>
      </c>
    </row>
    <row r="244" spans="1:15" ht="18" customHeight="1">
      <c r="A244" s="168" t="s">
        <v>251</v>
      </c>
      <c r="B244" s="168"/>
      <c r="C244" s="168"/>
      <c r="D244" s="168"/>
      <c r="E244" s="168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266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261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220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261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261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261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261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280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261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261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261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261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261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261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261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7" t="s">
        <v>262</v>
      </c>
      <c r="B257" s="167"/>
      <c r="C257" s="167"/>
      <c r="D257" s="167"/>
      <c r="E257" s="167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263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281</v>
      </c>
      <c r="E258" s="75" t="s">
        <v>261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281</v>
      </c>
      <c r="E259" s="75" t="s">
        <v>261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145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281</v>
      </c>
      <c r="E260" s="75" t="s">
        <v>261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281</v>
      </c>
      <c r="E261" s="75" t="s">
        <v>261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281</v>
      </c>
      <c r="E262" s="75" t="s">
        <v>261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281</v>
      </c>
      <c r="E263" s="75" t="s">
        <v>261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281</v>
      </c>
      <c r="E264" s="75" t="s">
        <v>261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281</v>
      </c>
      <c r="E265" s="75" t="s">
        <v>261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281</v>
      </c>
      <c r="E266" s="75" t="s">
        <v>261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281</v>
      </c>
      <c r="E267" s="75" t="s">
        <v>261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281</v>
      </c>
      <c r="E268" s="75" t="s">
        <v>261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281</v>
      </c>
      <c r="E269" s="75" t="s">
        <v>261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7" t="s">
        <v>265</v>
      </c>
      <c r="B270" s="167"/>
      <c r="C270" s="167"/>
      <c r="D270" s="167"/>
      <c r="E270" s="167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263</v>
      </c>
      <c r="O270" s="74">
        <v>1544700</v>
      </c>
    </row>
    <row r="271" spans="1:15" ht="18" customHeight="1">
      <c r="A271" s="168" t="s">
        <v>251</v>
      </c>
      <c r="B271" s="168"/>
      <c r="C271" s="168"/>
      <c r="D271" s="168"/>
      <c r="E271" s="168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266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281</v>
      </c>
      <c r="E272" s="62" t="s">
        <v>261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178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281</v>
      </c>
      <c r="E273" s="62" t="s">
        <v>261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145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281</v>
      </c>
      <c r="E274" s="62" t="s">
        <v>261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281</v>
      </c>
      <c r="E275" s="62" t="s">
        <v>261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220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281</v>
      </c>
      <c r="E276" s="62" t="s">
        <v>261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281</v>
      </c>
      <c r="E277" s="62" t="s">
        <v>261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282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281</v>
      </c>
      <c r="E278" s="62" t="s">
        <v>261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281</v>
      </c>
      <c r="E279" s="62" t="s">
        <v>261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281</v>
      </c>
      <c r="E280" s="62" t="s">
        <v>261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281</v>
      </c>
      <c r="E281" s="62" t="s">
        <v>261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281</v>
      </c>
      <c r="E282" s="62" t="s">
        <v>261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281</v>
      </c>
      <c r="E283" s="62" t="s">
        <v>261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7" t="s">
        <v>262</v>
      </c>
      <c r="B284" s="167"/>
      <c r="C284" s="167"/>
      <c r="D284" s="167"/>
      <c r="E284" s="167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263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281</v>
      </c>
      <c r="E285" s="75" t="s">
        <v>276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281</v>
      </c>
      <c r="E286" s="75" t="s">
        <v>276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281</v>
      </c>
      <c r="E287" s="75" t="s">
        <v>276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281</v>
      </c>
      <c r="E288" s="75" t="s">
        <v>276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281</v>
      </c>
      <c r="E289" s="75" t="s">
        <v>276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281</v>
      </c>
      <c r="E290" s="75" t="s">
        <v>276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281</v>
      </c>
      <c r="E291" s="75" t="s">
        <v>276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281</v>
      </c>
      <c r="E292" s="75" t="s">
        <v>276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281</v>
      </c>
      <c r="E293" s="75" t="s">
        <v>276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281</v>
      </c>
      <c r="E294" s="75" t="s">
        <v>276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281</v>
      </c>
      <c r="E295" s="75" t="s">
        <v>276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281</v>
      </c>
      <c r="E296" s="75" t="s">
        <v>276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7" t="s">
        <v>265</v>
      </c>
      <c r="B297" s="167"/>
      <c r="C297" s="167"/>
      <c r="D297" s="167"/>
      <c r="E297" s="167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263</v>
      </c>
      <c r="O297" s="74">
        <v>1715230</v>
      </c>
    </row>
    <row r="298" spans="1:15" ht="18" customHeight="1">
      <c r="A298" s="168" t="s">
        <v>251</v>
      </c>
      <c r="B298" s="168"/>
      <c r="C298" s="168"/>
      <c r="D298" s="168"/>
      <c r="E298" s="168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266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261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238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261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145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261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261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283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261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261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261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261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261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261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261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261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7" t="s">
        <v>262</v>
      </c>
      <c r="B311" s="167"/>
      <c r="C311" s="167"/>
      <c r="D311" s="167"/>
      <c r="E311" s="167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263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261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261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261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261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261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261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261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261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261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261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261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261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7" t="s">
        <v>265</v>
      </c>
      <c r="B324" s="167"/>
      <c r="C324" s="167"/>
      <c r="D324" s="167"/>
      <c r="E324" s="167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263</v>
      </c>
      <c r="O324" s="74">
        <v>2216340</v>
      </c>
    </row>
    <row r="325" spans="1:15" ht="18" customHeight="1">
      <c r="A325" s="168" t="s">
        <v>251</v>
      </c>
      <c r="B325" s="168"/>
      <c r="C325" s="168"/>
      <c r="D325" s="168"/>
      <c r="E325" s="168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266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145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215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284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261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261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261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285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261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261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261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261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7" t="s">
        <v>262</v>
      </c>
      <c r="B338" s="167"/>
      <c r="C338" s="167"/>
      <c r="D338" s="167"/>
      <c r="E338" s="167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263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261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261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261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261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261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261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261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261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261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261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261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261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7" t="s">
        <v>265</v>
      </c>
      <c r="B351" s="167"/>
      <c r="C351" s="167"/>
      <c r="D351" s="167"/>
      <c r="E351" s="167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263</v>
      </c>
      <c r="O351" s="74">
        <v>2154990</v>
      </c>
    </row>
    <row r="352" spans="1:15" ht="18" customHeight="1">
      <c r="A352" s="168" t="s">
        <v>251</v>
      </c>
      <c r="B352" s="168"/>
      <c r="C352" s="168"/>
      <c r="D352" s="168"/>
      <c r="E352" s="168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266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261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261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145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261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261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261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261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276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261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261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261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261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261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7" t="s">
        <v>262</v>
      </c>
      <c r="B365" s="167"/>
      <c r="C365" s="167"/>
      <c r="D365" s="167"/>
      <c r="E365" s="167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263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261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261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261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261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261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261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261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261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261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261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261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261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7" t="s">
        <v>265</v>
      </c>
      <c r="B378" s="167"/>
      <c r="C378" s="167"/>
      <c r="D378" s="167"/>
      <c r="E378" s="167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263</v>
      </c>
      <c r="O378" s="74">
        <v>2614830</v>
      </c>
    </row>
    <row r="379" spans="1:15" ht="18" customHeight="1">
      <c r="A379" s="168" t="s">
        <v>251</v>
      </c>
      <c r="B379" s="168"/>
      <c r="C379" s="168"/>
      <c r="D379" s="168"/>
      <c r="E379" s="168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266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261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261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261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261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261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261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261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261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261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261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261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261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7" t="s">
        <v>262</v>
      </c>
      <c r="B392" s="167"/>
      <c r="C392" s="167"/>
      <c r="D392" s="167"/>
      <c r="E392" s="167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263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261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168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286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261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261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261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261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261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261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261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261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261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261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261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7" t="s">
        <v>265</v>
      </c>
      <c r="B405" s="167"/>
      <c r="C405" s="167"/>
      <c r="D405" s="167"/>
      <c r="E405" s="167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263</v>
      </c>
      <c r="O405" s="74">
        <v>2612000</v>
      </c>
    </row>
    <row r="406" spans="1:15" ht="18" customHeight="1">
      <c r="A406" s="168" t="s">
        <v>251</v>
      </c>
      <c r="B406" s="168"/>
      <c r="C406" s="168"/>
      <c r="D406" s="168"/>
      <c r="E406" s="168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266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261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261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261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261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261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261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261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261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261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261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261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261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7" t="s">
        <v>262</v>
      </c>
      <c r="B419" s="167"/>
      <c r="C419" s="167"/>
      <c r="D419" s="167"/>
      <c r="E419" s="167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263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261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232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261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145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287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261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145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287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261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261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261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261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261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261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261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261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261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7" t="s">
        <v>265</v>
      </c>
      <c r="B432" s="167"/>
      <c r="C432" s="167"/>
      <c r="D432" s="167"/>
      <c r="E432" s="167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263</v>
      </c>
      <c r="O432" s="74">
        <v>2266710</v>
      </c>
    </row>
    <row r="433" spans="1:15" ht="18" customHeight="1">
      <c r="A433" s="168" t="s">
        <v>251</v>
      </c>
      <c r="B433" s="168"/>
      <c r="C433" s="168"/>
      <c r="D433" s="168"/>
      <c r="E433" s="168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266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261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168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261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261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261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261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261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261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261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261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261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261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261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7" t="s">
        <v>262</v>
      </c>
      <c r="B446" s="167"/>
      <c r="C446" s="167"/>
      <c r="D446" s="167"/>
      <c r="E446" s="167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263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261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145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288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261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289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261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261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261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261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290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261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291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261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292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261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261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261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261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7" t="s">
        <v>265</v>
      </c>
      <c r="B459" s="167"/>
      <c r="C459" s="167"/>
      <c r="D459" s="167"/>
      <c r="E459" s="167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263</v>
      </c>
      <c r="O459" s="74">
        <v>2361680</v>
      </c>
    </row>
    <row r="460" spans="1:15" ht="18" customHeight="1">
      <c r="A460" s="168" t="s">
        <v>251</v>
      </c>
      <c r="B460" s="168"/>
      <c r="C460" s="168"/>
      <c r="D460" s="168"/>
      <c r="E460" s="168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266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261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293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261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261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261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261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261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261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261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261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261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261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261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7" t="s">
        <v>262</v>
      </c>
      <c r="B473" s="167"/>
      <c r="C473" s="167"/>
      <c r="D473" s="167"/>
      <c r="E473" s="167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263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261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261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261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145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294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261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261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261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261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261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261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261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261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261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7" t="s">
        <v>265</v>
      </c>
      <c r="B486" s="167"/>
      <c r="C486" s="167"/>
      <c r="D486" s="167"/>
      <c r="E486" s="167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263</v>
      </c>
      <c r="O486" s="74">
        <v>1798670</v>
      </c>
    </row>
    <row r="487" spans="1:15" ht="18" customHeight="1">
      <c r="A487" s="168" t="s">
        <v>251</v>
      </c>
      <c r="B487" s="168"/>
      <c r="C487" s="168"/>
      <c r="D487" s="168"/>
      <c r="E487" s="168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266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261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141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261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295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261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261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261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261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261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261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261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261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261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261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7" t="s">
        <v>262</v>
      </c>
      <c r="B500" s="167"/>
      <c r="C500" s="167"/>
      <c r="D500" s="167"/>
      <c r="E500" s="167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263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261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261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168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296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261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261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261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261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261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261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261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261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261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276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7" t="s">
        <v>265</v>
      </c>
      <c r="B513" s="167"/>
      <c r="C513" s="167"/>
      <c r="D513" s="167"/>
      <c r="E513" s="167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263</v>
      </c>
      <c r="O513" s="74">
        <v>2435830</v>
      </c>
    </row>
    <row r="514" spans="1:15" ht="18" customHeight="1">
      <c r="A514" s="168" t="s">
        <v>251</v>
      </c>
      <c r="B514" s="168"/>
      <c r="C514" s="168"/>
      <c r="D514" s="168"/>
      <c r="E514" s="168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266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261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261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261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261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261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276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276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276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276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276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276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276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7" t="s">
        <v>262</v>
      </c>
      <c r="B527" s="167"/>
      <c r="C527" s="167"/>
      <c r="D527" s="167"/>
      <c r="E527" s="167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263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261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297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261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261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178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261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261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261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261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261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261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261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261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261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7" t="s">
        <v>265</v>
      </c>
      <c r="B540" s="167"/>
      <c r="C540" s="167"/>
      <c r="D540" s="167"/>
      <c r="E540" s="167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263</v>
      </c>
      <c r="O540" s="74">
        <v>667100</v>
      </c>
    </row>
    <row r="541" spans="1:15" ht="18" customHeight="1">
      <c r="A541" s="168" t="s">
        <v>251</v>
      </c>
      <c r="B541" s="168"/>
      <c r="C541" s="168"/>
      <c r="D541" s="168"/>
      <c r="E541" s="168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266</v>
      </c>
      <c r="O541" s="82">
        <f>IFERROR(O527+O540,"")</f>
        <v>2240300</v>
      </c>
    </row>
    <row r="542" spans="1:15" ht="15" customHeight="1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>
        <v>0.79166666666666663</v>
      </c>
      <c r="M542" s="66">
        <f t="shared" ref="M542:M553" ca="1" si="117">IFERROR(IF(K542="","",IF(L542="",MOD(NOW()-K542,1),IF(L542&gt;=K542,L542-K542,L542+1-K542))),"")</f>
        <v>0.49999999999999994</v>
      </c>
      <c r="N542" s="80" t="s">
        <v>298</v>
      </c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7" t="s">
        <v>262</v>
      </c>
      <c r="B554" s="167"/>
      <c r="C554" s="167"/>
      <c r="D554" s="167"/>
      <c r="E554" s="167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0.49999999999999994</v>
      </c>
      <c r="N554" s="2" t="s">
        <v>263</v>
      </c>
      <c r="O554" s="74">
        <v>0</v>
      </c>
    </row>
    <row r="555" spans="1:15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75" t="s">
        <v>261</v>
      </c>
      <c r="F555" s="63">
        <v>0</v>
      </c>
      <c r="G555" s="69">
        <f t="shared" ref="G555:G566" si="119">IF(F555="","",IF(E555="PC 17",F555*4.2,IF(E555="PC 19",F555*5,IF(E555="CB",F555*35,""))))</f>
        <v>0</v>
      </c>
      <c r="H555" s="70" t="s">
        <v>28</v>
      </c>
      <c r="I555" s="70" t="s">
        <v>32</v>
      </c>
      <c r="J555" s="70" t="s">
        <v>76</v>
      </c>
      <c r="K555" s="65">
        <v>0.79166666666666663</v>
      </c>
      <c r="L555" s="65">
        <v>0.91249999999999998</v>
      </c>
      <c r="M555" s="71">
        <f t="shared" ref="M555:M566" ca="1" si="120">IFERROR(IF(K555="","",IF(L555="",MOD(NOW()-K555,1),IF(L555&gt;=K555,L555-K555,L555+1-K555))),"")</f>
        <v>0.12083333333333335</v>
      </c>
      <c r="N555" s="156" t="s">
        <v>298</v>
      </c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 t="s">
        <v>38</v>
      </c>
      <c r="D556" s="75" t="s">
        <v>39</v>
      </c>
      <c r="E556" s="75" t="s">
        <v>261</v>
      </c>
      <c r="F556" s="63">
        <v>0</v>
      </c>
      <c r="G556" s="64">
        <f t="shared" si="119"/>
        <v>0</v>
      </c>
      <c r="H556" s="61" t="s">
        <v>27</v>
      </c>
      <c r="I556" s="61" t="s">
        <v>32</v>
      </c>
      <c r="J556" s="61" t="s">
        <v>168</v>
      </c>
      <c r="K556" s="65">
        <v>0.94513888888888886</v>
      </c>
      <c r="L556" s="65">
        <v>0.98472222222222228</v>
      </c>
      <c r="M556" s="66">
        <f t="shared" ca="1" si="120"/>
        <v>3.9583333333333415E-2</v>
      </c>
      <c r="N556" s="80" t="s">
        <v>264</v>
      </c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 t="s">
        <v>38</v>
      </c>
      <c r="D557" s="75" t="s">
        <v>39</v>
      </c>
      <c r="E557" s="75" t="s">
        <v>261</v>
      </c>
      <c r="F557" s="63">
        <v>16</v>
      </c>
      <c r="G557" s="69">
        <f t="shared" si="119"/>
        <v>80</v>
      </c>
      <c r="H557" s="70" t="s">
        <v>28</v>
      </c>
      <c r="I557" s="70" t="s">
        <v>32</v>
      </c>
      <c r="J557" s="70" t="s">
        <v>52</v>
      </c>
      <c r="K557" s="65">
        <v>2.5694444444444443E-2</v>
      </c>
      <c r="L557" s="65">
        <v>5.6250000000000001E-2</v>
      </c>
      <c r="M557" s="71">
        <f t="shared" ca="1" si="120"/>
        <v>3.0555555555555558E-2</v>
      </c>
      <c r="N557" s="80" t="s">
        <v>299</v>
      </c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 t="s">
        <v>38</v>
      </c>
      <c r="D558" s="75" t="s">
        <v>39</v>
      </c>
      <c r="E558" s="75" t="s">
        <v>261</v>
      </c>
      <c r="F558" s="63">
        <v>12</v>
      </c>
      <c r="G558" s="64">
        <f t="shared" si="119"/>
        <v>60</v>
      </c>
      <c r="H558" s="61" t="s">
        <v>27</v>
      </c>
      <c r="I558" s="61" t="s">
        <v>32</v>
      </c>
      <c r="J558" s="61" t="s">
        <v>178</v>
      </c>
      <c r="K558" s="65">
        <v>5.9722222222222225E-2</v>
      </c>
      <c r="L558" s="65">
        <v>8.2638888888888887E-2</v>
      </c>
      <c r="M558" s="66">
        <f t="shared" ca="1" si="120"/>
        <v>2.2916666666666662E-2</v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 t="s">
        <v>38</v>
      </c>
      <c r="D559" s="75" t="s">
        <v>39</v>
      </c>
      <c r="E559" s="75" t="s">
        <v>261</v>
      </c>
      <c r="F559" s="63">
        <v>0</v>
      </c>
      <c r="G559" s="69">
        <f t="shared" si="119"/>
        <v>0</v>
      </c>
      <c r="H559" s="70" t="s">
        <v>27</v>
      </c>
      <c r="I559" s="70" t="s">
        <v>32</v>
      </c>
      <c r="J559" s="70"/>
      <c r="K559" s="65">
        <v>8.3333333333333329E-2</v>
      </c>
      <c r="L559" s="65">
        <v>9.3055555555555558E-2</v>
      </c>
      <c r="M559" s="71">
        <f t="shared" ca="1" si="120"/>
        <v>9.7222222222222293E-3</v>
      </c>
      <c r="N559" s="80" t="s">
        <v>300</v>
      </c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 t="s">
        <v>38</v>
      </c>
      <c r="D560" s="75" t="s">
        <v>39</v>
      </c>
      <c r="E560" s="75" t="s">
        <v>261</v>
      </c>
      <c r="F560" s="63">
        <v>13</v>
      </c>
      <c r="G560" s="64">
        <f t="shared" si="119"/>
        <v>65</v>
      </c>
      <c r="H560" s="61" t="s">
        <v>29</v>
      </c>
      <c r="I560" s="61" t="s">
        <v>32</v>
      </c>
      <c r="J560" s="61" t="s">
        <v>53</v>
      </c>
      <c r="K560" s="65">
        <v>0.2013888888888889</v>
      </c>
      <c r="L560" s="65">
        <v>0.22083333333333333</v>
      </c>
      <c r="M560" s="66">
        <f t="shared" ca="1" si="120"/>
        <v>1.9444444444444431E-2</v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 t="s">
        <v>38</v>
      </c>
      <c r="D561" s="75" t="s">
        <v>39</v>
      </c>
      <c r="E561" s="75" t="s">
        <v>261</v>
      </c>
      <c r="F561" s="63">
        <v>0</v>
      </c>
      <c r="G561" s="69">
        <f t="shared" si="119"/>
        <v>0</v>
      </c>
      <c r="H561" s="70" t="s">
        <v>29</v>
      </c>
      <c r="I561" s="70" t="s">
        <v>32</v>
      </c>
      <c r="J561" s="70"/>
      <c r="K561" s="65">
        <v>0.23194444444444445</v>
      </c>
      <c r="L561" s="65">
        <v>0.24374999999999999</v>
      </c>
      <c r="M561" s="71">
        <f t="shared" ca="1" si="120"/>
        <v>1.1805555555555541E-2</v>
      </c>
      <c r="N561" s="80" t="s">
        <v>301</v>
      </c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 t="s">
        <v>38</v>
      </c>
      <c r="D562" s="75" t="s">
        <v>39</v>
      </c>
      <c r="E562" s="75" t="s">
        <v>261</v>
      </c>
      <c r="F562" s="63">
        <v>24</v>
      </c>
      <c r="G562" s="64">
        <f t="shared" si="119"/>
        <v>120</v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 t="s">
        <v>38</v>
      </c>
      <c r="D563" s="75" t="s">
        <v>39</v>
      </c>
      <c r="E563" s="75" t="s">
        <v>261</v>
      </c>
      <c r="F563" s="63">
        <v>38</v>
      </c>
      <c r="G563" s="69">
        <f t="shared" si="119"/>
        <v>190</v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 t="s">
        <v>38</v>
      </c>
      <c r="D564" s="75" t="s">
        <v>39</v>
      </c>
      <c r="E564" s="75" t="s">
        <v>261</v>
      </c>
      <c r="F564" s="63">
        <v>15</v>
      </c>
      <c r="G564" s="64">
        <f t="shared" si="119"/>
        <v>75</v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 t="s">
        <v>38</v>
      </c>
      <c r="D565" s="75" t="s">
        <v>39</v>
      </c>
      <c r="E565" s="75" t="s">
        <v>261</v>
      </c>
      <c r="F565" s="63">
        <v>20</v>
      </c>
      <c r="G565" s="69">
        <f t="shared" si="119"/>
        <v>100</v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 t="s">
        <v>38</v>
      </c>
      <c r="D566" s="75" t="s">
        <v>39</v>
      </c>
      <c r="E566" s="75" t="s">
        <v>261</v>
      </c>
      <c r="F566" s="63">
        <v>35</v>
      </c>
      <c r="G566" s="64">
        <f t="shared" si="119"/>
        <v>175</v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7" t="s">
        <v>265</v>
      </c>
      <c r="B567" s="167"/>
      <c r="C567" s="167"/>
      <c r="D567" s="167"/>
      <c r="E567" s="167"/>
      <c r="F567" s="2">
        <f>SUM(F555:F566)</f>
        <v>173</v>
      </c>
      <c r="G567" s="2">
        <f>SUM(G555:G566)</f>
        <v>865</v>
      </c>
      <c r="H567" s="72"/>
      <c r="I567" s="72"/>
      <c r="J567" s="72"/>
      <c r="K567" s="72"/>
      <c r="L567" s="72"/>
      <c r="M567" s="73">
        <f ca="1">IFERROR(SUM(M555:M566),"")</f>
        <v>0.2548611111111112</v>
      </c>
      <c r="N567" s="2" t="s">
        <v>263</v>
      </c>
      <c r="O567" s="74">
        <v>1031030</v>
      </c>
    </row>
    <row r="568" spans="1:15" ht="18" customHeight="1">
      <c r="A568" s="168" t="s">
        <v>251</v>
      </c>
      <c r="B568" s="168"/>
      <c r="C568" s="168"/>
      <c r="D568" s="168"/>
      <c r="E568" s="168"/>
      <c r="F568" s="1">
        <f>F554+F567</f>
        <v>173</v>
      </c>
      <c r="G568" s="1">
        <f>G554+G567</f>
        <v>865</v>
      </c>
      <c r="H568" s="76"/>
      <c r="I568" s="76"/>
      <c r="J568" s="76"/>
      <c r="K568" s="76"/>
      <c r="L568" s="76"/>
      <c r="M568" s="77">
        <f ca="1">IFERROR(M554+M567,"")</f>
        <v>0.7548611111111112</v>
      </c>
      <c r="N568" s="1" t="s">
        <v>266</v>
      </c>
      <c r="O568" s="82">
        <f>IFERROR(O554+O567,"")</f>
        <v>1031030</v>
      </c>
    </row>
    <row r="569" spans="1:15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75" t="s">
        <v>261</v>
      </c>
      <c r="F569" s="63">
        <v>40</v>
      </c>
      <c r="G569" s="69">
        <f t="shared" ref="G569:G580" si="122">IF(F569="","",IF(E569="PC 17",F569*4.2,IF(E569="PC 19",F569*5,IF(E569="CB",F569*35,""))))</f>
        <v>200</v>
      </c>
      <c r="H569" s="70" t="s">
        <v>27</v>
      </c>
      <c r="I569" s="70" t="s">
        <v>32</v>
      </c>
      <c r="J569" s="70" t="s">
        <v>178</v>
      </c>
      <c r="K569" s="65">
        <v>0.30555555555555558</v>
      </c>
      <c r="L569" s="65">
        <v>0.31597222222222221</v>
      </c>
      <c r="M569" s="71">
        <f t="shared" ref="M569:M580" ca="1" si="123">IFERROR(IF(K569="","",IF(L569="",MOD(NOW()-K569,1),IF(L569&gt;=K569,L569-K569,L569+1-K569))),"")</f>
        <v>1.041666666666663E-2</v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 t="s">
        <v>30</v>
      </c>
      <c r="D570" s="75" t="s">
        <v>31</v>
      </c>
      <c r="E570" s="75" t="s">
        <v>261</v>
      </c>
      <c r="F570" s="63">
        <v>55</v>
      </c>
      <c r="G570" s="69">
        <f t="shared" si="122"/>
        <v>275</v>
      </c>
      <c r="H570" s="61" t="s">
        <v>27</v>
      </c>
      <c r="I570" s="61" t="s">
        <v>32</v>
      </c>
      <c r="J570" s="61" t="s">
        <v>178</v>
      </c>
      <c r="K570" s="65">
        <v>0.63194444444444442</v>
      </c>
      <c r="L570" s="65">
        <v>0.63611111111111107</v>
      </c>
      <c r="M570" s="66">
        <f t="shared" ca="1" si="123"/>
        <v>4.1666666666666519E-3</v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 t="s">
        <v>30</v>
      </c>
      <c r="D571" s="75" t="s">
        <v>31</v>
      </c>
      <c r="E571" s="75" t="s">
        <v>261</v>
      </c>
      <c r="F571" s="63">
        <v>40</v>
      </c>
      <c r="G571" s="69">
        <f t="shared" si="122"/>
        <v>200</v>
      </c>
      <c r="H571" s="70" t="s">
        <v>27</v>
      </c>
      <c r="I571" s="70" t="s">
        <v>32</v>
      </c>
      <c r="J571" s="70" t="s">
        <v>216</v>
      </c>
      <c r="K571" s="65">
        <v>0.67361111111111116</v>
      </c>
      <c r="L571" s="65">
        <v>0.73611111111111116</v>
      </c>
      <c r="M571" s="71">
        <f t="shared" ca="1" si="123"/>
        <v>6.25E-2</v>
      </c>
      <c r="N571" s="80" t="s">
        <v>302</v>
      </c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 t="s">
        <v>30</v>
      </c>
      <c r="D572" s="75" t="s">
        <v>31</v>
      </c>
      <c r="E572" s="75" t="s">
        <v>261</v>
      </c>
      <c r="F572" s="63">
        <v>31</v>
      </c>
      <c r="G572" s="69">
        <f t="shared" si="122"/>
        <v>155</v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 t="s">
        <v>30</v>
      </c>
      <c r="D573" s="75" t="s">
        <v>31</v>
      </c>
      <c r="E573" s="75" t="s">
        <v>261</v>
      </c>
      <c r="F573" s="63">
        <v>18</v>
      </c>
      <c r="G573" s="69">
        <f t="shared" si="122"/>
        <v>90</v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 t="s">
        <v>30</v>
      </c>
      <c r="D574" s="75" t="s">
        <v>31</v>
      </c>
      <c r="E574" s="75" t="s">
        <v>261</v>
      </c>
      <c r="F574" s="63">
        <v>43</v>
      </c>
      <c r="G574" s="69">
        <f t="shared" si="122"/>
        <v>215</v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 t="s">
        <v>30</v>
      </c>
      <c r="D575" s="75" t="s">
        <v>31</v>
      </c>
      <c r="E575" s="75" t="s">
        <v>261</v>
      </c>
      <c r="F575" s="63">
        <v>35</v>
      </c>
      <c r="G575" s="69">
        <f t="shared" si="122"/>
        <v>175</v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 t="s">
        <v>30</v>
      </c>
      <c r="D576" s="75" t="s">
        <v>31</v>
      </c>
      <c r="E576" s="75" t="s">
        <v>261</v>
      </c>
      <c r="F576" s="63">
        <v>43</v>
      </c>
      <c r="G576" s="69">
        <f t="shared" si="122"/>
        <v>215</v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 t="s">
        <v>30</v>
      </c>
      <c r="D577" s="75" t="s">
        <v>31</v>
      </c>
      <c r="E577" s="75" t="s">
        <v>261</v>
      </c>
      <c r="F577" s="63">
        <v>28</v>
      </c>
      <c r="G577" s="69">
        <f t="shared" si="122"/>
        <v>140</v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 t="s">
        <v>30</v>
      </c>
      <c r="D578" s="75" t="s">
        <v>31</v>
      </c>
      <c r="E578" s="75" t="s">
        <v>261</v>
      </c>
      <c r="F578" s="63">
        <v>0</v>
      </c>
      <c r="G578" s="69">
        <f t="shared" si="122"/>
        <v>0</v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 t="s">
        <v>30</v>
      </c>
      <c r="D579" s="75" t="s">
        <v>31</v>
      </c>
      <c r="E579" s="75" t="s">
        <v>261</v>
      </c>
      <c r="F579" s="63">
        <v>15</v>
      </c>
      <c r="G579" s="69">
        <f t="shared" si="122"/>
        <v>75</v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 t="s">
        <v>30</v>
      </c>
      <c r="D580" s="75" t="s">
        <v>31</v>
      </c>
      <c r="E580" s="75" t="s">
        <v>261</v>
      </c>
      <c r="F580" s="63">
        <v>30</v>
      </c>
      <c r="G580" s="69">
        <f t="shared" si="122"/>
        <v>150</v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7" t="s">
        <v>262</v>
      </c>
      <c r="B581" s="167"/>
      <c r="C581" s="167"/>
      <c r="D581" s="167"/>
      <c r="E581" s="167"/>
      <c r="F581" s="2">
        <f>SUM(F569:F580)</f>
        <v>378</v>
      </c>
      <c r="G581" s="2">
        <f>SUM(G569:G580)</f>
        <v>1890</v>
      </c>
      <c r="H581" s="72"/>
      <c r="I581" s="72"/>
      <c r="J581" s="72"/>
      <c r="K581" s="72"/>
      <c r="L581" s="72"/>
      <c r="M581" s="73">
        <f ca="1">IFERROR(SUM(M569:M580),"")</f>
        <v>7.7083333333333282E-2</v>
      </c>
      <c r="N581" s="2" t="s">
        <v>263</v>
      </c>
      <c r="O581" s="74">
        <v>2640170</v>
      </c>
    </row>
    <row r="582" spans="1:15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62" t="s">
        <v>261</v>
      </c>
      <c r="F582" s="63">
        <v>50</v>
      </c>
      <c r="G582" s="64">
        <f t="shared" ref="G582:G593" si="125">IF(F582="","",IF(E582="PC 17",F582*4.2,IF(E582="PC 19",F582*5,IF(E582="CB",F582*35,""))))</f>
        <v>250</v>
      </c>
      <c r="H582" s="61" t="s">
        <v>26</v>
      </c>
      <c r="I582" s="61" t="s">
        <v>32</v>
      </c>
      <c r="J582" s="61" t="s">
        <v>145</v>
      </c>
      <c r="K582" s="65">
        <v>0.13958333333333334</v>
      </c>
      <c r="L582" s="65">
        <v>0.17430555555555555</v>
      </c>
      <c r="M582" s="66">
        <f t="shared" ref="M582:M593" ca="1" si="126">IFERROR(IF(K582="","",IF(L582="",MOD(NOW()-K582,1),IF(L582&gt;=K582,L582-K582,L582+1-K582))),"")</f>
        <v>3.472222222222221E-2</v>
      </c>
      <c r="N582" s="80" t="s">
        <v>303</v>
      </c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 t="s">
        <v>38</v>
      </c>
      <c r="D583" s="62" t="s">
        <v>31</v>
      </c>
      <c r="E583" s="62" t="s">
        <v>261</v>
      </c>
      <c r="F583" s="63">
        <v>40</v>
      </c>
      <c r="G583" s="69">
        <f t="shared" si="125"/>
        <v>200</v>
      </c>
      <c r="H583" s="70" t="s">
        <v>27</v>
      </c>
      <c r="I583" s="70" t="s">
        <v>32</v>
      </c>
      <c r="J583" s="70" t="s">
        <v>116</v>
      </c>
      <c r="K583" s="65">
        <v>0.21875</v>
      </c>
      <c r="L583" s="65">
        <v>0.29166666666666669</v>
      </c>
      <c r="M583" s="71">
        <f t="shared" ca="1" si="126"/>
        <v>7.2916666666666685E-2</v>
      </c>
      <c r="N583" s="80" t="s">
        <v>304</v>
      </c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 t="s">
        <v>38</v>
      </c>
      <c r="D584" s="62" t="s">
        <v>31</v>
      </c>
      <c r="E584" s="62" t="s">
        <v>261</v>
      </c>
      <c r="F584" s="63">
        <v>45</v>
      </c>
      <c r="G584" s="64">
        <f t="shared" si="125"/>
        <v>225</v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 t="s">
        <v>38</v>
      </c>
      <c r="D585" s="62" t="s">
        <v>31</v>
      </c>
      <c r="E585" s="62" t="s">
        <v>261</v>
      </c>
      <c r="F585" s="63">
        <v>30</v>
      </c>
      <c r="G585" s="69">
        <f t="shared" si="125"/>
        <v>150</v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 t="s">
        <v>38</v>
      </c>
      <c r="D586" s="62" t="s">
        <v>31</v>
      </c>
      <c r="E586" s="62" t="s">
        <v>261</v>
      </c>
      <c r="F586" s="63">
        <v>37</v>
      </c>
      <c r="G586" s="64">
        <f t="shared" si="125"/>
        <v>185</v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 t="s">
        <v>38</v>
      </c>
      <c r="D587" s="62" t="s">
        <v>31</v>
      </c>
      <c r="E587" s="62" t="s">
        <v>261</v>
      </c>
      <c r="F587" s="63">
        <v>55</v>
      </c>
      <c r="G587" s="69">
        <f t="shared" si="125"/>
        <v>275</v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 t="s">
        <v>38</v>
      </c>
      <c r="D588" s="62" t="s">
        <v>31</v>
      </c>
      <c r="E588" s="62" t="s">
        <v>261</v>
      </c>
      <c r="F588" s="63">
        <v>27</v>
      </c>
      <c r="G588" s="64">
        <f t="shared" si="125"/>
        <v>135</v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 t="s">
        <v>38</v>
      </c>
      <c r="D589" s="62" t="s">
        <v>31</v>
      </c>
      <c r="E589" s="62" t="s">
        <v>261</v>
      </c>
      <c r="F589" s="63">
        <v>52</v>
      </c>
      <c r="G589" s="69">
        <f t="shared" si="125"/>
        <v>260</v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 t="s">
        <v>38</v>
      </c>
      <c r="D590" s="62" t="s">
        <v>31</v>
      </c>
      <c r="E590" s="62" t="s">
        <v>261</v>
      </c>
      <c r="F590" s="63">
        <v>0</v>
      </c>
      <c r="G590" s="64">
        <f t="shared" si="125"/>
        <v>0</v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 t="s">
        <v>38</v>
      </c>
      <c r="D591" s="62" t="s">
        <v>31</v>
      </c>
      <c r="E591" s="62" t="s">
        <v>261</v>
      </c>
      <c r="F591" s="63">
        <v>8</v>
      </c>
      <c r="G591" s="69">
        <f t="shared" si="125"/>
        <v>40</v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 t="s">
        <v>38</v>
      </c>
      <c r="D592" s="62" t="s">
        <v>31</v>
      </c>
      <c r="E592" s="62" t="s">
        <v>261</v>
      </c>
      <c r="F592" s="63">
        <v>0</v>
      </c>
      <c r="G592" s="64">
        <f t="shared" si="125"/>
        <v>0</v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 t="s">
        <v>38</v>
      </c>
      <c r="D593" s="62" t="s">
        <v>31</v>
      </c>
      <c r="E593" s="62" t="s">
        <v>261</v>
      </c>
      <c r="F593" s="63">
        <v>0</v>
      </c>
      <c r="G593" s="69">
        <f t="shared" si="125"/>
        <v>0</v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7" t="s">
        <v>265</v>
      </c>
      <c r="B594" s="167"/>
      <c r="C594" s="167"/>
      <c r="D594" s="167"/>
      <c r="E594" s="167"/>
      <c r="F594" s="2">
        <f>SUM(F582:F593)</f>
        <v>344</v>
      </c>
      <c r="G594" s="2">
        <f>SUM(G582:G593)</f>
        <v>1720</v>
      </c>
      <c r="H594" s="72"/>
      <c r="I594" s="72"/>
      <c r="J594" s="72"/>
      <c r="K594" s="72"/>
      <c r="L594" s="72"/>
      <c r="M594" s="73">
        <f ca="1">IFERROR(SUM(M582:M593),"")</f>
        <v>0.1076388888888889</v>
      </c>
      <c r="N594" s="2" t="s">
        <v>263</v>
      </c>
      <c r="O594" s="74">
        <v>2100270</v>
      </c>
    </row>
    <row r="595" spans="1:15" ht="18" customHeight="1">
      <c r="A595" s="168" t="s">
        <v>251</v>
      </c>
      <c r="B595" s="168"/>
      <c r="C595" s="168"/>
      <c r="D595" s="168"/>
      <c r="E595" s="168"/>
      <c r="F595" s="1">
        <f>F581+F594</f>
        <v>722</v>
      </c>
      <c r="G595" s="1">
        <f>G581+G594</f>
        <v>3610</v>
      </c>
      <c r="H595" s="76"/>
      <c r="I595" s="76"/>
      <c r="J595" s="76"/>
      <c r="K595" s="76"/>
      <c r="L595" s="76"/>
      <c r="M595" s="77">
        <f ca="1">IFERROR(M581+M594,"")</f>
        <v>0.18472222222222218</v>
      </c>
      <c r="N595" s="1" t="s">
        <v>266</v>
      </c>
      <c r="O595" s="82">
        <f>IFERROR(O581+O594,"")</f>
        <v>4740440</v>
      </c>
    </row>
    <row r="596" spans="1:15" ht="15" customHeight="1">
      <c r="A596" s="59">
        <v>46257</v>
      </c>
      <c r="B596" s="60">
        <v>0.33333333333333298</v>
      </c>
      <c r="C596" s="61" t="s">
        <v>30</v>
      </c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 t="s">
        <v>27</v>
      </c>
      <c r="I596" s="61" t="s">
        <v>32</v>
      </c>
      <c r="J596" s="61" t="s">
        <v>43</v>
      </c>
      <c r="K596" s="65">
        <v>0.29166666666666669</v>
      </c>
      <c r="L596" s="65"/>
      <c r="M596" s="66">
        <f t="shared" ref="M596:M607" ca="1" si="129">IFERROR(IF(K596="","",IF(L596="",MOD(NOW()-K596,1),IF(L596&gt;=K596,L596-K596,L596+1-K596))),"")</f>
        <v>0.12761898148164619</v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 t="s">
        <v>30</v>
      </c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 t="s">
        <v>30</v>
      </c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 t="s">
        <v>30</v>
      </c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 t="s">
        <v>30</v>
      </c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 t="s">
        <v>30</v>
      </c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 t="s">
        <v>30</v>
      </c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 t="s">
        <v>30</v>
      </c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 t="s">
        <v>30</v>
      </c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 t="s">
        <v>30</v>
      </c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 t="s">
        <v>30</v>
      </c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 t="s">
        <v>30</v>
      </c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7" t="s">
        <v>262</v>
      </c>
      <c r="B608" s="167"/>
      <c r="C608" s="167"/>
      <c r="D608" s="167"/>
      <c r="E608" s="167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0.12761898148164619</v>
      </c>
      <c r="N608" s="2" t="s">
        <v>263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7" t="s">
        <v>265</v>
      </c>
      <c r="B621" s="167"/>
      <c r="C621" s="167"/>
      <c r="D621" s="167"/>
      <c r="E621" s="167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263</v>
      </c>
      <c r="O621" s="74"/>
    </row>
    <row r="622" spans="1:15" ht="18" customHeight="1">
      <c r="A622" s="168" t="s">
        <v>251</v>
      </c>
      <c r="B622" s="168"/>
      <c r="C622" s="168"/>
      <c r="D622" s="168"/>
      <c r="E622" s="168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0.12761898148164619</v>
      </c>
      <c r="N622" s="1" t="s">
        <v>266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7" t="s">
        <v>262</v>
      </c>
      <c r="B635" s="167"/>
      <c r="C635" s="167"/>
      <c r="D635" s="167"/>
      <c r="E635" s="167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263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7" t="s">
        <v>265</v>
      </c>
      <c r="B648" s="167"/>
      <c r="C648" s="167"/>
      <c r="D648" s="167"/>
      <c r="E648" s="167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263</v>
      </c>
      <c r="O648" s="74"/>
    </row>
    <row r="649" spans="1:15" ht="18" customHeight="1">
      <c r="A649" s="168" t="s">
        <v>251</v>
      </c>
      <c r="B649" s="168"/>
      <c r="C649" s="168"/>
      <c r="D649" s="168"/>
      <c r="E649" s="168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266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7" t="s">
        <v>262</v>
      </c>
      <c r="B662" s="167"/>
      <c r="C662" s="167"/>
      <c r="D662" s="167"/>
      <c r="E662" s="167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263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7" t="s">
        <v>265</v>
      </c>
      <c r="B675" s="167"/>
      <c r="C675" s="167"/>
      <c r="D675" s="167"/>
      <c r="E675" s="167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263</v>
      </c>
      <c r="O675" s="74"/>
    </row>
    <row r="676" spans="1:15" ht="18" customHeight="1">
      <c r="A676" s="168" t="s">
        <v>251</v>
      </c>
      <c r="B676" s="168"/>
      <c r="C676" s="168"/>
      <c r="D676" s="168"/>
      <c r="E676" s="168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266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7" t="s">
        <v>262</v>
      </c>
      <c r="B689" s="167"/>
      <c r="C689" s="167"/>
      <c r="D689" s="167"/>
      <c r="E689" s="167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263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7" t="s">
        <v>265</v>
      </c>
      <c r="B702" s="167"/>
      <c r="C702" s="167"/>
      <c r="D702" s="167"/>
      <c r="E702" s="167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263</v>
      </c>
      <c r="O702" s="74"/>
    </row>
    <row r="703" spans="1:15" ht="18" customHeight="1">
      <c r="A703" s="168" t="s">
        <v>251</v>
      </c>
      <c r="B703" s="168"/>
      <c r="C703" s="168"/>
      <c r="D703" s="168"/>
      <c r="E703" s="168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266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7" t="s">
        <v>262</v>
      </c>
      <c r="B716" s="167"/>
      <c r="C716" s="167"/>
      <c r="D716" s="167"/>
      <c r="E716" s="167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263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7" t="s">
        <v>265</v>
      </c>
      <c r="B729" s="167"/>
      <c r="C729" s="167"/>
      <c r="D729" s="167"/>
      <c r="E729" s="167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263</v>
      </c>
      <c r="O729" s="74"/>
    </row>
    <row r="730" spans="1:15" ht="18" customHeight="1">
      <c r="A730" s="168" t="s">
        <v>251</v>
      </c>
      <c r="B730" s="168"/>
      <c r="C730" s="168"/>
      <c r="D730" s="168"/>
      <c r="E730" s="168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266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7" t="s">
        <v>262</v>
      </c>
      <c r="B743" s="167"/>
      <c r="C743" s="167"/>
      <c r="D743" s="167"/>
      <c r="E743" s="167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263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7" t="s">
        <v>265</v>
      </c>
      <c r="B756" s="167"/>
      <c r="C756" s="167"/>
      <c r="D756" s="167"/>
      <c r="E756" s="167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263</v>
      </c>
      <c r="O756" s="74"/>
    </row>
    <row r="757" spans="1:15" ht="18" customHeight="1">
      <c r="A757" s="168" t="s">
        <v>251</v>
      </c>
      <c r="B757" s="168"/>
      <c r="C757" s="168"/>
      <c r="D757" s="168"/>
      <c r="E757" s="168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266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7" t="s">
        <v>262</v>
      </c>
      <c r="B770" s="167"/>
      <c r="C770" s="167"/>
      <c r="D770" s="167"/>
      <c r="E770" s="167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263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7" t="s">
        <v>265</v>
      </c>
      <c r="B783" s="167"/>
      <c r="C783" s="167"/>
      <c r="D783" s="167"/>
      <c r="E783" s="167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263</v>
      </c>
      <c r="O783" s="74"/>
    </row>
    <row r="784" spans="1:15" ht="18" customHeight="1">
      <c r="A784" s="168" t="s">
        <v>251</v>
      </c>
      <c r="B784" s="168"/>
      <c r="C784" s="168"/>
      <c r="D784" s="168"/>
      <c r="E784" s="168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266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7" t="s">
        <v>262</v>
      </c>
      <c r="B797" s="167"/>
      <c r="C797" s="167"/>
      <c r="D797" s="167"/>
      <c r="E797" s="167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263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7" t="s">
        <v>265</v>
      </c>
      <c r="B810" s="167"/>
      <c r="C810" s="167"/>
      <c r="D810" s="167"/>
      <c r="E810" s="167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263</v>
      </c>
      <c r="O810" s="74"/>
    </row>
    <row r="811" spans="1:15" ht="18" customHeight="1">
      <c r="A811" s="168" t="s">
        <v>251</v>
      </c>
      <c r="B811" s="168"/>
      <c r="C811" s="168"/>
      <c r="D811" s="168"/>
      <c r="E811" s="168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266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7" t="s">
        <v>262</v>
      </c>
      <c r="B824" s="167"/>
      <c r="C824" s="167"/>
      <c r="D824" s="167"/>
      <c r="E824" s="167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263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7" t="s">
        <v>265</v>
      </c>
      <c r="B837" s="167"/>
      <c r="C837" s="167"/>
      <c r="D837" s="167"/>
      <c r="E837" s="167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263</v>
      </c>
      <c r="O837" s="74"/>
    </row>
    <row r="838" spans="1:15" ht="18" customHeight="1">
      <c r="A838" s="168" t="s">
        <v>251</v>
      </c>
      <c r="B838" s="168"/>
      <c r="C838" s="168"/>
      <c r="D838" s="168"/>
      <c r="E838" s="168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266</v>
      </c>
      <c r="O838" s="30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575" activePane="bottomLeft" state="frozen"/>
      <selection pane="bottomLeft" activeCell="G598" sqref="G598"/>
    </sheetView>
  </sheetViews>
  <sheetFormatPr defaultColWidth="8.5703125" defaultRowHeight="1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252</v>
      </c>
      <c r="C1" s="57" t="s">
        <v>19</v>
      </c>
      <c r="D1" s="56" t="s">
        <v>20</v>
      </c>
      <c r="E1" s="56" t="s">
        <v>253</v>
      </c>
      <c r="F1" s="86" t="s">
        <v>21</v>
      </c>
      <c r="G1" s="57" t="s">
        <v>254</v>
      </c>
      <c r="H1" s="86" t="s">
        <v>305</v>
      </c>
      <c r="I1" s="86" t="s">
        <v>22</v>
      </c>
      <c r="J1" s="86" t="s">
        <v>306</v>
      </c>
      <c r="K1" s="57" t="s">
        <v>255</v>
      </c>
      <c r="L1" s="57" t="s">
        <v>23</v>
      </c>
      <c r="M1" s="57" t="s">
        <v>24</v>
      </c>
      <c r="N1" s="57" t="s">
        <v>256</v>
      </c>
      <c r="O1" s="57" t="s">
        <v>257</v>
      </c>
      <c r="P1" s="57" t="s">
        <v>258</v>
      </c>
      <c r="Q1" s="58" t="s">
        <v>259</v>
      </c>
      <c r="R1" s="57" t="s">
        <v>248</v>
      </c>
      <c r="S1" s="57" t="s">
        <v>260</v>
      </c>
      <c r="T1" s="57" t="s">
        <v>306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276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171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307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276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276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276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141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308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276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309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276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142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276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142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276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276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276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276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276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8" t="s">
        <v>262</v>
      </c>
      <c r="B14" s="158"/>
      <c r="C14" s="158"/>
      <c r="D14" s="158"/>
      <c r="E14" s="158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263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276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276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276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146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276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169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276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146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310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276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311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276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276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276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276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276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276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8" t="s">
        <v>265</v>
      </c>
      <c r="B27" s="158"/>
      <c r="C27" s="158"/>
      <c r="D27" s="158"/>
      <c r="E27" s="158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263</v>
      </c>
      <c r="S27" s="74">
        <v>549860</v>
      </c>
      <c r="T27" s="99"/>
    </row>
    <row r="28" spans="1:20" ht="18" customHeight="1">
      <c r="A28" s="159" t="s">
        <v>251</v>
      </c>
      <c r="B28" s="159"/>
      <c r="C28" s="159"/>
      <c r="D28" s="159"/>
      <c r="E28" s="159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266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276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169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276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276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276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276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276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276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276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276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276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276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276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8" t="s">
        <v>262</v>
      </c>
      <c r="B41" s="158"/>
      <c r="C41" s="158"/>
      <c r="D41" s="158"/>
      <c r="E41" s="158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263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276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276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276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276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171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276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276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171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276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312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276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313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276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276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276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141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314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276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141</v>
      </c>
      <c r="O53" s="65">
        <v>0.121527777777778</v>
      </c>
      <c r="P53" s="65"/>
      <c r="Q53" s="66">
        <f t="shared" ca="1" si="10"/>
        <v>0.297757870364876</v>
      </c>
      <c r="R53" s="80" t="s">
        <v>315</v>
      </c>
      <c r="S53" s="67"/>
    </row>
    <row r="54" spans="1:20" ht="15.75" customHeight="1">
      <c r="A54" s="158" t="s">
        <v>265</v>
      </c>
      <c r="B54" s="158"/>
      <c r="C54" s="158"/>
      <c r="D54" s="158"/>
      <c r="E54" s="158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0.43664675925376373</v>
      </c>
      <c r="R54" s="2" t="s">
        <v>263</v>
      </c>
      <c r="S54" s="113">
        <v>352430</v>
      </c>
      <c r="T54" s="114"/>
    </row>
    <row r="55" spans="1:20" ht="18" customHeight="1">
      <c r="A55" s="159" t="s">
        <v>251</v>
      </c>
      <c r="B55" s="159"/>
      <c r="C55" s="159"/>
      <c r="D55" s="159"/>
      <c r="E55" s="159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0.52136898147598654</v>
      </c>
      <c r="R55" s="1" t="s">
        <v>266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276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276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276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276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276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276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276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276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307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276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276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276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276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8" t="s">
        <v>262</v>
      </c>
      <c r="B68" s="158"/>
      <c r="C68" s="158"/>
      <c r="D68" s="158"/>
      <c r="E68" s="158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263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276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160</v>
      </c>
      <c r="N69" s="61" t="s">
        <v>198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276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146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276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169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276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169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276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276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169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276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276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213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316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276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276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276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276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8" t="s">
        <v>265</v>
      </c>
      <c r="B81" s="158"/>
      <c r="C81" s="158"/>
      <c r="D81" s="158"/>
      <c r="E81" s="158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263</v>
      </c>
      <c r="S81" s="115">
        <v>634210</v>
      </c>
      <c r="T81" s="116"/>
    </row>
    <row r="82" spans="1:20" ht="18" customHeight="1">
      <c r="A82" s="159" t="s">
        <v>251</v>
      </c>
      <c r="B82" s="159"/>
      <c r="C82" s="159"/>
      <c r="D82" s="159"/>
      <c r="E82" s="159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266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276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149</v>
      </c>
      <c r="N83" s="70" t="s">
        <v>225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276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276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276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276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149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276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276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276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276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276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276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276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8" t="s">
        <v>262</v>
      </c>
      <c r="B95" s="158"/>
      <c r="C95" s="158"/>
      <c r="D95" s="158"/>
      <c r="E95" s="158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263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276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152</v>
      </c>
      <c r="N96" s="61" t="s">
        <v>127</v>
      </c>
      <c r="O96" s="65">
        <v>0.79166666666666696</v>
      </c>
      <c r="P96" s="65" t="s">
        <v>317</v>
      </c>
      <c r="Q96" s="66" t="str">
        <f t="shared" ref="Q96:Q107" ca="1" si="22">IFERROR(IF(O96="","",IF(P96="",MOD(NOW()-O96,1),IF(P96&gt;=O96,P96-O96,P96+1-O96))),"")</f>
        <v/>
      </c>
      <c r="R96" s="80" t="s">
        <v>318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276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264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276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319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276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196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320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276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264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276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276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276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276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276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276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276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8" t="s">
        <v>265</v>
      </c>
      <c r="B108" s="158"/>
      <c r="C108" s="158"/>
      <c r="D108" s="158"/>
      <c r="E108" s="158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263</v>
      </c>
      <c r="S108" s="115">
        <v>456830</v>
      </c>
      <c r="T108" s="116"/>
    </row>
    <row r="109" spans="1:20" ht="18" customHeight="1">
      <c r="A109" s="159" t="s">
        <v>251</v>
      </c>
      <c r="B109" s="159"/>
      <c r="C109" s="159"/>
      <c r="D109" s="159"/>
      <c r="E109" s="159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266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276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168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276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321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276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168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276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276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276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276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276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276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276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276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276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8" t="s">
        <v>262</v>
      </c>
      <c r="B122" s="158"/>
      <c r="C122" s="158"/>
      <c r="D122" s="158"/>
      <c r="E122" s="158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263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276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171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276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168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276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146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276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146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276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276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276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276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276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276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276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276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8" t="s">
        <v>265</v>
      </c>
      <c r="B135" s="158"/>
      <c r="C135" s="158"/>
      <c r="D135" s="158"/>
      <c r="E135" s="158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263</v>
      </c>
      <c r="S135" s="115">
        <v>756720</v>
      </c>
      <c r="T135" s="116"/>
    </row>
    <row r="136" spans="1:20" ht="18" customHeight="1">
      <c r="A136" s="159" t="s">
        <v>251</v>
      </c>
      <c r="B136" s="159"/>
      <c r="C136" s="159"/>
      <c r="D136" s="159"/>
      <c r="E136" s="159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266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276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276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276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322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276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276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323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276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276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276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171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276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324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276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276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276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8" t="s">
        <v>262</v>
      </c>
      <c r="B149" s="158"/>
      <c r="C149" s="158"/>
      <c r="D149" s="158"/>
      <c r="E149" s="158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263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276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149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276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325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276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276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276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276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276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276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276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276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276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276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8" t="s">
        <v>265</v>
      </c>
      <c r="B162" s="158"/>
      <c r="C162" s="158"/>
      <c r="D162" s="158"/>
      <c r="E162" s="158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263</v>
      </c>
      <c r="S162" s="115">
        <v>501750</v>
      </c>
      <c r="T162" s="116"/>
    </row>
    <row r="163" spans="1:20" ht="18" customHeight="1">
      <c r="A163" s="159" t="s">
        <v>251</v>
      </c>
      <c r="B163" s="159"/>
      <c r="C163" s="159"/>
      <c r="D163" s="159"/>
      <c r="E163" s="159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266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276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276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276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276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169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276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169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276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276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276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276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276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276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276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8" t="s">
        <v>262</v>
      </c>
      <c r="B176" s="158"/>
      <c r="C176" s="158"/>
      <c r="D176" s="158"/>
      <c r="E176" s="158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263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276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276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160</v>
      </c>
      <c r="N178" s="61" t="s">
        <v>145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276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276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160</v>
      </c>
      <c r="N180" s="61" t="s">
        <v>145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276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326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276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323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276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327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276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276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276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276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276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8" t="s">
        <v>265</v>
      </c>
      <c r="B189" s="158"/>
      <c r="C189" s="158"/>
      <c r="D189" s="158"/>
      <c r="E189" s="158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263</v>
      </c>
      <c r="S189" s="74">
        <v>362530</v>
      </c>
      <c r="T189" s="99"/>
    </row>
    <row r="190" spans="1:20" ht="18" customHeight="1">
      <c r="A190" s="159" t="s">
        <v>251</v>
      </c>
      <c r="B190" s="159"/>
      <c r="C190" s="159"/>
      <c r="D190" s="159"/>
      <c r="E190" s="159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266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276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160</v>
      </c>
      <c r="N191" s="70" t="s">
        <v>194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328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276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160</v>
      </c>
      <c r="N192" s="61" t="s">
        <v>194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276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160</v>
      </c>
      <c r="N193" s="61" t="s">
        <v>194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276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276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321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276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178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276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276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276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276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276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276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8" t="s">
        <v>262</v>
      </c>
      <c r="B203" s="158"/>
      <c r="C203" s="158"/>
      <c r="D203" s="158"/>
      <c r="E203" s="158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263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276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276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171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276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171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276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276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276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276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276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276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276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276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276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8" t="s">
        <v>265</v>
      </c>
      <c r="B216" s="158"/>
      <c r="C216" s="158"/>
      <c r="D216" s="158"/>
      <c r="E216" s="158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263</v>
      </c>
      <c r="S216" s="74">
        <v>609740</v>
      </c>
      <c r="T216" s="99"/>
    </row>
    <row r="217" spans="1:20" ht="18" customHeight="1">
      <c r="A217" s="159" t="s">
        <v>251</v>
      </c>
      <c r="B217" s="159"/>
      <c r="C217" s="159"/>
      <c r="D217" s="159"/>
      <c r="E217" s="159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266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276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183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316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276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276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264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276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329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261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276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146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330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276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146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331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276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276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276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276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276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8" t="s">
        <v>262</v>
      </c>
      <c r="B230" s="158"/>
      <c r="C230" s="158"/>
      <c r="D230" s="158"/>
      <c r="E230" s="158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263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276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264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261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171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276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261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171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261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261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261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261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261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261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261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261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8" t="s">
        <v>265</v>
      </c>
      <c r="B243" s="158"/>
      <c r="C243" s="158"/>
      <c r="D243" s="158"/>
      <c r="E243" s="158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263</v>
      </c>
      <c r="S243" s="74">
        <v>825930</v>
      </c>
      <c r="T243" s="99"/>
    </row>
    <row r="244" spans="1:20" ht="18" customHeight="1">
      <c r="A244" s="159" t="s">
        <v>251</v>
      </c>
      <c r="B244" s="159"/>
      <c r="C244" s="159"/>
      <c r="D244" s="159"/>
      <c r="E244" s="159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266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261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178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261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261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261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276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276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276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276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276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276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276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276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8" t="s">
        <v>262</v>
      </c>
      <c r="B257" s="158"/>
      <c r="C257" s="158"/>
      <c r="D257" s="158"/>
      <c r="E257" s="158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263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276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276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276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276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276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276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276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276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276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276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276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276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8" t="s">
        <v>265</v>
      </c>
      <c r="B270" s="158"/>
      <c r="C270" s="158"/>
      <c r="D270" s="158"/>
      <c r="E270" s="158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263</v>
      </c>
      <c r="S270" s="74">
        <v>732130</v>
      </c>
      <c r="T270" s="99"/>
    </row>
    <row r="271" spans="1:20" ht="18" customHeight="1">
      <c r="A271" s="159" t="s">
        <v>251</v>
      </c>
      <c r="B271" s="159"/>
      <c r="C271" s="159"/>
      <c r="D271" s="159"/>
      <c r="E271" s="159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266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276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276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276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276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276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276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276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276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276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276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261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276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8" t="s">
        <v>262</v>
      </c>
      <c r="B284" s="158"/>
      <c r="C284" s="158"/>
      <c r="D284" s="158"/>
      <c r="E284" s="158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263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261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261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276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276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261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261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261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261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261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261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261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261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8" t="s">
        <v>265</v>
      </c>
      <c r="B297" s="158"/>
      <c r="C297" s="158"/>
      <c r="D297" s="158"/>
      <c r="E297" s="158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263</v>
      </c>
      <c r="S297" s="74">
        <v>990260</v>
      </c>
      <c r="T297" s="99"/>
    </row>
    <row r="298" spans="1:20" ht="18" customHeight="1">
      <c r="A298" s="159" t="s">
        <v>251</v>
      </c>
      <c r="B298" s="159"/>
      <c r="C298" s="159"/>
      <c r="D298" s="159"/>
      <c r="E298" s="159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266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276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146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276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276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276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276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276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276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276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276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276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276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276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8" t="s">
        <v>262</v>
      </c>
      <c r="B311" s="158"/>
      <c r="C311" s="158"/>
      <c r="D311" s="158"/>
      <c r="E311" s="158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263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276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171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276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276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168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276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276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171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276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149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276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276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276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146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276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276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276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8" t="s">
        <v>265</v>
      </c>
      <c r="B324" s="158"/>
      <c r="C324" s="158"/>
      <c r="D324" s="158"/>
      <c r="E324" s="158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263</v>
      </c>
      <c r="S324" s="74">
        <v>725030</v>
      </c>
      <c r="T324" s="99">
        <f>IFERROR(J324,"")</f>
        <v>104.40432</v>
      </c>
    </row>
    <row r="325" spans="1:20" ht="18" customHeight="1">
      <c r="A325" s="159" t="s">
        <v>251</v>
      </c>
      <c r="B325" s="159"/>
      <c r="C325" s="159"/>
      <c r="D325" s="159"/>
      <c r="E325" s="159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266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261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141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332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261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261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149</v>
      </c>
      <c r="N328" s="61" t="s">
        <v>141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333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261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149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334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261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137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261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149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335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276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183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336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276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276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276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276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276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8" t="s">
        <v>262</v>
      </c>
      <c r="B338" s="158"/>
      <c r="C338" s="158"/>
      <c r="D338" s="158"/>
      <c r="E338" s="158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263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276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276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276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328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276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178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276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209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323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276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168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276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168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276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146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276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146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276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276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276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8" t="s">
        <v>265</v>
      </c>
      <c r="B351" s="158"/>
      <c r="C351" s="158"/>
      <c r="D351" s="158"/>
      <c r="E351" s="158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263</v>
      </c>
      <c r="S351" s="74">
        <v>712170</v>
      </c>
      <c r="T351" s="99">
        <f>IFERROR(J351,"")</f>
        <v>149.5557</v>
      </c>
    </row>
    <row r="352" spans="1:20" ht="18" customHeight="1">
      <c r="A352" s="159" t="s">
        <v>251</v>
      </c>
      <c r="B352" s="159"/>
      <c r="C352" s="159"/>
      <c r="D352" s="159"/>
      <c r="E352" s="159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266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276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316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276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276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276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137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276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171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276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276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276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276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276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276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276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8" t="s">
        <v>262</v>
      </c>
      <c r="B365" s="158"/>
      <c r="C365" s="158"/>
      <c r="D365" s="158"/>
      <c r="E365" s="158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263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276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146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276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149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337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276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171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276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276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171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276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276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276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276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276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276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276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8" t="s">
        <v>265</v>
      </c>
      <c r="B378" s="158"/>
      <c r="C378" s="158"/>
      <c r="D378" s="158"/>
      <c r="E378" s="158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263</v>
      </c>
      <c r="S378" s="74">
        <v>806300</v>
      </c>
      <c r="T378" s="99">
        <f>IFERROR(J378,"")</f>
        <v>169.32299999999998</v>
      </c>
    </row>
    <row r="379" spans="1:20" ht="18" customHeight="1">
      <c r="A379" s="159" t="s">
        <v>251</v>
      </c>
      <c r="B379" s="159"/>
      <c r="C379" s="159"/>
      <c r="D379" s="159"/>
      <c r="E379" s="159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266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276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276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276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276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171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276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276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154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338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276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276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276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276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276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276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8" t="s">
        <v>262</v>
      </c>
      <c r="B392" s="158"/>
      <c r="C392" s="158"/>
      <c r="D392" s="158"/>
      <c r="E392" s="158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263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276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168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276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171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276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276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171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339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276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276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169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276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179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276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169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276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276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276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276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8" t="s">
        <v>265</v>
      </c>
      <c r="B405" s="158"/>
      <c r="C405" s="158"/>
      <c r="D405" s="158"/>
      <c r="E405" s="158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263</v>
      </c>
      <c r="S405" s="74">
        <v>774540</v>
      </c>
      <c r="T405" s="99">
        <f>IFERROR(J405,"")</f>
        <v>156.22852721311477</v>
      </c>
    </row>
    <row r="406" spans="1:20" ht="18" customHeight="1">
      <c r="A406" s="159" t="s">
        <v>251</v>
      </c>
      <c r="B406" s="159"/>
      <c r="C406" s="159"/>
      <c r="D406" s="159"/>
      <c r="E406" s="159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266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276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276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276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276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276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276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276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276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276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276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276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276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8" t="s">
        <v>262</v>
      </c>
      <c r="B419" s="158"/>
      <c r="C419" s="158"/>
      <c r="D419" s="158"/>
      <c r="E419" s="158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263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276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340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276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168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276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169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276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276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276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276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171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276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276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276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276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276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265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263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251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266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276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341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276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149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276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276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276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276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276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276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276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276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276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276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8" t="s">
        <v>262</v>
      </c>
      <c r="B446" s="158"/>
      <c r="C446" s="158"/>
      <c r="D446" s="158"/>
      <c r="E446" s="158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263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276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276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222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276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261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171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276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276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342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276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343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276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276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276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276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276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8" t="s">
        <v>265</v>
      </c>
      <c r="B459" s="158"/>
      <c r="C459" s="158"/>
      <c r="D459" s="158"/>
      <c r="E459" s="158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263</v>
      </c>
      <c r="S459" s="74">
        <v>738730</v>
      </c>
      <c r="T459" s="99">
        <f>IFERROR(J459,"")</f>
        <v>144.10511642857142</v>
      </c>
    </row>
    <row r="460" spans="1:20" ht="18" customHeight="1">
      <c r="A460" s="159" t="s">
        <v>251</v>
      </c>
      <c r="B460" s="159"/>
      <c r="C460" s="159"/>
      <c r="D460" s="159"/>
      <c r="E460" s="159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266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276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276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276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276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276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344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276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276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276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276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276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276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276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8" t="s">
        <v>262</v>
      </c>
      <c r="B473" s="158"/>
      <c r="C473" s="158"/>
      <c r="D473" s="158"/>
      <c r="E473" s="158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263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276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276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276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345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276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276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137</v>
      </c>
      <c r="N478" s="61" t="s">
        <v>195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276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346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276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276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276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219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276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276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276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8" t="s">
        <v>265</v>
      </c>
      <c r="B486" s="158"/>
      <c r="C486" s="158"/>
      <c r="D486" s="158"/>
      <c r="E486" s="158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263</v>
      </c>
      <c r="S486" s="74">
        <v>617620</v>
      </c>
      <c r="T486" s="99">
        <f>IFERROR(J486,"")</f>
        <v>88.937280000000001</v>
      </c>
    </row>
    <row r="487" spans="1:20" ht="18" customHeight="1">
      <c r="A487" s="159" t="s">
        <v>251</v>
      </c>
      <c r="B487" s="159"/>
      <c r="C487" s="159"/>
      <c r="D487" s="159"/>
      <c r="E487" s="159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266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276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184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323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276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276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171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276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261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293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276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276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276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276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276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276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276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8" t="s">
        <v>262</v>
      </c>
      <c r="B500" s="158"/>
      <c r="C500" s="158"/>
      <c r="D500" s="158"/>
      <c r="E500" s="158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263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276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171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276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137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276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137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276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276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219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276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276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276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276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276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276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276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265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263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251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266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276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276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276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171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276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276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276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261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261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261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261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261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261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8" t="s">
        <v>262</v>
      </c>
      <c r="B527" s="158"/>
      <c r="C527" s="158"/>
      <c r="D527" s="158"/>
      <c r="E527" s="158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263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276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171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276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169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261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276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137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276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169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276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276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141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347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276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348</v>
      </c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276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276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276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276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8" t="s">
        <v>265</v>
      </c>
      <c r="B540" s="158"/>
      <c r="C540" s="158"/>
      <c r="D540" s="158"/>
      <c r="E540" s="158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263</v>
      </c>
      <c r="S540" s="74">
        <v>399600</v>
      </c>
      <c r="T540" s="99">
        <f>IFERROR(J540,"")</f>
        <v>64.532992771084338</v>
      </c>
    </row>
    <row r="541" spans="1:20" ht="18" customHeight="1">
      <c r="A541" s="159" t="s">
        <v>251</v>
      </c>
      <c r="B541" s="159"/>
      <c r="C541" s="159"/>
      <c r="D541" s="159"/>
      <c r="E541" s="159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266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276</v>
      </c>
      <c r="F542" s="101">
        <f>IFERROR(IF($D542="","",VLOOKUP($D542,Cadastro!$C$4:$E$7,3,FALSE())),"")</f>
        <v>0.24</v>
      </c>
      <c r="G542" s="89">
        <v>5</v>
      </c>
      <c r="H542" s="101">
        <f>IFERROR(IF($G542="","",$G542*$S$554/$G$554/Cadastro!$E$33),"")</f>
        <v>24.103333333333332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3.4708799999999997</v>
      </c>
      <c r="K542" s="64">
        <f t="shared" ref="K542:K553" si="139">IF(G542="","",IF(E542="PC 17",G542*4.2,IF(E542="PC 19",G542*5,IF(E542="CB",G542*24,""))))</f>
        <v>21</v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276</v>
      </c>
      <c r="F543" s="88">
        <f>IFERROR(IF($D543="","",VLOOKUP($D543,Cadastro!$C$4:$E$7,3,FALSE())),"")</f>
        <v>0.24</v>
      </c>
      <c r="G543" s="89">
        <v>10</v>
      </c>
      <c r="H543" s="88">
        <f>IFERROR(IF($G543="","",$G543*$S$554/$G$554/Cadastro!$E$33),"")</f>
        <v>48.206666666666663</v>
      </c>
      <c r="I543" s="90">
        <f>IFERROR(IF($D543="","",VLOOKUP($D543,Cadastro!$C$4:$G$7,5,FALSE())),"")</f>
        <v>0.6</v>
      </c>
      <c r="J543" s="91">
        <f t="shared" si="138"/>
        <v>6.9417599999999995</v>
      </c>
      <c r="K543" s="69">
        <f t="shared" si="139"/>
        <v>42</v>
      </c>
      <c r="L543" s="70" t="s">
        <v>27</v>
      </c>
      <c r="M543" s="70" t="s">
        <v>40</v>
      </c>
      <c r="N543" s="70" t="s">
        <v>51</v>
      </c>
      <c r="O543" s="65">
        <v>0.4465277777777778</v>
      </c>
      <c r="P543" s="65">
        <v>0.66666666666666663</v>
      </c>
      <c r="Q543" s="71">
        <f t="shared" ca="1" si="140"/>
        <v>0.22013888888888883</v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276</v>
      </c>
      <c r="F544" s="88">
        <f>IFERROR(IF($D544="","",VLOOKUP($D544,Cadastro!$C$4:$E$7,3,FALSE())),"")</f>
        <v>0.24</v>
      </c>
      <c r="G544" s="89">
        <v>7</v>
      </c>
      <c r="H544" s="88">
        <f>IFERROR(IF($G544="","",$G544*$S$554/$G$554/Cadastro!$E$33),"")</f>
        <v>33.744666666666667</v>
      </c>
      <c r="I544" s="90">
        <f>IFERROR(IF($D544="","",VLOOKUP($D544,Cadastro!$C$4:$G$7,5,FALSE())),"")</f>
        <v>0.6</v>
      </c>
      <c r="J544" s="91">
        <f t="shared" si="138"/>
        <v>4.8592319999999996</v>
      </c>
      <c r="K544" s="64">
        <f t="shared" si="139"/>
        <v>29.400000000000002</v>
      </c>
      <c r="L544" s="61" t="s">
        <v>27</v>
      </c>
      <c r="M544" s="61" t="s">
        <v>48</v>
      </c>
      <c r="N544" s="61" t="s">
        <v>178</v>
      </c>
      <c r="O544" s="65">
        <v>0.69305555555555554</v>
      </c>
      <c r="P544" s="65">
        <v>0.70277777777777772</v>
      </c>
      <c r="Q544" s="66">
        <f t="shared" ca="1" si="140"/>
        <v>9.7222222222221877E-3</v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276</v>
      </c>
      <c r="F545" s="88">
        <f>IFERROR(IF($D545="","",VLOOKUP($D545,Cadastro!$C$4:$E$7,3,FALSE())),"")</f>
        <v>0.24</v>
      </c>
      <c r="G545" s="89">
        <v>6</v>
      </c>
      <c r="H545" s="88">
        <f>IFERROR(IF($G545="","",$G545*$S$554/$G$554/Cadastro!$E$33),"")</f>
        <v>28.923999999999999</v>
      </c>
      <c r="I545" s="90">
        <f>IFERROR(IF($D545="","",VLOOKUP($D545,Cadastro!$C$4:$G$7,5,FALSE())),"")</f>
        <v>0.6</v>
      </c>
      <c r="J545" s="91">
        <f t="shared" si="138"/>
        <v>4.1650559999999999</v>
      </c>
      <c r="K545" s="69">
        <f t="shared" si="139"/>
        <v>25.200000000000003</v>
      </c>
      <c r="L545" s="70" t="s">
        <v>26</v>
      </c>
      <c r="M545" s="70" t="s">
        <v>40</v>
      </c>
      <c r="N545" s="70" t="s">
        <v>58</v>
      </c>
      <c r="O545" s="65">
        <v>0.71388888888888891</v>
      </c>
      <c r="P545" s="65">
        <v>0.79166666666666663</v>
      </c>
      <c r="Q545" s="71">
        <f t="shared" ca="1" si="140"/>
        <v>7.7777777777777724E-2</v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276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0</v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276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276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8"/>
        <v>0</v>
      </c>
      <c r="K548" s="64">
        <f t="shared" si="139"/>
        <v>0</v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276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8"/>
        <v>0</v>
      </c>
      <c r="K549" s="69">
        <f t="shared" si="139"/>
        <v>0</v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276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8"/>
        <v>0</v>
      </c>
      <c r="K550" s="64">
        <f t="shared" si="139"/>
        <v>0</v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276</v>
      </c>
      <c r="F551" s="88">
        <f>IFERROR(IF($D551="","",VLOOKUP($D551,Cadastro!$C$4:$E$7,3,FALSE())),"")</f>
        <v>0.24</v>
      </c>
      <c r="G551" s="89">
        <v>14</v>
      </c>
      <c r="H551" s="88">
        <f>IFERROR(IF($G551="","",$G551*$S$554/$G$554/Cadastro!$E$33),"")</f>
        <v>67.489333333333335</v>
      </c>
      <c r="I551" s="90">
        <f>IFERROR(IF($D551="","",VLOOKUP($D551,Cadastro!$C$4:$G$7,5,FALSE())),"")</f>
        <v>0.6</v>
      </c>
      <c r="J551" s="91">
        <f t="shared" si="138"/>
        <v>9.7184639999999991</v>
      </c>
      <c r="K551" s="69">
        <f t="shared" si="139"/>
        <v>58.800000000000004</v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276</v>
      </c>
      <c r="F552" s="88">
        <f>IFERROR(IF($D552="","",VLOOKUP($D552,Cadastro!$C$4:$E$7,3,FALSE())),"")</f>
        <v>0.24</v>
      </c>
      <c r="G552" s="89">
        <v>3</v>
      </c>
      <c r="H552" s="88">
        <f>IFERROR(IF($G552="","",$G552*$S$554/$G$554/Cadastro!$E$33),"")</f>
        <v>14.462</v>
      </c>
      <c r="I552" s="90">
        <f>IFERROR(IF($D552="","",VLOOKUP($D552,Cadastro!$C$4:$G$7,5,FALSE())),"")</f>
        <v>0.6</v>
      </c>
      <c r="J552" s="91">
        <f t="shared" si="138"/>
        <v>2.0825279999999999</v>
      </c>
      <c r="K552" s="64">
        <f t="shared" si="139"/>
        <v>12.600000000000001</v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276</v>
      </c>
      <c r="F553" s="92">
        <f>IFERROR(IF($D553="","",VLOOKUP($D553,Cadastro!$C$4:$E$7,3,FALSE())),"")</f>
        <v>0.24</v>
      </c>
      <c r="G553" s="89">
        <v>0</v>
      </c>
      <c r="H553" s="92">
        <f>IFERROR(IF($G553="","",$G553*$S$554/$G$554/Cadastro!$E$33),"")</f>
        <v>0</v>
      </c>
      <c r="I553" s="93">
        <f>IFERROR(IF($D553="","",VLOOKUP($D553,Cadastro!$C$4:$G$7,5,FALSE())),"")</f>
        <v>0.6</v>
      </c>
      <c r="J553" s="94">
        <f t="shared" si="138"/>
        <v>0</v>
      </c>
      <c r="K553" s="69">
        <f t="shared" si="139"/>
        <v>0</v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8" t="s">
        <v>262</v>
      </c>
      <c r="B554" s="158"/>
      <c r="C554" s="158"/>
      <c r="D554" s="158"/>
      <c r="E554" s="158"/>
      <c r="F554" s="95"/>
      <c r="G554" s="96">
        <f>SUM(G542:G553)</f>
        <v>45</v>
      </c>
      <c r="H554" s="95">
        <f>IFERROR(SUM(H542:H553),"")</f>
        <v>216.93</v>
      </c>
      <c r="I554" s="97"/>
      <c r="J554" s="98">
        <f>IFERROR(SUM(J542:J553),"")</f>
        <v>31.237919999999999</v>
      </c>
      <c r="K554" s="2">
        <f>SUM(K542:K553)</f>
        <v>189</v>
      </c>
      <c r="L554" s="72"/>
      <c r="M554" s="72"/>
      <c r="N554" s="72"/>
      <c r="O554" s="72"/>
      <c r="P554" s="72"/>
      <c r="Q554" s="73">
        <f ca="1">IFERROR(SUM(Q542:Q553),"")</f>
        <v>0.32152777777777763</v>
      </c>
      <c r="R554" s="2" t="s">
        <v>263</v>
      </c>
      <c r="S554" s="74">
        <v>216930</v>
      </c>
      <c r="T554" s="99">
        <f>IFERROR(J554,"")</f>
        <v>31.237919999999999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276</v>
      </c>
      <c r="F555" s="101">
        <f>IFERROR(IF($D555="","",VLOOKUP($D555,Cadastro!$C$4:$E$7,3,FALSE())),"")</f>
        <v>0.24</v>
      </c>
      <c r="G555" s="89">
        <v>0</v>
      </c>
      <c r="H555" s="101" t="str">
        <f>IFERROR(IF($G555="","",$G555*$S$567/$G$567/Cadastro!$E$33),"")</f>
        <v/>
      </c>
      <c r="I555" s="102">
        <f>IFERROR(IF($D555="","",VLOOKUP($D555,Cadastro!$C$4:$G$7,5,FALSE())),"")</f>
        <v>0.6</v>
      </c>
      <c r="J555" s="103" t="str">
        <f t="shared" ref="J555:J566" si="142">IFERROR(IF($H555="","",$H555*$F555*$I555),"")</f>
        <v/>
      </c>
      <c r="K555" s="69">
        <f t="shared" ref="K555:K566" si="143">IF(G555="","",IF(E555="PC 17",G555*4.2,IF(E555="PC 19",G555*5,IF(E555="CB",G555*24,""))))</f>
        <v>0</v>
      </c>
      <c r="L555" s="70" t="s">
        <v>26</v>
      </c>
      <c r="M555" s="70"/>
      <c r="N555" s="70" t="s">
        <v>58</v>
      </c>
      <c r="O555" s="65">
        <v>0.79166666666666663</v>
      </c>
      <c r="P555" s="65">
        <v>0.29166666666666669</v>
      </c>
      <c r="Q555" s="71">
        <f t="shared" ref="Q555:Q566" ca="1" si="144">IFERROR(IF(O555="","",IF(P555="",MOD(NOW()-O555,1),IF(P555&gt;=O555,P555-O555,P555+1-O555))),"")</f>
        <v>0.50000000000000011</v>
      </c>
      <c r="R555" s="80" t="s">
        <v>349</v>
      </c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 t="s">
        <v>38</v>
      </c>
      <c r="D556" s="75" t="s">
        <v>39</v>
      </c>
      <c r="E556" s="100" t="s">
        <v>276</v>
      </c>
      <c r="F556" s="88">
        <f>IFERROR(IF($D556="","",VLOOKUP($D556,Cadastro!$C$4:$E$7,3,FALSE())),"")</f>
        <v>0.24</v>
      </c>
      <c r="G556" s="89">
        <v>0</v>
      </c>
      <c r="H556" s="88" t="str">
        <f>IFERROR(IF($G556="","",$G556*$S$567/$G$567/Cadastro!$E$33),"")</f>
        <v/>
      </c>
      <c r="I556" s="90">
        <f>IFERROR(IF($D556="","",VLOOKUP($D556,Cadastro!$C$4:$G$7,5,FALSE())),"")</f>
        <v>0.6</v>
      </c>
      <c r="J556" s="91" t="str">
        <f t="shared" si="142"/>
        <v/>
      </c>
      <c r="K556" s="64">
        <f t="shared" si="143"/>
        <v>0</v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 t="s">
        <v>38</v>
      </c>
      <c r="D557" s="75" t="s">
        <v>39</v>
      </c>
      <c r="E557" s="100" t="s">
        <v>276</v>
      </c>
      <c r="F557" s="88">
        <f>IFERROR(IF($D557="","",VLOOKUP($D557,Cadastro!$C$4:$E$7,3,FALSE())),"")</f>
        <v>0.24</v>
      </c>
      <c r="G557" s="89">
        <v>0</v>
      </c>
      <c r="H557" s="88" t="str">
        <f>IFERROR(IF($G557="","",$G557*$S$567/$G$567/Cadastro!$E$33),"")</f>
        <v/>
      </c>
      <c r="I557" s="90">
        <f>IFERROR(IF($D557="","",VLOOKUP($D557,Cadastro!$C$4:$G$7,5,FALSE())),"")</f>
        <v>0.6</v>
      </c>
      <c r="J557" s="91" t="str">
        <f t="shared" si="142"/>
        <v/>
      </c>
      <c r="K557" s="69">
        <f t="shared" si="143"/>
        <v>0</v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 t="s">
        <v>38</v>
      </c>
      <c r="D558" s="75" t="s">
        <v>39</v>
      </c>
      <c r="E558" s="100" t="s">
        <v>276</v>
      </c>
      <c r="F558" s="88">
        <f>IFERROR(IF($D558="","",VLOOKUP($D558,Cadastro!$C$4:$E$7,3,FALSE())),"")</f>
        <v>0.24</v>
      </c>
      <c r="G558" s="89">
        <v>0</v>
      </c>
      <c r="H558" s="88" t="str">
        <f>IFERROR(IF($G558="","",$G558*$S$567/$G$567/Cadastro!$E$33),"")</f>
        <v/>
      </c>
      <c r="I558" s="90">
        <f>IFERROR(IF($D558="","",VLOOKUP($D558,Cadastro!$C$4:$G$7,5,FALSE())),"")</f>
        <v>0.6</v>
      </c>
      <c r="J558" s="91" t="str">
        <f t="shared" si="142"/>
        <v/>
      </c>
      <c r="K558" s="64">
        <f t="shared" si="143"/>
        <v>0</v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 t="s">
        <v>38</v>
      </c>
      <c r="D559" s="75" t="s">
        <v>39</v>
      </c>
      <c r="E559" s="100" t="s">
        <v>276</v>
      </c>
      <c r="F559" s="88">
        <f>IFERROR(IF($D559="","",VLOOKUP($D559,Cadastro!$C$4:$E$7,3,FALSE())),"")</f>
        <v>0.24</v>
      </c>
      <c r="G559" s="89">
        <v>0</v>
      </c>
      <c r="H559" s="88" t="str">
        <f>IFERROR(IF($G559="","",$G559*$S$567/$G$567/Cadastro!$E$33),"")</f>
        <v/>
      </c>
      <c r="I559" s="90">
        <f>IFERROR(IF($D559="","",VLOOKUP($D559,Cadastro!$C$4:$G$7,5,FALSE())),"")</f>
        <v>0.6</v>
      </c>
      <c r="J559" s="91" t="str">
        <f t="shared" si="142"/>
        <v/>
      </c>
      <c r="K559" s="69">
        <f t="shared" si="143"/>
        <v>0</v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 t="s">
        <v>38</v>
      </c>
      <c r="D560" s="75" t="s">
        <v>39</v>
      </c>
      <c r="E560" s="100" t="s">
        <v>276</v>
      </c>
      <c r="F560" s="88">
        <f>IFERROR(IF($D560="","",VLOOKUP($D560,Cadastro!$C$4:$E$7,3,FALSE())),"")</f>
        <v>0.24</v>
      </c>
      <c r="G560" s="89">
        <v>0</v>
      </c>
      <c r="H560" s="88" t="str">
        <f>IFERROR(IF($G560="","",$G560*$S$567/$G$567/Cadastro!$E$33),"")</f>
        <v/>
      </c>
      <c r="I560" s="90">
        <f>IFERROR(IF($D560="","",VLOOKUP($D560,Cadastro!$C$4:$G$7,5,FALSE())),"")</f>
        <v>0.6</v>
      </c>
      <c r="J560" s="91" t="str">
        <f t="shared" si="142"/>
        <v/>
      </c>
      <c r="K560" s="64">
        <f t="shared" si="143"/>
        <v>0</v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 t="s">
        <v>38</v>
      </c>
      <c r="D561" s="75" t="s">
        <v>39</v>
      </c>
      <c r="E561" s="100" t="s">
        <v>276</v>
      </c>
      <c r="F561" s="88">
        <f>IFERROR(IF($D561="","",VLOOKUP($D561,Cadastro!$C$4:$E$7,3,FALSE())),"")</f>
        <v>0.24</v>
      </c>
      <c r="G561" s="89">
        <v>0</v>
      </c>
      <c r="H561" s="88" t="str">
        <f>IFERROR(IF($G561="","",$G561*$S$567/$G$567/Cadastro!$E$33),"")</f>
        <v/>
      </c>
      <c r="I561" s="90">
        <f>IFERROR(IF($D561="","",VLOOKUP($D561,Cadastro!$C$4:$G$7,5,FALSE())),"")</f>
        <v>0.6</v>
      </c>
      <c r="J561" s="91" t="str">
        <f t="shared" si="142"/>
        <v/>
      </c>
      <c r="K561" s="69">
        <f t="shared" si="143"/>
        <v>0</v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 t="s">
        <v>38</v>
      </c>
      <c r="D562" s="75" t="s">
        <v>39</v>
      </c>
      <c r="E562" s="100" t="s">
        <v>276</v>
      </c>
      <c r="F562" s="88">
        <f>IFERROR(IF($D562="","",VLOOKUP($D562,Cadastro!$C$4:$E$7,3,FALSE())),"")</f>
        <v>0.24</v>
      </c>
      <c r="G562" s="89">
        <v>0</v>
      </c>
      <c r="H562" s="88" t="str">
        <f>IFERROR(IF($G562="","",$G562*$S$567/$G$567/Cadastro!$E$33),"")</f>
        <v/>
      </c>
      <c r="I562" s="90">
        <f>IFERROR(IF($D562="","",VLOOKUP($D562,Cadastro!$C$4:$G$7,5,FALSE())),"")</f>
        <v>0.6</v>
      </c>
      <c r="J562" s="91" t="str">
        <f t="shared" si="142"/>
        <v/>
      </c>
      <c r="K562" s="64">
        <f t="shared" si="143"/>
        <v>0</v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 t="s">
        <v>38</v>
      </c>
      <c r="D563" s="75" t="s">
        <v>39</v>
      </c>
      <c r="E563" s="100" t="s">
        <v>276</v>
      </c>
      <c r="F563" s="88">
        <f>IFERROR(IF($D563="","",VLOOKUP($D563,Cadastro!$C$4:$E$7,3,FALSE())),"")</f>
        <v>0.24</v>
      </c>
      <c r="G563" s="89">
        <v>0</v>
      </c>
      <c r="H563" s="88" t="str">
        <f>IFERROR(IF($G563="","",$G563*$S$567/$G$567/Cadastro!$E$33),"")</f>
        <v/>
      </c>
      <c r="I563" s="90">
        <f>IFERROR(IF($D563="","",VLOOKUP($D563,Cadastro!$C$4:$G$7,5,FALSE())),"")</f>
        <v>0.6</v>
      </c>
      <c r="J563" s="91" t="str">
        <f t="shared" si="142"/>
        <v/>
      </c>
      <c r="K563" s="69">
        <f t="shared" si="143"/>
        <v>0</v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 t="s">
        <v>38</v>
      </c>
      <c r="D564" s="75" t="s">
        <v>39</v>
      </c>
      <c r="E564" s="100" t="s">
        <v>276</v>
      </c>
      <c r="F564" s="88">
        <f>IFERROR(IF($D564="","",VLOOKUP($D564,Cadastro!$C$4:$E$7,3,FALSE())),"")</f>
        <v>0.24</v>
      </c>
      <c r="G564" s="89">
        <v>0</v>
      </c>
      <c r="H564" s="88" t="str">
        <f>IFERROR(IF($G564="","",$G564*$S$567/$G$567/Cadastro!$E$33),"")</f>
        <v/>
      </c>
      <c r="I564" s="90">
        <f>IFERROR(IF($D564="","",VLOOKUP($D564,Cadastro!$C$4:$G$7,5,FALSE())),"")</f>
        <v>0.6</v>
      </c>
      <c r="J564" s="91" t="str">
        <f t="shared" si="142"/>
        <v/>
      </c>
      <c r="K564" s="64">
        <f t="shared" si="143"/>
        <v>0</v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 t="s">
        <v>38</v>
      </c>
      <c r="D565" s="75" t="s">
        <v>39</v>
      </c>
      <c r="E565" s="100" t="s">
        <v>276</v>
      </c>
      <c r="F565" s="88">
        <f>IFERROR(IF($D565="","",VLOOKUP($D565,Cadastro!$C$4:$E$7,3,FALSE())),"")</f>
        <v>0.24</v>
      </c>
      <c r="G565" s="89">
        <v>0</v>
      </c>
      <c r="H565" s="88" t="str">
        <f>IFERROR(IF($G565="","",$G565*$S$567/$G$567/Cadastro!$E$33),"")</f>
        <v/>
      </c>
      <c r="I565" s="90">
        <f>IFERROR(IF($D565="","",VLOOKUP($D565,Cadastro!$C$4:$G$7,5,FALSE())),"")</f>
        <v>0.6</v>
      </c>
      <c r="J565" s="91" t="str">
        <f t="shared" si="142"/>
        <v/>
      </c>
      <c r="K565" s="69">
        <f t="shared" si="143"/>
        <v>0</v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 t="s">
        <v>38</v>
      </c>
      <c r="D566" s="75" t="s">
        <v>39</v>
      </c>
      <c r="E566" s="100" t="s">
        <v>276</v>
      </c>
      <c r="F566" s="92">
        <f>IFERROR(IF($D566="","",VLOOKUP($D566,Cadastro!$C$4:$E$7,3,FALSE())),"")</f>
        <v>0.24</v>
      </c>
      <c r="G566" s="89">
        <v>0</v>
      </c>
      <c r="H566" s="92" t="str">
        <f>IFERROR(IF($G566="","",$G566*$S$567/$G$567/Cadastro!$E$33),"")</f>
        <v/>
      </c>
      <c r="I566" s="93">
        <f>IFERROR(IF($D566="","",VLOOKUP($D566,Cadastro!$C$4:$G$7,5,FALSE())),"")</f>
        <v>0.6</v>
      </c>
      <c r="J566" s="94" t="str">
        <f t="shared" si="142"/>
        <v/>
      </c>
      <c r="K566" s="64">
        <f t="shared" si="143"/>
        <v>0</v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8" t="s">
        <v>265</v>
      </c>
      <c r="B567" s="158"/>
      <c r="C567" s="158"/>
      <c r="D567" s="158"/>
      <c r="E567" s="158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0.50000000000000011</v>
      </c>
      <c r="R567" s="2" t="s">
        <v>263</v>
      </c>
      <c r="S567" s="74">
        <v>0</v>
      </c>
      <c r="T567" s="99">
        <f>IFERROR(J567,"")</f>
        <v>0</v>
      </c>
    </row>
    <row r="568" spans="1:20" ht="18" customHeight="1">
      <c r="A568" s="159" t="s">
        <v>251</v>
      </c>
      <c r="B568" s="159"/>
      <c r="C568" s="159"/>
      <c r="D568" s="159"/>
      <c r="E568" s="159"/>
      <c r="F568" s="108"/>
      <c r="G568" s="109">
        <f>G554+G567</f>
        <v>45</v>
      </c>
      <c r="H568" s="108">
        <f>IFERROR(H554+H567,"")</f>
        <v>216.93</v>
      </c>
      <c r="I568" s="110"/>
      <c r="J568" s="111">
        <f>IFERROR(J554+J567,"")</f>
        <v>31.237919999999999</v>
      </c>
      <c r="K568" s="1">
        <f>K554+K567</f>
        <v>189</v>
      </c>
      <c r="L568" s="76"/>
      <c r="M568" s="76"/>
      <c r="N568" s="76"/>
      <c r="O568" s="76"/>
      <c r="P568" s="76"/>
      <c r="Q568" s="77">
        <f ca="1">IFERROR(Q554+Q567,"")</f>
        <v>0.82152777777777775</v>
      </c>
      <c r="R568" s="1" t="s">
        <v>266</v>
      </c>
      <c r="S568" s="82">
        <f>IFERROR(S554+S567,"")</f>
        <v>216930</v>
      </c>
      <c r="T568" s="118">
        <f>IFERROR(J568,"")</f>
        <v>31.237919999999999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276</v>
      </c>
      <c r="F569" s="101">
        <f>IFERROR(IF($D569="","",VLOOKUP($D569,Cadastro!$C$4:$E$7,3,FALSE())),"")</f>
        <v>0.35</v>
      </c>
      <c r="G569" s="89">
        <v>0</v>
      </c>
      <c r="H569" s="101">
        <f>IFERROR(IF($G569="","",$G569*$S$581/$G$581/Cadastro!$E$33),"")</f>
        <v>0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0</v>
      </c>
      <c r="K569" s="69">
        <f t="shared" ref="K569:K580" si="147">IF(G569="","",IF(E569="PC 17",G569*4.2,IF(E569="PC 19",G569*5,IF(E569="CB",G569*24,""))))</f>
        <v>0</v>
      </c>
      <c r="L569" s="70" t="s">
        <v>27</v>
      </c>
      <c r="M569" s="70" t="s">
        <v>72</v>
      </c>
      <c r="N569" s="70" t="s">
        <v>121</v>
      </c>
      <c r="O569" s="65">
        <v>0.29166666666666669</v>
      </c>
      <c r="P569" s="65">
        <v>0.65138888888888891</v>
      </c>
      <c r="Q569" s="71">
        <f t="shared" ref="Q569:Q580" ca="1" si="148">IFERROR(IF(O569="","",IF(P569="",MOD(NOW()-O569,1),IF(P569&gt;=O569,P569-O569,P569+1-O569))),"")</f>
        <v>0.35972222222222222</v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276</v>
      </c>
      <c r="F570" s="88">
        <f>IFERROR(IF($D570="","",VLOOKUP($D570,Cadastro!$C$4:$E$7,3,FALSE())),"")</f>
        <v>0.35</v>
      </c>
      <c r="G570" s="89">
        <v>0</v>
      </c>
      <c r="H570" s="88">
        <f>IFERROR(IF($G570="","",$G570*$S$581/$G$581/Cadastro!$E$33),"")</f>
        <v>0</v>
      </c>
      <c r="I570" s="90">
        <f>IFERROR(IF($D570="","",VLOOKUP($D570,Cadastro!$C$4:$G$7,5,FALSE())),"")</f>
        <v>0.6</v>
      </c>
      <c r="J570" s="91">
        <f t="shared" si="146"/>
        <v>0</v>
      </c>
      <c r="K570" s="69">
        <f t="shared" si="147"/>
        <v>0</v>
      </c>
      <c r="L570" s="70" t="s">
        <v>29</v>
      </c>
      <c r="M570" s="61" t="s">
        <v>133</v>
      </c>
      <c r="N570" s="61" t="s">
        <v>123</v>
      </c>
      <c r="O570" s="65">
        <v>0.74722222222222223</v>
      </c>
      <c r="P570" s="65">
        <v>0.79166666666666663</v>
      </c>
      <c r="Q570" s="66">
        <f t="shared" ca="1" si="148"/>
        <v>4.4444444444444398E-2</v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276</v>
      </c>
      <c r="F571" s="88">
        <f>IFERROR(IF($D571="","",VLOOKUP($D571,Cadastro!$C$4:$E$7,3,FALSE())),"")</f>
        <v>0.35</v>
      </c>
      <c r="G571" s="89">
        <v>0</v>
      </c>
      <c r="H571" s="88">
        <f>IFERROR(IF($G571="","",$G571*$S$581/$G$581/Cadastro!$E$33),"")</f>
        <v>0</v>
      </c>
      <c r="I571" s="90">
        <f>IFERROR(IF($D571="","",VLOOKUP($D571,Cadastro!$C$4:$G$7,5,FALSE())),"")</f>
        <v>0.6</v>
      </c>
      <c r="J571" s="91">
        <f t="shared" si="146"/>
        <v>0</v>
      </c>
      <c r="K571" s="69">
        <f t="shared" si="147"/>
        <v>0</v>
      </c>
      <c r="L571" s="124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276</v>
      </c>
      <c r="F572" s="88">
        <f>IFERROR(IF($D572="","",VLOOKUP($D572,Cadastro!$C$4:$E$7,3,FALSE())),"")</f>
        <v>0.35</v>
      </c>
      <c r="G572" s="89">
        <v>0</v>
      </c>
      <c r="H572" s="88">
        <f>IFERROR(IF($G572="","",$G572*$S$581/$G$581/Cadastro!$E$33),"")</f>
        <v>0</v>
      </c>
      <c r="I572" s="90">
        <f>IFERROR(IF($D572="","",VLOOKUP($D572,Cadastro!$C$4:$G$7,5,FALSE())),"")</f>
        <v>0.6</v>
      </c>
      <c r="J572" s="91">
        <f t="shared" si="146"/>
        <v>0</v>
      </c>
      <c r="K572" s="69">
        <f t="shared" si="147"/>
        <v>0</v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276</v>
      </c>
      <c r="F573" s="88">
        <f>IFERROR(IF($D573="","",VLOOKUP($D573,Cadastro!$C$4:$E$7,3,FALSE())),"")</f>
        <v>0.35</v>
      </c>
      <c r="G573" s="89">
        <v>0</v>
      </c>
      <c r="H573" s="88">
        <f>IFERROR(IF($G573="","",$G573*$S$581/$G$581/Cadastro!$E$33),"")</f>
        <v>0</v>
      </c>
      <c r="I573" s="90">
        <f>IFERROR(IF($D573="","",VLOOKUP($D573,Cadastro!$C$4:$G$7,5,FALSE())),"")</f>
        <v>0.6</v>
      </c>
      <c r="J573" s="91">
        <f t="shared" si="146"/>
        <v>0</v>
      </c>
      <c r="K573" s="69">
        <f t="shared" si="147"/>
        <v>0</v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276</v>
      </c>
      <c r="F574" s="88">
        <f>IFERROR(IF($D574="","",VLOOKUP($D574,Cadastro!$C$4:$E$7,3,FALSE())),"")</f>
        <v>0.35</v>
      </c>
      <c r="G574" s="89">
        <v>0</v>
      </c>
      <c r="H574" s="88">
        <f>IFERROR(IF($G574="","",$G574*$S$581/$G$581/Cadastro!$E$33),"")</f>
        <v>0</v>
      </c>
      <c r="I574" s="90">
        <f>IFERROR(IF($D574="","",VLOOKUP($D574,Cadastro!$C$4:$G$7,5,FALSE())),"")</f>
        <v>0.6</v>
      </c>
      <c r="J574" s="91">
        <f t="shared" si="146"/>
        <v>0</v>
      </c>
      <c r="K574" s="69">
        <f t="shared" si="147"/>
        <v>0</v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276</v>
      </c>
      <c r="F575" s="88">
        <f>IFERROR(IF($D575="","",VLOOKUP($D575,Cadastro!$C$4:$E$7,3,FALSE())),"")</f>
        <v>0.35</v>
      </c>
      <c r="G575" s="89">
        <v>0</v>
      </c>
      <c r="H575" s="88">
        <f>IFERROR(IF($G575="","",$G575*$S$581/$G$581/Cadastro!$E$33),"")</f>
        <v>0</v>
      </c>
      <c r="I575" s="90">
        <f>IFERROR(IF($D575="","",VLOOKUP($D575,Cadastro!$C$4:$G$7,5,FALSE())),"")</f>
        <v>0.6</v>
      </c>
      <c r="J575" s="91">
        <f t="shared" si="146"/>
        <v>0</v>
      </c>
      <c r="K575" s="69">
        <f t="shared" si="147"/>
        <v>0</v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276</v>
      </c>
      <c r="F576" s="88">
        <f>IFERROR(IF($D576="","",VLOOKUP($D576,Cadastro!$C$4:$E$7,3,FALSE())),"")</f>
        <v>0.35</v>
      </c>
      <c r="G576" s="89">
        <v>0</v>
      </c>
      <c r="H576" s="88">
        <f>IFERROR(IF($G576="","",$G576*$S$581/$G$581/Cadastro!$E$33),"")</f>
        <v>0</v>
      </c>
      <c r="I576" s="90">
        <f>IFERROR(IF($D576="","",VLOOKUP($D576,Cadastro!$C$4:$G$7,5,FALSE())),"")</f>
        <v>0.6</v>
      </c>
      <c r="J576" s="91">
        <f t="shared" si="146"/>
        <v>0</v>
      </c>
      <c r="K576" s="69">
        <f t="shared" si="147"/>
        <v>0</v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276</v>
      </c>
      <c r="F577" s="88">
        <f>IFERROR(IF($D577="","",VLOOKUP($D577,Cadastro!$C$4:$E$7,3,FALSE())),"")</f>
        <v>0.35</v>
      </c>
      <c r="G577" s="89">
        <v>9</v>
      </c>
      <c r="H577" s="88">
        <f>IFERROR(IF($G577="","",$G577*$S$581/$G$581/Cadastro!$E$33),"")</f>
        <v>32.242040816326529</v>
      </c>
      <c r="I577" s="90">
        <f>IFERROR(IF($D577="","",VLOOKUP($D577,Cadastro!$C$4:$G$7,5,FALSE())),"")</f>
        <v>0.6</v>
      </c>
      <c r="J577" s="91">
        <f t="shared" si="146"/>
        <v>6.770828571428571</v>
      </c>
      <c r="K577" s="69">
        <f t="shared" si="147"/>
        <v>37.800000000000004</v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276</v>
      </c>
      <c r="F578" s="88">
        <f>IFERROR(IF($D578="","",VLOOKUP($D578,Cadastro!$C$4:$E$7,3,FALSE())),"")</f>
        <v>0.35</v>
      </c>
      <c r="G578" s="89">
        <v>19</v>
      </c>
      <c r="H578" s="88">
        <f>IFERROR(IF($G578="","",$G578*$S$581/$G$581/Cadastro!$E$33),"")</f>
        <v>68.06653061224489</v>
      </c>
      <c r="I578" s="90">
        <f>IFERROR(IF($D578="","",VLOOKUP($D578,Cadastro!$C$4:$G$7,5,FALSE())),"")</f>
        <v>0.6</v>
      </c>
      <c r="J578" s="91">
        <f t="shared" si="146"/>
        <v>14.293971428571426</v>
      </c>
      <c r="K578" s="69">
        <f t="shared" si="147"/>
        <v>79.8</v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276</v>
      </c>
      <c r="F579" s="88">
        <f>IFERROR(IF($D579="","",VLOOKUP($D579,Cadastro!$C$4:$E$7,3,FALSE())),"")</f>
        <v>0.35</v>
      </c>
      <c r="G579" s="89">
        <v>21</v>
      </c>
      <c r="H579" s="88">
        <f>IFERROR(IF($G579="","",$G579*$S$581/$G$581/Cadastro!$E$33),"")</f>
        <v>75.231428571428566</v>
      </c>
      <c r="I579" s="90">
        <f>IFERROR(IF($D579="","",VLOOKUP($D579,Cadastro!$C$4:$G$7,5,FALSE())),"")</f>
        <v>0.6</v>
      </c>
      <c r="J579" s="91">
        <f t="shared" si="146"/>
        <v>15.798599999999997</v>
      </c>
      <c r="K579" s="69">
        <f t="shared" si="147"/>
        <v>88.2</v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276</v>
      </c>
      <c r="F580" s="92">
        <f>IFERROR(IF($D580="","",VLOOKUP($D580,Cadastro!$C$4:$E$7,3,FALSE())),"")</f>
        <v>0.35</v>
      </c>
      <c r="G580" s="89">
        <v>0</v>
      </c>
      <c r="H580" s="92">
        <f>IFERROR(IF($G580="","",$G580*$S$581/$G$581/Cadastro!$E$33),"")</f>
        <v>0</v>
      </c>
      <c r="I580" s="93">
        <f>IFERROR(IF($D580="","",VLOOKUP($D580,Cadastro!$C$4:$G$7,5,FALSE())),"")</f>
        <v>0.6</v>
      </c>
      <c r="J580" s="94">
        <f t="shared" si="146"/>
        <v>0</v>
      </c>
      <c r="K580" s="69">
        <f t="shared" si="147"/>
        <v>0</v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8" t="s">
        <v>262</v>
      </c>
      <c r="B581" s="158"/>
      <c r="C581" s="158"/>
      <c r="D581" s="158"/>
      <c r="E581" s="158"/>
      <c r="F581" s="95"/>
      <c r="G581" s="96">
        <f>SUM(G569:G580)</f>
        <v>49</v>
      </c>
      <c r="H581" s="95">
        <f>IFERROR(SUM(H569:H580),"")</f>
        <v>175.53999999999996</v>
      </c>
      <c r="I581" s="97"/>
      <c r="J581" s="98">
        <f>IFERROR(SUM(J569:J580),"")</f>
        <v>36.863399999999999</v>
      </c>
      <c r="K581" s="2">
        <f>SUM(K569:K580)</f>
        <v>205.8</v>
      </c>
      <c r="L581" s="72"/>
      <c r="M581" s="72"/>
      <c r="N581" s="72"/>
      <c r="O581" s="72"/>
      <c r="P581" s="72"/>
      <c r="Q581" s="73">
        <f ca="1">IFERROR(SUM(Q569:Q580),"")</f>
        <v>0.40416666666666662</v>
      </c>
      <c r="R581" s="2" t="s">
        <v>263</v>
      </c>
      <c r="S581" s="74">
        <v>175540</v>
      </c>
      <c r="T581" s="99">
        <f>IFERROR(J581,"")</f>
        <v>36.863399999999999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276</v>
      </c>
      <c r="F582" s="101">
        <f>IFERROR(IF($D582="","",VLOOKUP($D582,Cadastro!$C$4:$E$7,3,FALSE())),"")</f>
        <v>0.35</v>
      </c>
      <c r="G582" s="89">
        <v>4</v>
      </c>
      <c r="H582" s="101">
        <f>IFERROR(IF($G582="","",$G582*$S$594/$G$594/Cadastro!$E$33),"")</f>
        <v>23.705806451612901</v>
      </c>
      <c r="I582" s="102">
        <f>IFERROR(IF($D582="","",VLOOKUP($D582,Cadastro!$C$4:$G$7,5,FALSE())),"")</f>
        <v>0.6</v>
      </c>
      <c r="J582" s="103">
        <f t="shared" ref="J582:J593" si="150">IFERROR(IF($H582="","",$H582*$F582*$I582),"")</f>
        <v>4.9782193548387088</v>
      </c>
      <c r="K582" s="64">
        <f t="shared" ref="K582:K593" si="151">IF(G582="","",IF(E582="PC 17",G582*4.2,IF(E582="PC 19",G582*5,IF(E582="CB",G582*24,""))))</f>
        <v>16.8</v>
      </c>
      <c r="L582" s="61" t="s">
        <v>29</v>
      </c>
      <c r="M582" s="61" t="s">
        <v>133</v>
      </c>
      <c r="N582" s="61" t="s">
        <v>123</v>
      </c>
      <c r="O582" s="65">
        <v>0.79166666666666663</v>
      </c>
      <c r="P582" s="65">
        <v>0.80486111111111114</v>
      </c>
      <c r="Q582" s="66">
        <f t="shared" ref="Q582:Q593" ca="1" si="152">IFERROR(IF(O582="","",IF(P582="",MOD(NOW()-O582,1),IF(P582&gt;=O582,P582-O582,P582+1-O582))),"")</f>
        <v>1.3194444444444509E-2</v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 t="s">
        <v>38</v>
      </c>
      <c r="D583" s="62" t="s">
        <v>31</v>
      </c>
      <c r="E583" s="87" t="s">
        <v>276</v>
      </c>
      <c r="F583" s="88">
        <f>IFERROR(IF($D583="","",VLOOKUP($D583,Cadastro!$C$4:$E$7,3,FALSE())),"")</f>
        <v>0.35</v>
      </c>
      <c r="G583" s="89">
        <v>4</v>
      </c>
      <c r="H583" s="88">
        <f>IFERROR(IF($G583="","",$G583*$S$594/$G$594/Cadastro!$E$33),"")</f>
        <v>23.705806451612901</v>
      </c>
      <c r="I583" s="90">
        <f>IFERROR(IF($D583="","",VLOOKUP($D583,Cadastro!$C$4:$G$7,5,FALSE())),"")</f>
        <v>0.6</v>
      </c>
      <c r="J583" s="91">
        <f t="shared" si="150"/>
        <v>4.9782193548387088</v>
      </c>
      <c r="K583" s="69">
        <f t="shared" si="151"/>
        <v>16.8</v>
      </c>
      <c r="L583" s="70" t="s">
        <v>29</v>
      </c>
      <c r="M583" s="70" t="s">
        <v>137</v>
      </c>
      <c r="N583" s="70" t="s">
        <v>123</v>
      </c>
      <c r="O583" s="65">
        <v>0.82638888888888884</v>
      </c>
      <c r="P583" s="65">
        <v>0.88541666666666663</v>
      </c>
      <c r="Q583" s="71">
        <f t="shared" ca="1" si="152"/>
        <v>5.902777777777779E-2</v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 t="s">
        <v>38</v>
      </c>
      <c r="D584" s="62" t="s">
        <v>31</v>
      </c>
      <c r="E584" s="87" t="s">
        <v>276</v>
      </c>
      <c r="F584" s="88">
        <f>IFERROR(IF($D584="","",VLOOKUP($D584,Cadastro!$C$4:$E$7,3,FALSE())),"")</f>
        <v>0.35</v>
      </c>
      <c r="G584" s="89">
        <v>23</v>
      </c>
      <c r="H584" s="88">
        <f>IFERROR(IF($G584="","",$G584*$S$594/$G$594/Cadastro!$E$33),"")</f>
        <v>136.30838709677417</v>
      </c>
      <c r="I584" s="90">
        <f>IFERROR(IF($D584="","",VLOOKUP($D584,Cadastro!$C$4:$G$7,5,FALSE())),"")</f>
        <v>0.6</v>
      </c>
      <c r="J584" s="91">
        <f t="shared" si="150"/>
        <v>28.624761290322571</v>
      </c>
      <c r="K584" s="64">
        <f t="shared" si="151"/>
        <v>96.600000000000009</v>
      </c>
      <c r="L584" s="61" t="s">
        <v>28</v>
      </c>
      <c r="M584" s="61" t="s">
        <v>171</v>
      </c>
      <c r="N584" s="61" t="s">
        <v>36</v>
      </c>
      <c r="O584" s="65">
        <v>0.94236111111111109</v>
      </c>
      <c r="P584" s="65">
        <v>0.96250000000000002</v>
      </c>
      <c r="Q584" s="66">
        <f t="shared" ca="1" si="152"/>
        <v>2.0138888888888928E-2</v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 t="s">
        <v>38</v>
      </c>
      <c r="D585" s="62" t="s">
        <v>31</v>
      </c>
      <c r="E585" s="87" t="s">
        <v>276</v>
      </c>
      <c r="F585" s="88">
        <f>IFERROR(IF($D585="","",VLOOKUP($D585,Cadastro!$C$4:$E$7,3,FALSE())),"")</f>
        <v>0.35</v>
      </c>
      <c r="G585" s="89">
        <v>9</v>
      </c>
      <c r="H585" s="88">
        <f>IFERROR(IF($G585="","",$G585*$S$594/$G$594/Cadastro!$E$33),"")</f>
        <v>53.33806451612903</v>
      </c>
      <c r="I585" s="90">
        <f>IFERROR(IF($D585="","",VLOOKUP($D585,Cadastro!$C$4:$G$7,5,FALSE())),"")</f>
        <v>0.6</v>
      </c>
      <c r="J585" s="91">
        <f t="shared" si="150"/>
        <v>11.200993548387096</v>
      </c>
      <c r="K585" s="69">
        <f t="shared" si="151"/>
        <v>37.800000000000004</v>
      </c>
      <c r="L585" s="70" t="s">
        <v>29</v>
      </c>
      <c r="M585" s="70" t="s">
        <v>40</v>
      </c>
      <c r="N585" s="70" t="s">
        <v>65</v>
      </c>
      <c r="O585" s="65">
        <v>1.5277777777777777E-2</v>
      </c>
      <c r="P585" s="65">
        <v>0.05</v>
      </c>
      <c r="Q585" s="71">
        <f t="shared" ca="1" si="152"/>
        <v>3.4722222222222224E-2</v>
      </c>
      <c r="R585" s="80" t="s">
        <v>350</v>
      </c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 t="s">
        <v>38</v>
      </c>
      <c r="D586" s="62" t="s">
        <v>31</v>
      </c>
      <c r="E586" s="87" t="s">
        <v>276</v>
      </c>
      <c r="F586" s="88">
        <f>IFERROR(IF($D586="","",VLOOKUP($D586,Cadastro!$C$4:$E$7,3,FALSE())),"")</f>
        <v>0.35</v>
      </c>
      <c r="G586" s="89">
        <v>4</v>
      </c>
      <c r="H586" s="88">
        <f>IFERROR(IF($G586="","",$G586*$S$594/$G$594/Cadastro!$E$33),"")</f>
        <v>23.705806451612901</v>
      </c>
      <c r="I586" s="90">
        <f>IFERROR(IF($D586="","",VLOOKUP($D586,Cadastro!$C$4:$G$7,5,FALSE())),"")</f>
        <v>0.6</v>
      </c>
      <c r="J586" s="91">
        <f t="shared" si="150"/>
        <v>4.9782193548387088</v>
      </c>
      <c r="K586" s="64">
        <f t="shared" si="151"/>
        <v>16.8</v>
      </c>
      <c r="L586" s="61" t="s">
        <v>29</v>
      </c>
      <c r="M586" s="61" t="s">
        <v>137</v>
      </c>
      <c r="N586" s="61" t="s">
        <v>123</v>
      </c>
      <c r="O586" s="65">
        <v>0.19513888888888889</v>
      </c>
      <c r="P586" s="65">
        <v>0.20069444444444445</v>
      </c>
      <c r="Q586" s="66">
        <f t="shared" ca="1" si="152"/>
        <v>5.5555555555555636E-3</v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 t="s">
        <v>38</v>
      </c>
      <c r="D587" s="62" t="s">
        <v>31</v>
      </c>
      <c r="E587" s="87" t="s">
        <v>276</v>
      </c>
      <c r="F587" s="88">
        <f>IFERROR(IF($D587="","",VLOOKUP($D587,Cadastro!$C$4:$E$7,3,FALSE())),"")</f>
        <v>0.35</v>
      </c>
      <c r="G587" s="89">
        <v>4</v>
      </c>
      <c r="H587" s="88">
        <f>IFERROR(IF($G587="","",$G587*$S$594/$G$594/Cadastro!$E$33),"")</f>
        <v>23.705806451612901</v>
      </c>
      <c r="I587" s="90">
        <f>IFERROR(IF($D587="","",VLOOKUP($D587,Cadastro!$C$4:$G$7,5,FALSE())),"")</f>
        <v>0.6</v>
      </c>
      <c r="J587" s="91">
        <f t="shared" si="150"/>
        <v>4.9782193548387088</v>
      </c>
      <c r="K587" s="69">
        <f t="shared" si="151"/>
        <v>16.8</v>
      </c>
      <c r="L587" s="70" t="s">
        <v>28</v>
      </c>
      <c r="M587" s="70" t="s">
        <v>171</v>
      </c>
      <c r="N587" s="70" t="s">
        <v>36</v>
      </c>
      <c r="O587" s="65">
        <v>0.21527777777777779</v>
      </c>
      <c r="P587" s="65">
        <v>0.23402777777777778</v>
      </c>
      <c r="Q587" s="71">
        <f t="shared" ca="1" si="152"/>
        <v>1.8749999999999989E-2</v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 t="s">
        <v>38</v>
      </c>
      <c r="D588" s="62" t="s">
        <v>31</v>
      </c>
      <c r="E588" s="87" t="s">
        <v>276</v>
      </c>
      <c r="F588" s="88">
        <f>IFERROR(IF($D588="","",VLOOKUP($D588,Cadastro!$C$4:$E$7,3,FALSE())),"")</f>
        <v>0.35</v>
      </c>
      <c r="G588" s="89">
        <v>6</v>
      </c>
      <c r="H588" s="88">
        <f>IFERROR(IF($G588="","",$G588*$S$594/$G$594/Cadastro!$E$33),"")</f>
        <v>35.558709677419358</v>
      </c>
      <c r="I588" s="90">
        <f>IFERROR(IF($D588="","",VLOOKUP($D588,Cadastro!$C$4:$G$7,5,FALSE())),"")</f>
        <v>0.6</v>
      </c>
      <c r="J588" s="91">
        <f t="shared" si="150"/>
        <v>7.4673290322580641</v>
      </c>
      <c r="K588" s="64">
        <f t="shared" si="151"/>
        <v>25.200000000000003</v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 t="s">
        <v>38</v>
      </c>
      <c r="D589" s="62" t="s">
        <v>31</v>
      </c>
      <c r="E589" s="87" t="s">
        <v>276</v>
      </c>
      <c r="F589" s="88">
        <f>IFERROR(IF($D589="","",VLOOKUP($D589,Cadastro!$C$4:$E$7,3,FALSE())),"")</f>
        <v>0.35</v>
      </c>
      <c r="G589" s="89">
        <v>20</v>
      </c>
      <c r="H589" s="88">
        <f>IFERROR(IF($G589="","",$G589*$S$594/$G$594/Cadastro!$E$33),"")</f>
        <v>118.52903225806452</v>
      </c>
      <c r="I589" s="90">
        <f>IFERROR(IF($D589="","",VLOOKUP($D589,Cadastro!$C$4:$G$7,5,FALSE())),"")</f>
        <v>0.6</v>
      </c>
      <c r="J589" s="91">
        <f t="shared" si="150"/>
        <v>24.891096774193546</v>
      </c>
      <c r="K589" s="69">
        <f t="shared" si="151"/>
        <v>84</v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 t="s">
        <v>38</v>
      </c>
      <c r="D590" s="62" t="s">
        <v>31</v>
      </c>
      <c r="E590" s="87" t="s">
        <v>261</v>
      </c>
      <c r="F590" s="88">
        <f>IFERROR(IF($D590="","",VLOOKUP($D590,Cadastro!$C$4:$E$7,3,FALSE())),"")</f>
        <v>0.35</v>
      </c>
      <c r="G590" s="89">
        <v>10</v>
      </c>
      <c r="H590" s="88">
        <f>IFERROR(IF($G590="","",$G590*$S$594/$G$594/Cadastro!$E$33),"")</f>
        <v>59.264516129032259</v>
      </c>
      <c r="I590" s="90">
        <f>IFERROR(IF($D590="","",VLOOKUP($D590,Cadastro!$C$4:$G$7,5,FALSE())),"")</f>
        <v>0.6</v>
      </c>
      <c r="J590" s="91">
        <f t="shared" si="150"/>
        <v>12.445548387096773</v>
      </c>
      <c r="K590" s="64">
        <f t="shared" si="151"/>
        <v>50</v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 t="s">
        <v>38</v>
      </c>
      <c r="D591" s="62" t="s">
        <v>31</v>
      </c>
      <c r="E591" s="87" t="s">
        <v>276</v>
      </c>
      <c r="F591" s="88">
        <f>IFERROR(IF($D591="","",VLOOKUP($D591,Cadastro!$C$4:$E$7,3,FALSE())),"")</f>
        <v>0.35</v>
      </c>
      <c r="G591" s="89">
        <v>6</v>
      </c>
      <c r="H591" s="88">
        <f>IFERROR(IF($G591="","",$G591*$S$594/$G$594/Cadastro!$E$33),"")</f>
        <v>35.558709677419358</v>
      </c>
      <c r="I591" s="90">
        <f>IFERROR(IF($D591="","",VLOOKUP($D591,Cadastro!$C$4:$G$7,5,FALSE())),"")</f>
        <v>0.6</v>
      </c>
      <c r="J591" s="91">
        <f t="shared" si="150"/>
        <v>7.4673290322580641</v>
      </c>
      <c r="K591" s="69">
        <f t="shared" si="151"/>
        <v>25.200000000000003</v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 t="s">
        <v>38</v>
      </c>
      <c r="D592" s="62" t="s">
        <v>31</v>
      </c>
      <c r="E592" s="87" t="s">
        <v>276</v>
      </c>
      <c r="F592" s="88">
        <f>IFERROR(IF($D592="","",VLOOKUP($D592,Cadastro!$C$4:$E$7,3,FALSE())),"")</f>
        <v>0.35</v>
      </c>
      <c r="G592" s="89">
        <v>3</v>
      </c>
      <c r="H592" s="88">
        <f>IFERROR(IF($G592="","",$G592*$S$594/$G$594/Cadastro!$E$33),"")</f>
        <v>17.779354838709679</v>
      </c>
      <c r="I592" s="90">
        <f>IFERROR(IF($D592="","",VLOOKUP($D592,Cadastro!$C$4:$G$7,5,FALSE())),"")</f>
        <v>0.6</v>
      </c>
      <c r="J592" s="91">
        <f t="shared" si="150"/>
        <v>3.7336645161290321</v>
      </c>
      <c r="K592" s="64">
        <f t="shared" si="151"/>
        <v>12.600000000000001</v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 t="s">
        <v>38</v>
      </c>
      <c r="D593" s="62" t="s">
        <v>31</v>
      </c>
      <c r="E593" s="87" t="s">
        <v>276</v>
      </c>
      <c r="F593" s="92">
        <f>IFERROR(IF($D593="","",VLOOKUP($D593,Cadastro!$C$4:$E$7,3,FALSE())),"")</f>
        <v>0.35</v>
      </c>
      <c r="G593" s="89">
        <v>0</v>
      </c>
      <c r="H593" s="92">
        <f>IFERROR(IF($G593="","",$G593*$S$594/$G$594/Cadastro!$E$33),"")</f>
        <v>0</v>
      </c>
      <c r="I593" s="93">
        <f>IFERROR(IF($D593="","",VLOOKUP($D593,Cadastro!$C$4:$G$7,5,FALSE())),"")</f>
        <v>0.6</v>
      </c>
      <c r="J593" s="94">
        <f t="shared" si="150"/>
        <v>0</v>
      </c>
      <c r="K593" s="69">
        <f t="shared" si="151"/>
        <v>0</v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8" t="s">
        <v>265</v>
      </c>
      <c r="B594" s="158"/>
      <c r="C594" s="158"/>
      <c r="D594" s="158"/>
      <c r="E594" s="158"/>
      <c r="F594" s="105"/>
      <c r="G594" s="96">
        <f>SUM(G582:G593)</f>
        <v>93</v>
      </c>
      <c r="H594" s="105">
        <f>IFERROR(SUM(H582:H593),"")</f>
        <v>551.15999999999985</v>
      </c>
      <c r="I594" s="106"/>
      <c r="J594" s="107">
        <f>IFERROR(SUM(J582:J593),"")</f>
        <v>115.74359999999999</v>
      </c>
      <c r="K594" s="2">
        <f>SUM(K582:K593)</f>
        <v>398.60000000000008</v>
      </c>
      <c r="L594" s="72"/>
      <c r="M594" s="72"/>
      <c r="N594" s="72"/>
      <c r="O594" s="72"/>
      <c r="P594" s="72"/>
      <c r="Q594" s="73">
        <f ca="1">IFERROR(SUM(Q582:Q593),"")</f>
        <v>0.15138888888888899</v>
      </c>
      <c r="R594" s="2" t="s">
        <v>263</v>
      </c>
      <c r="S594" s="74">
        <v>551160</v>
      </c>
      <c r="T594" s="99">
        <f>IFERROR(J594,"")</f>
        <v>115.74359999999999</v>
      </c>
    </row>
    <row r="595" spans="1:20" ht="18" customHeight="1">
      <c r="A595" s="159" t="s">
        <v>251</v>
      </c>
      <c r="B595" s="159"/>
      <c r="C595" s="159"/>
      <c r="D595" s="159"/>
      <c r="E595" s="159"/>
      <c r="F595" s="108"/>
      <c r="G595" s="109">
        <f>G581+G594</f>
        <v>142</v>
      </c>
      <c r="H595" s="108">
        <f>IFERROR(H581+H594,"")</f>
        <v>726.69999999999982</v>
      </c>
      <c r="I595" s="110"/>
      <c r="J595" s="111">
        <f>IFERROR(J581+J594,"")</f>
        <v>152.60699999999997</v>
      </c>
      <c r="K595" s="1">
        <f>K581+K594</f>
        <v>604.40000000000009</v>
      </c>
      <c r="L595" s="76"/>
      <c r="M595" s="76"/>
      <c r="N595" s="76"/>
      <c r="O595" s="76"/>
      <c r="P595" s="76"/>
      <c r="Q595" s="77">
        <f ca="1">IFERROR(Q581+Q594,"")</f>
        <v>0.55555555555555558</v>
      </c>
      <c r="R595" s="1" t="s">
        <v>266</v>
      </c>
      <c r="S595" s="82">
        <f>IFERROR(S581+S594,"")</f>
        <v>726700</v>
      </c>
      <c r="T595" s="118">
        <f>IFERROR(J595,"")</f>
        <v>152.60699999999997</v>
      </c>
    </row>
    <row r="596" spans="1:20" ht="15" customHeight="1">
      <c r="A596" s="59">
        <v>46257</v>
      </c>
      <c r="B596" s="60">
        <v>0.33333333333333298</v>
      </c>
      <c r="C596" s="61" t="s">
        <v>30</v>
      </c>
      <c r="D596" s="62" t="s">
        <v>31</v>
      </c>
      <c r="E596" s="87" t="s">
        <v>276</v>
      </c>
      <c r="F596" s="101">
        <f>IFERROR(IF($D596="","",VLOOKUP($D596,Cadastro!$C$4:$E$7,3,FALSE())),"")</f>
        <v>0.35</v>
      </c>
      <c r="G596" s="89">
        <v>26</v>
      </c>
      <c r="H596" s="101">
        <f>IFERROR(IF($G596="","",$G596*$S$608/$G$608/Cadastro!$E$33),"")</f>
        <v>0</v>
      </c>
      <c r="I596" s="102">
        <f>IFERROR(IF($D596="","",VLOOKUP($D596,Cadastro!$C$4:$G$7,5,FALSE())),"")</f>
        <v>0.6</v>
      </c>
      <c r="J596" s="103">
        <f t="shared" ref="J596:J607" si="154">IFERROR(IF($H596="","",$H596*$F596*$I596),"")</f>
        <v>0</v>
      </c>
      <c r="K596" s="64">
        <f t="shared" ref="K596:K607" si="155">IF(G596="","",IF(E596="PC 17",G596*4.2,IF(E596="PC 19",G596*5,IF(E596="CB",G596*24,""))))</f>
        <v>109.2</v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 t="s">
        <v>30</v>
      </c>
      <c r="D597" s="62" t="s">
        <v>31</v>
      </c>
      <c r="E597" s="87" t="s">
        <v>276</v>
      </c>
      <c r="F597" s="88">
        <f>IFERROR(IF($D597="","",VLOOKUP($D597,Cadastro!$C$4:$E$7,3,FALSE())),"")</f>
        <v>0.35</v>
      </c>
      <c r="G597" s="89">
        <v>15</v>
      </c>
      <c r="H597" s="88">
        <f>IFERROR(IF($G597="","",$G597*$S$608/$G$608/Cadastro!$E$33),"")</f>
        <v>0</v>
      </c>
      <c r="I597" s="90">
        <f>IFERROR(IF($D597="","",VLOOKUP($D597,Cadastro!$C$4:$G$7,5,FALSE())),"")</f>
        <v>0.6</v>
      </c>
      <c r="J597" s="91">
        <f t="shared" si="154"/>
        <v>0</v>
      </c>
      <c r="K597" s="69">
        <f t="shared" si="155"/>
        <v>63</v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 t="s">
        <v>30</v>
      </c>
      <c r="D598" s="62" t="s">
        <v>31</v>
      </c>
      <c r="E598" s="87" t="s">
        <v>276</v>
      </c>
      <c r="F598" s="88">
        <f>IFERROR(IF($D598="","",VLOOKUP($D598,Cadastro!$C$4:$E$7,3,FALSE())),"")</f>
        <v>0.35</v>
      </c>
      <c r="G598" s="89"/>
      <c r="H598" s="88" t="str">
        <f>IFERROR(IF($G598="","",$G598*$S$608/$G$608/Cadastro!$E$33),"")</f>
        <v/>
      </c>
      <c r="I598" s="90">
        <f>IFERROR(IF($D598="","",VLOOKUP($D598,Cadastro!$C$4:$G$7,5,FALSE())),"")</f>
        <v>0.6</v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 t="s">
        <v>30</v>
      </c>
      <c r="D599" s="62" t="s">
        <v>31</v>
      </c>
      <c r="E599" s="87" t="s">
        <v>276</v>
      </c>
      <c r="F599" s="88">
        <f>IFERROR(IF($D599="","",VLOOKUP($D599,Cadastro!$C$4:$E$7,3,FALSE())),"")</f>
        <v>0.35</v>
      </c>
      <c r="G599" s="89"/>
      <c r="H599" s="88" t="str">
        <f>IFERROR(IF($G599="","",$G599*$S$608/$G$608/Cadastro!$E$33),"")</f>
        <v/>
      </c>
      <c r="I599" s="90">
        <f>IFERROR(IF($D599="","",VLOOKUP($D599,Cadastro!$C$4:$G$7,5,FALSE())),"")</f>
        <v>0.6</v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 t="s">
        <v>30</v>
      </c>
      <c r="D600" s="62" t="s">
        <v>31</v>
      </c>
      <c r="E600" s="87" t="s">
        <v>276</v>
      </c>
      <c r="F600" s="88">
        <f>IFERROR(IF($D600="","",VLOOKUP($D600,Cadastro!$C$4:$E$7,3,FALSE())),"")</f>
        <v>0.35</v>
      </c>
      <c r="G600" s="89"/>
      <c r="H600" s="88" t="str">
        <f>IFERROR(IF($G600="","",$G600*$S$608/$G$608/Cadastro!$E$33),"")</f>
        <v/>
      </c>
      <c r="I600" s="90">
        <f>IFERROR(IF($D600="","",VLOOKUP($D600,Cadastro!$C$4:$G$7,5,FALSE())),"")</f>
        <v>0.6</v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 t="s">
        <v>30</v>
      </c>
      <c r="D601" s="62" t="s">
        <v>31</v>
      </c>
      <c r="E601" s="87" t="s">
        <v>276</v>
      </c>
      <c r="F601" s="88">
        <f>IFERROR(IF($D601="","",VLOOKUP($D601,Cadastro!$C$4:$E$7,3,FALSE())),"")</f>
        <v>0.35</v>
      </c>
      <c r="G601" s="89"/>
      <c r="H601" s="88" t="str">
        <f>IFERROR(IF($G601="","",$G601*$S$608/$G$608/Cadastro!$E$33),"")</f>
        <v/>
      </c>
      <c r="I601" s="90">
        <f>IFERROR(IF($D601="","",VLOOKUP($D601,Cadastro!$C$4:$G$7,5,FALSE())),"")</f>
        <v>0.6</v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 t="s">
        <v>30</v>
      </c>
      <c r="D602" s="62" t="s">
        <v>31</v>
      </c>
      <c r="E602" s="87" t="s">
        <v>276</v>
      </c>
      <c r="F602" s="88">
        <f>IFERROR(IF($D602="","",VLOOKUP($D602,Cadastro!$C$4:$E$7,3,FALSE())),"")</f>
        <v>0.35</v>
      </c>
      <c r="G602" s="89"/>
      <c r="H602" s="88" t="str">
        <f>IFERROR(IF($G602="","",$G602*$S$608/$G$608/Cadastro!$E$33),"")</f>
        <v/>
      </c>
      <c r="I602" s="90">
        <f>IFERROR(IF($D602="","",VLOOKUP($D602,Cadastro!$C$4:$G$7,5,FALSE())),"")</f>
        <v>0.6</v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 t="s">
        <v>30</v>
      </c>
      <c r="D603" s="62" t="s">
        <v>31</v>
      </c>
      <c r="E603" s="87" t="s">
        <v>276</v>
      </c>
      <c r="F603" s="88">
        <f>IFERROR(IF($D603="","",VLOOKUP($D603,Cadastro!$C$4:$E$7,3,FALSE())),"")</f>
        <v>0.35</v>
      </c>
      <c r="G603" s="89"/>
      <c r="H603" s="88" t="str">
        <f>IFERROR(IF($G603="","",$G603*$S$608/$G$608/Cadastro!$E$33),"")</f>
        <v/>
      </c>
      <c r="I603" s="90">
        <f>IFERROR(IF($D603="","",VLOOKUP($D603,Cadastro!$C$4:$G$7,5,FALSE())),"")</f>
        <v>0.6</v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 t="s">
        <v>30</v>
      </c>
      <c r="D604" s="62" t="s">
        <v>31</v>
      </c>
      <c r="E604" s="87" t="s">
        <v>276</v>
      </c>
      <c r="F604" s="88">
        <f>IFERROR(IF($D604="","",VLOOKUP($D604,Cadastro!$C$4:$E$7,3,FALSE())),"")</f>
        <v>0.35</v>
      </c>
      <c r="G604" s="89"/>
      <c r="H604" s="88" t="str">
        <f>IFERROR(IF($G604="","",$G604*$S$608/$G$608/Cadastro!$E$33),"")</f>
        <v/>
      </c>
      <c r="I604" s="90">
        <f>IFERROR(IF($D604="","",VLOOKUP($D604,Cadastro!$C$4:$G$7,5,FALSE())),"")</f>
        <v>0.6</v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 t="s">
        <v>30</v>
      </c>
      <c r="D605" s="62" t="s">
        <v>31</v>
      </c>
      <c r="E605" s="87" t="s">
        <v>276</v>
      </c>
      <c r="F605" s="88">
        <f>IFERROR(IF($D605="","",VLOOKUP($D605,Cadastro!$C$4:$E$7,3,FALSE())),"")</f>
        <v>0.35</v>
      </c>
      <c r="G605" s="89"/>
      <c r="H605" s="88" t="str">
        <f>IFERROR(IF($G605="","",$G605*$S$608/$G$608/Cadastro!$E$33),"")</f>
        <v/>
      </c>
      <c r="I605" s="90">
        <f>IFERROR(IF($D605="","",VLOOKUP($D605,Cadastro!$C$4:$G$7,5,FALSE())),"")</f>
        <v>0.6</v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 t="s">
        <v>30</v>
      </c>
      <c r="D606" s="62" t="s">
        <v>31</v>
      </c>
      <c r="E606" s="87" t="s">
        <v>276</v>
      </c>
      <c r="F606" s="88">
        <f>IFERROR(IF($D606="","",VLOOKUP($D606,Cadastro!$C$4:$E$7,3,FALSE())),"")</f>
        <v>0.35</v>
      </c>
      <c r="G606" s="89"/>
      <c r="H606" s="88" t="str">
        <f>IFERROR(IF($G606="","",$G606*$S$608/$G$608/Cadastro!$E$33),"")</f>
        <v/>
      </c>
      <c r="I606" s="90">
        <f>IFERROR(IF($D606="","",VLOOKUP($D606,Cadastro!$C$4:$G$7,5,FALSE())),"")</f>
        <v>0.6</v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 t="s">
        <v>30</v>
      </c>
      <c r="D607" s="62" t="s">
        <v>31</v>
      </c>
      <c r="E607" s="87" t="s">
        <v>276</v>
      </c>
      <c r="F607" s="92">
        <f>IFERROR(IF($D607="","",VLOOKUP($D607,Cadastro!$C$4:$E$7,3,FALSE())),"")</f>
        <v>0.35</v>
      </c>
      <c r="G607" s="89"/>
      <c r="H607" s="92" t="str">
        <f>IFERROR(IF($G607="","",$G607*$S$608/$G$608/Cadastro!$E$33),"")</f>
        <v/>
      </c>
      <c r="I607" s="93">
        <f>IFERROR(IF($D607="","",VLOOKUP($D607,Cadastro!$C$4:$G$7,5,FALSE())),"")</f>
        <v>0.6</v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8" t="s">
        <v>262</v>
      </c>
      <c r="B608" s="158"/>
      <c r="C608" s="158"/>
      <c r="D608" s="158"/>
      <c r="E608" s="158"/>
      <c r="F608" s="95"/>
      <c r="G608" s="96">
        <f>SUM(G596:G607)</f>
        <v>41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172.2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263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8" t="s">
        <v>265</v>
      </c>
      <c r="B621" s="158"/>
      <c r="C621" s="158"/>
      <c r="D621" s="158"/>
      <c r="E621" s="158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263</v>
      </c>
      <c r="S621" s="74"/>
      <c r="T621" s="99">
        <f>IFERROR(J621,"")</f>
        <v>0</v>
      </c>
    </row>
    <row r="622" spans="1:20" ht="18" customHeight="1">
      <c r="A622" s="159" t="s">
        <v>251</v>
      </c>
      <c r="B622" s="159"/>
      <c r="C622" s="159"/>
      <c r="D622" s="159"/>
      <c r="E622" s="159"/>
      <c r="F622" s="108"/>
      <c r="G622" s="109">
        <f>G608+G621</f>
        <v>41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172.2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266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8" t="s">
        <v>262</v>
      </c>
      <c r="B635" s="158"/>
      <c r="C635" s="158"/>
      <c r="D635" s="158"/>
      <c r="E635" s="158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263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8" t="s">
        <v>265</v>
      </c>
      <c r="B648" s="158"/>
      <c r="C648" s="158"/>
      <c r="D648" s="158"/>
      <c r="E648" s="158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263</v>
      </c>
      <c r="S648" s="74"/>
      <c r="T648" s="99">
        <f>IFERROR(J648,"")</f>
        <v>0</v>
      </c>
    </row>
    <row r="649" spans="1:20" ht="18" customHeight="1">
      <c r="A649" s="159" t="s">
        <v>251</v>
      </c>
      <c r="B649" s="159"/>
      <c r="C649" s="159"/>
      <c r="D649" s="159"/>
      <c r="E649" s="159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266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8" t="s">
        <v>262</v>
      </c>
      <c r="B662" s="158"/>
      <c r="C662" s="158"/>
      <c r="D662" s="158"/>
      <c r="E662" s="158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263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8" t="s">
        <v>265</v>
      </c>
      <c r="B675" s="158"/>
      <c r="C675" s="158"/>
      <c r="D675" s="158"/>
      <c r="E675" s="158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263</v>
      </c>
      <c r="S675" s="74"/>
      <c r="T675" s="99">
        <f>IFERROR(J675,"")</f>
        <v>0</v>
      </c>
    </row>
    <row r="676" spans="1:20" ht="18" customHeight="1">
      <c r="A676" s="159" t="s">
        <v>251</v>
      </c>
      <c r="B676" s="159"/>
      <c r="C676" s="159"/>
      <c r="D676" s="159"/>
      <c r="E676" s="159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266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8" t="s">
        <v>262</v>
      </c>
      <c r="B689" s="158"/>
      <c r="C689" s="158"/>
      <c r="D689" s="158"/>
      <c r="E689" s="158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263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8" t="s">
        <v>265</v>
      </c>
      <c r="B702" s="158"/>
      <c r="C702" s="158"/>
      <c r="D702" s="158"/>
      <c r="E702" s="158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263</v>
      </c>
      <c r="S702" s="74"/>
      <c r="T702" s="99">
        <f>IFERROR(J702,"")</f>
        <v>0</v>
      </c>
    </row>
    <row r="703" spans="1:20" ht="18" customHeight="1">
      <c r="A703" s="159" t="s">
        <v>251</v>
      </c>
      <c r="B703" s="159"/>
      <c r="C703" s="159"/>
      <c r="D703" s="159"/>
      <c r="E703" s="159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266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8" t="s">
        <v>262</v>
      </c>
      <c r="B716" s="158"/>
      <c r="C716" s="158"/>
      <c r="D716" s="158"/>
      <c r="E716" s="158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263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8" t="s">
        <v>265</v>
      </c>
      <c r="B729" s="158"/>
      <c r="C729" s="158"/>
      <c r="D729" s="158"/>
      <c r="E729" s="158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263</v>
      </c>
      <c r="S729" s="74"/>
      <c r="T729" s="99">
        <f>IFERROR(J729,"")</f>
        <v>0</v>
      </c>
    </row>
    <row r="730" spans="1:20" ht="18" customHeight="1">
      <c r="A730" s="159" t="s">
        <v>251</v>
      </c>
      <c r="B730" s="159"/>
      <c r="C730" s="159"/>
      <c r="D730" s="159"/>
      <c r="E730" s="159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266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8" t="s">
        <v>262</v>
      </c>
      <c r="B743" s="158"/>
      <c r="C743" s="158"/>
      <c r="D743" s="158"/>
      <c r="E743" s="158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263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8" t="s">
        <v>265</v>
      </c>
      <c r="B756" s="158"/>
      <c r="C756" s="158"/>
      <c r="D756" s="158"/>
      <c r="E756" s="158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263</v>
      </c>
      <c r="S756" s="74"/>
      <c r="T756" s="99">
        <f>IFERROR(J756,"")</f>
        <v>0</v>
      </c>
    </row>
    <row r="757" spans="1:20" ht="18" customHeight="1">
      <c r="A757" s="159" t="s">
        <v>251</v>
      </c>
      <c r="B757" s="159"/>
      <c r="C757" s="159"/>
      <c r="D757" s="159"/>
      <c r="E757" s="159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266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8" t="s">
        <v>262</v>
      </c>
      <c r="B770" s="158"/>
      <c r="C770" s="158"/>
      <c r="D770" s="158"/>
      <c r="E770" s="158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263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8" t="s">
        <v>265</v>
      </c>
      <c r="B783" s="158"/>
      <c r="C783" s="158"/>
      <c r="D783" s="158"/>
      <c r="E783" s="158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263</v>
      </c>
      <c r="S783" s="74"/>
      <c r="T783" s="99">
        <f>IFERROR(J783,"")</f>
        <v>0</v>
      </c>
    </row>
    <row r="784" spans="1:20" ht="18" customHeight="1">
      <c r="A784" s="159" t="s">
        <v>251</v>
      </c>
      <c r="B784" s="159"/>
      <c r="C784" s="159"/>
      <c r="D784" s="159"/>
      <c r="E784" s="159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266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8" t="s">
        <v>262</v>
      </c>
      <c r="B797" s="158"/>
      <c r="C797" s="158"/>
      <c r="D797" s="158"/>
      <c r="E797" s="158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263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8" t="s">
        <v>265</v>
      </c>
      <c r="B810" s="158"/>
      <c r="C810" s="158"/>
      <c r="D810" s="158"/>
      <c r="E810" s="158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263</v>
      </c>
      <c r="S810" s="74"/>
      <c r="T810" s="99">
        <f>IFERROR(J810,"")</f>
        <v>0</v>
      </c>
    </row>
    <row r="811" spans="1:20" ht="18" customHeight="1">
      <c r="A811" s="159" t="s">
        <v>251</v>
      </c>
      <c r="B811" s="159"/>
      <c r="C811" s="159"/>
      <c r="D811" s="159"/>
      <c r="E811" s="159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266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8" t="s">
        <v>262</v>
      </c>
      <c r="B824" s="158"/>
      <c r="C824" s="158"/>
      <c r="D824" s="158"/>
      <c r="E824" s="158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263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8" t="s">
        <v>265</v>
      </c>
      <c r="B837" s="158"/>
      <c r="C837" s="158"/>
      <c r="D837" s="158"/>
      <c r="E837" s="158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263</v>
      </c>
      <c r="S837" s="113"/>
      <c r="T837" s="114">
        <f>IFERROR(J837,"")</f>
        <v>0</v>
      </c>
    </row>
    <row r="838" spans="1:20" ht="18" customHeight="1">
      <c r="A838" s="159" t="s">
        <v>251</v>
      </c>
      <c r="B838" s="159"/>
      <c r="C838" s="159"/>
      <c r="D838" s="159"/>
      <c r="E838" s="159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266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tabSelected="1" zoomScale="80" zoomScaleNormal="80" workbookViewId="0">
      <pane ySplit="1" topLeftCell="A575" activePane="bottomLeft" state="frozen"/>
      <selection pane="bottomLeft" activeCell="D604" sqref="D604"/>
    </sheetView>
  </sheetViews>
  <sheetFormatPr defaultColWidth="8.5703125" defaultRowHeight="1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252</v>
      </c>
      <c r="C1" s="57" t="s">
        <v>19</v>
      </c>
      <c r="D1" s="56" t="s">
        <v>20</v>
      </c>
      <c r="E1" s="56" t="s">
        <v>253</v>
      </c>
      <c r="F1" s="86" t="s">
        <v>21</v>
      </c>
      <c r="G1" s="57" t="s">
        <v>254</v>
      </c>
      <c r="H1" s="86" t="s">
        <v>305</v>
      </c>
      <c r="I1" s="86" t="s">
        <v>22</v>
      </c>
      <c r="J1" s="86" t="s">
        <v>306</v>
      </c>
      <c r="K1" s="57" t="s">
        <v>255</v>
      </c>
      <c r="L1" s="57" t="s">
        <v>23</v>
      </c>
      <c r="M1" s="57" t="s">
        <v>24</v>
      </c>
      <c r="N1" s="57" t="s">
        <v>256</v>
      </c>
      <c r="O1" s="57" t="s">
        <v>257</v>
      </c>
      <c r="P1" s="57" t="s">
        <v>258</v>
      </c>
      <c r="Q1" s="58" t="s">
        <v>259</v>
      </c>
      <c r="R1" s="57" t="s">
        <v>248</v>
      </c>
      <c r="S1" s="57" t="s">
        <v>260</v>
      </c>
      <c r="T1" s="57" t="s">
        <v>306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276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276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276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276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276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276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276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276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276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276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276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276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8" t="s">
        <v>262</v>
      </c>
      <c r="B14" s="158"/>
      <c r="C14" s="158"/>
      <c r="D14" s="158"/>
      <c r="E14" s="158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263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276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351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276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146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276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169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276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146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310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276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173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352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276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276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276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276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276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276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276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8" t="s">
        <v>265</v>
      </c>
      <c r="B27" s="158"/>
      <c r="C27" s="158"/>
      <c r="D27" s="158"/>
      <c r="E27" s="158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263</v>
      </c>
      <c r="S27" s="74">
        <v>358000</v>
      </c>
      <c r="T27" s="99">
        <f>IFERROR(J27,"")</f>
        <v>0</v>
      </c>
    </row>
    <row r="28" spans="1:20" ht="18" customHeight="1">
      <c r="A28" s="159" t="s">
        <v>251</v>
      </c>
      <c r="B28" s="159"/>
      <c r="C28" s="159"/>
      <c r="D28" s="159"/>
      <c r="E28" s="159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266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276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276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276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276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276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276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276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276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276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276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276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276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8" t="s">
        <v>262</v>
      </c>
      <c r="B41" s="158"/>
      <c r="C41" s="158"/>
      <c r="D41" s="158"/>
      <c r="E41" s="158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263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276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179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316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276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351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276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276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276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276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276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276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276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351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276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169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276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276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145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8" t="s">
        <v>265</v>
      </c>
      <c r="B54" s="158"/>
      <c r="C54" s="158"/>
      <c r="D54" s="158"/>
      <c r="E54" s="158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263</v>
      </c>
      <c r="S54" s="74">
        <v>279980</v>
      </c>
      <c r="T54" s="99">
        <f>IFERROR(J54,"")</f>
        <v>0</v>
      </c>
    </row>
    <row r="55" spans="1:20" ht="18" customHeight="1">
      <c r="A55" s="159" t="s">
        <v>251</v>
      </c>
      <c r="B55" s="159"/>
      <c r="C55" s="159"/>
      <c r="D55" s="159"/>
      <c r="E55" s="159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266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276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276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276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276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276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276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276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141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353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276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276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276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276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276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8" t="s">
        <v>262</v>
      </c>
      <c r="B68" s="158"/>
      <c r="C68" s="158"/>
      <c r="D68" s="158"/>
      <c r="E68" s="158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263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276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354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276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160</v>
      </c>
      <c r="N70" s="61" t="s">
        <v>198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276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169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276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169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276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169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276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276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276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276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276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8" t="s">
        <v>265</v>
      </c>
      <c r="B81" s="158"/>
      <c r="C81" s="158"/>
      <c r="D81" s="158"/>
      <c r="E81" s="158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263</v>
      </c>
      <c r="S81" s="74">
        <v>185920</v>
      </c>
      <c r="T81" s="99">
        <f>IFERROR(J81,"")</f>
        <v>0</v>
      </c>
    </row>
    <row r="82" spans="1:20" ht="18" customHeight="1">
      <c r="A82" s="159" t="s">
        <v>251</v>
      </c>
      <c r="B82" s="159"/>
      <c r="C82" s="159"/>
      <c r="D82" s="159"/>
      <c r="E82" s="159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266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276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355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276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149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356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276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276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276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276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276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276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276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276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276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276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8" t="s">
        <v>262</v>
      </c>
      <c r="B95" s="158"/>
      <c r="C95" s="158"/>
      <c r="D95" s="158"/>
      <c r="E95" s="158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263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276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149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276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149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357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276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276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169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276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276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276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276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276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276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276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276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8" t="s">
        <v>265</v>
      </c>
      <c r="B108" s="158"/>
      <c r="C108" s="158"/>
      <c r="D108" s="158"/>
      <c r="E108" s="158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263</v>
      </c>
      <c r="S108" s="74">
        <v>434370</v>
      </c>
      <c r="T108" s="99">
        <f>IFERROR(J108,"")</f>
        <v>0</v>
      </c>
    </row>
    <row r="109" spans="1:20" ht="18" customHeight="1">
      <c r="A109" s="159" t="s">
        <v>251</v>
      </c>
      <c r="B109" s="159"/>
      <c r="C109" s="159"/>
      <c r="D109" s="159"/>
      <c r="E109" s="159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266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276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276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276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276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276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276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276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276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276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276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276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276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8" t="s">
        <v>262</v>
      </c>
      <c r="B122" s="158"/>
      <c r="C122" s="158"/>
      <c r="D122" s="158"/>
      <c r="E122" s="158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263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276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169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276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169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276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358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276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276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146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276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276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142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276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276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211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276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276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276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8" t="s">
        <v>265</v>
      </c>
      <c r="B135" s="158"/>
      <c r="C135" s="158"/>
      <c r="D135" s="158"/>
      <c r="E135" s="158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263</v>
      </c>
      <c r="S135" s="74">
        <v>416350</v>
      </c>
      <c r="T135" s="99">
        <f>IFERROR(J135,"")</f>
        <v>0</v>
      </c>
    </row>
    <row r="136" spans="1:20" ht="18" customHeight="1">
      <c r="A136" s="159" t="s">
        <v>251</v>
      </c>
      <c r="B136" s="159"/>
      <c r="C136" s="159"/>
      <c r="D136" s="159"/>
      <c r="E136" s="159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266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276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359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276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276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217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276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149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276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276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276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276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324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276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276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276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276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8" t="s">
        <v>262</v>
      </c>
      <c r="B149" s="158"/>
      <c r="C149" s="158"/>
      <c r="D149" s="158"/>
      <c r="E149" s="158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263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276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149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276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276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276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316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276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276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276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276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276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276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276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276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8" t="s">
        <v>265</v>
      </c>
      <c r="B162" s="158"/>
      <c r="C162" s="158"/>
      <c r="D162" s="158"/>
      <c r="E162" s="158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263</v>
      </c>
      <c r="S162" s="74">
        <v>169760</v>
      </c>
      <c r="T162" s="99">
        <f>IFERROR(J162,"")</f>
        <v>0</v>
      </c>
    </row>
    <row r="163" spans="1:20" ht="18" customHeight="1">
      <c r="A163" s="159" t="s">
        <v>251</v>
      </c>
      <c r="B163" s="159"/>
      <c r="C163" s="159"/>
      <c r="D163" s="159"/>
      <c r="E163" s="159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266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276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276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276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360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276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276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276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276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276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276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169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276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169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276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276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8" t="s">
        <v>262</v>
      </c>
      <c r="B176" s="158"/>
      <c r="C176" s="158"/>
      <c r="D176" s="158"/>
      <c r="E176" s="158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263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276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276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160</v>
      </c>
      <c r="N178" s="61" t="s">
        <v>145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276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361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276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276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160</v>
      </c>
      <c r="N181" s="70" t="s">
        <v>145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276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327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276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276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276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327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276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276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276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8" t="s">
        <v>265</v>
      </c>
      <c r="B189" s="158"/>
      <c r="C189" s="158"/>
      <c r="D189" s="158"/>
      <c r="E189" s="158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263</v>
      </c>
      <c r="S189" s="74">
        <v>72220</v>
      </c>
      <c r="T189" s="99">
        <f>IFERROR(J189,"")</f>
        <v>0</v>
      </c>
    </row>
    <row r="190" spans="1:20" ht="18" customHeight="1">
      <c r="A190" s="159" t="s">
        <v>251</v>
      </c>
      <c r="B190" s="159"/>
      <c r="C190" s="159"/>
      <c r="D190" s="159"/>
      <c r="E190" s="159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266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276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160</v>
      </c>
      <c r="N191" s="70" t="s">
        <v>194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276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276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276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160</v>
      </c>
      <c r="N194" s="61" t="s">
        <v>194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276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160</v>
      </c>
      <c r="N195" s="61" t="s">
        <v>194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276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276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276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276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276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276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276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8" t="s">
        <v>262</v>
      </c>
      <c r="B203" s="158"/>
      <c r="C203" s="158"/>
      <c r="D203" s="158"/>
      <c r="E203" s="158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263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276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276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362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276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276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276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276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276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276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276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276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276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276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8" t="s">
        <v>265</v>
      </c>
      <c r="B216" s="158"/>
      <c r="C216" s="158"/>
      <c r="D216" s="158"/>
      <c r="E216" s="158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263</v>
      </c>
      <c r="S216" s="74">
        <v>148720</v>
      </c>
      <c r="T216" s="99">
        <f>IFERROR(J216,"")</f>
        <v>0</v>
      </c>
    </row>
    <row r="217" spans="1:20" ht="18" customHeight="1">
      <c r="A217" s="159" t="s">
        <v>251</v>
      </c>
      <c r="B217" s="159"/>
      <c r="C217" s="159"/>
      <c r="D217" s="159"/>
      <c r="E217" s="159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266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276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146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276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276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169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276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146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363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261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146</v>
      </c>
      <c r="N222" s="61" t="s">
        <v>70</v>
      </c>
      <c r="O222" s="65">
        <v>0.69930555555555596</v>
      </c>
      <c r="P222" s="65" t="s">
        <v>364</v>
      </c>
      <c r="Q222" s="66" t="str">
        <f t="shared" ca="1" si="49"/>
        <v/>
      </c>
      <c r="R222" s="63" t="s">
        <v>365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276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276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276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276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276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276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276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8" t="s">
        <v>262</v>
      </c>
      <c r="B230" s="158"/>
      <c r="C230" s="158"/>
      <c r="D230" s="158"/>
      <c r="E230" s="158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263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276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261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276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261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261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261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261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261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261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261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261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261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8" t="s">
        <v>265</v>
      </c>
      <c r="B243" s="158"/>
      <c r="C243" s="158"/>
      <c r="D243" s="158"/>
      <c r="E243" s="158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263</v>
      </c>
      <c r="S243" s="74">
        <v>352720</v>
      </c>
      <c r="T243" s="99">
        <f>IFERROR(J243,"")</f>
        <v>0</v>
      </c>
    </row>
    <row r="244" spans="1:20" ht="18" customHeight="1">
      <c r="A244" s="159" t="s">
        <v>251</v>
      </c>
      <c r="B244" s="159"/>
      <c r="C244" s="159"/>
      <c r="D244" s="159"/>
      <c r="E244" s="159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266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261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366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261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261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261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276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276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276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276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276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276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261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261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8" t="s">
        <v>262</v>
      </c>
      <c r="B257" s="158"/>
      <c r="C257" s="158"/>
      <c r="D257" s="158"/>
      <c r="E257" s="158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263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276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276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276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276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276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276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276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276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276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276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276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276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8" t="s">
        <v>265</v>
      </c>
      <c r="B270" s="158"/>
      <c r="C270" s="158"/>
      <c r="D270" s="158"/>
      <c r="E270" s="158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263</v>
      </c>
      <c r="S270" s="74">
        <v>327900</v>
      </c>
      <c r="T270" s="99">
        <f>IFERROR(J270,"")</f>
        <v>0</v>
      </c>
    </row>
    <row r="271" spans="1:20" ht="18" customHeight="1">
      <c r="A271" s="159" t="s">
        <v>251</v>
      </c>
      <c r="B271" s="159"/>
      <c r="C271" s="159"/>
      <c r="D271" s="159"/>
      <c r="E271" s="159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266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276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276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276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276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276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276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276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276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276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276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261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276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8" t="s">
        <v>262</v>
      </c>
      <c r="B284" s="158"/>
      <c r="C284" s="158"/>
      <c r="D284" s="158"/>
      <c r="E284" s="158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263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261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261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276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261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261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261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261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261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261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261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261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261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8" t="s">
        <v>265</v>
      </c>
      <c r="B297" s="158"/>
      <c r="C297" s="158"/>
      <c r="D297" s="158"/>
      <c r="E297" s="158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263</v>
      </c>
      <c r="S297" s="74">
        <v>462190</v>
      </c>
      <c r="T297" s="99">
        <f>IFERROR(J297,"")</f>
        <v>0</v>
      </c>
    </row>
    <row r="298" spans="1:20" ht="18" customHeight="1">
      <c r="A298" s="159" t="s">
        <v>251</v>
      </c>
      <c r="B298" s="159"/>
      <c r="C298" s="159"/>
      <c r="D298" s="159"/>
      <c r="E298" s="159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266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276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211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276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211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276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196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276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276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276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276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276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276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276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276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276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8" t="s">
        <v>262</v>
      </c>
      <c r="B311" s="158"/>
      <c r="C311" s="158"/>
      <c r="D311" s="158"/>
      <c r="E311" s="158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263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276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276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149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276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276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146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276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146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276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276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276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276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276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276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276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8" t="s">
        <v>265</v>
      </c>
      <c r="B324" s="158"/>
      <c r="C324" s="158"/>
      <c r="D324" s="158"/>
      <c r="E324" s="158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263</v>
      </c>
      <c r="S324" s="74">
        <v>289490</v>
      </c>
      <c r="T324" s="99">
        <f>IFERROR(J324,"")</f>
        <v>41.68656</v>
      </c>
    </row>
    <row r="325" spans="1:20" ht="18" customHeight="1">
      <c r="A325" s="159" t="s">
        <v>251</v>
      </c>
      <c r="B325" s="159"/>
      <c r="C325" s="159"/>
      <c r="D325" s="159"/>
      <c r="E325" s="159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266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261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149</v>
      </c>
      <c r="N326" s="61" t="s">
        <v>141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334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261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149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367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261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137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261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149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335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261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276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276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276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276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276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276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276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8" t="s">
        <v>262</v>
      </c>
      <c r="B338" s="158"/>
      <c r="C338" s="158"/>
      <c r="D338" s="158"/>
      <c r="E338" s="158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263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276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276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146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276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146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276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276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276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276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276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276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276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276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276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8" t="s">
        <v>265</v>
      </c>
      <c r="B351" s="158"/>
      <c r="C351" s="158"/>
      <c r="D351" s="158"/>
      <c r="E351" s="158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263</v>
      </c>
      <c r="S351" s="74">
        <v>256170</v>
      </c>
      <c r="T351" s="99">
        <f>IFERROR(J351,"")</f>
        <v>53.795699999999997</v>
      </c>
    </row>
    <row r="352" spans="1:20" ht="18" customHeight="1">
      <c r="A352" s="159" t="s">
        <v>251</v>
      </c>
      <c r="B352" s="159"/>
      <c r="C352" s="159"/>
      <c r="D352" s="159"/>
      <c r="E352" s="159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266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276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276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316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276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169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276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137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276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146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276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276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276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276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276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276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276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8" t="s">
        <v>262</v>
      </c>
      <c r="B365" s="158"/>
      <c r="C365" s="158"/>
      <c r="D365" s="158"/>
      <c r="E365" s="158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263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276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146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276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146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276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217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276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276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276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276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276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276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276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276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276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8" t="s">
        <v>265</v>
      </c>
      <c r="B378" s="158"/>
      <c r="C378" s="158"/>
      <c r="D378" s="158"/>
      <c r="E378" s="158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263</v>
      </c>
      <c r="S378" s="74">
        <v>360560</v>
      </c>
      <c r="T378" s="99">
        <f>IFERROR(J378,"")</f>
        <v>75.71759999999999</v>
      </c>
    </row>
    <row r="379" spans="1:20" ht="18" customHeight="1">
      <c r="A379" s="159" t="s">
        <v>251</v>
      </c>
      <c r="B379" s="159"/>
      <c r="C379" s="159"/>
      <c r="D379" s="159"/>
      <c r="E379" s="159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266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276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276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276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368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276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154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338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276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276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276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276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276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276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276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8" t="s">
        <v>262</v>
      </c>
      <c r="B392" s="158"/>
      <c r="C392" s="158"/>
      <c r="D392" s="158"/>
      <c r="E392" s="158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263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276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276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276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169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276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169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276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276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276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276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276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276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276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276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8" t="s">
        <v>265</v>
      </c>
      <c r="B405" s="158"/>
      <c r="C405" s="158"/>
      <c r="D405" s="158"/>
      <c r="E405" s="158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263</v>
      </c>
      <c r="S405" s="74">
        <v>489360</v>
      </c>
      <c r="T405" s="99">
        <f>IFERROR(J405,"")</f>
        <v>99.305125714285708</v>
      </c>
    </row>
    <row r="406" spans="1:20" ht="18" customHeight="1">
      <c r="A406" s="159" t="s">
        <v>251</v>
      </c>
      <c r="B406" s="159"/>
      <c r="C406" s="159"/>
      <c r="D406" s="159"/>
      <c r="E406" s="159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266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276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276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369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276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276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276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276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276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276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276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276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276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276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8" t="s">
        <v>262</v>
      </c>
      <c r="B419" s="158"/>
      <c r="C419" s="158"/>
      <c r="D419" s="158"/>
      <c r="E419" s="158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263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276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370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276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276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169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276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276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276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169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276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276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276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276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276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276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8" t="s">
        <v>265</v>
      </c>
      <c r="B432" s="158"/>
      <c r="C432" s="158"/>
      <c r="D432" s="158"/>
      <c r="E432" s="158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263</v>
      </c>
      <c r="S432" s="74">
        <v>180150</v>
      </c>
      <c r="T432" s="99">
        <f>IFERROR(J432,"")</f>
        <v>25.941599999999998</v>
      </c>
    </row>
    <row r="433" spans="1:20" ht="18" customHeight="1">
      <c r="A433" s="159" t="s">
        <v>251</v>
      </c>
      <c r="B433" s="159"/>
      <c r="C433" s="159"/>
      <c r="D433" s="159"/>
      <c r="E433" s="159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266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276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371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276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276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371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276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276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276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276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276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276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276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276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276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8" t="s">
        <v>262</v>
      </c>
      <c r="B446" s="158"/>
      <c r="C446" s="158"/>
      <c r="D446" s="158"/>
      <c r="E446" s="158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263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276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137</v>
      </c>
      <c r="N447" s="70" t="s">
        <v>222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276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276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211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372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276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276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276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276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276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276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276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276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276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8" t="s">
        <v>265</v>
      </c>
      <c r="B459" s="158"/>
      <c r="C459" s="158"/>
      <c r="D459" s="158"/>
      <c r="E459" s="158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263</v>
      </c>
      <c r="S459" s="74">
        <v>471910</v>
      </c>
      <c r="T459" s="99">
        <f>IFERROR(J459,"")</f>
        <v>92.928007027027007</v>
      </c>
    </row>
    <row r="460" spans="1:20" ht="18" customHeight="1">
      <c r="A460" s="159" t="s">
        <v>251</v>
      </c>
      <c r="B460" s="159"/>
      <c r="C460" s="159"/>
      <c r="D460" s="159"/>
      <c r="E460" s="159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266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276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276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276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276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276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276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276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276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276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276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276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276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8" t="s">
        <v>262</v>
      </c>
      <c r="B473" s="158"/>
      <c r="C473" s="158"/>
      <c r="D473" s="158"/>
      <c r="E473" s="158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263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276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316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276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137</v>
      </c>
      <c r="N475" s="70" t="s">
        <v>195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276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169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276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141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373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276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276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276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276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276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276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276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276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8" t="s">
        <v>265</v>
      </c>
      <c r="B486" s="158"/>
      <c r="C486" s="158"/>
      <c r="D486" s="158"/>
      <c r="E486" s="158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263</v>
      </c>
      <c r="S486" s="74">
        <v>261400</v>
      </c>
      <c r="T486" s="99">
        <f>IFERROR(J486,"")</f>
        <v>37.641599999999997</v>
      </c>
    </row>
    <row r="487" spans="1:20" ht="18" customHeight="1">
      <c r="A487" s="159" t="s">
        <v>251</v>
      </c>
      <c r="B487" s="159"/>
      <c r="C487" s="159"/>
      <c r="D487" s="159"/>
      <c r="E487" s="159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266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276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276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276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276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261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276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276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276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276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276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358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276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276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8" t="s">
        <v>262</v>
      </c>
      <c r="B500" s="158"/>
      <c r="C500" s="158"/>
      <c r="D500" s="158"/>
      <c r="E500" s="158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263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276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374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276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276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137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276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211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276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168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375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276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276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276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276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276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276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276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8" t="s">
        <v>265</v>
      </c>
      <c r="B513" s="158"/>
      <c r="C513" s="158"/>
      <c r="D513" s="158"/>
      <c r="E513" s="158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263</v>
      </c>
      <c r="S513" s="74">
        <v>357140</v>
      </c>
      <c r="T513" s="99">
        <f>IFERROR(J513,"")</f>
        <v>61.810729999999992</v>
      </c>
    </row>
    <row r="514" spans="1:20" ht="18" customHeight="1">
      <c r="A514" s="159" t="s">
        <v>251</v>
      </c>
      <c r="B514" s="159"/>
      <c r="C514" s="159"/>
      <c r="D514" s="159"/>
      <c r="E514" s="159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266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276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276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6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276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376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276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276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276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261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261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261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261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261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261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8" t="s">
        <v>262</v>
      </c>
      <c r="B527" s="158"/>
      <c r="C527" s="158"/>
      <c r="D527" s="158"/>
      <c r="E527" s="158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263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276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276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261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169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276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137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316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276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169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276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377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276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276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276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276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276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276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8" t="s">
        <v>265</v>
      </c>
      <c r="B540" s="158"/>
      <c r="C540" s="158"/>
      <c r="D540" s="158"/>
      <c r="E540" s="158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263</v>
      </c>
      <c r="S540" s="74">
        <v>270460</v>
      </c>
      <c r="T540" s="99">
        <f>IFERROR(J540,"")</f>
        <v>46.847219016393439</v>
      </c>
    </row>
    <row r="541" spans="1:20" ht="18" customHeight="1">
      <c r="A541" s="159" t="s">
        <v>251</v>
      </c>
      <c r="B541" s="159"/>
      <c r="C541" s="159"/>
      <c r="D541" s="159"/>
      <c r="E541" s="159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266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276</v>
      </c>
      <c r="F542" s="101">
        <f>IFERROR(IF($D542="","",VLOOKUP($D542,Cadastro!$C$4:$E$7,3,FALSE())),"")</f>
        <v>0.24</v>
      </c>
      <c r="G542" s="89">
        <v>0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5">IFERROR(IF($H542="","",$H542*$F542*$I542),"")</f>
        <v>0</v>
      </c>
      <c r="K542" s="64">
        <f t="shared" ref="K542:K553" si="136">IF(G542="","",IF(E542="PC 17",G542*4.2,IF(E542="PC 19",G542*5,IF(E542="CB",G542*24,""))))</f>
        <v>0</v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>
        <v>0.67222222222222228</v>
      </c>
      <c r="Q542" s="66">
        <f t="shared" ref="Q542:Q553" ca="1" si="137">IFERROR(IF(O542="","",IF(P542="",MOD(NOW()-O542,1),IF(P542&gt;=O542,P542-O542,P542+1-O542))),"")</f>
        <v>0.38055555555555559</v>
      </c>
      <c r="R542" s="63" t="s">
        <v>378</v>
      </c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276</v>
      </c>
      <c r="F543" s="88">
        <f>IFERROR(IF($D543="","",VLOOKUP($D543,Cadastro!$C$4:$E$7,3,FALSE())),"")</f>
        <v>0.24</v>
      </c>
      <c r="G543" s="89">
        <v>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5"/>
        <v>0</v>
      </c>
      <c r="K543" s="69">
        <f t="shared" si="136"/>
        <v>0</v>
      </c>
      <c r="L543" s="70" t="s">
        <v>29</v>
      </c>
      <c r="M543" s="70" t="s">
        <v>100</v>
      </c>
      <c r="N543" s="70" t="s">
        <v>224</v>
      </c>
      <c r="O543" s="65">
        <v>0.67708333333333337</v>
      </c>
      <c r="P543" s="65">
        <v>0.69444444444444442</v>
      </c>
      <c r="Q543" s="71">
        <f t="shared" ca="1" si="137"/>
        <v>1.7361111111111049E-2</v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276</v>
      </c>
      <c r="F544" s="88">
        <f>IFERROR(IF($D544="","",VLOOKUP($D544,Cadastro!$C$4:$E$7,3,FALSE())),"")</f>
        <v>0.24</v>
      </c>
      <c r="G544" s="89">
        <v>0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5"/>
        <v>0</v>
      </c>
      <c r="K544" s="64">
        <f t="shared" si="136"/>
        <v>0</v>
      </c>
      <c r="L544" s="61" t="s">
        <v>28</v>
      </c>
      <c r="M544" s="61" t="s">
        <v>56</v>
      </c>
      <c r="N544" s="61" t="s">
        <v>87</v>
      </c>
      <c r="O544" s="65">
        <v>0.69791666666666663</v>
      </c>
      <c r="P544" s="65">
        <v>0.7055555555555556</v>
      </c>
      <c r="Q544" s="66">
        <f t="shared" ca="1" si="137"/>
        <v>7.6388888888889728E-3</v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276</v>
      </c>
      <c r="F545" s="88">
        <f>IFERROR(IF($D545="","",VLOOKUP($D545,Cadastro!$C$4:$E$7,3,FALSE())),"")</f>
        <v>0.24</v>
      </c>
      <c r="G545" s="89">
        <v>0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5"/>
        <v>0</v>
      </c>
      <c r="K545" s="69">
        <f t="shared" si="136"/>
        <v>0</v>
      </c>
      <c r="L545" s="70" t="s">
        <v>29</v>
      </c>
      <c r="M545" s="70" t="s">
        <v>56</v>
      </c>
      <c r="N545" s="70" t="s">
        <v>60</v>
      </c>
      <c r="O545" s="65">
        <v>0.7104166666666667</v>
      </c>
      <c r="P545" s="65">
        <v>0.71527777777777779</v>
      </c>
      <c r="Q545" s="71">
        <f t="shared" ca="1" si="137"/>
        <v>4.8611111111110938E-3</v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276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5"/>
        <v>0</v>
      </c>
      <c r="K546" s="64">
        <f t="shared" si="136"/>
        <v>0</v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276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5"/>
        <v>0</v>
      </c>
      <c r="K547" s="69">
        <f t="shared" si="136"/>
        <v>0</v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276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5"/>
        <v>0</v>
      </c>
      <c r="K548" s="64">
        <f t="shared" si="136"/>
        <v>0</v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276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5"/>
        <v>0</v>
      </c>
      <c r="K549" s="69">
        <f t="shared" si="136"/>
        <v>0</v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276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5"/>
        <v>0</v>
      </c>
      <c r="K550" s="64">
        <f t="shared" si="136"/>
        <v>0</v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276</v>
      </c>
      <c r="F551" s="88">
        <f>IFERROR(IF($D551="","",VLOOKUP($D551,Cadastro!$C$4:$E$7,3,FALSE())),"")</f>
        <v>0.24</v>
      </c>
      <c r="G551" s="89">
        <v>0</v>
      </c>
      <c r="H551" s="88">
        <f>IFERROR(IF($G551="","",$G551*$S$554/$G$554/Cadastro!$E$33),"")</f>
        <v>0</v>
      </c>
      <c r="I551" s="90">
        <f>IFERROR(IF($D551="","",VLOOKUP($D551,Cadastro!$C$4:$G$7,5,FALSE())),"")</f>
        <v>0.6</v>
      </c>
      <c r="J551" s="91">
        <f t="shared" si="135"/>
        <v>0</v>
      </c>
      <c r="K551" s="69">
        <f t="shared" si="136"/>
        <v>0</v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276</v>
      </c>
      <c r="F552" s="88">
        <f>IFERROR(IF($D552="","",VLOOKUP($D552,Cadastro!$C$4:$E$7,3,FALSE())),"")</f>
        <v>0.24</v>
      </c>
      <c r="G552" s="89">
        <v>7</v>
      </c>
      <c r="H552" s="88">
        <f>IFERROR(IF($G552="","",$G552*$S$554/$G$554/Cadastro!$E$33),"")</f>
        <v>31.025555555555556</v>
      </c>
      <c r="I552" s="90">
        <f>IFERROR(IF($D552="","",VLOOKUP($D552,Cadastro!$C$4:$G$7,5,FALSE())),"")</f>
        <v>0.6</v>
      </c>
      <c r="J552" s="91">
        <f t="shared" si="135"/>
        <v>4.4676799999999997</v>
      </c>
      <c r="K552" s="64">
        <f t="shared" si="136"/>
        <v>29.400000000000002</v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276</v>
      </c>
      <c r="F553" s="92">
        <f>IFERROR(IF($D553="","",VLOOKUP($D553,Cadastro!$C$4:$E$7,3,FALSE())),"")</f>
        <v>0.24</v>
      </c>
      <c r="G553" s="89">
        <v>2</v>
      </c>
      <c r="H553" s="92">
        <f>IFERROR(IF($G553="","",$G553*$S$554/$G$554/Cadastro!$E$33),"")</f>
        <v>8.8644444444444446</v>
      </c>
      <c r="I553" s="93">
        <f>IFERROR(IF($D553="","",VLOOKUP($D553,Cadastro!$C$4:$G$7,5,FALSE())),"")</f>
        <v>0.6</v>
      </c>
      <c r="J553" s="94">
        <f t="shared" si="135"/>
        <v>1.2764800000000001</v>
      </c>
      <c r="K553" s="69">
        <f t="shared" si="136"/>
        <v>8.4</v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8" t="s">
        <v>262</v>
      </c>
      <c r="B554" s="158"/>
      <c r="C554" s="158"/>
      <c r="D554" s="158"/>
      <c r="E554" s="158"/>
      <c r="F554" s="95"/>
      <c r="G554" s="96">
        <f>SUM(G542:G553)</f>
        <v>9</v>
      </c>
      <c r="H554" s="95">
        <f>IFERROR(SUM(H542:H553),"")</f>
        <v>39.89</v>
      </c>
      <c r="I554" s="97"/>
      <c r="J554" s="98">
        <f>IFERROR(SUM(J542:J553),"")</f>
        <v>5.7441599999999999</v>
      </c>
      <c r="K554" s="2">
        <f>SUM(K542:K553)</f>
        <v>37.800000000000004</v>
      </c>
      <c r="L554" s="72"/>
      <c r="M554" s="72"/>
      <c r="N554" s="72"/>
      <c r="O554" s="72"/>
      <c r="P554" s="72"/>
      <c r="Q554" s="73">
        <f ca="1">IFERROR(SUM(Q542:Q553),"")</f>
        <v>0.41041666666666671</v>
      </c>
      <c r="R554" s="2" t="s">
        <v>263</v>
      </c>
      <c r="S554" s="74">
        <v>39890</v>
      </c>
      <c r="T554" s="99">
        <f>IFERROR(J554,"")</f>
        <v>5.7441599999999999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276</v>
      </c>
      <c r="F555" s="101">
        <f>IFERROR(IF($D555="","",VLOOKUP($D555,Cadastro!$C$4:$E$7,3,FALSE())),"")</f>
        <v>0.24</v>
      </c>
      <c r="G555" s="89">
        <v>0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39">IFERROR(IF($H555="","",$H555*$F555*$I555),"")</f>
        <v>0</v>
      </c>
      <c r="K555" s="69">
        <f t="shared" ref="K555:K566" si="140">IF(G555="","",IF(E555="PC 17",G555*4.2,IF(E555="PC 19",G555*5,IF(E555="CB",G555*24,""))))</f>
        <v>0</v>
      </c>
      <c r="L555" s="70" t="s">
        <v>29</v>
      </c>
      <c r="M555" s="70" t="s">
        <v>137</v>
      </c>
      <c r="N555" s="70" t="s">
        <v>123</v>
      </c>
      <c r="O555" s="65">
        <v>0.82291666666666663</v>
      </c>
      <c r="P555" s="65">
        <v>0.84027777777777779</v>
      </c>
      <c r="Q555" s="71">
        <f t="shared" ref="Q555:Q566" ca="1" si="141">IFERROR(IF(O555="","",IF(P555="",MOD(NOW()-O555,1),IF(P555&gt;=O555,P555-O555,P555+1-O555))),"")</f>
        <v>1.736111111111116E-2</v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 t="s">
        <v>38</v>
      </c>
      <c r="D556" s="75" t="s">
        <v>39</v>
      </c>
      <c r="E556" s="100" t="s">
        <v>261</v>
      </c>
      <c r="F556" s="88">
        <f>IFERROR(IF($D556="","",VLOOKUP($D556,Cadastro!$C$4:$E$7,3,FALSE())),"")</f>
        <v>0.24</v>
      </c>
      <c r="G556" s="89">
        <v>19</v>
      </c>
      <c r="H556" s="88">
        <f>IFERROR(IF($G556="","",$G556*$S$567/$G$567/Cadastro!$E$33),"")</f>
        <v>88.119646017699111</v>
      </c>
      <c r="I556" s="90">
        <f>IFERROR(IF($D556="","",VLOOKUP($D556,Cadastro!$C$4:$G$7,5,FALSE())),"")</f>
        <v>0.6</v>
      </c>
      <c r="J556" s="91">
        <f t="shared" si="139"/>
        <v>12.689229026548672</v>
      </c>
      <c r="K556" s="64">
        <f t="shared" si="140"/>
        <v>95</v>
      </c>
      <c r="L556" s="61" t="s">
        <v>29</v>
      </c>
      <c r="M556" s="61" t="s">
        <v>56</v>
      </c>
      <c r="N556" s="61" t="s">
        <v>211</v>
      </c>
      <c r="O556" s="65">
        <v>0.89166666666666672</v>
      </c>
      <c r="P556" s="65">
        <v>0.8930555555555556</v>
      </c>
      <c r="Q556" s="66">
        <f t="shared" ca="1" si="141"/>
        <v>1.388888888888884E-3</v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 t="s">
        <v>38</v>
      </c>
      <c r="D557" s="75" t="s">
        <v>39</v>
      </c>
      <c r="E557" s="100" t="s">
        <v>276</v>
      </c>
      <c r="F557" s="88">
        <f>IFERROR(IF($D557="","",VLOOKUP($D557,Cadastro!$C$4:$E$7,3,FALSE())),"")</f>
        <v>0.24</v>
      </c>
      <c r="G557" s="89">
        <v>15</v>
      </c>
      <c r="H557" s="88">
        <f>IFERROR(IF($G557="","",$G557*$S$567/$G$567/Cadastro!$E$33),"")</f>
        <v>69.568141592920355</v>
      </c>
      <c r="I557" s="90">
        <f>IFERROR(IF($D557="","",VLOOKUP($D557,Cadastro!$C$4:$G$7,5,FALSE())),"")</f>
        <v>0.6</v>
      </c>
      <c r="J557" s="91">
        <f t="shared" si="139"/>
        <v>10.017812389380531</v>
      </c>
      <c r="K557" s="69">
        <f t="shared" si="140"/>
        <v>63</v>
      </c>
      <c r="L557" s="70" t="s">
        <v>29</v>
      </c>
      <c r="M557" s="70" t="s">
        <v>56</v>
      </c>
      <c r="N557" s="70" t="s">
        <v>211</v>
      </c>
      <c r="O557" s="65">
        <v>0.92847222222222225</v>
      </c>
      <c r="P557" s="65">
        <v>0.9291666666666667</v>
      </c>
      <c r="Q557" s="71">
        <f t="shared" ca="1" si="141"/>
        <v>6.9444444444444198E-4</v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 t="s">
        <v>38</v>
      </c>
      <c r="D558" s="75" t="s">
        <v>39</v>
      </c>
      <c r="E558" s="100" t="s">
        <v>276</v>
      </c>
      <c r="F558" s="88">
        <f>IFERROR(IF($D558="","",VLOOKUP($D558,Cadastro!$C$4:$E$7,3,FALSE())),"")</f>
        <v>0.24</v>
      </c>
      <c r="G558" s="89">
        <v>8</v>
      </c>
      <c r="H558" s="88">
        <f>IFERROR(IF($G558="","",$G558*$S$567/$G$567/Cadastro!$E$33),"")</f>
        <v>37.103008849557526</v>
      </c>
      <c r="I558" s="90">
        <f>IFERROR(IF($D558="","",VLOOKUP($D558,Cadastro!$C$4:$G$7,5,FALSE())),"")</f>
        <v>0.6</v>
      </c>
      <c r="J558" s="91">
        <f t="shared" si="139"/>
        <v>5.3428332743362832</v>
      </c>
      <c r="K558" s="64">
        <f t="shared" si="140"/>
        <v>33.6</v>
      </c>
      <c r="L558" s="61" t="s">
        <v>29</v>
      </c>
      <c r="M558" s="61" t="s">
        <v>56</v>
      </c>
      <c r="N558" s="61" t="s">
        <v>60</v>
      </c>
      <c r="O558" s="65">
        <v>0.94930555555555551</v>
      </c>
      <c r="P558" s="65">
        <v>0.95694444444444449</v>
      </c>
      <c r="Q558" s="66">
        <f t="shared" ca="1" si="141"/>
        <v>7.6388888888889728E-3</v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 t="s">
        <v>38</v>
      </c>
      <c r="D559" s="75" t="s">
        <v>39</v>
      </c>
      <c r="E559" s="100" t="s">
        <v>276</v>
      </c>
      <c r="F559" s="88">
        <f>IFERROR(IF($D559="","",VLOOKUP($D559,Cadastro!$C$4:$E$7,3,FALSE())),"")</f>
        <v>0.24</v>
      </c>
      <c r="G559" s="89">
        <v>15</v>
      </c>
      <c r="H559" s="88">
        <f>IFERROR(IF($G559="","",$G559*$S$567/$G$567/Cadastro!$E$33),"")</f>
        <v>69.568141592920355</v>
      </c>
      <c r="I559" s="90">
        <f>IFERROR(IF($D559="","",VLOOKUP($D559,Cadastro!$C$4:$G$7,5,FALSE())),"")</f>
        <v>0.6</v>
      </c>
      <c r="J559" s="91">
        <f t="shared" si="139"/>
        <v>10.017812389380531</v>
      </c>
      <c r="K559" s="69">
        <f t="shared" si="140"/>
        <v>63</v>
      </c>
      <c r="L559" s="70" t="s">
        <v>29</v>
      </c>
      <c r="M559" s="70" t="s">
        <v>56</v>
      </c>
      <c r="N559" s="70" t="s">
        <v>219</v>
      </c>
      <c r="O559" s="65">
        <v>5.6250000000000001E-2</v>
      </c>
      <c r="P559" s="65">
        <v>7.2222222222222215E-2</v>
      </c>
      <c r="Q559" s="71">
        <f t="shared" ca="1" si="141"/>
        <v>1.5972222222222214E-2</v>
      </c>
      <c r="R559" s="63" t="s">
        <v>316</v>
      </c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 t="s">
        <v>38</v>
      </c>
      <c r="D560" s="75" t="s">
        <v>39</v>
      </c>
      <c r="E560" s="100" t="s">
        <v>276</v>
      </c>
      <c r="F560" s="88">
        <f>IFERROR(IF($D560="","",VLOOKUP($D560,Cadastro!$C$4:$E$7,3,FALSE())),"")</f>
        <v>0.24</v>
      </c>
      <c r="G560" s="89">
        <v>12</v>
      </c>
      <c r="H560" s="88">
        <f>IFERROR(IF($G560="","",$G560*$S$567/$G$567/Cadastro!$E$33),"")</f>
        <v>55.654513274336281</v>
      </c>
      <c r="I560" s="90">
        <f>IFERROR(IF($D560="","",VLOOKUP($D560,Cadastro!$C$4:$G$7,5,FALSE())),"")</f>
        <v>0.6</v>
      </c>
      <c r="J560" s="91">
        <f t="shared" si="139"/>
        <v>8.0142499115044235</v>
      </c>
      <c r="K560" s="64">
        <f t="shared" si="140"/>
        <v>50.400000000000006</v>
      </c>
      <c r="L560" s="61" t="s">
        <v>29</v>
      </c>
      <c r="M560" s="61" t="s">
        <v>56</v>
      </c>
      <c r="N560" s="61" t="s">
        <v>209</v>
      </c>
      <c r="O560" s="65">
        <v>7.5694444444444439E-2</v>
      </c>
      <c r="P560" s="65">
        <v>7.7777777777777779E-2</v>
      </c>
      <c r="Q560" s="66">
        <f t="shared" ca="1" si="141"/>
        <v>2.0833333333333398E-3</v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 t="s">
        <v>38</v>
      </c>
      <c r="D561" s="75" t="s">
        <v>39</v>
      </c>
      <c r="E561" s="100" t="s">
        <v>276</v>
      </c>
      <c r="F561" s="88">
        <f>IFERROR(IF($D561="","",VLOOKUP($D561,Cadastro!$C$4:$E$7,3,FALSE())),"")</f>
        <v>0.24</v>
      </c>
      <c r="G561" s="89">
        <v>3</v>
      </c>
      <c r="H561" s="88">
        <f>IFERROR(IF($G561="","",$G561*$S$567/$G$567/Cadastro!$E$33),"")</f>
        <v>13.91362831858407</v>
      </c>
      <c r="I561" s="90">
        <f>IFERROR(IF($D561="","",VLOOKUP($D561,Cadastro!$C$4:$G$7,5,FALSE())),"")</f>
        <v>0.6</v>
      </c>
      <c r="J561" s="91">
        <f t="shared" si="139"/>
        <v>2.0035624778761059</v>
      </c>
      <c r="K561" s="69">
        <f t="shared" si="140"/>
        <v>12.600000000000001</v>
      </c>
      <c r="L561" s="70" t="s">
        <v>29</v>
      </c>
      <c r="M561" s="70" t="s">
        <v>56</v>
      </c>
      <c r="N561" s="61" t="s">
        <v>60</v>
      </c>
      <c r="O561" s="65">
        <v>8.1250000000000003E-2</v>
      </c>
      <c r="P561" s="65">
        <v>8.611111111111111E-2</v>
      </c>
      <c r="Q561" s="71">
        <f t="shared" ca="1" si="141"/>
        <v>4.8611111111111077E-3</v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 t="s">
        <v>38</v>
      </c>
      <c r="D562" s="75" t="s">
        <v>39</v>
      </c>
      <c r="E562" s="100" t="s">
        <v>276</v>
      </c>
      <c r="F562" s="88">
        <f>IFERROR(IF($D562="","",VLOOKUP($D562,Cadastro!$C$4:$E$7,3,FALSE())),"")</f>
        <v>0.24</v>
      </c>
      <c r="G562" s="89">
        <v>7</v>
      </c>
      <c r="H562" s="88">
        <f>IFERROR(IF($G562="","",$G562*$S$567/$G$567/Cadastro!$E$33),"")</f>
        <v>32.46513274336283</v>
      </c>
      <c r="I562" s="90">
        <f>IFERROR(IF($D562="","",VLOOKUP($D562,Cadastro!$C$4:$G$7,5,FALSE())),"")</f>
        <v>0.6</v>
      </c>
      <c r="J562" s="91">
        <f t="shared" si="139"/>
        <v>4.6749791150442466</v>
      </c>
      <c r="K562" s="64">
        <f t="shared" si="140"/>
        <v>29.400000000000002</v>
      </c>
      <c r="L562" s="61" t="s">
        <v>29</v>
      </c>
      <c r="M562" s="61" t="s">
        <v>56</v>
      </c>
      <c r="N562" s="61" t="s">
        <v>211</v>
      </c>
      <c r="O562" s="65">
        <v>9.930555555555555E-2</v>
      </c>
      <c r="P562" s="65">
        <v>0.10069444444444445</v>
      </c>
      <c r="Q562" s="66">
        <f t="shared" ca="1" si="141"/>
        <v>1.3888888888888978E-3</v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 t="s">
        <v>38</v>
      </c>
      <c r="D563" s="75" t="s">
        <v>39</v>
      </c>
      <c r="E563" s="100" t="s">
        <v>276</v>
      </c>
      <c r="F563" s="88">
        <f>IFERROR(IF($D563="","",VLOOKUP($D563,Cadastro!$C$4:$E$7,3,FALSE())),"")</f>
        <v>0.24</v>
      </c>
      <c r="G563" s="89">
        <v>12</v>
      </c>
      <c r="H563" s="88">
        <f>IFERROR(IF($G563="","",$G563*$S$567/$G$567/Cadastro!$E$33),"")</f>
        <v>55.654513274336281</v>
      </c>
      <c r="I563" s="90">
        <f>IFERROR(IF($D563="","",VLOOKUP($D563,Cadastro!$C$4:$G$7,5,FALSE())),"")</f>
        <v>0.6</v>
      </c>
      <c r="J563" s="91">
        <f t="shared" si="139"/>
        <v>8.0142499115044235</v>
      </c>
      <c r="K563" s="69">
        <f t="shared" si="140"/>
        <v>50.400000000000006</v>
      </c>
      <c r="L563" s="70" t="s">
        <v>29</v>
      </c>
      <c r="M563" s="70" t="s">
        <v>56</v>
      </c>
      <c r="N563" s="70" t="s">
        <v>60</v>
      </c>
      <c r="O563" s="65">
        <v>0.10625</v>
      </c>
      <c r="P563" s="65">
        <v>0.1111111111111111</v>
      </c>
      <c r="Q563" s="71">
        <f t="shared" ca="1" si="141"/>
        <v>4.8611111111111077E-3</v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 t="s">
        <v>38</v>
      </c>
      <c r="D564" s="75" t="s">
        <v>39</v>
      </c>
      <c r="E564" s="100" t="s">
        <v>276</v>
      </c>
      <c r="F564" s="88">
        <f>IFERROR(IF($D564="","",VLOOKUP($D564,Cadastro!$C$4:$E$7,3,FALSE())),"")</f>
        <v>0.24</v>
      </c>
      <c r="G564" s="89">
        <v>15</v>
      </c>
      <c r="H564" s="88">
        <f>IFERROR(IF($G564="","",$G564*$S$567/$G$567/Cadastro!$E$33),"")</f>
        <v>69.568141592920355</v>
      </c>
      <c r="I564" s="90">
        <f>IFERROR(IF($D564="","",VLOOKUP($D564,Cadastro!$C$4:$G$7,5,FALSE())),"")</f>
        <v>0.6</v>
      </c>
      <c r="J564" s="91">
        <f t="shared" si="139"/>
        <v>10.017812389380531</v>
      </c>
      <c r="K564" s="64">
        <f t="shared" si="140"/>
        <v>63</v>
      </c>
      <c r="L564" s="61" t="s">
        <v>29</v>
      </c>
      <c r="M564" s="61" t="s">
        <v>56</v>
      </c>
      <c r="N564" s="61" t="s">
        <v>60</v>
      </c>
      <c r="O564" s="65">
        <v>0.11874999999999999</v>
      </c>
      <c r="P564" s="65">
        <v>0.13055555555555556</v>
      </c>
      <c r="Q564" s="66">
        <f t="shared" ca="1" si="141"/>
        <v>1.1805555555555569E-2</v>
      </c>
      <c r="R564" s="63" t="s">
        <v>379</v>
      </c>
      <c r="S564" s="81"/>
    </row>
    <row r="565" spans="1:20" ht="15" customHeight="1">
      <c r="A565" s="18">
        <v>46255</v>
      </c>
      <c r="B565" s="68">
        <f t="shared" si="142"/>
        <v>1.25</v>
      </c>
      <c r="C565" s="70" t="s">
        <v>38</v>
      </c>
      <c r="D565" s="75" t="s">
        <v>39</v>
      </c>
      <c r="E565" s="100" t="s">
        <v>261</v>
      </c>
      <c r="F565" s="88">
        <f>IFERROR(IF($D565="","",VLOOKUP($D565,Cadastro!$C$4:$E$7,3,FALSE())),"")</f>
        <v>0.24</v>
      </c>
      <c r="G565" s="89">
        <v>2</v>
      </c>
      <c r="H565" s="88">
        <f>IFERROR(IF($G565="","",$G565*$S$567/$G$567/Cadastro!$E$33),"")</f>
        <v>9.2757522123893814</v>
      </c>
      <c r="I565" s="90">
        <f>IFERROR(IF($D565="","",VLOOKUP($D565,Cadastro!$C$4:$G$7,5,FALSE())),"")</f>
        <v>0.6</v>
      </c>
      <c r="J565" s="91">
        <f t="shared" si="139"/>
        <v>1.3357083185840708</v>
      </c>
      <c r="K565" s="69">
        <f t="shared" si="140"/>
        <v>10</v>
      </c>
      <c r="L565" s="70" t="s">
        <v>29</v>
      </c>
      <c r="M565" s="70" t="s">
        <v>56</v>
      </c>
      <c r="N565" s="70" t="s">
        <v>65</v>
      </c>
      <c r="O565" s="65">
        <v>0.17291666666666666</v>
      </c>
      <c r="P565" s="65">
        <v>0.18402777777777779</v>
      </c>
      <c r="Q565" s="71">
        <f t="shared" ca="1" si="141"/>
        <v>1.1111111111111127E-2</v>
      </c>
      <c r="R565" s="63" t="s">
        <v>351</v>
      </c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 t="s">
        <v>38</v>
      </c>
      <c r="D566" s="75" t="s">
        <v>39</v>
      </c>
      <c r="E566" s="100" t="s">
        <v>261</v>
      </c>
      <c r="F566" s="92">
        <f>IFERROR(IF($D566="","",VLOOKUP($D566,Cadastro!$C$4:$E$7,3,FALSE())),"")</f>
        <v>0.24</v>
      </c>
      <c r="G566" s="89">
        <v>5</v>
      </c>
      <c r="H566" s="92">
        <f>IFERROR(IF($G566="","",$G566*$S$567/$G$567/Cadastro!$E$33),"")</f>
        <v>23.189380530973452</v>
      </c>
      <c r="I566" s="93">
        <f>IFERROR(IF($D566="","",VLOOKUP($D566,Cadastro!$C$4:$G$7,5,FALSE())),"")</f>
        <v>0.6</v>
      </c>
      <c r="J566" s="94">
        <f t="shared" si="139"/>
        <v>3.3392707964601769</v>
      </c>
      <c r="K566" s="64">
        <f t="shared" si="140"/>
        <v>25</v>
      </c>
      <c r="L566" s="61" t="s">
        <v>29</v>
      </c>
      <c r="M566" s="61" t="s">
        <v>56</v>
      </c>
      <c r="N566" s="61" t="s">
        <v>71</v>
      </c>
      <c r="O566" s="65">
        <v>0.23749999999999999</v>
      </c>
      <c r="P566" s="65">
        <v>0.26041666666666669</v>
      </c>
      <c r="Q566" s="66">
        <f t="shared" ca="1" si="141"/>
        <v>2.2916666666666696E-2</v>
      </c>
      <c r="R566" s="63"/>
      <c r="S566" s="81"/>
    </row>
    <row r="567" spans="1:20" ht="15.75" customHeight="1">
      <c r="A567" s="158" t="s">
        <v>265</v>
      </c>
      <c r="B567" s="158"/>
      <c r="C567" s="158"/>
      <c r="D567" s="158"/>
      <c r="E567" s="158"/>
      <c r="F567" s="105"/>
      <c r="G567" s="96">
        <f>SUM(G555:G566)</f>
        <v>113</v>
      </c>
      <c r="H567" s="105">
        <f>IFERROR(SUM(H555:H566),"")</f>
        <v>524.08000000000004</v>
      </c>
      <c r="I567" s="106"/>
      <c r="J567" s="107">
        <f>IFERROR(SUM(J555:J566),"")</f>
        <v>75.467519999999979</v>
      </c>
      <c r="K567" s="2">
        <f>SUM(K555:K566)</f>
        <v>495.4</v>
      </c>
      <c r="L567" s="72"/>
      <c r="M567" s="72"/>
      <c r="N567" s="72"/>
      <c r="O567" s="72"/>
      <c r="P567" s="72"/>
      <c r="Q567" s="73">
        <f ca="1">IFERROR(SUM(Q555:Q566),"")</f>
        <v>0.10208333333333353</v>
      </c>
      <c r="R567" s="2" t="s">
        <v>263</v>
      </c>
      <c r="S567" s="74">
        <v>524080</v>
      </c>
      <c r="T567" s="99">
        <f>IFERROR(J567,"")</f>
        <v>75.467519999999979</v>
      </c>
    </row>
    <row r="568" spans="1:20" ht="18" customHeight="1">
      <c r="A568" s="159" t="s">
        <v>251</v>
      </c>
      <c r="B568" s="159"/>
      <c r="C568" s="159"/>
      <c r="D568" s="159"/>
      <c r="E568" s="159"/>
      <c r="F568" s="108"/>
      <c r="G568" s="109">
        <f>G554+G567</f>
        <v>122</v>
      </c>
      <c r="H568" s="108">
        <f>IFERROR(H554+H567,"")</f>
        <v>563.97</v>
      </c>
      <c r="I568" s="110"/>
      <c r="J568" s="111">
        <f>IFERROR(J554+J567,"")</f>
        <v>81.211679999999973</v>
      </c>
      <c r="K568" s="1">
        <f>K554+K567</f>
        <v>533.19999999999993</v>
      </c>
      <c r="L568" s="76"/>
      <c r="M568" s="76"/>
      <c r="N568" s="76"/>
      <c r="O568" s="76"/>
      <c r="P568" s="76"/>
      <c r="Q568" s="77">
        <f ca="1">IFERROR(Q554+Q567,"")</f>
        <v>0.51250000000000018</v>
      </c>
      <c r="R568" s="1" t="s">
        <v>266</v>
      </c>
      <c r="S568" s="82">
        <f>IFERROR(S554+S567,"")</f>
        <v>563970</v>
      </c>
      <c r="T568" s="118">
        <f>IFERROR(J568,"")</f>
        <v>81.211679999999973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276</v>
      </c>
      <c r="F569" s="101">
        <f>IFERROR(IF($D569="","",VLOOKUP($D569,Cadastro!$C$4:$E$7,3,FALSE())),"")</f>
        <v>0.35</v>
      </c>
      <c r="G569" s="89">
        <v>18</v>
      </c>
      <c r="H569" s="101">
        <f>IFERROR(IF($G569="","",$G569*$S$581/$G$581/Cadastro!$E$33),"")</f>
        <v>69.717423312883426</v>
      </c>
      <c r="I569" s="102">
        <f>IFERROR(IF($D569="","",VLOOKUP($D569,Cadastro!$C$4:$G$7,5,FALSE())),"")</f>
        <v>0.6</v>
      </c>
      <c r="J569" s="103">
        <f t="shared" ref="J569:J580" si="143">IFERROR(IF($H569="","",$H569*$F569*$I569),"")</f>
        <v>14.640658895705517</v>
      </c>
      <c r="K569" s="69">
        <f t="shared" ref="K569:K580" si="144">IF(G569="","",IF(E569="PC 17",G569*4.2,IF(E569="PC 19",G569*5,IF(E569="CB",G569*24,""))))</f>
        <v>75.600000000000009</v>
      </c>
      <c r="L569" s="70" t="s">
        <v>27</v>
      </c>
      <c r="M569" s="70" t="s">
        <v>56</v>
      </c>
      <c r="N569" s="70" t="s">
        <v>141</v>
      </c>
      <c r="O569" s="65">
        <v>0.37152777777777779</v>
      </c>
      <c r="P569" s="65">
        <v>0.41180555555555554</v>
      </c>
      <c r="Q569" s="71">
        <f t="shared" ref="Q569:Q580" ca="1" si="145">IFERROR(IF(O569="","",IF(P569="",MOD(NOW()-O569,1),IF(P569&gt;=O569,P569-O569,P569+1-O569))),"")</f>
        <v>4.0277777777777746E-2</v>
      </c>
      <c r="R569" s="63" t="s">
        <v>316</v>
      </c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 t="s">
        <v>30</v>
      </c>
      <c r="D570" s="75" t="s">
        <v>31</v>
      </c>
      <c r="E570" s="100" t="s">
        <v>276</v>
      </c>
      <c r="F570" s="88">
        <f>IFERROR(IF($D570="","",VLOOKUP($D570,Cadastro!$C$4:$E$7,3,FALSE())),"")</f>
        <v>0.35</v>
      </c>
      <c r="G570" s="89">
        <v>10</v>
      </c>
      <c r="H570" s="88">
        <f>IFERROR(IF($G570="","",$G570*$S$581/$G$581/Cadastro!$E$33),"")</f>
        <v>38.731901840490799</v>
      </c>
      <c r="I570" s="90">
        <f>IFERROR(IF($D570="","",VLOOKUP($D570,Cadastro!$C$4:$G$7,5,FALSE())),"")</f>
        <v>0.6</v>
      </c>
      <c r="J570" s="91">
        <f t="shared" si="143"/>
        <v>8.1336993865030678</v>
      </c>
      <c r="K570" s="69">
        <f t="shared" si="144"/>
        <v>42</v>
      </c>
      <c r="L570" s="61" t="s">
        <v>27</v>
      </c>
      <c r="M570" s="61" t="s">
        <v>56</v>
      </c>
      <c r="N570" s="61" t="s">
        <v>178</v>
      </c>
      <c r="O570" s="65">
        <v>0.46666666666666667</v>
      </c>
      <c r="P570" s="65">
        <v>0.47361111111111109</v>
      </c>
      <c r="Q570" s="66">
        <f t="shared" ca="1" si="145"/>
        <v>6.9444444444444198E-3</v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 t="s">
        <v>30</v>
      </c>
      <c r="D571" s="75" t="s">
        <v>31</v>
      </c>
      <c r="E571" s="100" t="s">
        <v>276</v>
      </c>
      <c r="F571" s="88">
        <f>IFERROR(IF($D571="","",VLOOKUP($D571,Cadastro!$C$4:$E$7,3,FALSE())),"")</f>
        <v>0.35</v>
      </c>
      <c r="G571" s="89">
        <v>12</v>
      </c>
      <c r="H571" s="88">
        <f>IFERROR(IF($G571="","",$G571*$S$581/$G$581/Cadastro!$E$33),"")</f>
        <v>46.478282208588958</v>
      </c>
      <c r="I571" s="90">
        <f>IFERROR(IF($D571="","",VLOOKUP($D571,Cadastro!$C$4:$G$7,5,FALSE())),"")</f>
        <v>0.6</v>
      </c>
      <c r="J571" s="91">
        <f t="shared" si="143"/>
        <v>9.760439263803681</v>
      </c>
      <c r="K571" s="69">
        <f t="shared" si="144"/>
        <v>50.400000000000006</v>
      </c>
      <c r="L571" s="70" t="s">
        <v>29</v>
      </c>
      <c r="M571" s="70" t="s">
        <v>133</v>
      </c>
      <c r="N571" s="70" t="s">
        <v>123</v>
      </c>
      <c r="O571" s="65">
        <v>0.54513888888888884</v>
      </c>
      <c r="P571" s="65">
        <v>0.5541666666666667</v>
      </c>
      <c r="Q571" s="71">
        <f t="shared" ca="1" si="145"/>
        <v>9.0277777777778567E-3</v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 t="s">
        <v>30</v>
      </c>
      <c r="D572" s="75" t="s">
        <v>31</v>
      </c>
      <c r="E572" s="100" t="s">
        <v>276</v>
      </c>
      <c r="F572" s="88">
        <f>IFERROR(IF($D572="","",VLOOKUP($D572,Cadastro!$C$4:$E$7,3,FALSE())),"")</f>
        <v>0.35</v>
      </c>
      <c r="G572" s="89">
        <v>16</v>
      </c>
      <c r="H572" s="88">
        <f>IFERROR(IF($G572="","",$G572*$S$581/$G$581/Cadastro!$E$33),"")</f>
        <v>61.971042944785275</v>
      </c>
      <c r="I572" s="90">
        <f>IFERROR(IF($D572="","",VLOOKUP($D572,Cadastro!$C$4:$G$7,5,FALSE())),"")</f>
        <v>0.6</v>
      </c>
      <c r="J572" s="91">
        <f t="shared" si="143"/>
        <v>13.013919018404907</v>
      </c>
      <c r="K572" s="69">
        <f t="shared" si="144"/>
        <v>67.2</v>
      </c>
      <c r="L572" s="61" t="s">
        <v>29</v>
      </c>
      <c r="M572" s="61" t="s">
        <v>160</v>
      </c>
      <c r="N572" s="61" t="s">
        <v>123</v>
      </c>
      <c r="O572" s="65">
        <v>0.5625</v>
      </c>
      <c r="P572" s="65">
        <v>0.61805555555555558</v>
      </c>
      <c r="Q572" s="66">
        <f t="shared" ca="1" si="145"/>
        <v>5.555555555555558E-2</v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 t="s">
        <v>30</v>
      </c>
      <c r="D573" s="75" t="s">
        <v>31</v>
      </c>
      <c r="E573" s="100" t="s">
        <v>261</v>
      </c>
      <c r="F573" s="88">
        <f>IFERROR(IF($D573="","",VLOOKUP($D573,Cadastro!$C$4:$E$7,3,FALSE())),"")</f>
        <v>0.35</v>
      </c>
      <c r="G573" s="89">
        <v>11</v>
      </c>
      <c r="H573" s="88">
        <f>IFERROR(IF($G573="","",$G573*$S$581/$G$581/Cadastro!$E$33),"")</f>
        <v>42.605092024539871</v>
      </c>
      <c r="I573" s="90">
        <f>IFERROR(IF($D573="","",VLOOKUP($D573,Cadastro!$C$4:$G$7,5,FALSE())),"")</f>
        <v>0.6</v>
      </c>
      <c r="J573" s="91">
        <f t="shared" si="143"/>
        <v>8.9470693251533717</v>
      </c>
      <c r="K573" s="69">
        <f t="shared" si="144"/>
        <v>55</v>
      </c>
      <c r="L573" s="70" t="s">
        <v>29</v>
      </c>
      <c r="M573" s="70" t="s">
        <v>133</v>
      </c>
      <c r="N573" s="61" t="s">
        <v>123</v>
      </c>
      <c r="O573" s="65">
        <v>0.74722222222222223</v>
      </c>
      <c r="P573" s="65">
        <v>0.79166666666666663</v>
      </c>
      <c r="Q573" s="71">
        <f t="shared" ca="1" si="145"/>
        <v>4.4444444444444398E-2</v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 t="s">
        <v>30</v>
      </c>
      <c r="D574" s="75" t="s">
        <v>31</v>
      </c>
      <c r="E574" s="100" t="s">
        <v>276</v>
      </c>
      <c r="F574" s="88">
        <f>IFERROR(IF($D574="","",VLOOKUP($D574,Cadastro!$C$4:$E$7,3,FALSE())),"")</f>
        <v>0.35</v>
      </c>
      <c r="G574" s="89">
        <v>20</v>
      </c>
      <c r="H574" s="88">
        <f>IFERROR(IF($G574="","",$G574*$S$581/$G$581/Cadastro!$E$33),"")</f>
        <v>77.463803680981599</v>
      </c>
      <c r="I574" s="90">
        <f>IFERROR(IF($D574="","",VLOOKUP($D574,Cadastro!$C$4:$G$7,5,FALSE())),"")</f>
        <v>0.6</v>
      </c>
      <c r="J574" s="91">
        <f t="shared" si="143"/>
        <v>16.267398773006136</v>
      </c>
      <c r="K574" s="69">
        <f t="shared" si="144"/>
        <v>84</v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 t="s">
        <v>30</v>
      </c>
      <c r="D575" s="75" t="s">
        <v>31</v>
      </c>
      <c r="E575" s="100" t="s">
        <v>276</v>
      </c>
      <c r="F575" s="88">
        <f>IFERROR(IF($D575="","",VLOOKUP($D575,Cadastro!$C$4:$E$7,3,FALSE())),"")</f>
        <v>0.35</v>
      </c>
      <c r="G575" s="89">
        <v>4</v>
      </c>
      <c r="H575" s="88">
        <f>IFERROR(IF($G575="","",$G575*$S$581/$G$581/Cadastro!$E$33),"")</f>
        <v>15.492760736196319</v>
      </c>
      <c r="I575" s="90">
        <f>IFERROR(IF($D575="","",VLOOKUP($D575,Cadastro!$C$4:$G$7,5,FALSE())),"")</f>
        <v>0.6</v>
      </c>
      <c r="J575" s="91">
        <f t="shared" si="143"/>
        <v>3.2534797546012268</v>
      </c>
      <c r="K575" s="69">
        <f t="shared" si="144"/>
        <v>16.8</v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 t="s">
        <v>30</v>
      </c>
      <c r="D576" s="75" t="s">
        <v>31</v>
      </c>
      <c r="E576" s="100" t="s">
        <v>276</v>
      </c>
      <c r="F576" s="88">
        <f>IFERROR(IF($D576="","",VLOOKUP($D576,Cadastro!$C$4:$E$7,3,FALSE())),"")</f>
        <v>0.35</v>
      </c>
      <c r="G576" s="89">
        <v>5</v>
      </c>
      <c r="H576" s="88">
        <f>IFERROR(IF($G576="","",$G576*$S$581/$G$581/Cadastro!$E$33),"")</f>
        <v>19.3659509202454</v>
      </c>
      <c r="I576" s="90">
        <f>IFERROR(IF($D576="","",VLOOKUP($D576,Cadastro!$C$4:$G$7,5,FALSE())),"")</f>
        <v>0.6</v>
      </c>
      <c r="J576" s="91">
        <f t="shared" si="143"/>
        <v>4.0668496932515339</v>
      </c>
      <c r="K576" s="69">
        <f t="shared" si="144"/>
        <v>21</v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 t="s">
        <v>30</v>
      </c>
      <c r="D577" s="75" t="s">
        <v>31</v>
      </c>
      <c r="E577" s="100" t="s">
        <v>276</v>
      </c>
      <c r="F577" s="88">
        <f>IFERROR(IF($D577="","",VLOOKUP($D577,Cadastro!$C$4:$E$7,3,FALSE())),"")</f>
        <v>0.35</v>
      </c>
      <c r="G577" s="89">
        <v>16</v>
      </c>
      <c r="H577" s="88">
        <f>IFERROR(IF($G577="","",$G577*$S$581/$G$581/Cadastro!$E$33),"")</f>
        <v>61.971042944785275</v>
      </c>
      <c r="I577" s="90">
        <f>IFERROR(IF($D577="","",VLOOKUP($D577,Cadastro!$C$4:$G$7,5,FALSE())),"")</f>
        <v>0.6</v>
      </c>
      <c r="J577" s="91">
        <f t="shared" si="143"/>
        <v>13.013919018404907</v>
      </c>
      <c r="K577" s="69">
        <f t="shared" si="144"/>
        <v>67.2</v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 t="s">
        <v>30</v>
      </c>
      <c r="D578" s="75" t="s">
        <v>31</v>
      </c>
      <c r="E578" s="100" t="s">
        <v>276</v>
      </c>
      <c r="F578" s="88">
        <f>IFERROR(IF($D578="","",VLOOKUP($D578,Cadastro!$C$4:$E$7,3,FALSE())),"")</f>
        <v>0.35</v>
      </c>
      <c r="G578" s="89">
        <v>27</v>
      </c>
      <c r="H578" s="88">
        <f>IFERROR(IF($G578="","",$G578*$S$581/$G$581/Cadastro!$E$33),"")</f>
        <v>104.57613496932515</v>
      </c>
      <c r="I578" s="90">
        <f>IFERROR(IF($D578="","",VLOOKUP($D578,Cadastro!$C$4:$G$7,5,FALSE())),"")</f>
        <v>0.6</v>
      </c>
      <c r="J578" s="91">
        <f t="shared" si="143"/>
        <v>21.960988343558277</v>
      </c>
      <c r="K578" s="69">
        <f t="shared" si="144"/>
        <v>113.4</v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 t="s">
        <v>30</v>
      </c>
      <c r="D579" s="75" t="s">
        <v>31</v>
      </c>
      <c r="E579" s="100" t="s">
        <v>276</v>
      </c>
      <c r="F579" s="88">
        <f>IFERROR(IF($D579="","",VLOOKUP($D579,Cadastro!$C$4:$E$7,3,FALSE())),"")</f>
        <v>0.35</v>
      </c>
      <c r="G579" s="89">
        <v>24</v>
      </c>
      <c r="H579" s="88">
        <f>IFERROR(IF($G579="","",$G579*$S$581/$G$581/Cadastro!$E$33),"")</f>
        <v>92.956564417177916</v>
      </c>
      <c r="I579" s="90">
        <f>IFERROR(IF($D579="","",VLOOKUP($D579,Cadastro!$C$4:$G$7,5,FALSE())),"")</f>
        <v>0.6</v>
      </c>
      <c r="J579" s="91">
        <f t="shared" si="143"/>
        <v>19.520878527607362</v>
      </c>
      <c r="K579" s="69">
        <f t="shared" si="144"/>
        <v>100.80000000000001</v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 t="s">
        <v>30</v>
      </c>
      <c r="D580" s="75" t="s">
        <v>31</v>
      </c>
      <c r="E580" s="100" t="s">
        <v>276</v>
      </c>
      <c r="F580" s="92">
        <f>IFERROR(IF($D580="","",VLOOKUP($D580,Cadastro!$C$4:$E$7,3,FALSE())),"")</f>
        <v>0.35</v>
      </c>
      <c r="G580" s="89">
        <v>0</v>
      </c>
      <c r="H580" s="92">
        <f>IFERROR(IF($G580="","",$G580*$S$581/$G$581/Cadastro!$E$33),"")</f>
        <v>0</v>
      </c>
      <c r="I580" s="93">
        <f>IFERROR(IF($D580="","",VLOOKUP($D580,Cadastro!$C$4:$G$7,5,FALSE())),"")</f>
        <v>0.6</v>
      </c>
      <c r="J580" s="94">
        <f t="shared" si="143"/>
        <v>0</v>
      </c>
      <c r="K580" s="69">
        <f t="shared" si="144"/>
        <v>0</v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8" t="s">
        <v>262</v>
      </c>
      <c r="B581" s="158"/>
      <c r="C581" s="158"/>
      <c r="D581" s="158"/>
      <c r="E581" s="158"/>
      <c r="F581" s="95"/>
      <c r="G581" s="96">
        <f>SUM(G569:G580)</f>
        <v>163</v>
      </c>
      <c r="H581" s="95">
        <f>IFERROR(SUM(H569:H580),"")</f>
        <v>631.32999999999993</v>
      </c>
      <c r="I581" s="97"/>
      <c r="J581" s="98">
        <f>IFERROR(SUM(J569:J580),"")</f>
        <v>132.57929999999996</v>
      </c>
      <c r="K581" s="2">
        <f>SUM(K569:K580)</f>
        <v>693.40000000000009</v>
      </c>
      <c r="L581" s="72"/>
      <c r="M581" s="72"/>
      <c r="N581" s="72"/>
      <c r="O581" s="72"/>
      <c r="P581" s="72"/>
      <c r="Q581" s="73">
        <f ca="1">IFERROR(SUM(Q569:Q580),"")</f>
        <v>0.15625</v>
      </c>
      <c r="R581" s="2" t="s">
        <v>263</v>
      </c>
      <c r="S581" s="74">
        <v>631330</v>
      </c>
      <c r="T581" s="99">
        <f>IFERROR(J581,"")</f>
        <v>132.57929999999996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276</v>
      </c>
      <c r="F582" s="101">
        <f>IFERROR(IF($D582="","",VLOOKUP($D582,Cadastro!$C$4:$E$7,3,FALSE())),"")</f>
        <v>0.35</v>
      </c>
      <c r="G582" s="89">
        <v>4</v>
      </c>
      <c r="H582" s="101">
        <f>IFERROR(IF($G582="","",$G582*$S$594/$G$594/Cadastro!$E$33),"")</f>
        <v>19.633978494623655</v>
      </c>
      <c r="I582" s="102">
        <f>IFERROR(IF($D582="","",VLOOKUP($D582,Cadastro!$C$4:$G$7,5,FALSE())),"")</f>
        <v>0.6</v>
      </c>
      <c r="J582" s="103">
        <f t="shared" ref="J582:J593" si="147">IFERROR(IF($H582="","",$H582*$F582*$I582),"")</f>
        <v>4.1231354838709668</v>
      </c>
      <c r="K582" s="64">
        <f t="shared" ref="K582:K593" si="148">IF(G582="","",IF(E582="PC 17",G582*4.2,IF(E582="PC 19",G582*5,IF(E582="CB",G582*24,""))))</f>
        <v>16.8</v>
      </c>
      <c r="L582" s="61" t="s">
        <v>29</v>
      </c>
      <c r="M582" s="70" t="s">
        <v>133</v>
      </c>
      <c r="N582" s="61" t="s">
        <v>123</v>
      </c>
      <c r="O582" s="65">
        <v>0.79166666666666663</v>
      </c>
      <c r="P582" s="65">
        <v>0.80486111111111114</v>
      </c>
      <c r="Q582" s="66">
        <f t="shared" ref="Q582:Q593" ca="1" si="149">IFERROR(IF(O582="","",IF(P582="",MOD(NOW()-O582,1),IF(P582&gt;=O582,P582-O582,P582+1-O582))),"")</f>
        <v>1.3194444444444509E-2</v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 t="s">
        <v>38</v>
      </c>
      <c r="D583" s="62" t="s">
        <v>31</v>
      </c>
      <c r="E583" s="87" t="s">
        <v>276</v>
      </c>
      <c r="F583" s="88">
        <f>IFERROR(IF($D583="","",VLOOKUP($D583,Cadastro!$C$4:$E$7,3,FALSE())),"")</f>
        <v>0.35</v>
      </c>
      <c r="G583" s="89">
        <v>5</v>
      </c>
      <c r="H583" s="88">
        <f>IFERROR(IF($G583="","",$G583*$S$594/$G$594/Cadastro!$E$33),"")</f>
        <v>24.54247311827957</v>
      </c>
      <c r="I583" s="90">
        <f>IFERROR(IF($D583="","",VLOOKUP($D583,Cadastro!$C$4:$G$7,5,FALSE())),"")</f>
        <v>0.6</v>
      </c>
      <c r="J583" s="91">
        <f t="shared" si="147"/>
        <v>5.1539193548387097</v>
      </c>
      <c r="K583" s="69">
        <f t="shared" si="148"/>
        <v>21</v>
      </c>
      <c r="L583" s="70" t="s">
        <v>29</v>
      </c>
      <c r="M583" s="70" t="s">
        <v>137</v>
      </c>
      <c r="N583" s="70" t="s">
        <v>123</v>
      </c>
      <c r="O583" s="65">
        <v>0.82638888888888884</v>
      </c>
      <c r="P583" s="65">
        <v>0.91111111111111109</v>
      </c>
      <c r="Q583" s="71">
        <f t="shared" ca="1" si="149"/>
        <v>8.4722222222222254E-2</v>
      </c>
      <c r="R583" s="63" t="s">
        <v>374</v>
      </c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 t="s">
        <v>38</v>
      </c>
      <c r="D584" s="62" t="s">
        <v>31</v>
      </c>
      <c r="E584" s="87" t="s">
        <v>276</v>
      </c>
      <c r="F584" s="88">
        <f>IFERROR(IF($D584="","",VLOOKUP($D584,Cadastro!$C$4:$E$7,3,FALSE())),"")</f>
        <v>0.35</v>
      </c>
      <c r="G584" s="89">
        <v>0</v>
      </c>
      <c r="H584" s="88">
        <f>IFERROR(IF($G584="","",$G584*$S$594/$G$594/Cadastro!$E$33),"")</f>
        <v>0</v>
      </c>
      <c r="I584" s="90">
        <f>IFERROR(IF($D584="","",VLOOKUP($D584,Cadastro!$C$4:$G$7,5,FALSE())),"")</f>
        <v>0.6</v>
      </c>
      <c r="J584" s="91">
        <f t="shared" si="147"/>
        <v>0</v>
      </c>
      <c r="K584" s="64">
        <f t="shared" si="148"/>
        <v>0</v>
      </c>
      <c r="L584" s="61" t="s">
        <v>29</v>
      </c>
      <c r="M584" s="61" t="s">
        <v>137</v>
      </c>
      <c r="N584" s="61" t="s">
        <v>123</v>
      </c>
      <c r="O584" s="65">
        <v>0.19513888888888889</v>
      </c>
      <c r="P584" s="65">
        <v>0.1986111111111111</v>
      </c>
      <c r="Q584" s="66">
        <f t="shared" ca="1" si="149"/>
        <v>3.4722222222222099E-3</v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 t="s">
        <v>38</v>
      </c>
      <c r="D585" s="62" t="s">
        <v>31</v>
      </c>
      <c r="E585" s="87" t="s">
        <v>276</v>
      </c>
      <c r="F585" s="88">
        <f>IFERROR(IF($D585="","",VLOOKUP($D585,Cadastro!$C$4:$E$7,3,FALSE())),"")</f>
        <v>0.35</v>
      </c>
      <c r="G585" s="89">
        <v>4</v>
      </c>
      <c r="H585" s="88">
        <f>IFERROR(IF($G585="","",$G585*$S$594/$G$594/Cadastro!$E$33),"")</f>
        <v>19.633978494623655</v>
      </c>
      <c r="I585" s="90">
        <f>IFERROR(IF($D585="","",VLOOKUP($D585,Cadastro!$C$4:$G$7,5,FALSE())),"")</f>
        <v>0.6</v>
      </c>
      <c r="J585" s="91">
        <f t="shared" si="147"/>
        <v>4.1231354838709668</v>
      </c>
      <c r="K585" s="69">
        <f t="shared" si="148"/>
        <v>16.8</v>
      </c>
      <c r="L585" s="70" t="s">
        <v>28</v>
      </c>
      <c r="M585" s="70" t="s">
        <v>56</v>
      </c>
      <c r="N585" s="70" t="s">
        <v>36</v>
      </c>
      <c r="O585" s="65">
        <v>0.24513888888888888</v>
      </c>
      <c r="P585" s="65">
        <v>0.25833333333333336</v>
      </c>
      <c r="Q585" s="71">
        <f t="shared" ca="1" si="149"/>
        <v>1.3194444444444481E-2</v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 t="s">
        <v>38</v>
      </c>
      <c r="D586" s="62" t="s">
        <v>31</v>
      </c>
      <c r="E586" s="87" t="s">
        <v>276</v>
      </c>
      <c r="F586" s="88">
        <f>IFERROR(IF($D586="","",VLOOKUP($D586,Cadastro!$C$4:$E$7,3,FALSE())),"")</f>
        <v>0.35</v>
      </c>
      <c r="G586" s="89">
        <v>7</v>
      </c>
      <c r="H586" s="88">
        <f>IFERROR(IF($G586="","",$G586*$S$594/$G$594/Cadastro!$E$33),"")</f>
        <v>34.359462365591398</v>
      </c>
      <c r="I586" s="90">
        <f>IFERROR(IF($D586="","",VLOOKUP($D586,Cadastro!$C$4:$G$7,5,FALSE())),"")</f>
        <v>0.6</v>
      </c>
      <c r="J586" s="91">
        <f t="shared" si="147"/>
        <v>7.2154870967741935</v>
      </c>
      <c r="K586" s="64">
        <f t="shared" si="148"/>
        <v>29.400000000000002</v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 t="s">
        <v>38</v>
      </c>
      <c r="D587" s="62" t="s">
        <v>31</v>
      </c>
      <c r="E587" s="87" t="s">
        <v>276</v>
      </c>
      <c r="F587" s="88">
        <f>IFERROR(IF($D587="","",VLOOKUP($D587,Cadastro!$C$4:$E$7,3,FALSE())),"")</f>
        <v>0.35</v>
      </c>
      <c r="G587" s="89">
        <v>18</v>
      </c>
      <c r="H587" s="88">
        <f>IFERROR(IF($G587="","",$G587*$S$594/$G$594/Cadastro!$E$33),"")</f>
        <v>88.352903225806457</v>
      </c>
      <c r="I587" s="90">
        <f>IFERROR(IF($D587="","",VLOOKUP($D587,Cadastro!$C$4:$G$7,5,FALSE())),"")</f>
        <v>0.6</v>
      </c>
      <c r="J587" s="91">
        <f t="shared" si="147"/>
        <v>18.554109677419355</v>
      </c>
      <c r="K587" s="69">
        <f t="shared" si="148"/>
        <v>75.600000000000009</v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 t="s">
        <v>38</v>
      </c>
      <c r="D588" s="62" t="s">
        <v>31</v>
      </c>
      <c r="E588" s="87" t="s">
        <v>276</v>
      </c>
      <c r="F588" s="88">
        <f>IFERROR(IF($D588="","",VLOOKUP($D588,Cadastro!$C$4:$E$7,3,FALSE())),"")</f>
        <v>0.35</v>
      </c>
      <c r="G588" s="89">
        <v>7</v>
      </c>
      <c r="H588" s="88">
        <f>IFERROR(IF($G588="","",$G588*$S$594/$G$594/Cadastro!$E$33),"")</f>
        <v>34.359462365591398</v>
      </c>
      <c r="I588" s="90">
        <f>IFERROR(IF($D588="","",VLOOKUP($D588,Cadastro!$C$4:$G$7,5,FALSE())),"")</f>
        <v>0.6</v>
      </c>
      <c r="J588" s="91">
        <f t="shared" si="147"/>
        <v>7.2154870967741935</v>
      </c>
      <c r="K588" s="64">
        <f t="shared" si="148"/>
        <v>29.400000000000002</v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 t="s">
        <v>38</v>
      </c>
      <c r="D589" s="62" t="s">
        <v>31</v>
      </c>
      <c r="E589" s="87" t="s">
        <v>276</v>
      </c>
      <c r="F589" s="88">
        <f>IFERROR(IF($D589="","",VLOOKUP($D589,Cadastro!$C$4:$E$7,3,FALSE())),"")</f>
        <v>0.35</v>
      </c>
      <c r="G589" s="89">
        <v>11</v>
      </c>
      <c r="H589" s="88">
        <f>IFERROR(IF($G589="","",$G589*$S$594/$G$594/Cadastro!$E$33),"")</f>
        <v>53.993440860215053</v>
      </c>
      <c r="I589" s="90">
        <f>IFERROR(IF($D589="","",VLOOKUP($D589,Cadastro!$C$4:$G$7,5,FALSE())),"")</f>
        <v>0.6</v>
      </c>
      <c r="J589" s="91">
        <f t="shared" si="147"/>
        <v>11.338622580645161</v>
      </c>
      <c r="K589" s="69">
        <f t="shared" si="148"/>
        <v>46.2</v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A590" s="157">
        <v>46256</v>
      </c>
      <c r="B590" s="60">
        <f t="shared" si="150"/>
        <v>1.1666666666666665</v>
      </c>
      <c r="C590" s="61" t="s">
        <v>38</v>
      </c>
      <c r="D590" s="62" t="s">
        <v>31</v>
      </c>
      <c r="E590" s="87" t="s">
        <v>276</v>
      </c>
      <c r="F590" s="88">
        <f>IFERROR(IF($D590="","",VLOOKUP($D590,Cadastro!$C$4:$E$7,3,FALSE())),"")</f>
        <v>0.35</v>
      </c>
      <c r="G590" s="89">
        <v>14</v>
      </c>
      <c r="H590" s="88">
        <f>IFERROR(IF($G590="","",$G590*$S$594/$G$594/Cadastro!$E$33),"")</f>
        <v>68.718924731182796</v>
      </c>
      <c r="I590" s="90">
        <f>IFERROR(IF($D590="","",VLOOKUP($D590,Cadastro!$C$4:$G$7,5,FALSE())),"")</f>
        <v>0.6</v>
      </c>
      <c r="J590" s="91">
        <f t="shared" si="147"/>
        <v>14.430974193548387</v>
      </c>
      <c r="K590" s="64">
        <f t="shared" si="148"/>
        <v>58.800000000000004</v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 t="s">
        <v>38</v>
      </c>
      <c r="D591" s="62" t="s">
        <v>31</v>
      </c>
      <c r="E591" s="87" t="s">
        <v>276</v>
      </c>
      <c r="F591" s="88">
        <f>IFERROR(IF($D591="","",VLOOKUP($D591,Cadastro!$C$4:$E$7,3,FALSE())),"")</f>
        <v>0.35</v>
      </c>
      <c r="G591" s="89">
        <v>9</v>
      </c>
      <c r="H591" s="88">
        <f>IFERROR(IF($G591="","",$G591*$S$594/$G$594/Cadastro!$E$33),"")</f>
        <v>44.176451612903229</v>
      </c>
      <c r="I591" s="90">
        <f>IFERROR(IF($D591="","",VLOOKUP($D591,Cadastro!$C$4:$G$7,5,FALSE())),"")</f>
        <v>0.6</v>
      </c>
      <c r="J591" s="91">
        <f t="shared" si="147"/>
        <v>9.2770548387096774</v>
      </c>
      <c r="K591" s="69">
        <f t="shared" si="148"/>
        <v>37.800000000000004</v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 t="s">
        <v>38</v>
      </c>
      <c r="D592" s="62" t="s">
        <v>31</v>
      </c>
      <c r="E592" s="87" t="s">
        <v>261</v>
      </c>
      <c r="F592" s="88">
        <f>IFERROR(IF($D592="","",VLOOKUP($D592,Cadastro!$C$4:$E$7,3,FALSE())),"")</f>
        <v>0.35</v>
      </c>
      <c r="G592" s="89">
        <v>14</v>
      </c>
      <c r="H592" s="88">
        <f>IFERROR(IF($G592="","",$G592*$S$594/$G$594/Cadastro!$E$33),"")</f>
        <v>68.718924731182796</v>
      </c>
      <c r="I592" s="90">
        <f>IFERROR(IF($D592="","",VLOOKUP($D592,Cadastro!$C$4:$G$7,5,FALSE())),"")</f>
        <v>0.6</v>
      </c>
      <c r="J592" s="91">
        <f t="shared" si="147"/>
        <v>14.430974193548387</v>
      </c>
      <c r="K592" s="64">
        <f t="shared" si="148"/>
        <v>70</v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 t="s">
        <v>38</v>
      </c>
      <c r="D593" s="62" t="s">
        <v>31</v>
      </c>
      <c r="E593" s="87" t="s">
        <v>276</v>
      </c>
      <c r="F593" s="92">
        <f>IFERROR(IF($D593="","",VLOOKUP($D593,Cadastro!$C$4:$E$7,3,FALSE())),"")</f>
        <v>0.35</v>
      </c>
      <c r="G593" s="89">
        <v>0</v>
      </c>
      <c r="H593" s="92">
        <f>IFERROR(IF($G593="","",$G593*$S$594/$G$594/Cadastro!$E$33),"")</f>
        <v>0</v>
      </c>
      <c r="I593" s="93">
        <f>IFERROR(IF($D593="","",VLOOKUP($D593,Cadastro!$C$4:$G$7,5,FALSE())),"")</f>
        <v>0.6</v>
      </c>
      <c r="J593" s="94">
        <f t="shared" si="147"/>
        <v>0</v>
      </c>
      <c r="K593" s="69">
        <f t="shared" si="148"/>
        <v>0</v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8" t="s">
        <v>265</v>
      </c>
      <c r="B594" s="158"/>
      <c r="C594" s="158"/>
      <c r="D594" s="158"/>
      <c r="E594" s="158"/>
      <c r="F594" s="105"/>
      <c r="G594" s="96">
        <f>SUM(G582:G593)</f>
        <v>93</v>
      </c>
      <c r="H594" s="105">
        <f>IFERROR(SUM(H582:H593),"")</f>
        <v>456.49</v>
      </c>
      <c r="I594" s="106"/>
      <c r="J594" s="107">
        <f>IFERROR(SUM(J582:J593),"")</f>
        <v>95.862899999999996</v>
      </c>
      <c r="K594" s="2">
        <f>SUM(K582:K593)</f>
        <v>401.80000000000007</v>
      </c>
      <c r="L594" s="72"/>
      <c r="M594" s="72"/>
      <c r="N594" s="72"/>
      <c r="O594" s="72"/>
      <c r="P594" s="72"/>
      <c r="Q594" s="73">
        <f ca="1">IFERROR(SUM(Q582:Q593),"")</f>
        <v>0.11458333333333345</v>
      </c>
      <c r="R594" s="2" t="s">
        <v>263</v>
      </c>
      <c r="S594" s="74">
        <v>456490</v>
      </c>
      <c r="T594" s="99">
        <f>IFERROR(J594,"")</f>
        <v>95.862899999999996</v>
      </c>
    </row>
    <row r="595" spans="1:20" ht="18" customHeight="1">
      <c r="A595" s="159" t="s">
        <v>251</v>
      </c>
      <c r="B595" s="159"/>
      <c r="C595" s="159"/>
      <c r="D595" s="159"/>
      <c r="E595" s="159"/>
      <c r="F595" s="108"/>
      <c r="G595" s="109">
        <f>G581+G594</f>
        <v>256</v>
      </c>
      <c r="H595" s="108">
        <f>IFERROR(H581+H594,"")</f>
        <v>1087.82</v>
      </c>
      <c r="I595" s="110"/>
      <c r="J595" s="111">
        <f>IFERROR(J581+J594,"")</f>
        <v>228.44219999999996</v>
      </c>
      <c r="K595" s="1">
        <f>K581+K594</f>
        <v>1095.2000000000003</v>
      </c>
      <c r="L595" s="76"/>
      <c r="M595" s="76"/>
      <c r="N595" s="76"/>
      <c r="O595" s="76"/>
      <c r="P595" s="76"/>
      <c r="Q595" s="77">
        <f ca="1">IFERROR(Q581+Q594,"")</f>
        <v>0.27083333333333348</v>
      </c>
      <c r="R595" s="1" t="s">
        <v>266</v>
      </c>
      <c r="S595" s="82">
        <f>IFERROR(S581+S594,"")</f>
        <v>1087820</v>
      </c>
      <c r="T595" s="118">
        <f>IFERROR(J595,"")</f>
        <v>228.44219999999996</v>
      </c>
    </row>
    <row r="596" spans="1:20" ht="15" customHeight="1">
      <c r="A596" s="59">
        <v>46257</v>
      </c>
      <c r="B596" s="60">
        <v>0.33333333333333298</v>
      </c>
      <c r="C596" s="61" t="s">
        <v>30</v>
      </c>
      <c r="D596" s="62" t="s">
        <v>31</v>
      </c>
      <c r="E596" s="87" t="s">
        <v>276</v>
      </c>
      <c r="F596" s="101">
        <f>IFERROR(IF($D596="","",VLOOKUP($D596,Cadastro!$C$4:$E$7,3,FALSE())),"")</f>
        <v>0.35</v>
      </c>
      <c r="G596" s="89">
        <v>8</v>
      </c>
      <c r="H596" s="101">
        <f>IFERROR(IF($G596="","",$G596*$S$608/$G$608/Cadastro!$E$33),"")</f>
        <v>0</v>
      </c>
      <c r="I596" s="102">
        <f>IFERROR(IF($D596="","",VLOOKUP($D596,Cadastro!$C$4:$G$7,5,FALSE())),"")</f>
        <v>0.6</v>
      </c>
      <c r="J596" s="103">
        <f t="shared" ref="J596:J607" si="151">IFERROR(IF($H596="","",$H596*$F596*$I596),"")</f>
        <v>0</v>
      </c>
      <c r="K596" s="64">
        <f t="shared" ref="K596:K607" si="152">IF(G596="","",IF(E596="PC 17",G596*4.2,IF(E596="PC 19",G596*5,IF(E596="CB",G596*24,""))))</f>
        <v>33.6</v>
      </c>
      <c r="L596" s="61" t="s">
        <v>29</v>
      </c>
      <c r="M596" s="61" t="s">
        <v>56</v>
      </c>
      <c r="N596" s="61" t="s">
        <v>65</v>
      </c>
      <c r="O596" s="65">
        <v>0.3263888888888889</v>
      </c>
      <c r="P596" s="65">
        <v>0.35555555555555557</v>
      </c>
      <c r="Q596" s="66">
        <f t="shared" ref="Q596:Q607" ca="1" si="153">IFERROR(IF(O596="","",IF(P596="",MOD(NOW()-O596,1),IF(P596&gt;=O596,P596-O596,P596+1-O596))),"")</f>
        <v>2.9166666666666674E-2</v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 t="s">
        <v>30</v>
      </c>
      <c r="D597" s="62" t="s">
        <v>31</v>
      </c>
      <c r="E597" s="87" t="s">
        <v>276</v>
      </c>
      <c r="F597" s="88">
        <f>IFERROR(IF($D597="","",VLOOKUP($D597,Cadastro!$C$4:$E$7,3,FALSE())),"")</f>
        <v>0.35</v>
      </c>
      <c r="G597" s="89">
        <v>3</v>
      </c>
      <c r="H597" s="88">
        <f>IFERROR(IF($G597="","",$G597*$S$608/$G$608/Cadastro!$E$33),"")</f>
        <v>0</v>
      </c>
      <c r="I597" s="90">
        <f>IFERROR(IF($D597="","",VLOOKUP($D597,Cadastro!$C$4:$G$7,5,FALSE())),"")</f>
        <v>0.6</v>
      </c>
      <c r="J597" s="91">
        <f t="shared" si="151"/>
        <v>0</v>
      </c>
      <c r="K597" s="69">
        <f t="shared" si="152"/>
        <v>12.600000000000001</v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 t="s">
        <v>30</v>
      </c>
      <c r="D598" s="62" t="s">
        <v>31</v>
      </c>
      <c r="E598" s="87" t="s">
        <v>276</v>
      </c>
      <c r="F598" s="88">
        <f>IFERROR(IF($D598="","",VLOOKUP($D598,Cadastro!$C$4:$E$7,3,FALSE())),"")</f>
        <v>0.35</v>
      </c>
      <c r="G598" s="89"/>
      <c r="H598" s="88" t="str">
        <f>IFERROR(IF($G598="","",$G598*$S$608/$G$608/Cadastro!$E$33),"")</f>
        <v/>
      </c>
      <c r="I598" s="90">
        <f>IFERROR(IF($D598="","",VLOOKUP($D598,Cadastro!$C$4:$G$7,5,FALSE())),"")</f>
        <v>0.6</v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 t="s">
        <v>30</v>
      </c>
      <c r="D599" s="62" t="s">
        <v>31</v>
      </c>
      <c r="E599" s="87" t="s">
        <v>276</v>
      </c>
      <c r="F599" s="88">
        <f>IFERROR(IF($D599="","",VLOOKUP($D599,Cadastro!$C$4:$E$7,3,FALSE())),"")</f>
        <v>0.35</v>
      </c>
      <c r="G599" s="89"/>
      <c r="H599" s="88" t="str">
        <f>IFERROR(IF($G599="","",$G599*$S$608/$G$608/Cadastro!$E$33),"")</f>
        <v/>
      </c>
      <c r="I599" s="90">
        <f>IFERROR(IF($D599="","",VLOOKUP($D599,Cadastro!$C$4:$G$7,5,FALSE())),"")</f>
        <v>0.6</v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 t="s">
        <v>30</v>
      </c>
      <c r="D600" s="62" t="s">
        <v>31</v>
      </c>
      <c r="E600" s="87" t="s">
        <v>276</v>
      </c>
      <c r="F600" s="88">
        <f>IFERROR(IF($D600="","",VLOOKUP($D600,Cadastro!$C$4:$E$7,3,FALSE())),"")</f>
        <v>0.35</v>
      </c>
      <c r="G600" s="89"/>
      <c r="H600" s="88" t="str">
        <f>IFERROR(IF($G600="","",$G600*$S$608/$G$608/Cadastro!$E$33),"")</f>
        <v/>
      </c>
      <c r="I600" s="90">
        <f>IFERROR(IF($D600="","",VLOOKUP($D600,Cadastro!$C$4:$G$7,5,FALSE())),"")</f>
        <v>0.6</v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 t="s">
        <v>30</v>
      </c>
      <c r="D601" s="62" t="s">
        <v>31</v>
      </c>
      <c r="E601" s="87" t="s">
        <v>276</v>
      </c>
      <c r="F601" s="88">
        <f>IFERROR(IF($D601="","",VLOOKUP($D601,Cadastro!$C$4:$E$7,3,FALSE())),"")</f>
        <v>0.35</v>
      </c>
      <c r="G601" s="89"/>
      <c r="H601" s="88" t="str">
        <f>IFERROR(IF($G601="","",$G601*$S$608/$G$608/Cadastro!$E$33),"")</f>
        <v/>
      </c>
      <c r="I601" s="90">
        <f>IFERROR(IF($D601="","",VLOOKUP($D601,Cadastro!$C$4:$G$7,5,FALSE())),"")</f>
        <v>0.6</v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 t="s">
        <v>30</v>
      </c>
      <c r="D602" s="62" t="s">
        <v>31</v>
      </c>
      <c r="E602" s="87" t="s">
        <v>276</v>
      </c>
      <c r="F602" s="88">
        <f>IFERROR(IF($D602="","",VLOOKUP($D602,Cadastro!$C$4:$E$7,3,FALSE())),"")</f>
        <v>0.35</v>
      </c>
      <c r="G602" s="89"/>
      <c r="H602" s="88" t="str">
        <f>IFERROR(IF($G602="","",$G602*$S$608/$G$608/Cadastro!$E$33),"")</f>
        <v/>
      </c>
      <c r="I602" s="90">
        <f>IFERROR(IF($D602="","",VLOOKUP($D602,Cadastro!$C$4:$G$7,5,FALSE())),"")</f>
        <v>0.6</v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 t="s">
        <v>30</v>
      </c>
      <c r="D603" s="62" t="s">
        <v>31</v>
      </c>
      <c r="E603" s="87" t="s">
        <v>276</v>
      </c>
      <c r="F603" s="88">
        <f>IFERROR(IF($D603="","",VLOOKUP($D603,Cadastro!$C$4:$E$7,3,FALSE())),"")</f>
        <v>0.35</v>
      </c>
      <c r="G603" s="89"/>
      <c r="H603" s="88" t="str">
        <f>IFERROR(IF($G603="","",$G603*$S$608/$G$608/Cadastro!$E$33),"")</f>
        <v/>
      </c>
      <c r="I603" s="90">
        <f>IFERROR(IF($D603="","",VLOOKUP($D603,Cadastro!$C$4:$G$7,5,FALSE())),"")</f>
        <v>0.6</v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 t="s">
        <v>30</v>
      </c>
      <c r="D604" s="62" t="s">
        <v>31</v>
      </c>
      <c r="E604" s="87" t="s">
        <v>276</v>
      </c>
      <c r="F604" s="88">
        <f>IFERROR(IF($D604="","",VLOOKUP($D604,Cadastro!$C$4:$E$7,3,FALSE())),"")</f>
        <v>0.35</v>
      </c>
      <c r="G604" s="89"/>
      <c r="H604" s="88" t="str">
        <f>IFERROR(IF($G604="","",$G604*$S$608/$G$608/Cadastro!$E$33),"")</f>
        <v/>
      </c>
      <c r="I604" s="90">
        <f>IFERROR(IF($D604="","",VLOOKUP($D604,Cadastro!$C$4:$G$7,5,FALSE())),"")</f>
        <v>0.6</v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 t="s">
        <v>30</v>
      </c>
      <c r="D605" s="62" t="s">
        <v>55</v>
      </c>
      <c r="E605" s="87" t="s">
        <v>276</v>
      </c>
      <c r="F605" s="88">
        <f>IFERROR(IF($D605="","",VLOOKUP($D605,Cadastro!$C$4:$E$7,3,FALSE())),"")</f>
        <v>0.13</v>
      </c>
      <c r="G605" s="89"/>
      <c r="H605" s="88" t="str">
        <f>IFERROR(IF($G605="","",$G605*$S$608/$G$608/Cadastro!$E$33),"")</f>
        <v/>
      </c>
      <c r="I605" s="90">
        <f>IFERROR(IF($D605="","",VLOOKUP($D605,Cadastro!$C$4:$G$7,5,FALSE())),"")</f>
        <v>0.55000000000000004</v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 t="s">
        <v>30</v>
      </c>
      <c r="D606" s="62" t="s">
        <v>55</v>
      </c>
      <c r="E606" s="87" t="s">
        <v>276</v>
      </c>
      <c r="F606" s="88">
        <f>IFERROR(IF($D606="","",VLOOKUP($D606,Cadastro!$C$4:$E$7,3,FALSE())),"")</f>
        <v>0.13</v>
      </c>
      <c r="G606" s="89"/>
      <c r="H606" s="88" t="str">
        <f>IFERROR(IF($G606="","",$G606*$S$608/$G$608/Cadastro!$E$33),"")</f>
        <v/>
      </c>
      <c r="I606" s="90">
        <f>IFERROR(IF($D606="","",VLOOKUP($D606,Cadastro!$C$4:$G$7,5,FALSE())),"")</f>
        <v>0.55000000000000004</v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 t="s">
        <v>30</v>
      </c>
      <c r="D607" s="62" t="s">
        <v>55</v>
      </c>
      <c r="E607" s="87" t="s">
        <v>276</v>
      </c>
      <c r="F607" s="92">
        <f>IFERROR(IF($D607="","",VLOOKUP($D607,Cadastro!$C$4:$E$7,3,FALSE())),"")</f>
        <v>0.13</v>
      </c>
      <c r="G607" s="89"/>
      <c r="H607" s="92" t="str">
        <f>IFERROR(IF($G607="","",$G607*$S$608/$G$608/Cadastro!$E$33),"")</f>
        <v/>
      </c>
      <c r="I607" s="93">
        <f>IFERROR(IF($D607="","",VLOOKUP($D607,Cadastro!$C$4:$G$7,5,FALSE())),"")</f>
        <v>0.55000000000000004</v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8" t="s">
        <v>262</v>
      </c>
      <c r="B608" s="158"/>
      <c r="C608" s="158"/>
      <c r="D608" s="158"/>
      <c r="E608" s="158"/>
      <c r="F608" s="95"/>
      <c r="G608" s="96">
        <f>SUM(G596:G607)</f>
        <v>11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46.2</v>
      </c>
      <c r="L608" s="72"/>
      <c r="M608" s="72"/>
      <c r="N608" s="72"/>
      <c r="O608" s="72"/>
      <c r="P608" s="72"/>
      <c r="Q608" s="73">
        <f ca="1">IFERROR(SUM(Q596:Q607),"")</f>
        <v>2.9166666666666674E-2</v>
      </c>
      <c r="R608" s="2" t="s">
        <v>263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8" t="s">
        <v>265</v>
      </c>
      <c r="B621" s="158"/>
      <c r="C621" s="158"/>
      <c r="D621" s="158"/>
      <c r="E621" s="158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263</v>
      </c>
      <c r="S621" s="74"/>
      <c r="T621" s="99">
        <f>IFERROR(J621,"")</f>
        <v>0</v>
      </c>
    </row>
    <row r="622" spans="1:20" ht="18" customHeight="1">
      <c r="A622" s="159" t="s">
        <v>251</v>
      </c>
      <c r="B622" s="159"/>
      <c r="C622" s="159"/>
      <c r="D622" s="159"/>
      <c r="E622" s="159"/>
      <c r="F622" s="108"/>
      <c r="G622" s="109">
        <f>G608+G621</f>
        <v>11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46.2</v>
      </c>
      <c r="L622" s="76"/>
      <c r="M622" s="76"/>
      <c r="N622" s="76"/>
      <c r="O622" s="76"/>
      <c r="P622" s="76"/>
      <c r="Q622" s="77">
        <f ca="1">IFERROR(Q608+Q621,"")</f>
        <v>2.9166666666666674E-2</v>
      </c>
      <c r="R622" s="1" t="s">
        <v>266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8" t="s">
        <v>262</v>
      </c>
      <c r="B635" s="158"/>
      <c r="C635" s="158"/>
      <c r="D635" s="158"/>
      <c r="E635" s="158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263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8" t="s">
        <v>265</v>
      </c>
      <c r="B648" s="158"/>
      <c r="C648" s="158"/>
      <c r="D648" s="158"/>
      <c r="E648" s="158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263</v>
      </c>
      <c r="S648" s="74"/>
      <c r="T648" s="99">
        <f>IFERROR(J648,"")</f>
        <v>0</v>
      </c>
    </row>
    <row r="649" spans="1:20" ht="18" customHeight="1">
      <c r="A649" s="159" t="s">
        <v>251</v>
      </c>
      <c r="B649" s="159"/>
      <c r="C649" s="159"/>
      <c r="D649" s="159"/>
      <c r="E649" s="159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266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8" t="s">
        <v>262</v>
      </c>
      <c r="B662" s="158"/>
      <c r="C662" s="158"/>
      <c r="D662" s="158"/>
      <c r="E662" s="158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263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8" t="s">
        <v>265</v>
      </c>
      <c r="B675" s="158"/>
      <c r="C675" s="158"/>
      <c r="D675" s="158"/>
      <c r="E675" s="158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263</v>
      </c>
      <c r="S675" s="74"/>
      <c r="T675" s="99">
        <f>IFERROR(J675,"")</f>
        <v>0</v>
      </c>
    </row>
    <row r="676" spans="1:20" ht="18" customHeight="1">
      <c r="A676" s="159" t="s">
        <v>251</v>
      </c>
      <c r="B676" s="159"/>
      <c r="C676" s="159"/>
      <c r="D676" s="159"/>
      <c r="E676" s="159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266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8" t="s">
        <v>262</v>
      </c>
      <c r="B689" s="158"/>
      <c r="C689" s="158"/>
      <c r="D689" s="158"/>
      <c r="E689" s="158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263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8" t="s">
        <v>265</v>
      </c>
      <c r="B702" s="158"/>
      <c r="C702" s="158"/>
      <c r="D702" s="158"/>
      <c r="E702" s="158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263</v>
      </c>
      <c r="S702" s="74"/>
      <c r="T702" s="99">
        <f>IFERROR(J702,"")</f>
        <v>0</v>
      </c>
    </row>
    <row r="703" spans="1:20" ht="18" customHeight="1">
      <c r="A703" s="159" t="s">
        <v>251</v>
      </c>
      <c r="B703" s="159"/>
      <c r="C703" s="159"/>
      <c r="D703" s="159"/>
      <c r="E703" s="159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266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8" t="s">
        <v>262</v>
      </c>
      <c r="B716" s="158"/>
      <c r="C716" s="158"/>
      <c r="D716" s="158"/>
      <c r="E716" s="158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263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8" t="s">
        <v>265</v>
      </c>
      <c r="B729" s="158"/>
      <c r="C729" s="158"/>
      <c r="D729" s="158"/>
      <c r="E729" s="158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263</v>
      </c>
      <c r="S729" s="74"/>
      <c r="T729" s="99">
        <f>IFERROR(J729,"")</f>
        <v>0</v>
      </c>
    </row>
    <row r="730" spans="1:20" ht="18" customHeight="1">
      <c r="A730" s="159" t="s">
        <v>251</v>
      </c>
      <c r="B730" s="159"/>
      <c r="C730" s="159"/>
      <c r="D730" s="159"/>
      <c r="E730" s="159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266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8" t="s">
        <v>262</v>
      </c>
      <c r="B743" s="158"/>
      <c r="C743" s="158"/>
      <c r="D743" s="158"/>
      <c r="E743" s="158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263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8" t="s">
        <v>265</v>
      </c>
      <c r="B756" s="158"/>
      <c r="C756" s="158"/>
      <c r="D756" s="158"/>
      <c r="E756" s="158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263</v>
      </c>
      <c r="S756" s="74"/>
      <c r="T756" s="99">
        <f>IFERROR(J756,"")</f>
        <v>0</v>
      </c>
    </row>
    <row r="757" spans="1:20" ht="18" customHeight="1">
      <c r="A757" s="159" t="s">
        <v>251</v>
      </c>
      <c r="B757" s="159"/>
      <c r="C757" s="159"/>
      <c r="D757" s="159"/>
      <c r="E757" s="159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266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8" t="s">
        <v>262</v>
      </c>
      <c r="B770" s="158"/>
      <c r="C770" s="158"/>
      <c r="D770" s="158"/>
      <c r="E770" s="158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263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8" t="s">
        <v>265</v>
      </c>
      <c r="B783" s="158"/>
      <c r="C783" s="158"/>
      <c r="D783" s="158"/>
      <c r="E783" s="158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263</v>
      </c>
      <c r="S783" s="74"/>
      <c r="T783" s="99">
        <f>IFERROR(J783,"")</f>
        <v>0</v>
      </c>
    </row>
    <row r="784" spans="1:20" ht="18" customHeight="1">
      <c r="A784" s="159" t="s">
        <v>251</v>
      </c>
      <c r="B784" s="159"/>
      <c r="C784" s="159"/>
      <c r="D784" s="159"/>
      <c r="E784" s="159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266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8" t="s">
        <v>262</v>
      </c>
      <c r="B797" s="158"/>
      <c r="C797" s="158"/>
      <c r="D797" s="158"/>
      <c r="E797" s="158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263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8" t="s">
        <v>265</v>
      </c>
      <c r="B810" s="158"/>
      <c r="C810" s="158"/>
      <c r="D810" s="158"/>
      <c r="E810" s="158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263</v>
      </c>
      <c r="S810" s="74"/>
      <c r="T810" s="99">
        <f>IFERROR(J810,"")</f>
        <v>0</v>
      </c>
    </row>
    <row r="811" spans="1:20" ht="18" customHeight="1">
      <c r="A811" s="159" t="s">
        <v>251</v>
      </c>
      <c r="B811" s="159"/>
      <c r="C811" s="159"/>
      <c r="D811" s="159"/>
      <c r="E811" s="159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266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8" t="s">
        <v>262</v>
      </c>
      <c r="B824" s="158"/>
      <c r="C824" s="158"/>
      <c r="D824" s="158"/>
      <c r="E824" s="158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263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8" t="s">
        <v>265</v>
      </c>
      <c r="B837" s="158"/>
      <c r="C837" s="158"/>
      <c r="D837" s="158"/>
      <c r="E837" s="158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263</v>
      </c>
      <c r="S837" s="74"/>
      <c r="T837" s="99">
        <f>IFERROR(J837,"")</f>
        <v>0</v>
      </c>
    </row>
    <row r="838" spans="1:20" ht="18" customHeight="1">
      <c r="A838" s="159" t="s">
        <v>251</v>
      </c>
      <c r="B838" s="159"/>
      <c r="C838" s="159"/>
      <c r="D838" s="159"/>
      <c r="E838" s="159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266</v>
      </c>
      <c r="S838" s="30">
        <f>IFERROR(S824+S837,"")</f>
        <v>0</v>
      </c>
      <c r="T838" s="31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1" zoomScaleNormal="81" workbookViewId="0">
      <pane ySplit="1" topLeftCell="A593" activePane="bottomLeft" state="frozen"/>
      <selection pane="bottomLeft" activeCell="D607" sqref="D607"/>
    </sheetView>
  </sheetViews>
  <sheetFormatPr defaultColWidth="8.5703125" defaultRowHeight="1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252</v>
      </c>
      <c r="C1" s="57" t="s">
        <v>19</v>
      </c>
      <c r="D1" s="56" t="s">
        <v>20</v>
      </c>
      <c r="E1" s="56" t="s">
        <v>253</v>
      </c>
      <c r="F1" s="86" t="s">
        <v>21</v>
      </c>
      <c r="G1" s="57" t="s">
        <v>254</v>
      </c>
      <c r="H1" s="86" t="s">
        <v>305</v>
      </c>
      <c r="I1" s="86" t="s">
        <v>22</v>
      </c>
      <c r="J1" s="86" t="s">
        <v>306</v>
      </c>
      <c r="K1" s="57" t="s">
        <v>255</v>
      </c>
      <c r="L1" s="57" t="s">
        <v>23</v>
      </c>
      <c r="M1" s="57" t="s">
        <v>24</v>
      </c>
      <c r="N1" s="57" t="s">
        <v>256</v>
      </c>
      <c r="O1" s="57" t="s">
        <v>257</v>
      </c>
      <c r="P1" s="57" t="s">
        <v>258</v>
      </c>
      <c r="Q1" s="58" t="s">
        <v>259</v>
      </c>
      <c r="R1" s="57" t="s">
        <v>248</v>
      </c>
      <c r="S1" s="57" t="s">
        <v>260</v>
      </c>
      <c r="T1" s="57" t="s">
        <v>306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276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276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276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276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276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276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276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276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276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276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276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276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8" t="s">
        <v>262</v>
      </c>
      <c r="B14" s="158"/>
      <c r="C14" s="158"/>
      <c r="D14" s="158"/>
      <c r="E14" s="158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263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276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276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380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276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313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276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141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351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276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141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381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276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276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276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173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382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276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276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276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276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8" t="s">
        <v>265</v>
      </c>
      <c r="B27" s="158"/>
      <c r="C27" s="158"/>
      <c r="D27" s="158"/>
      <c r="E27" s="158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263</v>
      </c>
      <c r="S27" s="74">
        <v>491520</v>
      </c>
      <c r="T27" s="99">
        <f>IFERROR(J27,"")</f>
        <v>0</v>
      </c>
    </row>
    <row r="28" spans="1:20" ht="18" customHeight="1">
      <c r="A28" s="159" t="s">
        <v>251</v>
      </c>
      <c r="B28" s="159"/>
      <c r="C28" s="159"/>
      <c r="D28" s="159"/>
      <c r="E28" s="159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266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276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276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276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276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276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276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276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276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276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276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276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276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8" t="s">
        <v>262</v>
      </c>
      <c r="B41" s="158"/>
      <c r="C41" s="158"/>
      <c r="D41" s="158"/>
      <c r="E41" s="158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263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276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276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276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276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383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276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276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276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276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276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276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276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276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8" t="s">
        <v>265</v>
      </c>
      <c r="B54" s="158"/>
      <c r="C54" s="158"/>
      <c r="D54" s="158"/>
      <c r="E54" s="158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263</v>
      </c>
      <c r="S54" s="74">
        <v>352430</v>
      </c>
      <c r="T54" s="99">
        <f>IFERROR(J54,"")</f>
        <v>0</v>
      </c>
    </row>
    <row r="55" spans="1:20" ht="18" customHeight="1">
      <c r="A55" s="159" t="s">
        <v>251</v>
      </c>
      <c r="B55" s="159"/>
      <c r="C55" s="159"/>
      <c r="D55" s="159"/>
      <c r="E55" s="159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266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276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276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276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219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276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384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276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141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385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276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276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276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276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276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276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276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8" t="s">
        <v>262</v>
      </c>
      <c r="B68" s="158"/>
      <c r="C68" s="158"/>
      <c r="D68" s="158"/>
      <c r="E68" s="158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263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276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232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386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276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276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276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141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351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276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276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219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276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276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276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276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276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8" t="s">
        <v>265</v>
      </c>
      <c r="B81" s="158"/>
      <c r="C81" s="158"/>
      <c r="D81" s="158"/>
      <c r="E81" s="158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263</v>
      </c>
      <c r="S81" s="74">
        <v>612410</v>
      </c>
      <c r="T81" s="99">
        <f>IFERROR(J81,"")</f>
        <v>0</v>
      </c>
    </row>
    <row r="82" spans="1:20" ht="18" customHeight="1">
      <c r="A82" s="159" t="s">
        <v>251</v>
      </c>
      <c r="B82" s="159"/>
      <c r="C82" s="159"/>
      <c r="D82" s="159"/>
      <c r="E82" s="159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266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276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174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276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276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276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276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276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276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276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276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276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276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276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8" t="s">
        <v>262</v>
      </c>
      <c r="B95" s="158"/>
      <c r="C95" s="158"/>
      <c r="D95" s="158"/>
      <c r="E95" s="158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263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276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174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276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141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351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276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276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276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276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276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276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276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276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276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276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8" t="s">
        <v>265</v>
      </c>
      <c r="B108" s="158"/>
      <c r="C108" s="158"/>
      <c r="D108" s="158"/>
      <c r="E108" s="158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263</v>
      </c>
      <c r="S108" s="74">
        <v>956070</v>
      </c>
      <c r="T108" s="99">
        <f>IFERROR(J108,"")</f>
        <v>0</v>
      </c>
    </row>
    <row r="109" spans="1:20" ht="18" customHeight="1">
      <c r="A109" s="159" t="s">
        <v>251</v>
      </c>
      <c r="B109" s="159"/>
      <c r="C109" s="159"/>
      <c r="D109" s="159"/>
      <c r="E109" s="159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266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276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174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276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232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276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237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276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237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276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174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387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276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276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276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276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276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276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276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8" t="s">
        <v>262</v>
      </c>
      <c r="B122" s="158"/>
      <c r="C122" s="158"/>
      <c r="D122" s="158"/>
      <c r="E122" s="158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263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276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219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276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388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276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276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276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316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276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276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141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351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276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276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276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276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276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8" t="s">
        <v>265</v>
      </c>
      <c r="B135" s="158"/>
      <c r="C135" s="158"/>
      <c r="D135" s="158"/>
      <c r="E135" s="158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263</v>
      </c>
      <c r="S135" s="74">
        <v>912240</v>
      </c>
      <c r="T135" s="99">
        <f>IFERROR(J135,"")</f>
        <v>0</v>
      </c>
    </row>
    <row r="136" spans="1:22" ht="18" customHeight="1">
      <c r="A136" s="159" t="s">
        <v>251</v>
      </c>
      <c r="B136" s="159"/>
      <c r="C136" s="159"/>
      <c r="D136" s="159"/>
      <c r="E136" s="159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266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276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276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174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389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276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390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276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276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152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276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276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174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276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276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276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324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276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276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262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263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276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174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391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276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151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392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276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276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276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276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276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276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276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276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276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276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8" t="s">
        <v>265</v>
      </c>
      <c r="B162" s="158"/>
      <c r="C162" s="158"/>
      <c r="D162" s="158"/>
      <c r="E162" s="158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263</v>
      </c>
      <c r="S162" s="74">
        <v>573230</v>
      </c>
      <c r="T162" s="99">
        <f>IFERROR(J162,"")</f>
        <v>0</v>
      </c>
    </row>
    <row r="163" spans="1:20" ht="18" customHeight="1">
      <c r="A163" s="159" t="s">
        <v>251</v>
      </c>
      <c r="B163" s="159"/>
      <c r="C163" s="159"/>
      <c r="D163" s="159"/>
      <c r="E163" s="159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266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276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151</v>
      </c>
      <c r="N164" s="61" t="s">
        <v>145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276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174</v>
      </c>
      <c r="N165" s="70" t="s">
        <v>196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276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174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276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276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168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276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152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276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174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393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276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152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276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276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276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276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8" t="s">
        <v>262</v>
      </c>
      <c r="B176" s="158"/>
      <c r="C176" s="158"/>
      <c r="D176" s="158"/>
      <c r="E176" s="158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263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276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394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276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152</v>
      </c>
      <c r="N178" s="61" t="s">
        <v>141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276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174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276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276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276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276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276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276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276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276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276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8" t="s">
        <v>265</v>
      </c>
      <c r="B189" s="158"/>
      <c r="C189" s="158"/>
      <c r="D189" s="158"/>
      <c r="E189" s="158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263</v>
      </c>
      <c r="S189" s="74">
        <v>692750</v>
      </c>
      <c r="T189" s="99">
        <f>IFERROR(J189,"")</f>
        <v>0</v>
      </c>
    </row>
    <row r="190" spans="1:20" ht="18" customHeight="1">
      <c r="A190" s="159" t="s">
        <v>251</v>
      </c>
      <c r="B190" s="159"/>
      <c r="C190" s="159"/>
      <c r="D190" s="159"/>
      <c r="E190" s="159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266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276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174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276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168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395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276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276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169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276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276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276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276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276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276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276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276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8" t="s">
        <v>262</v>
      </c>
      <c r="B203" s="158"/>
      <c r="C203" s="158"/>
      <c r="D203" s="158"/>
      <c r="E203" s="158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263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276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396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276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397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276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398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276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276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276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276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276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276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276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276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276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8" t="s">
        <v>265</v>
      </c>
      <c r="B216" s="158"/>
      <c r="C216" s="158"/>
      <c r="D216" s="158"/>
      <c r="E216" s="158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263</v>
      </c>
      <c r="S216" s="74">
        <v>607180</v>
      </c>
      <c r="T216" s="99">
        <f>IFERROR(J216,"")</f>
        <v>0</v>
      </c>
    </row>
    <row r="217" spans="1:20" ht="18" customHeight="1">
      <c r="A217" s="159" t="s">
        <v>251</v>
      </c>
      <c r="B217" s="159"/>
      <c r="C217" s="159"/>
      <c r="D217" s="159"/>
      <c r="E217" s="159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266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276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276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276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399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276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400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261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276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276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276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276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276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276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276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8" t="s">
        <v>262</v>
      </c>
      <c r="B230" s="158"/>
      <c r="C230" s="158"/>
      <c r="D230" s="158"/>
      <c r="E230" s="158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263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276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401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261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402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276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163</v>
      </c>
      <c r="N233" s="70" t="s">
        <v>141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261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261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261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261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261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261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261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261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261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8" t="s">
        <v>265</v>
      </c>
      <c r="B243" s="158"/>
      <c r="C243" s="158"/>
      <c r="D243" s="158"/>
      <c r="E243" s="158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263</v>
      </c>
      <c r="S243" s="74">
        <v>795250</v>
      </c>
      <c r="T243" s="99">
        <f>IFERROR(J243,"")</f>
        <v>0</v>
      </c>
    </row>
    <row r="244" spans="1:20" ht="18" customHeight="1">
      <c r="A244" s="159" t="s">
        <v>251</v>
      </c>
      <c r="B244" s="159"/>
      <c r="C244" s="159"/>
      <c r="D244" s="159"/>
      <c r="E244" s="159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266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261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178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261</v>
      </c>
      <c r="F246" s="88"/>
      <c r="G246" s="63" t="s">
        <v>286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261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261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276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163</v>
      </c>
      <c r="N249" s="70" t="s">
        <v>141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403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276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276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276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276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276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276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276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8" t="s">
        <v>262</v>
      </c>
      <c r="B257" s="158"/>
      <c r="C257" s="158"/>
      <c r="D257" s="158"/>
      <c r="E257" s="158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263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276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276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276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276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276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276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276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276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276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276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276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276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8" t="s">
        <v>265</v>
      </c>
      <c r="B270" s="158"/>
      <c r="C270" s="158"/>
      <c r="D270" s="158"/>
      <c r="E270" s="158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263</v>
      </c>
      <c r="S270" s="74">
        <v>683360</v>
      </c>
      <c r="T270" s="99">
        <f>IFERROR(J270,"")</f>
        <v>0</v>
      </c>
    </row>
    <row r="271" spans="1:20" ht="18" customHeight="1">
      <c r="A271" s="159" t="s">
        <v>251</v>
      </c>
      <c r="B271" s="159"/>
      <c r="C271" s="159"/>
      <c r="D271" s="159"/>
      <c r="E271" s="159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266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276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276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276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276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276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276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276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276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276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276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276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276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8" t="s">
        <v>262</v>
      </c>
      <c r="B284" s="158"/>
      <c r="C284" s="158"/>
      <c r="D284" s="158"/>
      <c r="E284" s="158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263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261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261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276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261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261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261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261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261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261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261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261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261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8" t="s">
        <v>265</v>
      </c>
      <c r="B297" s="158"/>
      <c r="C297" s="158"/>
      <c r="D297" s="158"/>
      <c r="E297" s="158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263</v>
      </c>
      <c r="S297" s="74">
        <v>904710</v>
      </c>
      <c r="T297" s="99">
        <f>IFERROR(J297,"")</f>
        <v>0</v>
      </c>
    </row>
    <row r="298" spans="1:20" ht="18" customHeight="1">
      <c r="A298" s="159" t="s">
        <v>251</v>
      </c>
      <c r="B298" s="159"/>
      <c r="C298" s="159"/>
      <c r="D298" s="159"/>
      <c r="E298" s="159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266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276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196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276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276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276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276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276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276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276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276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276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276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276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8" t="s">
        <v>262</v>
      </c>
      <c r="B311" s="158"/>
      <c r="C311" s="158"/>
      <c r="D311" s="158"/>
      <c r="E311" s="158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263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276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169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276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174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276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276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276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276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276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276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276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276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276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276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8" t="s">
        <v>265</v>
      </c>
      <c r="B324" s="158"/>
      <c r="C324" s="158"/>
      <c r="D324" s="158"/>
      <c r="E324" s="158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263</v>
      </c>
      <c r="S324" s="74">
        <v>1049720</v>
      </c>
      <c r="T324" s="99">
        <f>IFERROR(J324,"")</f>
        <v>151.15967999999998</v>
      </c>
    </row>
    <row r="325" spans="1:20" ht="18" customHeight="1">
      <c r="A325" s="159" t="s">
        <v>251</v>
      </c>
      <c r="B325" s="159"/>
      <c r="C325" s="159"/>
      <c r="D325" s="159"/>
      <c r="E325" s="159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266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261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174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261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261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261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276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261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276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276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276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276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276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276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8" t="s">
        <v>262</v>
      </c>
      <c r="B338" s="158"/>
      <c r="C338" s="158"/>
      <c r="D338" s="158"/>
      <c r="E338" s="158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263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276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174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276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276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276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174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276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276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276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276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174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404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276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405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276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276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276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8" t="s">
        <v>265</v>
      </c>
      <c r="B351" s="158"/>
      <c r="C351" s="158"/>
      <c r="D351" s="158"/>
      <c r="E351" s="158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263</v>
      </c>
      <c r="S351" s="74">
        <v>1058130</v>
      </c>
      <c r="T351" s="99">
        <f>IFERROR(J351,"")</f>
        <v>222.20729999999995</v>
      </c>
    </row>
    <row r="352" spans="1:20" ht="18" customHeight="1">
      <c r="A352" s="159" t="s">
        <v>251</v>
      </c>
      <c r="B352" s="159"/>
      <c r="C352" s="159"/>
      <c r="D352" s="159"/>
      <c r="E352" s="159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266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276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276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152</v>
      </c>
      <c r="N354" s="70" t="s">
        <v>141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276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276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406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276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276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407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276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276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276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276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276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276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262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263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276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276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143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276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174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276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276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276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168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276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408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276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178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276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276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276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276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8" t="s">
        <v>265</v>
      </c>
      <c r="B378" s="158"/>
      <c r="C378" s="158"/>
      <c r="D378" s="158"/>
      <c r="E378" s="158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263</v>
      </c>
      <c r="S378" s="74">
        <v>1137080</v>
      </c>
      <c r="T378" s="99">
        <f>IFERROR(J378,"")</f>
        <v>238.78679999999994</v>
      </c>
    </row>
    <row r="379" spans="1:20" ht="18" customHeight="1">
      <c r="A379" s="159" t="s">
        <v>251</v>
      </c>
      <c r="B379" s="159"/>
      <c r="C379" s="159"/>
      <c r="D379" s="159"/>
      <c r="E379" s="159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266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276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143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276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140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276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276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174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276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154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338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276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409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276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276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276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276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276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276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8" t="s">
        <v>262</v>
      </c>
      <c r="B392" s="158"/>
      <c r="C392" s="158"/>
      <c r="D392" s="158"/>
      <c r="E392" s="158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263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276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232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276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174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410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276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276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276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276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276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276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276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276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276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276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8" t="s">
        <v>265</v>
      </c>
      <c r="B405" s="158"/>
      <c r="C405" s="158"/>
      <c r="D405" s="158"/>
      <c r="E405" s="158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263</v>
      </c>
      <c r="S405" s="74">
        <v>989450</v>
      </c>
      <c r="T405" s="99">
        <f>IFERROR(J405,"")</f>
        <v>195.72390675675675</v>
      </c>
    </row>
    <row r="406" spans="1:20" ht="18" customHeight="1">
      <c r="A406" s="159" t="s">
        <v>251</v>
      </c>
      <c r="B406" s="159"/>
      <c r="C406" s="159"/>
      <c r="D406" s="159"/>
      <c r="E406" s="159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266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276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239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411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276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174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276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276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276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174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276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141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276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276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276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276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276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276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8" t="s">
        <v>262</v>
      </c>
      <c r="B419" s="158"/>
      <c r="C419" s="158"/>
      <c r="D419" s="158"/>
      <c r="E419" s="158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263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276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276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276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276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174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412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276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276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140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276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276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174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276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276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276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276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8" t="s">
        <v>265</v>
      </c>
      <c r="B432" s="158"/>
      <c r="C432" s="158"/>
      <c r="D432" s="158"/>
      <c r="E432" s="158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263</v>
      </c>
      <c r="S432" s="74">
        <v>766030</v>
      </c>
      <c r="T432" s="99">
        <f>IFERROR(J432,"")</f>
        <v>110.30832000000001</v>
      </c>
    </row>
    <row r="433" spans="1:21" ht="18" customHeight="1">
      <c r="A433" s="159" t="s">
        <v>251</v>
      </c>
      <c r="B433" s="159"/>
      <c r="C433" s="159"/>
      <c r="D433" s="159"/>
      <c r="E433" s="159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266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276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174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276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168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276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276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276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276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276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276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276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276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276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276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8" t="s">
        <v>262</v>
      </c>
      <c r="B446" s="158"/>
      <c r="C446" s="158"/>
      <c r="D446" s="158"/>
      <c r="E446" s="158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263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276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174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413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276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178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276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276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276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213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407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276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276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276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276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276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276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276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8" t="s">
        <v>265</v>
      </c>
      <c r="B459" s="158"/>
      <c r="C459" s="158"/>
      <c r="D459" s="158"/>
      <c r="E459" s="158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263</v>
      </c>
      <c r="S459" s="74">
        <v>1024280</v>
      </c>
      <c r="T459" s="99">
        <f>IFERROR(J459,"")</f>
        <v>202.88866044052861</v>
      </c>
    </row>
    <row r="460" spans="1:20" ht="18" customHeight="1">
      <c r="A460" s="159" t="s">
        <v>251</v>
      </c>
      <c r="B460" s="159"/>
      <c r="C460" s="159"/>
      <c r="D460" s="159"/>
      <c r="E460" s="159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266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276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276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276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276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140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276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140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276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276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276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276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276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276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276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8" t="s">
        <v>262</v>
      </c>
      <c r="B473" s="158"/>
      <c r="C473" s="158"/>
      <c r="D473" s="158"/>
      <c r="E473" s="158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263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276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174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276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169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276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140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414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276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276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174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276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141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373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276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276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276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276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276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276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8" t="s">
        <v>265</v>
      </c>
      <c r="B486" s="158"/>
      <c r="C486" s="158"/>
      <c r="D486" s="158"/>
      <c r="E486" s="158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263</v>
      </c>
      <c r="S486" s="74">
        <v>616050</v>
      </c>
      <c r="T486" s="99">
        <f>IFERROR(J486,"")</f>
        <v>88.711199999999977</v>
      </c>
    </row>
    <row r="487" spans="1:20" ht="18" customHeight="1">
      <c r="A487" s="159" t="s">
        <v>251</v>
      </c>
      <c r="B487" s="159"/>
      <c r="C487" s="159"/>
      <c r="D487" s="159"/>
      <c r="E487" s="159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266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276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276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174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276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276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261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276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276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276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276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276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276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276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8" t="s">
        <v>262</v>
      </c>
      <c r="B500" s="158"/>
      <c r="C500" s="158"/>
      <c r="D500" s="158"/>
      <c r="E500" s="158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263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276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174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276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140</v>
      </c>
      <c r="N502" s="61" t="s">
        <v>210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276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174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276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415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276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276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276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276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276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276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276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276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8" t="s">
        <v>265</v>
      </c>
      <c r="B513" s="158"/>
      <c r="C513" s="158"/>
      <c r="D513" s="158"/>
      <c r="E513" s="158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263</v>
      </c>
      <c r="S513" s="74">
        <v>727700</v>
      </c>
      <c r="T513" s="99">
        <f>IFERROR(J513,"")</f>
        <v>123.69990375</v>
      </c>
    </row>
    <row r="514" spans="1:20" ht="18" customHeight="1">
      <c r="A514" s="159" t="s">
        <v>251</v>
      </c>
      <c r="B514" s="159"/>
      <c r="C514" s="159"/>
      <c r="D514" s="159"/>
      <c r="E514" s="159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266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276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276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276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174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276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276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276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261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261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261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261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261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261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8" t="s">
        <v>262</v>
      </c>
      <c r="B527" s="158"/>
      <c r="C527" s="158"/>
      <c r="D527" s="158"/>
      <c r="E527" s="158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263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276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261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174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276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276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276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276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276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174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276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276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276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276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276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8" t="s">
        <v>265</v>
      </c>
      <c r="B540" s="158"/>
      <c r="C540" s="158"/>
      <c r="D540" s="158"/>
      <c r="E540" s="158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263</v>
      </c>
      <c r="S540" s="74">
        <v>746110</v>
      </c>
      <c r="T540" s="99">
        <f>IFERROR(J540,"")</f>
        <v>126.60637832335328</v>
      </c>
    </row>
    <row r="541" spans="1:20" ht="18" customHeight="1">
      <c r="A541" s="159" t="s">
        <v>251</v>
      </c>
      <c r="B541" s="159"/>
      <c r="C541" s="159"/>
      <c r="D541" s="159"/>
      <c r="E541" s="159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266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276</v>
      </c>
      <c r="F542" s="101">
        <f>IFERROR(IF($D542="","",VLOOKUP($D542,Cadastro!$C$4:$E$7,3,FALSE())),"")</f>
        <v>0.24</v>
      </c>
      <c r="G542" s="89">
        <v>14</v>
      </c>
      <c r="H542" s="101">
        <f>IFERROR(IF($G542="","",$G542*$S$554/$G$554/Cadastro!$E$33),"")</f>
        <v>81.878625954198483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11.790522137404579</v>
      </c>
      <c r="K542" s="64">
        <f t="shared" ref="K542:K553" si="139">IF(G542="","",IF(E542="PC 17",G542*4.2,IF(E542="PC 19",G542*5,IF(E542="CB",G542*24,""))))</f>
        <v>58.800000000000004</v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276</v>
      </c>
      <c r="F543" s="88">
        <f>IFERROR(IF($D543="","",VLOOKUP($D543,Cadastro!$C$4:$E$7,3,FALSE())),"")</f>
        <v>0.24</v>
      </c>
      <c r="G543" s="89">
        <v>30</v>
      </c>
      <c r="H543" s="88">
        <f>IFERROR(IF($G543="","",$G543*$S$554/$G$554/Cadastro!$E$33),"")</f>
        <v>175.45419847328245</v>
      </c>
      <c r="I543" s="90">
        <f>IFERROR(IF($D543="","",VLOOKUP($D543,Cadastro!$C$4:$G$7,5,FALSE())),"")</f>
        <v>0.6</v>
      </c>
      <c r="J543" s="91">
        <f t="shared" si="138"/>
        <v>25.265404580152673</v>
      </c>
      <c r="K543" s="69">
        <f t="shared" si="139"/>
        <v>126</v>
      </c>
      <c r="L543" s="70" t="s">
        <v>29</v>
      </c>
      <c r="M543" s="70" t="s">
        <v>61</v>
      </c>
      <c r="N543" s="70" t="s">
        <v>71</v>
      </c>
      <c r="O543" s="65">
        <v>0.3298611111111111</v>
      </c>
      <c r="P543" s="65">
        <v>0.33194444444444443</v>
      </c>
      <c r="Q543" s="71">
        <f t="shared" ca="1" si="140"/>
        <v>2.0833333333333259E-3</v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276</v>
      </c>
      <c r="F544" s="88">
        <f>IFERROR(IF($D544="","",VLOOKUP($D544,Cadastro!$C$4:$E$7,3,FALSE())),"")</f>
        <v>0.24</v>
      </c>
      <c r="G544" s="89">
        <v>6</v>
      </c>
      <c r="H544" s="88">
        <f>IFERROR(IF($G544="","",$G544*$S$554/$G$554/Cadastro!$E$33),"")</f>
        <v>35.090839694656488</v>
      </c>
      <c r="I544" s="90">
        <f>IFERROR(IF($D544="","",VLOOKUP($D544,Cadastro!$C$4:$G$7,5,FALSE())),"")</f>
        <v>0.6</v>
      </c>
      <c r="J544" s="91">
        <f t="shared" si="138"/>
        <v>5.0530809160305337</v>
      </c>
      <c r="K544" s="64">
        <f t="shared" si="139"/>
        <v>25.200000000000003</v>
      </c>
      <c r="L544" s="61" t="s">
        <v>29</v>
      </c>
      <c r="M544" s="61" t="s">
        <v>66</v>
      </c>
      <c r="N544" s="61" t="s">
        <v>60</v>
      </c>
      <c r="O544" s="65">
        <v>0.39583333333333331</v>
      </c>
      <c r="P544" s="65">
        <v>0.40277777777777779</v>
      </c>
      <c r="Q544" s="66">
        <f t="shared" ca="1" si="140"/>
        <v>6.9444444444444753E-3</v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276</v>
      </c>
      <c r="F545" s="88">
        <f>IFERROR(IF($D545="","",VLOOKUP($D545,Cadastro!$C$4:$E$7,3,FALSE())),"")</f>
        <v>0.24</v>
      </c>
      <c r="G545" s="89">
        <v>10</v>
      </c>
      <c r="H545" s="88">
        <f>IFERROR(IF($G545="","",$G545*$S$554/$G$554/Cadastro!$E$33),"")</f>
        <v>58.484732824427482</v>
      </c>
      <c r="I545" s="90">
        <f>IFERROR(IF($D545="","",VLOOKUP($D545,Cadastro!$C$4:$G$7,5,FALSE())),"")</f>
        <v>0.6</v>
      </c>
      <c r="J545" s="91">
        <f t="shared" si="138"/>
        <v>8.421801526717557</v>
      </c>
      <c r="K545" s="69">
        <f t="shared" si="139"/>
        <v>42</v>
      </c>
      <c r="L545" s="70" t="s">
        <v>29</v>
      </c>
      <c r="M545" s="70" t="s">
        <v>66</v>
      </c>
      <c r="N545" s="70" t="s">
        <v>60</v>
      </c>
      <c r="O545" s="65">
        <v>0.41805555555555557</v>
      </c>
      <c r="P545" s="65">
        <v>0.42499999999999999</v>
      </c>
      <c r="Q545" s="71">
        <f t="shared" ca="1" si="140"/>
        <v>6.9444444444444198E-3</v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276</v>
      </c>
      <c r="F546" s="88">
        <f>IFERROR(IF($D546="","",VLOOKUP($D546,Cadastro!$C$4:$E$7,3,FALSE())),"")</f>
        <v>0.24</v>
      </c>
      <c r="G546" s="89">
        <v>9</v>
      </c>
      <c r="H546" s="88">
        <f>IFERROR(IF($G546="","",$G546*$S$554/$G$554/Cadastro!$E$33),"")</f>
        <v>52.636259541984735</v>
      </c>
      <c r="I546" s="90">
        <f>IFERROR(IF($D546="","",VLOOKUP($D546,Cadastro!$C$4:$G$7,5,FALSE())),"")</f>
        <v>0.6</v>
      </c>
      <c r="J546" s="91">
        <f t="shared" si="138"/>
        <v>7.5796213740458018</v>
      </c>
      <c r="K546" s="64">
        <f t="shared" si="139"/>
        <v>37.800000000000004</v>
      </c>
      <c r="L546" s="61" t="s">
        <v>29</v>
      </c>
      <c r="M546" s="61" t="s">
        <v>169</v>
      </c>
      <c r="N546" s="61" t="s">
        <v>83</v>
      </c>
      <c r="O546" s="65">
        <v>0.46875</v>
      </c>
      <c r="P546" s="65">
        <v>0.4826388888888889</v>
      </c>
      <c r="Q546" s="66">
        <f t="shared" ca="1" si="140"/>
        <v>1.3888888888888895E-2</v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276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 t="s">
        <v>29</v>
      </c>
      <c r="M547" s="70" t="s">
        <v>61</v>
      </c>
      <c r="N547" s="70" t="s">
        <v>179</v>
      </c>
      <c r="O547" s="65">
        <v>0.5</v>
      </c>
      <c r="P547" s="65">
        <v>0.53749999999999998</v>
      </c>
      <c r="Q547" s="71">
        <f t="shared" ca="1" si="140"/>
        <v>3.7499999999999978E-2</v>
      </c>
      <c r="R547" s="63" t="s">
        <v>416</v>
      </c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276</v>
      </c>
      <c r="F548" s="88">
        <f>IFERROR(IF($D548="","",VLOOKUP($D548,Cadastro!$C$4:$E$7,3,FALSE())),"")</f>
        <v>0.24</v>
      </c>
      <c r="G548" s="89">
        <v>13</v>
      </c>
      <c r="H548" s="88">
        <f>IFERROR(IF($G548="","",$G548*$S$554/$G$554/Cadastro!$E$33),"")</f>
        <v>76.030152671755729</v>
      </c>
      <c r="I548" s="90">
        <f>IFERROR(IF($D548="","",VLOOKUP($D548,Cadastro!$C$4:$G$7,5,FALSE())),"")</f>
        <v>0.6</v>
      </c>
      <c r="J548" s="91">
        <f t="shared" si="138"/>
        <v>10.948341984732824</v>
      </c>
      <c r="K548" s="64">
        <f t="shared" si="139"/>
        <v>54.6</v>
      </c>
      <c r="L548" s="61" t="s">
        <v>29</v>
      </c>
      <c r="M548" s="61" t="s">
        <v>66</v>
      </c>
      <c r="N548" s="61" t="s">
        <v>60</v>
      </c>
      <c r="O548" s="65">
        <v>0.5444444444444444</v>
      </c>
      <c r="P548" s="65">
        <v>0.54861111111111116</v>
      </c>
      <c r="Q548" s="66">
        <f t="shared" ca="1" si="140"/>
        <v>4.1666666666667629E-3</v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276</v>
      </c>
      <c r="F549" s="88">
        <f>IFERROR(IF($D549="","",VLOOKUP($D549,Cadastro!$C$4:$E$7,3,FALSE())),"")</f>
        <v>0.24</v>
      </c>
      <c r="G549" s="89">
        <v>9</v>
      </c>
      <c r="H549" s="88">
        <f>IFERROR(IF($G549="","",$G549*$S$554/$G$554/Cadastro!$E$33),"")</f>
        <v>52.636259541984735</v>
      </c>
      <c r="I549" s="90">
        <f>IFERROR(IF($D549="","",VLOOKUP($D549,Cadastro!$C$4:$G$7,5,FALSE())),"")</f>
        <v>0.6</v>
      </c>
      <c r="J549" s="91">
        <f t="shared" si="138"/>
        <v>7.5796213740458018</v>
      </c>
      <c r="K549" s="69">
        <f t="shared" si="139"/>
        <v>37.800000000000004</v>
      </c>
      <c r="L549" s="70" t="s">
        <v>29</v>
      </c>
      <c r="M549" s="70" t="s">
        <v>66</v>
      </c>
      <c r="N549" s="70" t="s">
        <v>60</v>
      </c>
      <c r="O549" s="65">
        <v>0.55208333333333337</v>
      </c>
      <c r="P549" s="65">
        <v>0.5541666666666667</v>
      </c>
      <c r="Q549" s="71">
        <f t="shared" ca="1" si="140"/>
        <v>2.0833333333333259E-3</v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276</v>
      </c>
      <c r="F550" s="88">
        <f>IFERROR(IF($D550="","",VLOOKUP($D550,Cadastro!$C$4:$E$7,3,FALSE())),"")</f>
        <v>0.24</v>
      </c>
      <c r="G550" s="89">
        <v>9</v>
      </c>
      <c r="H550" s="88">
        <f>IFERROR(IF($G550="","",$G550*$S$554/$G$554/Cadastro!$E$33),"")</f>
        <v>52.636259541984735</v>
      </c>
      <c r="I550" s="90">
        <f>IFERROR(IF($D550="","",VLOOKUP($D550,Cadastro!$C$4:$G$7,5,FALSE())),"")</f>
        <v>0.6</v>
      </c>
      <c r="J550" s="91">
        <f t="shared" si="138"/>
        <v>7.5796213740458018</v>
      </c>
      <c r="K550" s="64">
        <f t="shared" si="139"/>
        <v>37.800000000000004</v>
      </c>
      <c r="L550" s="61" t="s">
        <v>29</v>
      </c>
      <c r="M550" s="61" t="s">
        <v>61</v>
      </c>
      <c r="N550" s="61" t="s">
        <v>60</v>
      </c>
      <c r="O550" s="65">
        <v>0.5541666666666667</v>
      </c>
      <c r="P550" s="65">
        <v>0.55555555555555558</v>
      </c>
      <c r="Q550" s="66">
        <f t="shared" ca="1" si="140"/>
        <v>1.388888888888884E-3</v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276</v>
      </c>
      <c r="F551" s="88">
        <f>IFERROR(IF($D551="","",VLOOKUP($D551,Cadastro!$C$4:$E$7,3,FALSE())),"")</f>
        <v>0.24</v>
      </c>
      <c r="G551" s="89">
        <v>6</v>
      </c>
      <c r="H551" s="88">
        <f>IFERROR(IF($G551="","",$G551*$S$554/$G$554/Cadastro!$E$33),"")</f>
        <v>35.090839694656488</v>
      </c>
      <c r="I551" s="90">
        <f>IFERROR(IF($D551="","",VLOOKUP($D551,Cadastro!$C$4:$G$7,5,FALSE())),"")</f>
        <v>0.6</v>
      </c>
      <c r="J551" s="91">
        <f t="shared" si="138"/>
        <v>5.0530809160305337</v>
      </c>
      <c r="K551" s="69">
        <f t="shared" si="139"/>
        <v>25.200000000000003</v>
      </c>
      <c r="L551" s="70" t="s">
        <v>29</v>
      </c>
      <c r="M551" s="70" t="s">
        <v>66</v>
      </c>
      <c r="N551" s="70" t="s">
        <v>60</v>
      </c>
      <c r="O551" s="65">
        <v>0.55694444444444446</v>
      </c>
      <c r="P551" s="65">
        <v>0.55902777777777779</v>
      </c>
      <c r="Q551" s="71">
        <f t="shared" ca="1" si="140"/>
        <v>2.0833333333333259E-3</v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276</v>
      </c>
      <c r="F552" s="88">
        <f>IFERROR(IF($D552="","",VLOOKUP($D552,Cadastro!$C$4:$E$7,3,FALSE())),"")</f>
        <v>0.24</v>
      </c>
      <c r="G552" s="89">
        <v>21</v>
      </c>
      <c r="H552" s="88">
        <f>IFERROR(IF($G552="","",$G552*$S$554/$G$554/Cadastro!$E$33),"")</f>
        <v>122.81793893129772</v>
      </c>
      <c r="I552" s="90">
        <f>IFERROR(IF($D552="","",VLOOKUP($D552,Cadastro!$C$4:$G$7,5,FALSE())),"")</f>
        <v>0.6</v>
      </c>
      <c r="J552" s="91">
        <f t="shared" si="138"/>
        <v>17.685783206106869</v>
      </c>
      <c r="K552" s="64">
        <f t="shared" si="139"/>
        <v>88.2</v>
      </c>
      <c r="L552" s="61" t="s">
        <v>29</v>
      </c>
      <c r="M552" s="61" t="s">
        <v>66</v>
      </c>
      <c r="N552" s="61" t="s">
        <v>60</v>
      </c>
      <c r="O552" s="65">
        <v>0.57638888888888884</v>
      </c>
      <c r="P552" s="65">
        <v>0.62361111111111112</v>
      </c>
      <c r="Q552" s="66">
        <f t="shared" ca="1" si="140"/>
        <v>4.7222222222222276E-2</v>
      </c>
      <c r="R552" s="63" t="s">
        <v>417</v>
      </c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276</v>
      </c>
      <c r="F553" s="92">
        <f>IFERROR(IF($D553="","",VLOOKUP($D553,Cadastro!$C$4:$E$7,3,FALSE())),"")</f>
        <v>0.24</v>
      </c>
      <c r="G553" s="89">
        <v>4</v>
      </c>
      <c r="H553" s="92">
        <f>IFERROR(IF($G553="","",$G553*$S$554/$G$554/Cadastro!$E$33),"")</f>
        <v>23.393893129770994</v>
      </c>
      <c r="I553" s="93">
        <f>IFERROR(IF($D553="","",VLOOKUP($D553,Cadastro!$C$4:$G$7,5,FALSE())),"")</f>
        <v>0.6</v>
      </c>
      <c r="J553" s="94">
        <f t="shared" si="138"/>
        <v>3.3687206106870229</v>
      </c>
      <c r="K553" s="69">
        <f t="shared" si="139"/>
        <v>16.8</v>
      </c>
      <c r="L553" s="70" t="s">
        <v>29</v>
      </c>
      <c r="M553" s="70" t="s">
        <v>61</v>
      </c>
      <c r="N553" s="70" t="s">
        <v>60</v>
      </c>
      <c r="O553" s="65">
        <v>0.67777777777777781</v>
      </c>
      <c r="P553" s="65">
        <v>0.69097222222222221</v>
      </c>
      <c r="Q553" s="71">
        <f t="shared" ca="1" si="140"/>
        <v>1.3194444444444398E-2</v>
      </c>
      <c r="R553" s="63"/>
      <c r="S553" s="133"/>
    </row>
    <row r="554" spans="1:20" ht="15.75" customHeight="1">
      <c r="A554" s="158" t="s">
        <v>262</v>
      </c>
      <c r="B554" s="158"/>
      <c r="C554" s="158"/>
      <c r="D554" s="158"/>
      <c r="E554" s="158"/>
      <c r="F554" s="95"/>
      <c r="G554" s="96">
        <f>SUM(G542:G553)</f>
        <v>131</v>
      </c>
      <c r="H554" s="95">
        <f>IFERROR(SUM(H542:H553),"")</f>
        <v>766.15</v>
      </c>
      <c r="I554" s="97"/>
      <c r="J554" s="98">
        <f>IFERROR(SUM(J542:J553),"")</f>
        <v>110.32559999999999</v>
      </c>
      <c r="K554" s="2">
        <f>SUM(K542:K553)</f>
        <v>550.20000000000005</v>
      </c>
      <c r="L554" s="72"/>
      <c r="M554" s="72"/>
      <c r="N554" s="72"/>
      <c r="O554" s="134"/>
      <c r="P554" s="134"/>
      <c r="Q554" s="73">
        <f ca="1">IFERROR(SUM(Q542:Q553),"")</f>
        <v>0.15625000000000006</v>
      </c>
      <c r="R554" s="2" t="s">
        <v>263</v>
      </c>
      <c r="S554" s="74">
        <v>766150</v>
      </c>
      <c r="T554" s="99">
        <f>IFERROR(J554,"")</f>
        <v>110.32559999999999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276</v>
      </c>
      <c r="F555" s="101">
        <f>IFERROR(IF($D555="","",VLOOKUP($D555,Cadastro!$C$4:$E$7,3,FALSE())),"")</f>
        <v>0.24</v>
      </c>
      <c r="G555" s="89">
        <v>22</v>
      </c>
      <c r="H555" s="101">
        <f>IFERROR(IF($G555="","",$G555*$S$567/$G$567/Cadastro!$E$33),"")</f>
        <v>100.88660377358491</v>
      </c>
      <c r="I555" s="102">
        <f>IFERROR(IF($D555="","",VLOOKUP($D555,Cadastro!$C$4:$G$7,5,FALSE())),"")</f>
        <v>0.6</v>
      </c>
      <c r="J555" s="103">
        <f t="shared" ref="J555:J566" si="142">IFERROR(IF($H555="","",$H555*$F555*$I555),"")</f>
        <v>14.527670943396226</v>
      </c>
      <c r="K555" s="69">
        <f t="shared" ref="K555:K566" si="143">IF(G555="","",IF(E555="PC 17",G555*4.2,IF(E555="PC 19",G555*5,IF(E555="CB",G555*24,""))))</f>
        <v>92.4</v>
      </c>
      <c r="L555" s="70" t="s">
        <v>29</v>
      </c>
      <c r="M555" s="70" t="s">
        <v>61</v>
      </c>
      <c r="N555" s="70" t="s">
        <v>60</v>
      </c>
      <c r="O555" s="65">
        <v>0.83819444444444446</v>
      </c>
      <c r="P555" s="65">
        <v>0.84861111111111109</v>
      </c>
      <c r="Q555" s="71"/>
      <c r="R555" s="63" t="s">
        <v>418</v>
      </c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 t="s">
        <v>38</v>
      </c>
      <c r="D556" s="75" t="s">
        <v>39</v>
      </c>
      <c r="E556" s="100" t="s">
        <v>261</v>
      </c>
      <c r="F556" s="88">
        <f>IFERROR(IF($D556="","",VLOOKUP($D556,Cadastro!$C$4:$E$7,3,FALSE())),"")</f>
        <v>0.24</v>
      </c>
      <c r="G556" s="89">
        <v>3</v>
      </c>
      <c r="H556" s="88">
        <f>IFERROR(IF($G556="","",$G556*$S$567/$G$567/Cadastro!$E$33),"")</f>
        <v>13.757264150943396</v>
      </c>
      <c r="I556" s="90">
        <f>IFERROR(IF($D556="","",VLOOKUP($D556,Cadastro!$C$4:$G$7,5,FALSE())),"")</f>
        <v>0.6</v>
      </c>
      <c r="J556" s="91">
        <f t="shared" si="142"/>
        <v>1.9810460377358488</v>
      </c>
      <c r="K556" s="64">
        <f t="shared" si="143"/>
        <v>15</v>
      </c>
      <c r="L556" s="61" t="s">
        <v>29</v>
      </c>
      <c r="M556" s="61" t="s">
        <v>174</v>
      </c>
      <c r="N556" s="61" t="s">
        <v>60</v>
      </c>
      <c r="O556" s="65">
        <v>0.90208333333333335</v>
      </c>
      <c r="P556" s="65">
        <v>0.91736111111111107</v>
      </c>
      <c r="Q556" s="66">
        <f t="shared" ref="Q556:Q566" ca="1" si="145">IFERROR(IF(O556="","",IF(P556="",MOD(NOW()-O556,1),IF(P556&gt;=O556,P556-O556,P556+1-O556))),"")</f>
        <v>1.5277777777777724E-2</v>
      </c>
      <c r="R556" s="63" t="s">
        <v>419</v>
      </c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 t="s">
        <v>38</v>
      </c>
      <c r="D557" s="75" t="s">
        <v>39</v>
      </c>
      <c r="E557" s="100" t="s">
        <v>276</v>
      </c>
      <c r="F557" s="88">
        <f>IFERROR(IF($D557="","",VLOOKUP($D557,Cadastro!$C$4:$E$7,3,FALSE())),"")</f>
        <v>0.24</v>
      </c>
      <c r="G557" s="89">
        <v>1</v>
      </c>
      <c r="H557" s="88">
        <f>IFERROR(IF($G557="","",$G557*$S$567/$G$567/Cadastro!$E$33),"")</f>
        <v>4.5857547169811319</v>
      </c>
      <c r="I557" s="90">
        <f>IFERROR(IF($D557="","",VLOOKUP($D557,Cadastro!$C$4:$G$7,5,FALSE())),"")</f>
        <v>0.6</v>
      </c>
      <c r="J557" s="91">
        <f t="shared" si="142"/>
        <v>0.66034867924528295</v>
      </c>
      <c r="K557" s="69">
        <f t="shared" si="143"/>
        <v>4.2</v>
      </c>
      <c r="L557" s="70" t="s">
        <v>29</v>
      </c>
      <c r="M557" s="70" t="s">
        <v>61</v>
      </c>
      <c r="N557" s="70" t="s">
        <v>71</v>
      </c>
      <c r="O557" s="65">
        <v>0.93402777777777779</v>
      </c>
      <c r="P557" s="65">
        <v>0.94027777777777777</v>
      </c>
      <c r="Q557" s="71">
        <f t="shared" ca="1" si="145"/>
        <v>6.2499999999999778E-3</v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 t="s">
        <v>38</v>
      </c>
      <c r="D558" s="75" t="s">
        <v>39</v>
      </c>
      <c r="E558" s="100" t="s">
        <v>276</v>
      </c>
      <c r="F558" s="88">
        <f>IFERROR(IF($D558="","",VLOOKUP($D558,Cadastro!$C$4:$E$7,3,FALSE())),"")</f>
        <v>0.24</v>
      </c>
      <c r="G558" s="89">
        <v>15</v>
      </c>
      <c r="H558" s="88">
        <f>IFERROR(IF($G558="","",$G558*$S$567/$G$567/Cadastro!$E$33),"")</f>
        <v>68.786320754716982</v>
      </c>
      <c r="I558" s="90">
        <f>IFERROR(IF($D558="","",VLOOKUP($D558,Cadastro!$C$4:$G$7,5,FALSE())),"")</f>
        <v>0.6</v>
      </c>
      <c r="J558" s="91">
        <f t="shared" si="142"/>
        <v>9.9052301886792442</v>
      </c>
      <c r="K558" s="64">
        <f t="shared" si="143"/>
        <v>63</v>
      </c>
      <c r="L558" s="61" t="s">
        <v>29</v>
      </c>
      <c r="M558" s="61" t="s">
        <v>61</v>
      </c>
      <c r="N558" s="61" t="s">
        <v>60</v>
      </c>
      <c r="O558" s="65">
        <v>0.94930555555555551</v>
      </c>
      <c r="P558" s="65">
        <v>0.95208333333333328</v>
      </c>
      <c r="Q558" s="66">
        <f t="shared" ca="1" si="145"/>
        <v>2.7777777777777679E-3</v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 t="s">
        <v>38</v>
      </c>
      <c r="D559" s="75" t="s">
        <v>39</v>
      </c>
      <c r="E559" s="100" t="s">
        <v>276</v>
      </c>
      <c r="F559" s="88">
        <f>IFERROR(IF($D559="","",VLOOKUP($D559,Cadastro!$C$4:$E$7,3,FALSE())),"")</f>
        <v>0.24</v>
      </c>
      <c r="G559" s="89">
        <v>7</v>
      </c>
      <c r="H559" s="88">
        <f>IFERROR(IF($G559="","",$G559*$S$567/$G$567/Cadastro!$E$33),"")</f>
        <v>32.100283018867927</v>
      </c>
      <c r="I559" s="90">
        <f>IFERROR(IF($D559="","",VLOOKUP($D559,Cadastro!$C$4:$G$7,5,FALSE())),"")</f>
        <v>0.6</v>
      </c>
      <c r="J559" s="91">
        <f t="shared" si="142"/>
        <v>4.6224407547169815</v>
      </c>
      <c r="K559" s="69">
        <f t="shared" si="143"/>
        <v>29.400000000000002</v>
      </c>
      <c r="L559" s="61" t="s">
        <v>29</v>
      </c>
      <c r="M559" s="70" t="s">
        <v>61</v>
      </c>
      <c r="N559" s="70" t="s">
        <v>60</v>
      </c>
      <c r="O559" s="65">
        <v>0.95694444444444449</v>
      </c>
      <c r="P559" s="65">
        <v>0.95972222222222225</v>
      </c>
      <c r="Q559" s="71">
        <f t="shared" ca="1" si="145"/>
        <v>2.7777777777777679E-3</v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 t="s">
        <v>38</v>
      </c>
      <c r="D560" s="75" t="s">
        <v>39</v>
      </c>
      <c r="E560" s="100" t="s">
        <v>276</v>
      </c>
      <c r="F560" s="88">
        <f>IFERROR(IF($D560="","",VLOOKUP($D560,Cadastro!$C$4:$E$7,3,FALSE())),"")</f>
        <v>0.24</v>
      </c>
      <c r="G560" s="89">
        <v>1</v>
      </c>
      <c r="H560" s="88">
        <f>IFERROR(IF($G560="","",$G560*$S$567/$G$567/Cadastro!$E$33),"")</f>
        <v>4.5857547169811319</v>
      </c>
      <c r="I560" s="90">
        <f>IFERROR(IF($D560="","",VLOOKUP($D560,Cadastro!$C$4:$G$7,5,FALSE())),"")</f>
        <v>0.6</v>
      </c>
      <c r="J560" s="91">
        <f t="shared" si="142"/>
        <v>0.66034867924528295</v>
      </c>
      <c r="K560" s="64">
        <f t="shared" si="143"/>
        <v>4.2</v>
      </c>
      <c r="L560" s="154" t="s">
        <v>29</v>
      </c>
      <c r="M560" s="61" t="s">
        <v>174</v>
      </c>
      <c r="N560" s="61" t="s">
        <v>211</v>
      </c>
      <c r="O560" s="65">
        <v>0.96527777777777779</v>
      </c>
      <c r="P560" s="65">
        <v>0.97222222222222221</v>
      </c>
      <c r="Q560" s="66">
        <f t="shared" ca="1" si="145"/>
        <v>6.9444444444444198E-3</v>
      </c>
      <c r="R560" s="63" t="s">
        <v>420</v>
      </c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 t="s">
        <v>38</v>
      </c>
      <c r="D561" s="75" t="s">
        <v>39</v>
      </c>
      <c r="E561" s="100" t="s">
        <v>276</v>
      </c>
      <c r="F561" s="88">
        <f>IFERROR(IF($D561="","",VLOOKUP($D561,Cadastro!$C$4:$E$7,3,FALSE())),"")</f>
        <v>0.24</v>
      </c>
      <c r="G561" s="89">
        <v>12</v>
      </c>
      <c r="H561" s="88">
        <f>IFERROR(IF($G561="","",$G561*$S$567/$G$567/Cadastro!$E$33),"")</f>
        <v>55.029056603773583</v>
      </c>
      <c r="I561" s="90">
        <f>IFERROR(IF($D561="","",VLOOKUP($D561,Cadastro!$C$4:$G$7,5,FALSE())),"")</f>
        <v>0.6</v>
      </c>
      <c r="J561" s="91">
        <f t="shared" si="142"/>
        <v>7.924184150943395</v>
      </c>
      <c r="K561" s="69">
        <f t="shared" si="143"/>
        <v>50.400000000000006</v>
      </c>
      <c r="L561" s="70" t="s">
        <v>29</v>
      </c>
      <c r="M561" s="70" t="s">
        <v>66</v>
      </c>
      <c r="N561" s="70" t="s">
        <v>60</v>
      </c>
      <c r="O561" s="65">
        <v>0.98333333333333328</v>
      </c>
      <c r="P561" s="65">
        <v>0.99236111111111114</v>
      </c>
      <c r="Q561" s="71">
        <f t="shared" ca="1" si="145"/>
        <v>9.0277777777778567E-3</v>
      </c>
      <c r="R561" s="63" t="s">
        <v>421</v>
      </c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 t="s">
        <v>38</v>
      </c>
      <c r="D562" s="75" t="s">
        <v>39</v>
      </c>
      <c r="E562" s="100" t="s">
        <v>276</v>
      </c>
      <c r="F562" s="88">
        <f>IFERROR(IF($D562="","",VLOOKUP($D562,Cadastro!$C$4:$E$7,3,FALSE())),"")</f>
        <v>0.24</v>
      </c>
      <c r="G562" s="89">
        <v>16</v>
      </c>
      <c r="H562" s="88">
        <f>IFERROR(IF($G562="","",$G562*$S$567/$G$567/Cadastro!$E$33),"")</f>
        <v>73.372075471698111</v>
      </c>
      <c r="I562" s="90">
        <f>IFERROR(IF($D562="","",VLOOKUP($D562,Cadastro!$C$4:$G$7,5,FALSE())),"")</f>
        <v>0.6</v>
      </c>
      <c r="J562" s="91">
        <f t="shared" si="142"/>
        <v>10.565578867924527</v>
      </c>
      <c r="K562" s="64">
        <f t="shared" si="143"/>
        <v>67.2</v>
      </c>
      <c r="L562" s="61" t="s">
        <v>29</v>
      </c>
      <c r="M562" s="61" t="s">
        <v>66</v>
      </c>
      <c r="N562" s="61" t="s">
        <v>60</v>
      </c>
      <c r="O562" s="65">
        <v>0.99722222222222223</v>
      </c>
      <c r="P562" s="65">
        <v>5.2083333333333336E-2</v>
      </c>
      <c r="Q562" s="66">
        <f t="shared" ca="1" si="145"/>
        <v>5.4861111111111027E-2</v>
      </c>
      <c r="R562" s="63" t="s">
        <v>422</v>
      </c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 t="s">
        <v>38</v>
      </c>
      <c r="D563" s="75" t="s">
        <v>39</v>
      </c>
      <c r="E563" s="100" t="s">
        <v>276</v>
      </c>
      <c r="F563" s="88">
        <f>IFERROR(IF($D563="","",VLOOKUP($D563,Cadastro!$C$4:$E$7,3,FALSE())),"")</f>
        <v>0.24</v>
      </c>
      <c r="G563" s="89">
        <v>9</v>
      </c>
      <c r="H563" s="88">
        <f>IFERROR(IF($G563="","",$G563*$S$567/$G$567/Cadastro!$E$33),"")</f>
        <v>41.271792452830191</v>
      </c>
      <c r="I563" s="90">
        <f>IFERROR(IF($D563="","",VLOOKUP($D563,Cadastro!$C$4:$G$7,5,FALSE())),"")</f>
        <v>0.6</v>
      </c>
      <c r="J563" s="91">
        <f t="shared" si="142"/>
        <v>5.9431381132075476</v>
      </c>
      <c r="K563" s="69">
        <f t="shared" si="143"/>
        <v>37.800000000000004</v>
      </c>
      <c r="L563" s="70" t="s">
        <v>29</v>
      </c>
      <c r="M563" s="70" t="s">
        <v>61</v>
      </c>
      <c r="N563" s="70" t="s">
        <v>60</v>
      </c>
      <c r="O563" s="65">
        <v>0.11527777777777778</v>
      </c>
      <c r="P563" s="65">
        <v>0.12083333333333333</v>
      </c>
      <c r="Q563" s="71">
        <f t="shared" ca="1" si="145"/>
        <v>5.5555555555555497E-3</v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 t="s">
        <v>38</v>
      </c>
      <c r="D564" s="75" t="s">
        <v>39</v>
      </c>
      <c r="E564" s="100" t="s">
        <v>276</v>
      </c>
      <c r="F564" s="88">
        <f>IFERROR(IF($D564="","",VLOOKUP($D564,Cadastro!$C$4:$E$7,3,FALSE())),"")</f>
        <v>0.24</v>
      </c>
      <c r="G564" s="89">
        <v>13</v>
      </c>
      <c r="H564" s="88">
        <f>IFERROR(IF($G564="","",$G564*$S$567/$G$567/Cadastro!$E$33),"")</f>
        <v>59.614811320754711</v>
      </c>
      <c r="I564" s="90">
        <f>IFERROR(IF($D564="","",VLOOKUP($D564,Cadastro!$C$4:$G$7,5,FALSE())),"")</f>
        <v>0.6</v>
      </c>
      <c r="J564" s="91">
        <f t="shared" si="142"/>
        <v>8.5845328301886781</v>
      </c>
      <c r="K564" s="64">
        <f t="shared" si="143"/>
        <v>54.6</v>
      </c>
      <c r="L564" s="61" t="s">
        <v>29</v>
      </c>
      <c r="M564" s="61" t="s">
        <v>174</v>
      </c>
      <c r="N564" s="61" t="s">
        <v>65</v>
      </c>
      <c r="O564" s="65">
        <v>0.1423611111111111</v>
      </c>
      <c r="P564" s="65">
        <v>0.1701388888888889</v>
      </c>
      <c r="Q564" s="66">
        <f t="shared" ca="1" si="145"/>
        <v>2.777777777777779E-2</v>
      </c>
      <c r="R564" s="63" t="s">
        <v>423</v>
      </c>
      <c r="S564" s="133"/>
    </row>
    <row r="565" spans="1:20" ht="15" customHeight="1">
      <c r="A565" s="18">
        <v>46255</v>
      </c>
      <c r="B565" s="68">
        <f t="shared" si="144"/>
        <v>1.25</v>
      </c>
      <c r="C565" s="70" t="s">
        <v>38</v>
      </c>
      <c r="D565" s="75" t="s">
        <v>39</v>
      </c>
      <c r="E565" s="100" t="s">
        <v>276</v>
      </c>
      <c r="F565" s="88">
        <f>IFERROR(IF($D565="","",VLOOKUP($D565,Cadastro!$C$4:$E$7,3,FALSE())),"")</f>
        <v>0.24</v>
      </c>
      <c r="G565" s="89">
        <v>5</v>
      </c>
      <c r="H565" s="88">
        <f>IFERROR(IF($G565="","",$G565*$S$567/$G$567/Cadastro!$E$33),"")</f>
        <v>22.92877358490566</v>
      </c>
      <c r="I565" s="90">
        <f>IFERROR(IF($D565="","",VLOOKUP($D565,Cadastro!$C$4:$G$7,5,FALSE())),"")</f>
        <v>0.6</v>
      </c>
      <c r="J565" s="91">
        <f t="shared" si="142"/>
        <v>3.3017433962264149</v>
      </c>
      <c r="K565" s="69">
        <f t="shared" si="143"/>
        <v>21</v>
      </c>
      <c r="L565" s="70" t="s">
        <v>28</v>
      </c>
      <c r="M565" s="70" t="s">
        <v>61</v>
      </c>
      <c r="N565" s="70" t="s">
        <v>36</v>
      </c>
      <c r="O565" s="65">
        <v>0.18819444444444444</v>
      </c>
      <c r="P565" s="65">
        <v>0.23333333333333334</v>
      </c>
      <c r="Q565" s="71">
        <f t="shared" ca="1" si="145"/>
        <v>4.5138888888888895E-2</v>
      </c>
      <c r="R565" s="63" t="s">
        <v>406</v>
      </c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 t="s">
        <v>38</v>
      </c>
      <c r="D566" s="75" t="s">
        <v>39</v>
      </c>
      <c r="E566" s="100" t="s">
        <v>276</v>
      </c>
      <c r="F566" s="92">
        <f>IFERROR(IF($D566="","",VLOOKUP($D566,Cadastro!$C$4:$E$7,3,FALSE())),"")</f>
        <v>0.24</v>
      </c>
      <c r="G566" s="89">
        <v>2</v>
      </c>
      <c r="H566" s="92">
        <f>IFERROR(IF($G566="","",$G566*$S$567/$G$567/Cadastro!$E$33),"")</f>
        <v>9.1715094339622638</v>
      </c>
      <c r="I566" s="93">
        <f>IFERROR(IF($D566="","",VLOOKUP($D566,Cadastro!$C$4:$G$7,5,FALSE())),"")</f>
        <v>0.6</v>
      </c>
      <c r="J566" s="94">
        <f t="shared" si="142"/>
        <v>1.3206973584905659</v>
      </c>
      <c r="K566" s="64">
        <f t="shared" si="143"/>
        <v>8.4</v>
      </c>
      <c r="L566" s="61" t="s">
        <v>27</v>
      </c>
      <c r="M566" s="61" t="s">
        <v>61</v>
      </c>
      <c r="N566" s="61" t="s">
        <v>135</v>
      </c>
      <c r="O566" s="65">
        <v>0.2388888888888889</v>
      </c>
      <c r="P566" s="65">
        <v>0.25833333333333336</v>
      </c>
      <c r="Q566" s="66">
        <f t="shared" ca="1" si="145"/>
        <v>1.9444444444444459E-2</v>
      </c>
      <c r="R566" s="63"/>
      <c r="S566" s="133"/>
    </row>
    <row r="567" spans="1:20" ht="15.75" customHeight="1">
      <c r="A567" s="158" t="s">
        <v>265</v>
      </c>
      <c r="B567" s="158"/>
      <c r="C567" s="158"/>
      <c r="D567" s="158"/>
      <c r="E567" s="158"/>
      <c r="F567" s="105"/>
      <c r="G567" s="96">
        <f>SUM(G555:G566)</f>
        <v>106</v>
      </c>
      <c r="H567" s="105">
        <f>IFERROR(SUM(H555:H566),"")</f>
        <v>486.09000000000003</v>
      </c>
      <c r="I567" s="106"/>
      <c r="J567" s="107">
        <f>IFERROR(SUM(J555:J566),"")</f>
        <v>69.996959999999987</v>
      </c>
      <c r="K567" s="2">
        <f>SUM(K555:K566)</f>
        <v>447.6</v>
      </c>
      <c r="L567" s="72"/>
      <c r="M567" s="72"/>
      <c r="N567" s="72"/>
      <c r="O567" s="134"/>
      <c r="P567" s="134"/>
      <c r="Q567" s="73">
        <f ca="1">IFERROR(SUM(Q555:Q566),"")</f>
        <v>0.19583333333333322</v>
      </c>
      <c r="R567" s="2" t="s">
        <v>263</v>
      </c>
      <c r="S567" s="74">
        <v>486090</v>
      </c>
      <c r="T567" s="99">
        <f>IFERROR(J567,"")</f>
        <v>69.996959999999987</v>
      </c>
    </row>
    <row r="568" spans="1:20" ht="18" customHeight="1">
      <c r="A568" s="159" t="s">
        <v>251</v>
      </c>
      <c r="B568" s="159"/>
      <c r="C568" s="159"/>
      <c r="D568" s="159"/>
      <c r="E568" s="159"/>
      <c r="F568" s="108"/>
      <c r="G568" s="109">
        <f>G554+G567</f>
        <v>237</v>
      </c>
      <c r="H568" s="108">
        <f>IFERROR(H554+H567,"")</f>
        <v>1252.24</v>
      </c>
      <c r="I568" s="110"/>
      <c r="J568" s="111">
        <f>IFERROR(J554+J567,"")</f>
        <v>180.32255999999998</v>
      </c>
      <c r="K568" s="1">
        <f>K554+K567</f>
        <v>997.80000000000007</v>
      </c>
      <c r="L568" s="76"/>
      <c r="M568" s="76"/>
      <c r="N568" s="76"/>
      <c r="O568" s="135"/>
      <c r="P568" s="135"/>
      <c r="Q568" s="77">
        <f ca="1">IFERROR(Q554+Q567,"")</f>
        <v>0.3520833333333333</v>
      </c>
      <c r="R568" s="1" t="s">
        <v>266</v>
      </c>
      <c r="S568" s="82">
        <f>IFERROR(S554+S567,"")</f>
        <v>1252240</v>
      </c>
      <c r="T568" s="118">
        <f>IFERROR(J568,"")</f>
        <v>180.32255999999998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276</v>
      </c>
      <c r="F569" s="101">
        <f>IFERROR(IF($D569="","",VLOOKUP($D569,Cadastro!$C$4:$E$7,3,FALSE())),"")</f>
        <v>0.35</v>
      </c>
      <c r="G569" s="89">
        <v>17</v>
      </c>
      <c r="H569" s="101">
        <f>IFERROR(IF($G569="","",$G569*$S$581/$G$581/Cadastro!$E$33),"")</f>
        <v>63.943564356435644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13.428148514851484</v>
      </c>
      <c r="K569" s="69">
        <f t="shared" ref="K569:K580" si="147">IF(G569="","",IF(E569="PC 17",G569*4.2,IF(E569="PC 19",G569*5,IF(E569="CB",G569*24,""))))</f>
        <v>71.400000000000006</v>
      </c>
      <c r="L569" s="70" t="s">
        <v>29</v>
      </c>
      <c r="M569" s="70" t="s">
        <v>169</v>
      </c>
      <c r="N569" s="70" t="s">
        <v>83</v>
      </c>
      <c r="O569" s="65">
        <v>0.2986111111111111</v>
      </c>
      <c r="P569" s="65">
        <v>0.30555555555555558</v>
      </c>
      <c r="Q569" s="71">
        <f t="shared" ref="Q569:Q574" ca="1" si="148">IFERROR(IF(O569="","",IF(P569="",MOD(NOW()-O569,1),IF(P569&gt;=O569,P569-O569,P569+1-O569))),"")</f>
        <v>6.9444444444444753E-3</v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276</v>
      </c>
      <c r="F570" s="88">
        <f>IFERROR(IF($D570="","",VLOOKUP($D570,Cadastro!$C$4:$E$7,3,FALSE())),"")</f>
        <v>0.35</v>
      </c>
      <c r="G570" s="89">
        <v>7</v>
      </c>
      <c r="H570" s="88">
        <f>IFERROR(IF($G570="","",$G570*$S$581/$G$581/Cadastro!$E$33),"")</f>
        <v>26.329702970297028</v>
      </c>
      <c r="I570" s="90">
        <f>IFERROR(IF($D570="","",VLOOKUP($D570,Cadastro!$C$4:$G$7,5,FALSE())),"")</f>
        <v>0.6</v>
      </c>
      <c r="J570" s="91">
        <f t="shared" si="146"/>
        <v>5.5292376237623753</v>
      </c>
      <c r="K570" s="69">
        <f t="shared" si="147"/>
        <v>29.400000000000002</v>
      </c>
      <c r="L570" s="61" t="s">
        <v>28</v>
      </c>
      <c r="M570" s="61" t="s">
        <v>61</v>
      </c>
      <c r="N570" s="61" t="s">
        <v>87</v>
      </c>
      <c r="O570" s="65">
        <v>0.31597222222222221</v>
      </c>
      <c r="P570" s="65">
        <v>0.32777777777777778</v>
      </c>
      <c r="Q570" s="66">
        <f t="shared" ca="1" si="148"/>
        <v>1.1805555555555569E-2</v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276</v>
      </c>
      <c r="F571" s="88">
        <f>IFERROR(IF($D571="","",VLOOKUP($D571,Cadastro!$C$4:$E$7,3,FALSE())),"")</f>
        <v>0.35</v>
      </c>
      <c r="G571" s="89">
        <v>21</v>
      </c>
      <c r="H571" s="88">
        <f>IFERROR(IF($G571="","",$G571*$S$581/$G$581/Cadastro!$E$33),"")</f>
        <v>78.989108910891076</v>
      </c>
      <c r="I571" s="90">
        <f>IFERROR(IF($D571="","",VLOOKUP($D571,Cadastro!$C$4:$G$7,5,FALSE())),"")</f>
        <v>0.6</v>
      </c>
      <c r="J571" s="91">
        <f t="shared" si="146"/>
        <v>16.587712871287124</v>
      </c>
      <c r="K571" s="69">
        <f t="shared" si="147"/>
        <v>88.2</v>
      </c>
      <c r="L571" s="70" t="s">
        <v>27</v>
      </c>
      <c r="M571" s="70" t="s">
        <v>66</v>
      </c>
      <c r="N571" s="70" t="s">
        <v>168</v>
      </c>
      <c r="O571" s="65">
        <v>0.34236111111111112</v>
      </c>
      <c r="P571" s="65">
        <v>0.375</v>
      </c>
      <c r="Q571" s="71">
        <f t="shared" ca="1" si="148"/>
        <v>3.2638888888888884E-2</v>
      </c>
      <c r="R571" s="63" t="s">
        <v>407</v>
      </c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276</v>
      </c>
      <c r="F572" s="88">
        <f>IFERROR(IF($D572="","",VLOOKUP($D572,Cadastro!$C$4:$E$7,3,FALSE())),"")</f>
        <v>0.35</v>
      </c>
      <c r="G572" s="89">
        <v>26</v>
      </c>
      <c r="H572" s="88">
        <f>IFERROR(IF($G572="","",$G572*$S$581/$G$581/Cadastro!$E$33),"")</f>
        <v>97.796039603960395</v>
      </c>
      <c r="I572" s="90">
        <f>IFERROR(IF($D572="","",VLOOKUP($D572,Cadastro!$C$4:$G$7,5,FALSE())),"")</f>
        <v>0.6</v>
      </c>
      <c r="J572" s="91">
        <f t="shared" si="146"/>
        <v>20.537168316831682</v>
      </c>
      <c r="K572" s="69">
        <f t="shared" si="147"/>
        <v>109.2</v>
      </c>
      <c r="L572" s="61" t="s">
        <v>29</v>
      </c>
      <c r="M572" s="61" t="s">
        <v>169</v>
      </c>
      <c r="N572" s="61" t="s">
        <v>83</v>
      </c>
      <c r="O572" s="65">
        <v>0.45694444444444443</v>
      </c>
      <c r="P572" s="65">
        <v>0.46319444444444446</v>
      </c>
      <c r="Q572" s="66">
        <f t="shared" ca="1" si="148"/>
        <v>6.2500000000000333E-3</v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261</v>
      </c>
      <c r="F573" s="88">
        <f>IFERROR(IF($D573="","",VLOOKUP($D573,Cadastro!$C$4:$E$7,3,FALSE())),"")</f>
        <v>0.35</v>
      </c>
      <c r="G573" s="89">
        <v>20</v>
      </c>
      <c r="H573" s="88">
        <f>IFERROR(IF($G573="","",$G573*$S$581/$G$581/Cadastro!$E$33),"")</f>
        <v>75.227722772277218</v>
      </c>
      <c r="I573" s="90">
        <f>IFERROR(IF($D573="","",VLOOKUP($D573,Cadastro!$C$4:$G$7,5,FALSE())),"")</f>
        <v>0.6</v>
      </c>
      <c r="J573" s="91">
        <f t="shared" si="146"/>
        <v>15.797821782178215</v>
      </c>
      <c r="K573" s="69">
        <f t="shared" si="147"/>
        <v>100</v>
      </c>
      <c r="L573" s="70" t="s">
        <v>29</v>
      </c>
      <c r="M573" s="70" t="s">
        <v>61</v>
      </c>
      <c r="N573" s="70" t="s">
        <v>65</v>
      </c>
      <c r="O573" s="65">
        <v>0.47361111111111109</v>
      </c>
      <c r="P573" s="65">
        <v>0.4861111111111111</v>
      </c>
      <c r="Q573" s="71">
        <f t="shared" ca="1" si="148"/>
        <v>1.2500000000000011E-2</v>
      </c>
      <c r="R573" s="63" t="s">
        <v>424</v>
      </c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276</v>
      </c>
      <c r="F574" s="88">
        <f>IFERROR(IF($D574="","",VLOOKUP($D574,Cadastro!$C$4:$E$7,3,FALSE())),"")</f>
        <v>0.35</v>
      </c>
      <c r="G574" s="89">
        <v>25</v>
      </c>
      <c r="H574" s="88">
        <f>IFERROR(IF($G574="","",$G574*$S$581/$G$581/Cadastro!$E$33),"")</f>
        <v>94.034653465346537</v>
      </c>
      <c r="I574" s="90">
        <f>IFERROR(IF($D574="","",VLOOKUP($D574,Cadastro!$C$4:$G$7,5,FALSE())),"")</f>
        <v>0.6</v>
      </c>
      <c r="J574" s="91">
        <f t="shared" si="146"/>
        <v>19.747277227722773</v>
      </c>
      <c r="K574" s="69">
        <f t="shared" si="147"/>
        <v>105</v>
      </c>
      <c r="L574" s="61" t="s">
        <v>29</v>
      </c>
      <c r="M574" s="61" t="s">
        <v>169</v>
      </c>
      <c r="N574" s="61" t="s">
        <v>83</v>
      </c>
      <c r="O574" s="65">
        <v>0.57499999999999996</v>
      </c>
      <c r="P574" s="65">
        <v>0.62083333333333335</v>
      </c>
      <c r="Q574" s="66">
        <f t="shared" ca="1" si="148"/>
        <v>4.5833333333333393E-2</v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276</v>
      </c>
      <c r="F575" s="88">
        <f>IFERROR(IF($D575="","",VLOOKUP($D575,Cadastro!$C$4:$E$7,3,FALSE())),"")</f>
        <v>0.35</v>
      </c>
      <c r="G575" s="89">
        <v>14</v>
      </c>
      <c r="H575" s="88">
        <f>IFERROR(IF($G575="","",$G575*$S$581/$G$581/Cadastro!$E$33),"")</f>
        <v>52.659405940594056</v>
      </c>
      <c r="I575" s="90">
        <f>IFERROR(IF($D575="","",VLOOKUP($D575,Cadastro!$C$4:$G$7,5,FALSE())),"")</f>
        <v>0.6</v>
      </c>
      <c r="J575" s="91">
        <f t="shared" si="146"/>
        <v>11.058475247524751</v>
      </c>
      <c r="K575" s="69">
        <f t="shared" si="147"/>
        <v>58.800000000000004</v>
      </c>
      <c r="L575" s="70" t="s">
        <v>29</v>
      </c>
      <c r="M575" s="70" t="s">
        <v>61</v>
      </c>
      <c r="N575" s="70" t="s">
        <v>65</v>
      </c>
      <c r="O575" s="65">
        <v>0.62361111111111112</v>
      </c>
      <c r="P575" s="65">
        <v>0.63888888888888884</v>
      </c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276</v>
      </c>
      <c r="F576" s="88">
        <f>IFERROR(IF($D576="","",VLOOKUP($D576,Cadastro!$C$4:$E$7,3,FALSE())),"")</f>
        <v>0.35</v>
      </c>
      <c r="G576" s="89">
        <v>6</v>
      </c>
      <c r="H576" s="88">
        <f>IFERROR(IF($G576="","",$G576*$S$581/$G$581/Cadastro!$E$33),"")</f>
        <v>22.56831683168317</v>
      </c>
      <c r="I576" s="90">
        <f>IFERROR(IF($D576="","",VLOOKUP($D576,Cadastro!$C$4:$G$7,5,FALSE())),"")</f>
        <v>0.6</v>
      </c>
      <c r="J576" s="91">
        <f t="shared" si="146"/>
        <v>4.7393465346534649</v>
      </c>
      <c r="K576" s="69">
        <f t="shared" si="147"/>
        <v>25.200000000000003</v>
      </c>
      <c r="L576" s="61" t="s">
        <v>29</v>
      </c>
      <c r="M576" s="61" t="s">
        <v>169</v>
      </c>
      <c r="N576" s="61" t="s">
        <v>83</v>
      </c>
      <c r="O576" s="65">
        <v>0.73611111111111116</v>
      </c>
      <c r="P576" s="65">
        <v>0.75416666666666665</v>
      </c>
      <c r="Q576" s="66">
        <f ca="1">IFERROR(IF(O576="","",IF(P576="",MOD(NOW()-O576,1),IF(P576&gt;=O576,P576-O576,P576+1-O576))),"")</f>
        <v>1.8055555555555491E-2</v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276</v>
      </c>
      <c r="F577" s="88">
        <f>IFERROR(IF($D577="","",VLOOKUP($D577,Cadastro!$C$4:$E$7,3,FALSE())),"")</f>
        <v>0.35</v>
      </c>
      <c r="G577" s="89">
        <v>18</v>
      </c>
      <c r="H577" s="88">
        <f>IFERROR(IF($G577="","",$G577*$S$581/$G$581/Cadastro!$E$33),"")</f>
        <v>67.704950495049502</v>
      </c>
      <c r="I577" s="90">
        <f>IFERROR(IF($D577="","",VLOOKUP($D577,Cadastro!$C$4:$G$7,5,FALSE())),"")</f>
        <v>0.6</v>
      </c>
      <c r="J577" s="91">
        <f t="shared" si="146"/>
        <v>14.218039603960394</v>
      </c>
      <c r="K577" s="69">
        <f t="shared" si="147"/>
        <v>75.600000000000009</v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276</v>
      </c>
      <c r="F578" s="88">
        <f>IFERROR(IF($D578="","",VLOOKUP($D578,Cadastro!$C$4:$E$7,3,FALSE())),"")</f>
        <v>0.35</v>
      </c>
      <c r="G578" s="89">
        <v>20</v>
      </c>
      <c r="H578" s="88">
        <f>IFERROR(IF($G578="","",$G578*$S$581/$G$581/Cadastro!$E$33),"")</f>
        <v>75.227722772277218</v>
      </c>
      <c r="I578" s="90">
        <f>IFERROR(IF($D578="","",VLOOKUP($D578,Cadastro!$C$4:$G$7,5,FALSE())),"")</f>
        <v>0.6</v>
      </c>
      <c r="J578" s="91">
        <f t="shared" si="146"/>
        <v>15.797821782178215</v>
      </c>
      <c r="K578" s="69">
        <f t="shared" si="147"/>
        <v>84</v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276</v>
      </c>
      <c r="F579" s="88">
        <f>IFERROR(IF($D579="","",VLOOKUP($D579,Cadastro!$C$4:$E$7,3,FALSE())),"")</f>
        <v>0.35</v>
      </c>
      <c r="G579" s="89">
        <v>20</v>
      </c>
      <c r="H579" s="88">
        <f>IFERROR(IF($G579="","",$G579*$S$581/$G$581/Cadastro!$E$33),"")</f>
        <v>75.227722772277218</v>
      </c>
      <c r="I579" s="90">
        <f>IFERROR(IF($D579="","",VLOOKUP($D579,Cadastro!$C$4:$G$7,5,FALSE())),"")</f>
        <v>0.6</v>
      </c>
      <c r="J579" s="91">
        <f t="shared" si="146"/>
        <v>15.797821782178215</v>
      </c>
      <c r="K579" s="69">
        <f t="shared" si="147"/>
        <v>84</v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276</v>
      </c>
      <c r="F580" s="92">
        <f>IFERROR(IF($D580="","",VLOOKUP($D580,Cadastro!$C$4:$E$7,3,FALSE())),"")</f>
        <v>0.35</v>
      </c>
      <c r="G580" s="89">
        <v>8</v>
      </c>
      <c r="H580" s="92">
        <f>IFERROR(IF($G580="","",$G580*$S$581/$G$581/Cadastro!$E$33),"")</f>
        <v>30.091089108910893</v>
      </c>
      <c r="I580" s="93">
        <f>IFERROR(IF($D580="","",VLOOKUP($D580,Cadastro!$C$4:$G$7,5,FALSE())),"")</f>
        <v>0.6</v>
      </c>
      <c r="J580" s="94">
        <f t="shared" si="146"/>
        <v>6.3191287128712865</v>
      </c>
      <c r="K580" s="69">
        <f t="shared" si="147"/>
        <v>33.6</v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8" t="s">
        <v>262</v>
      </c>
      <c r="B581" s="158"/>
      <c r="C581" s="158"/>
      <c r="D581" s="158"/>
      <c r="E581" s="158"/>
      <c r="F581" s="95"/>
      <c r="G581" s="96">
        <f>SUM(G569:G580)</f>
        <v>202</v>
      </c>
      <c r="H581" s="95">
        <f>IFERROR(SUM(H569:H580),"")</f>
        <v>759.8</v>
      </c>
      <c r="I581" s="97"/>
      <c r="J581" s="98">
        <f>IFERROR(SUM(J569:J580),"")</f>
        <v>159.55799999999996</v>
      </c>
      <c r="K581" s="2">
        <f>SUM(K569:K580)</f>
        <v>864.40000000000009</v>
      </c>
      <c r="L581" s="72"/>
      <c r="M581" s="72"/>
      <c r="N581" s="72"/>
      <c r="O581" s="134"/>
      <c r="P581" s="134"/>
      <c r="Q581" s="73">
        <f ca="1">IFERROR(SUM(Q569:Q580),"")</f>
        <v>0.13402777777777786</v>
      </c>
      <c r="R581" s="2" t="s">
        <v>263</v>
      </c>
      <c r="S581" s="74">
        <v>759800</v>
      </c>
      <c r="T581" s="99">
        <f>IFERROR(J581,"")</f>
        <v>159.55799999999996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276</v>
      </c>
      <c r="F582" s="101">
        <f>IFERROR(IF($D582="","",VLOOKUP($D582,Cadastro!$C$4:$E$7,3,FALSE())),"")</f>
        <v>0.35</v>
      </c>
      <c r="G582" s="89">
        <v>16</v>
      </c>
      <c r="H582" s="101">
        <f>IFERROR(IF($G582="","",$G582*$S$594/$G$594/Cadastro!$E$33),"")</f>
        <v>93.318816568047339</v>
      </c>
      <c r="I582" s="102">
        <f>IFERROR(IF($D582="","",VLOOKUP($D582,Cadastro!$C$4:$G$7,5,FALSE())),"")</f>
        <v>0.6</v>
      </c>
      <c r="J582" s="103">
        <f t="shared" ref="J582:J593" si="150">IFERROR(IF($H582="","",$H582*$F582*$I582),"")</f>
        <v>19.596951479289938</v>
      </c>
      <c r="K582" s="64">
        <f t="shared" ref="K582:K593" si="151">IF(G582="","",IF(E582="PC 17",G582*4.2,IF(E582="PC 19",G582*5,IF(E582="CB",G582*24,""))))</f>
        <v>67.2</v>
      </c>
      <c r="L582" s="61" t="s">
        <v>29</v>
      </c>
      <c r="M582" s="61" t="s">
        <v>61</v>
      </c>
      <c r="N582" s="61" t="s">
        <v>71</v>
      </c>
      <c r="O582" s="65">
        <v>0.81041666666666667</v>
      </c>
      <c r="P582" s="65">
        <v>0.81180555555555556</v>
      </c>
      <c r="Q582" s="66">
        <f t="shared" ref="Q582:Q593" ca="1" si="152">IFERROR(IF(O582="","",IF(P582="",MOD(NOW()-O582,1),IF(P582&gt;=O582,P582-O582,P582+1-O582))),"")</f>
        <v>1.388888888888884E-3</v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 t="s">
        <v>38</v>
      </c>
      <c r="D583" s="62" t="s">
        <v>31</v>
      </c>
      <c r="E583" s="87" t="s">
        <v>276</v>
      </c>
      <c r="F583" s="88">
        <f>IFERROR(IF($D583="","",VLOOKUP($D583,Cadastro!$C$4:$E$7,3,FALSE())),"")</f>
        <v>0.35</v>
      </c>
      <c r="G583" s="89">
        <v>12</v>
      </c>
      <c r="H583" s="88">
        <f>IFERROR(IF($G583="","",$G583*$S$594/$G$594/Cadastro!$E$33),"")</f>
        <v>69.989112426035504</v>
      </c>
      <c r="I583" s="90">
        <f>IFERROR(IF($D583="","",VLOOKUP($D583,Cadastro!$C$4:$G$7,5,FALSE())),"")</f>
        <v>0.6</v>
      </c>
      <c r="J583" s="91">
        <f t="shared" si="150"/>
        <v>14.697713609467453</v>
      </c>
      <c r="K583" s="69">
        <f t="shared" si="151"/>
        <v>50.400000000000006</v>
      </c>
      <c r="L583" s="70" t="s">
        <v>29</v>
      </c>
      <c r="M583" s="70" t="s">
        <v>174</v>
      </c>
      <c r="N583" s="70" t="s">
        <v>71</v>
      </c>
      <c r="O583" s="65">
        <v>0.81388888888888888</v>
      </c>
      <c r="P583" s="65">
        <v>0.83750000000000002</v>
      </c>
      <c r="Q583" s="71">
        <f t="shared" ca="1" si="152"/>
        <v>2.3611111111111138E-2</v>
      </c>
      <c r="R583" s="63" t="s">
        <v>425</v>
      </c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 t="s">
        <v>38</v>
      </c>
      <c r="D584" s="62" t="s">
        <v>31</v>
      </c>
      <c r="E584" s="87" t="s">
        <v>276</v>
      </c>
      <c r="F584" s="88">
        <f>IFERROR(IF($D584="","",VLOOKUP($D584,Cadastro!$C$4:$E$7,3,FALSE())),"")</f>
        <v>0.35</v>
      </c>
      <c r="G584" s="89">
        <v>0</v>
      </c>
      <c r="H584" s="88">
        <f>IFERROR(IF($G584="","",$G584*$S$594/$G$594/Cadastro!$E$33),"")</f>
        <v>0</v>
      </c>
      <c r="I584" s="90">
        <f>IFERROR(IF($D584="","",VLOOKUP($D584,Cadastro!$C$4:$G$7,5,FALSE())),"")</f>
        <v>0.6</v>
      </c>
      <c r="J584" s="91">
        <f t="shared" si="150"/>
        <v>0</v>
      </c>
      <c r="K584" s="64">
        <f t="shared" si="151"/>
        <v>0</v>
      </c>
      <c r="L584" s="61" t="s">
        <v>29</v>
      </c>
      <c r="M584" s="61" t="s">
        <v>61</v>
      </c>
      <c r="N584" s="61" t="s">
        <v>65</v>
      </c>
      <c r="O584" s="65">
        <v>0.85972222222222228</v>
      </c>
      <c r="P584" s="65">
        <v>0.87708333333333333</v>
      </c>
      <c r="Q584" s="66">
        <f t="shared" ca="1" si="152"/>
        <v>1.7361111111111049E-2</v>
      </c>
      <c r="R584" s="63" t="s">
        <v>426</v>
      </c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 t="s">
        <v>38</v>
      </c>
      <c r="D585" s="62" t="s">
        <v>31</v>
      </c>
      <c r="E585" s="87" t="s">
        <v>276</v>
      </c>
      <c r="F585" s="88">
        <f>IFERROR(IF($D585="","",VLOOKUP($D585,Cadastro!$C$4:$E$7,3,FALSE())),"")</f>
        <v>0.35</v>
      </c>
      <c r="G585" s="89">
        <v>22</v>
      </c>
      <c r="H585" s="88">
        <f>IFERROR(IF($G585="","",$G585*$S$594/$G$594/Cadastro!$E$33),"")</f>
        <v>128.31337278106508</v>
      </c>
      <c r="I585" s="90">
        <f>IFERROR(IF($D585="","",VLOOKUP($D585,Cadastro!$C$4:$G$7,5,FALSE())),"")</f>
        <v>0.6</v>
      </c>
      <c r="J585" s="91">
        <f t="shared" si="150"/>
        <v>26.945808284023663</v>
      </c>
      <c r="K585" s="69">
        <f t="shared" si="151"/>
        <v>92.4</v>
      </c>
      <c r="L585" s="70" t="s">
        <v>29</v>
      </c>
      <c r="M585" s="70" t="s">
        <v>61</v>
      </c>
      <c r="N585" s="70" t="s">
        <v>65</v>
      </c>
      <c r="O585" s="65">
        <v>0.92569444444444449</v>
      </c>
      <c r="P585" s="65">
        <v>0.9375</v>
      </c>
      <c r="Q585" s="71">
        <f t="shared" ca="1" si="152"/>
        <v>1.1805555555555514E-2</v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 t="s">
        <v>38</v>
      </c>
      <c r="D586" s="62" t="s">
        <v>31</v>
      </c>
      <c r="E586" s="87" t="s">
        <v>276</v>
      </c>
      <c r="F586" s="88">
        <f>IFERROR(IF($D586="","",VLOOKUP($D586,Cadastro!$C$4:$E$7,3,FALSE())),"")</f>
        <v>0.35</v>
      </c>
      <c r="G586" s="89">
        <v>17</v>
      </c>
      <c r="H586" s="88">
        <f>IFERROR(IF($G586="","",$G586*$S$594/$G$594/Cadastro!$E$33),"")</f>
        <v>99.151242603550301</v>
      </c>
      <c r="I586" s="90">
        <f>IFERROR(IF($D586="","",VLOOKUP($D586,Cadastro!$C$4:$G$7,5,FALSE())),"")</f>
        <v>0.6</v>
      </c>
      <c r="J586" s="91">
        <f t="shared" si="150"/>
        <v>20.82176094674556</v>
      </c>
      <c r="K586" s="64">
        <f t="shared" si="151"/>
        <v>71.400000000000006</v>
      </c>
      <c r="L586" s="61" t="s">
        <v>28</v>
      </c>
      <c r="M586" s="61" t="s">
        <v>66</v>
      </c>
      <c r="N586" s="61" t="s">
        <v>36</v>
      </c>
      <c r="O586" s="65">
        <v>8.2638888888888887E-2</v>
      </c>
      <c r="P586" s="65">
        <v>9.7222222222222224E-2</v>
      </c>
      <c r="Q586" s="66">
        <f t="shared" ca="1" si="152"/>
        <v>1.4583333333333337E-2</v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 t="s">
        <v>38</v>
      </c>
      <c r="D587" s="62" t="s">
        <v>31</v>
      </c>
      <c r="E587" s="87" t="s">
        <v>276</v>
      </c>
      <c r="F587" s="88">
        <f>IFERROR(IF($D587="","",VLOOKUP($D587,Cadastro!$C$4:$E$7,3,FALSE())),"")</f>
        <v>0.35</v>
      </c>
      <c r="G587" s="89">
        <v>15</v>
      </c>
      <c r="H587" s="88">
        <f>IFERROR(IF($G587="","",$G587*$S$594/$G$594/Cadastro!$E$33),"")</f>
        <v>87.486390532544377</v>
      </c>
      <c r="I587" s="90">
        <f>IFERROR(IF($D587="","",VLOOKUP($D587,Cadastro!$C$4:$G$7,5,FALSE())),"")</f>
        <v>0.6</v>
      </c>
      <c r="J587" s="91">
        <f t="shared" si="150"/>
        <v>18.372142011834317</v>
      </c>
      <c r="K587" s="69">
        <f t="shared" si="151"/>
        <v>63</v>
      </c>
      <c r="L587" s="70" t="s">
        <v>29</v>
      </c>
      <c r="M587" s="70" t="s">
        <v>61</v>
      </c>
      <c r="N587" s="70" t="s">
        <v>60</v>
      </c>
      <c r="O587" s="65">
        <v>9.7222222222222224E-2</v>
      </c>
      <c r="P587" s="65">
        <v>0.11180555555555556</v>
      </c>
      <c r="Q587" s="71">
        <f t="shared" ca="1" si="152"/>
        <v>1.4583333333333337E-2</v>
      </c>
      <c r="R587" s="63" t="s">
        <v>373</v>
      </c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 t="s">
        <v>38</v>
      </c>
      <c r="D588" s="62" t="s">
        <v>31</v>
      </c>
      <c r="E588" s="87" t="s">
        <v>276</v>
      </c>
      <c r="F588" s="88">
        <f>IFERROR(IF($D588="","",VLOOKUP($D588,Cadastro!$C$4:$E$7,3,FALSE())),"")</f>
        <v>0.35</v>
      </c>
      <c r="G588" s="89">
        <v>12</v>
      </c>
      <c r="H588" s="88">
        <f>IFERROR(IF($G588="","",$G588*$S$594/$G$594/Cadastro!$E$33),"")</f>
        <v>69.989112426035504</v>
      </c>
      <c r="I588" s="90">
        <f>IFERROR(IF($D588="","",VLOOKUP($D588,Cadastro!$C$4:$G$7,5,FALSE())),"")</f>
        <v>0.6</v>
      </c>
      <c r="J588" s="91">
        <f t="shared" si="150"/>
        <v>14.697713609467453</v>
      </c>
      <c r="K588" s="64">
        <f t="shared" si="151"/>
        <v>50.400000000000006</v>
      </c>
      <c r="L588" s="61" t="s">
        <v>29</v>
      </c>
      <c r="M588" s="61" t="s">
        <v>143</v>
      </c>
      <c r="N588" s="61" t="s">
        <v>123</v>
      </c>
      <c r="O588" s="65">
        <v>0.21458333333333332</v>
      </c>
      <c r="P588" s="65">
        <v>0.22361111111111112</v>
      </c>
      <c r="Q588" s="66">
        <f t="shared" ca="1" si="152"/>
        <v>9.0277777777778012E-3</v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 t="s">
        <v>38</v>
      </c>
      <c r="D589" s="62" t="s">
        <v>31</v>
      </c>
      <c r="E589" s="87" t="s">
        <v>276</v>
      </c>
      <c r="F589" s="88">
        <f>IFERROR(IF($D589="","",VLOOKUP($D589,Cadastro!$C$4:$E$7,3,FALSE())),"")</f>
        <v>0.35</v>
      </c>
      <c r="G589" s="89">
        <v>6</v>
      </c>
      <c r="H589" s="88">
        <f>IFERROR(IF($G589="","",$G589*$S$594/$G$594/Cadastro!$E$33),"")</f>
        <v>34.994556213017752</v>
      </c>
      <c r="I589" s="90">
        <f>IFERROR(IF($D589="","",VLOOKUP($D589,Cadastro!$C$4:$G$7,5,FALSE())),"")</f>
        <v>0.6</v>
      </c>
      <c r="J589" s="91">
        <f t="shared" si="150"/>
        <v>7.3488568047337264</v>
      </c>
      <c r="K589" s="69">
        <f t="shared" si="151"/>
        <v>25.200000000000003</v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 t="s">
        <v>38</v>
      </c>
      <c r="D590" s="62" t="s">
        <v>31</v>
      </c>
      <c r="E590" s="87" t="s">
        <v>276</v>
      </c>
      <c r="F590" s="88">
        <f>IFERROR(IF($D590="","",VLOOKUP($D590,Cadastro!$C$4:$E$7,3,FALSE())),"")</f>
        <v>0.35</v>
      </c>
      <c r="G590" s="89">
        <v>31</v>
      </c>
      <c r="H590" s="88">
        <f>IFERROR(IF($G590="","",$G590*$S$594/$G$594/Cadastro!$E$33),"")</f>
        <v>180.8052071005917</v>
      </c>
      <c r="I590" s="90">
        <f>IFERROR(IF($D590="","",VLOOKUP($D590,Cadastro!$C$4:$G$7,5,FALSE())),"")</f>
        <v>0.6</v>
      </c>
      <c r="J590" s="91">
        <f t="shared" si="150"/>
        <v>37.969093491124255</v>
      </c>
      <c r="K590" s="64">
        <f t="shared" si="151"/>
        <v>130.20000000000002</v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 t="s">
        <v>38</v>
      </c>
      <c r="D591" s="62" t="s">
        <v>31</v>
      </c>
      <c r="E591" s="87" t="s">
        <v>276</v>
      </c>
      <c r="F591" s="88">
        <f>IFERROR(IF($D591="","",VLOOKUP($D591,Cadastro!$C$4:$E$7,3,FALSE())),"")</f>
        <v>0.35</v>
      </c>
      <c r="G591" s="89">
        <v>18</v>
      </c>
      <c r="H591" s="88">
        <f>IFERROR(IF($G591="","",$G591*$S$594/$G$594/Cadastro!$E$33),"")</f>
        <v>104.98366863905325</v>
      </c>
      <c r="I591" s="90">
        <f>IFERROR(IF($D591="","",VLOOKUP($D591,Cadastro!$C$4:$G$7,5,FALSE())),"")</f>
        <v>0.6</v>
      </c>
      <c r="J591" s="91">
        <f t="shared" si="150"/>
        <v>22.046570414201181</v>
      </c>
      <c r="K591" s="69">
        <f t="shared" si="151"/>
        <v>75.600000000000009</v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 t="s">
        <v>38</v>
      </c>
      <c r="D592" s="62" t="s">
        <v>31</v>
      </c>
      <c r="E592" s="87" t="s">
        <v>276</v>
      </c>
      <c r="F592" s="88">
        <f>IFERROR(IF($D592="","",VLOOKUP($D592,Cadastro!$C$4:$E$7,3,FALSE())),"")</f>
        <v>0.35</v>
      </c>
      <c r="G592" s="89">
        <v>20</v>
      </c>
      <c r="H592" s="88">
        <f>IFERROR(IF($G592="","",$G592*$S$594/$G$594/Cadastro!$E$33),"")</f>
        <v>116.64852071005916</v>
      </c>
      <c r="I592" s="90">
        <f>IFERROR(IF($D592="","",VLOOKUP($D592,Cadastro!$C$4:$G$7,5,FALSE())),"")</f>
        <v>0.6</v>
      </c>
      <c r="J592" s="91">
        <f t="shared" si="150"/>
        <v>24.49618934911242</v>
      </c>
      <c r="K592" s="64">
        <f t="shared" si="151"/>
        <v>84</v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 t="s">
        <v>38</v>
      </c>
      <c r="D593" s="62" t="s">
        <v>31</v>
      </c>
      <c r="E593" s="87" t="s">
        <v>276</v>
      </c>
      <c r="F593" s="92">
        <f>IFERROR(IF($D593="","",VLOOKUP($D593,Cadastro!$C$4:$E$7,3,FALSE())),"")</f>
        <v>0.35</v>
      </c>
      <c r="G593" s="89">
        <v>0</v>
      </c>
      <c r="H593" s="92">
        <f>IFERROR(IF($G593="","",$G593*$S$594/$G$594/Cadastro!$E$33),"")</f>
        <v>0</v>
      </c>
      <c r="I593" s="93">
        <f>IFERROR(IF($D593="","",VLOOKUP($D593,Cadastro!$C$4:$G$7,5,FALSE())),"")</f>
        <v>0.6</v>
      </c>
      <c r="J593" s="94">
        <f t="shared" si="150"/>
        <v>0</v>
      </c>
      <c r="K593" s="69">
        <f t="shared" si="151"/>
        <v>0</v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8" t="s">
        <v>265</v>
      </c>
      <c r="B594" s="158"/>
      <c r="C594" s="158"/>
      <c r="D594" s="158"/>
      <c r="E594" s="158"/>
      <c r="F594" s="105"/>
      <c r="G594" s="96">
        <f>SUM(G582:G593)</f>
        <v>169</v>
      </c>
      <c r="H594" s="105">
        <f>IFERROR(SUM(H582:H593),"")</f>
        <v>985.68</v>
      </c>
      <c r="I594" s="106"/>
      <c r="J594" s="107">
        <f>IFERROR(SUM(J582:J593),"")</f>
        <v>206.99279999999996</v>
      </c>
      <c r="K594" s="2">
        <f>SUM(K582:K593)</f>
        <v>709.8</v>
      </c>
      <c r="L594" s="72"/>
      <c r="M594" s="72"/>
      <c r="N594" s="72"/>
      <c r="O594" s="134"/>
      <c r="P594" s="134"/>
      <c r="Q594" s="73">
        <f ca="1">IFERROR(SUM(Q582:Q593),"")</f>
        <v>9.2361111111111061E-2</v>
      </c>
      <c r="R594" s="2" t="s">
        <v>263</v>
      </c>
      <c r="S594" s="74">
        <v>985680</v>
      </c>
      <c r="T594" s="99">
        <f>IFERROR(J594,"")</f>
        <v>206.99279999999996</v>
      </c>
    </row>
    <row r="595" spans="1:20" ht="18" customHeight="1">
      <c r="A595" s="159" t="s">
        <v>251</v>
      </c>
      <c r="B595" s="159"/>
      <c r="C595" s="159"/>
      <c r="D595" s="159"/>
      <c r="E595" s="159"/>
      <c r="F595" s="108"/>
      <c r="G595" s="109">
        <f>G581+G594</f>
        <v>371</v>
      </c>
      <c r="H595" s="108">
        <f>IFERROR(H581+H594,"")</f>
        <v>1745.48</v>
      </c>
      <c r="I595" s="110"/>
      <c r="J595" s="111">
        <f>IFERROR(J581+J594,"")</f>
        <v>366.55079999999992</v>
      </c>
      <c r="K595" s="1">
        <f>K581+K594</f>
        <v>1574.2</v>
      </c>
      <c r="L595" s="76"/>
      <c r="M595" s="76"/>
      <c r="N595" s="76"/>
      <c r="O595" s="135"/>
      <c r="P595" s="135"/>
      <c r="Q595" s="77">
        <f ca="1">IFERROR(Q581+Q594,"")</f>
        <v>0.22638888888888892</v>
      </c>
      <c r="R595" s="1" t="s">
        <v>266</v>
      </c>
      <c r="S595" s="82">
        <f>IFERROR(S581+S594,"")</f>
        <v>1745480</v>
      </c>
      <c r="T595" s="118">
        <f>IFERROR(J595,"")</f>
        <v>366.55079999999992</v>
      </c>
    </row>
    <row r="596" spans="1:20" ht="15" customHeight="1">
      <c r="A596" s="59">
        <v>46257</v>
      </c>
      <c r="B596" s="60">
        <v>0.33333333333333298</v>
      </c>
      <c r="C596" s="61" t="s">
        <v>30</v>
      </c>
      <c r="D596" s="62" t="s">
        <v>31</v>
      </c>
      <c r="E596" s="87" t="s">
        <v>276</v>
      </c>
      <c r="F596" s="101">
        <f>IFERROR(IF($D596="","",VLOOKUP($D596,Cadastro!$C$4:$E$7,3,FALSE())),"")</f>
        <v>0.35</v>
      </c>
      <c r="G596" s="89">
        <v>20</v>
      </c>
      <c r="H596" s="101">
        <f>IFERROR(IF($G596="","",$G596*$S$608/$G$608/Cadastro!$E$33),"")</f>
        <v>0</v>
      </c>
      <c r="I596" s="102">
        <f>IFERROR(IF($D596="","",VLOOKUP($D596,Cadastro!$C$4:$G$7,5,FALSE())),"")</f>
        <v>0.6</v>
      </c>
      <c r="J596" s="103">
        <f t="shared" ref="J596:J607" si="154">IFERROR(IF($H596="","",$H596*$F596*$I596),"")</f>
        <v>0</v>
      </c>
      <c r="K596" s="64">
        <f t="shared" ref="K596:K607" si="155">IF(G596="","",IF(E596="PC 17",G596*4.2,IF(E596="PC 19",G596*5,IF(E596="CB",G596*24,""))))</f>
        <v>84</v>
      </c>
      <c r="L596" s="61" t="s">
        <v>28</v>
      </c>
      <c r="M596" s="61" t="s">
        <v>174</v>
      </c>
      <c r="N596" s="61" t="s">
        <v>36</v>
      </c>
      <c r="O596" s="65">
        <v>0.2951388888888889</v>
      </c>
      <c r="P596" s="65">
        <v>0.31597222222222221</v>
      </c>
      <c r="Q596" s="66">
        <f t="shared" ref="Q596:Q607" ca="1" si="156">IFERROR(IF(O596="","",IF(P596="",MOD(NOW()-O596,1),IF(P596&gt;=O596,P596-O596,P596+1-O596))),"")</f>
        <v>2.0833333333333315E-2</v>
      </c>
      <c r="R596" s="63" t="s">
        <v>427</v>
      </c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 t="s">
        <v>30</v>
      </c>
      <c r="D597" s="62" t="s">
        <v>31</v>
      </c>
      <c r="E597" s="87" t="s">
        <v>276</v>
      </c>
      <c r="F597" s="88">
        <f>IFERROR(IF($D597="","",VLOOKUP($D597,Cadastro!$C$4:$E$7,3,FALSE())),"")</f>
        <v>0.35</v>
      </c>
      <c r="G597" s="89">
        <v>5</v>
      </c>
      <c r="H597" s="88">
        <f>IFERROR(IF($G597="","",$G597*$S$608/$G$608/Cadastro!$E$33),"")</f>
        <v>0</v>
      </c>
      <c r="I597" s="90">
        <f>IFERROR(IF($D597="","",VLOOKUP($D597,Cadastro!$C$4:$G$7,5,FALSE())),"")</f>
        <v>0.6</v>
      </c>
      <c r="J597" s="91">
        <f t="shared" si="154"/>
        <v>0</v>
      </c>
      <c r="K597" s="69">
        <f t="shared" si="155"/>
        <v>21</v>
      </c>
      <c r="L597" s="154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 t="s">
        <v>30</v>
      </c>
      <c r="D598" s="62" t="s">
        <v>31</v>
      </c>
      <c r="E598" s="87" t="s">
        <v>276</v>
      </c>
      <c r="F598" s="88">
        <f>IFERROR(IF($D598="","",VLOOKUP($D598,Cadastro!$C$4:$E$7,3,FALSE())),"")</f>
        <v>0.35</v>
      </c>
      <c r="G598" s="89"/>
      <c r="H598" s="88" t="str">
        <f>IFERROR(IF($G598="","",$G598*$S$608/$G$608/Cadastro!$E$33),"")</f>
        <v/>
      </c>
      <c r="I598" s="90">
        <f>IFERROR(IF($D598="","",VLOOKUP($D598,Cadastro!$C$4:$G$7,5,FALSE())),"")</f>
        <v>0.6</v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 t="s">
        <v>30</v>
      </c>
      <c r="D599" s="62" t="s">
        <v>31</v>
      </c>
      <c r="E599" s="87" t="s">
        <v>276</v>
      </c>
      <c r="F599" s="88">
        <f>IFERROR(IF($D599="","",VLOOKUP($D599,Cadastro!$C$4:$E$7,3,FALSE())),"")</f>
        <v>0.35</v>
      </c>
      <c r="G599" s="89"/>
      <c r="H599" s="88" t="str">
        <f>IFERROR(IF($G599="","",$G599*$S$608/$G$608/Cadastro!$E$33),"")</f>
        <v/>
      </c>
      <c r="I599" s="90">
        <f>IFERROR(IF($D599="","",VLOOKUP($D599,Cadastro!$C$4:$G$7,5,FALSE())),"")</f>
        <v>0.6</v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 t="s">
        <v>30</v>
      </c>
      <c r="D600" s="62" t="s">
        <v>31</v>
      </c>
      <c r="E600" s="87" t="s">
        <v>276</v>
      </c>
      <c r="F600" s="88">
        <f>IFERROR(IF($D600="","",VLOOKUP($D600,Cadastro!$C$4:$E$7,3,FALSE())),"")</f>
        <v>0.35</v>
      </c>
      <c r="G600" s="89"/>
      <c r="H600" s="88" t="str">
        <f>IFERROR(IF($G600="","",$G600*$S$608/$G$608/Cadastro!$E$33),"")</f>
        <v/>
      </c>
      <c r="I600" s="90">
        <f>IFERROR(IF($D600="","",VLOOKUP($D600,Cadastro!$C$4:$G$7,5,FALSE())),"")</f>
        <v>0.6</v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 t="s">
        <v>30</v>
      </c>
      <c r="D601" s="62" t="s">
        <v>31</v>
      </c>
      <c r="E601" s="87" t="s">
        <v>276</v>
      </c>
      <c r="F601" s="88">
        <f>IFERROR(IF($D601="","",VLOOKUP($D601,Cadastro!$C$4:$E$7,3,FALSE())),"")</f>
        <v>0.35</v>
      </c>
      <c r="G601" s="89"/>
      <c r="H601" s="88" t="str">
        <f>IFERROR(IF($G601="","",$G601*$S$608/$G$608/Cadastro!$E$33),"")</f>
        <v/>
      </c>
      <c r="I601" s="90">
        <f>IFERROR(IF($D601="","",VLOOKUP($D601,Cadastro!$C$4:$G$7,5,FALSE())),"")</f>
        <v>0.6</v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 t="s">
        <v>30</v>
      </c>
      <c r="D602" s="62" t="s">
        <v>31</v>
      </c>
      <c r="E602" s="87" t="s">
        <v>276</v>
      </c>
      <c r="F602" s="88">
        <f>IFERROR(IF($D602="","",VLOOKUP($D602,Cadastro!$C$4:$E$7,3,FALSE())),"")</f>
        <v>0.35</v>
      </c>
      <c r="G602" s="89"/>
      <c r="H602" s="88" t="str">
        <f>IFERROR(IF($G602="","",$G602*$S$608/$G$608/Cadastro!$E$33),"")</f>
        <v/>
      </c>
      <c r="I602" s="90">
        <f>IFERROR(IF($D602="","",VLOOKUP($D602,Cadastro!$C$4:$G$7,5,FALSE())),"")</f>
        <v>0.6</v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 t="s">
        <v>30</v>
      </c>
      <c r="D603" s="62" t="s">
        <v>31</v>
      </c>
      <c r="E603" s="87" t="s">
        <v>276</v>
      </c>
      <c r="F603" s="88">
        <f>IFERROR(IF($D603="","",VLOOKUP($D603,Cadastro!$C$4:$E$7,3,FALSE())),"")</f>
        <v>0.35</v>
      </c>
      <c r="G603" s="89"/>
      <c r="H603" s="88" t="str">
        <f>IFERROR(IF($G603="","",$G603*$S$608/$G$608/Cadastro!$E$33),"")</f>
        <v/>
      </c>
      <c r="I603" s="90">
        <f>IFERROR(IF($D603="","",VLOOKUP($D603,Cadastro!$C$4:$G$7,5,FALSE())),"")</f>
        <v>0.6</v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 t="s">
        <v>30</v>
      </c>
      <c r="D604" s="62" t="s">
        <v>31</v>
      </c>
      <c r="E604" s="87" t="s">
        <v>276</v>
      </c>
      <c r="F604" s="88">
        <f>IFERROR(IF($D604="","",VLOOKUP($D604,Cadastro!$C$4:$E$7,3,FALSE())),"")</f>
        <v>0.35</v>
      </c>
      <c r="G604" s="89"/>
      <c r="H604" s="88" t="str">
        <f>IFERROR(IF($G604="","",$G604*$S$608/$G$608/Cadastro!$E$33),"")</f>
        <v/>
      </c>
      <c r="I604" s="90">
        <f>IFERROR(IF($D604="","",VLOOKUP($D604,Cadastro!$C$4:$G$7,5,FALSE())),"")</f>
        <v>0.6</v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 t="s">
        <v>30</v>
      </c>
      <c r="D605" s="62" t="s">
        <v>31</v>
      </c>
      <c r="E605" s="87" t="s">
        <v>276</v>
      </c>
      <c r="F605" s="88">
        <f>IFERROR(IF($D605="","",VLOOKUP($D605,Cadastro!$C$4:$E$7,3,FALSE())),"")</f>
        <v>0.35</v>
      </c>
      <c r="G605" s="89"/>
      <c r="H605" s="88" t="str">
        <f>IFERROR(IF($G605="","",$G605*$S$608/$G$608/Cadastro!$E$33),"")</f>
        <v/>
      </c>
      <c r="I605" s="90">
        <f>IFERROR(IF($D605="","",VLOOKUP($D605,Cadastro!$C$4:$G$7,5,FALSE())),"")</f>
        <v>0.6</v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 t="s">
        <v>30</v>
      </c>
      <c r="D606" s="62" t="s">
        <v>31</v>
      </c>
      <c r="E606" s="87" t="s">
        <v>276</v>
      </c>
      <c r="F606" s="88">
        <f>IFERROR(IF($D606="","",VLOOKUP($D606,Cadastro!$C$4:$E$7,3,FALSE())),"")</f>
        <v>0.35</v>
      </c>
      <c r="G606" s="89"/>
      <c r="H606" s="88" t="str">
        <f>IFERROR(IF($G606="","",$G606*$S$608/$G$608/Cadastro!$E$33),"")</f>
        <v/>
      </c>
      <c r="I606" s="90">
        <f>IFERROR(IF($D606="","",VLOOKUP($D606,Cadastro!$C$4:$G$7,5,FALSE())),"")</f>
        <v>0.6</v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 t="s">
        <v>30</v>
      </c>
      <c r="D607" s="62" t="s">
        <v>31</v>
      </c>
      <c r="E607" s="87" t="s">
        <v>276</v>
      </c>
      <c r="F607" s="92">
        <f>IFERROR(IF($D607="","",VLOOKUP($D607,Cadastro!$C$4:$E$7,3,FALSE())),"")</f>
        <v>0.35</v>
      </c>
      <c r="G607" s="89"/>
      <c r="H607" s="92" t="str">
        <f>IFERROR(IF($G607="","",$G607*$S$608/$G$608/Cadastro!$E$33),"")</f>
        <v/>
      </c>
      <c r="I607" s="93">
        <f>IFERROR(IF($D607="","",VLOOKUP($D607,Cadastro!$C$4:$G$7,5,FALSE())),"")</f>
        <v>0.6</v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8" t="s">
        <v>262</v>
      </c>
      <c r="B608" s="158"/>
      <c r="C608" s="158"/>
      <c r="D608" s="158"/>
      <c r="E608" s="158"/>
      <c r="F608" s="95"/>
      <c r="G608" s="96">
        <f>SUM(G596:G607)</f>
        <v>25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105</v>
      </c>
      <c r="L608" s="72"/>
      <c r="M608" s="72"/>
      <c r="N608" s="72"/>
      <c r="O608" s="134"/>
      <c r="P608" s="134"/>
      <c r="Q608" s="73">
        <f ca="1">IFERROR(SUM(Q596:Q607),"")</f>
        <v>2.0833333333333315E-2</v>
      </c>
      <c r="R608" s="2" t="s">
        <v>263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8" t="s">
        <v>265</v>
      </c>
      <c r="B621" s="158"/>
      <c r="C621" s="158"/>
      <c r="D621" s="158"/>
      <c r="E621" s="158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263</v>
      </c>
      <c r="S621" s="74"/>
      <c r="T621" s="99">
        <f>IFERROR(J621,"")</f>
        <v>0</v>
      </c>
    </row>
    <row r="622" spans="1:20" ht="18" customHeight="1">
      <c r="A622" s="159" t="s">
        <v>251</v>
      </c>
      <c r="B622" s="159"/>
      <c r="C622" s="159"/>
      <c r="D622" s="159"/>
      <c r="E622" s="159"/>
      <c r="F622" s="108"/>
      <c r="G622" s="109">
        <f>G608+G621</f>
        <v>25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105</v>
      </c>
      <c r="L622" s="76"/>
      <c r="M622" s="76"/>
      <c r="N622" s="76"/>
      <c r="O622" s="135"/>
      <c r="P622" s="135"/>
      <c r="Q622" s="77">
        <f ca="1">IFERROR(Q608+Q621,"")</f>
        <v>2.0833333333333315E-2</v>
      </c>
      <c r="R622" s="1" t="s">
        <v>266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8" t="s">
        <v>262</v>
      </c>
      <c r="B635" s="158"/>
      <c r="C635" s="158"/>
      <c r="D635" s="158"/>
      <c r="E635" s="158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263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8" t="s">
        <v>265</v>
      </c>
      <c r="B648" s="158"/>
      <c r="C648" s="158"/>
      <c r="D648" s="158"/>
      <c r="E648" s="158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263</v>
      </c>
      <c r="S648" s="74"/>
      <c r="T648" s="99">
        <f>IFERROR(J648,"")</f>
        <v>0</v>
      </c>
    </row>
    <row r="649" spans="1:20" ht="18" customHeight="1">
      <c r="A649" s="159" t="s">
        <v>251</v>
      </c>
      <c r="B649" s="159"/>
      <c r="C649" s="159"/>
      <c r="D649" s="159"/>
      <c r="E649" s="159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266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8" t="s">
        <v>262</v>
      </c>
      <c r="B662" s="158"/>
      <c r="C662" s="158"/>
      <c r="D662" s="158"/>
      <c r="E662" s="158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263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8" t="s">
        <v>265</v>
      </c>
      <c r="B675" s="158"/>
      <c r="C675" s="158"/>
      <c r="D675" s="158"/>
      <c r="E675" s="158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263</v>
      </c>
      <c r="S675" s="74"/>
      <c r="T675" s="99">
        <f>IFERROR(J675,"")</f>
        <v>0</v>
      </c>
    </row>
    <row r="676" spans="1:20" ht="18" customHeight="1">
      <c r="A676" s="159" t="s">
        <v>251</v>
      </c>
      <c r="B676" s="159"/>
      <c r="C676" s="159"/>
      <c r="D676" s="159"/>
      <c r="E676" s="159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266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8" t="s">
        <v>262</v>
      </c>
      <c r="B689" s="158"/>
      <c r="C689" s="158"/>
      <c r="D689" s="158"/>
      <c r="E689" s="158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263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8" t="s">
        <v>265</v>
      </c>
      <c r="B702" s="158"/>
      <c r="C702" s="158"/>
      <c r="D702" s="158"/>
      <c r="E702" s="158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263</v>
      </c>
      <c r="S702" s="74"/>
      <c r="T702" s="99">
        <f>IFERROR(J702,"")</f>
        <v>0</v>
      </c>
    </row>
    <row r="703" spans="1:20" ht="18" customHeight="1">
      <c r="A703" s="159" t="s">
        <v>251</v>
      </c>
      <c r="B703" s="159"/>
      <c r="C703" s="159"/>
      <c r="D703" s="159"/>
      <c r="E703" s="159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266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8" t="s">
        <v>262</v>
      </c>
      <c r="B716" s="158"/>
      <c r="C716" s="158"/>
      <c r="D716" s="158"/>
      <c r="E716" s="158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263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8" t="s">
        <v>265</v>
      </c>
      <c r="B729" s="158"/>
      <c r="C729" s="158"/>
      <c r="D729" s="158"/>
      <c r="E729" s="158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263</v>
      </c>
      <c r="S729" s="74"/>
      <c r="T729" s="99">
        <f>IFERROR(J729,"")</f>
        <v>0</v>
      </c>
    </row>
    <row r="730" spans="1:20" ht="18" customHeight="1">
      <c r="A730" s="159" t="s">
        <v>251</v>
      </c>
      <c r="B730" s="159"/>
      <c r="C730" s="159"/>
      <c r="D730" s="159"/>
      <c r="E730" s="159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266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8" t="s">
        <v>262</v>
      </c>
      <c r="B743" s="158"/>
      <c r="C743" s="158"/>
      <c r="D743" s="158"/>
      <c r="E743" s="158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263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8" t="s">
        <v>265</v>
      </c>
      <c r="B756" s="158"/>
      <c r="C756" s="158"/>
      <c r="D756" s="158"/>
      <c r="E756" s="158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263</v>
      </c>
      <c r="S756" s="74"/>
      <c r="T756" s="99">
        <f>IFERROR(J756,"")</f>
        <v>0</v>
      </c>
    </row>
    <row r="757" spans="1:20" ht="18" customHeight="1">
      <c r="A757" s="159" t="s">
        <v>251</v>
      </c>
      <c r="B757" s="159"/>
      <c r="C757" s="159"/>
      <c r="D757" s="159"/>
      <c r="E757" s="159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266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8" t="s">
        <v>262</v>
      </c>
      <c r="B770" s="158"/>
      <c r="C770" s="158"/>
      <c r="D770" s="158"/>
      <c r="E770" s="158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263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8" t="s">
        <v>265</v>
      </c>
      <c r="B783" s="158"/>
      <c r="C783" s="158"/>
      <c r="D783" s="158"/>
      <c r="E783" s="158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263</v>
      </c>
      <c r="S783" s="74"/>
      <c r="T783" s="99">
        <f>IFERROR(J783,"")</f>
        <v>0</v>
      </c>
    </row>
    <row r="784" spans="1:20" ht="18" customHeight="1">
      <c r="A784" s="159" t="s">
        <v>251</v>
      </c>
      <c r="B784" s="159"/>
      <c r="C784" s="159"/>
      <c r="D784" s="159"/>
      <c r="E784" s="159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266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8" t="s">
        <v>262</v>
      </c>
      <c r="B797" s="158"/>
      <c r="C797" s="158"/>
      <c r="D797" s="158"/>
      <c r="E797" s="158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263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8" t="s">
        <v>265</v>
      </c>
      <c r="B810" s="158"/>
      <c r="C810" s="158"/>
      <c r="D810" s="158"/>
      <c r="E810" s="158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263</v>
      </c>
      <c r="S810" s="74"/>
      <c r="T810" s="99">
        <f>IFERROR(J810,"")</f>
        <v>0</v>
      </c>
    </row>
    <row r="811" spans="1:20" ht="18" customHeight="1">
      <c r="A811" s="159" t="s">
        <v>251</v>
      </c>
      <c r="B811" s="159"/>
      <c r="C811" s="159"/>
      <c r="D811" s="159"/>
      <c r="E811" s="159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266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8" t="s">
        <v>262</v>
      </c>
      <c r="B824" s="158"/>
      <c r="C824" s="158"/>
      <c r="D824" s="158"/>
      <c r="E824" s="158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263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8" t="s">
        <v>265</v>
      </c>
      <c r="B837" s="158"/>
      <c r="C837" s="158"/>
      <c r="D837" s="158"/>
      <c r="E837" s="158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263</v>
      </c>
      <c r="S837" s="74"/>
      <c r="T837" s="99">
        <f>IFERROR(J837,"")</f>
        <v>0</v>
      </c>
    </row>
    <row r="838" spans="1:20" ht="18" customHeight="1">
      <c r="A838" s="159" t="s">
        <v>251</v>
      </c>
      <c r="B838" s="159"/>
      <c r="C838" s="159"/>
      <c r="D838" s="159"/>
      <c r="E838" s="159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266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956D0346-DD6D-4A32-81B9-BD446DB6FCD6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32B1A3CF-5FC7-4FEA-8536-053612F4F61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2026-08-23T14:03:46Z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