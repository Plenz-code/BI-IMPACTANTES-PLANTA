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392" documentId="8_{AF585B22-221D-4780-BB9C-493D365A6A02}" xr6:coauthVersionLast="47" xr6:coauthVersionMax="47" xr10:uidLastSave="{0E5A6B32-D8F2-41C5-9C09-12C68C539754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<sst xmlns="http://schemas.openxmlformats.org/spreadsheetml/2006/main" count="2548" uniqueCount="236">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</sst>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51130</v>
      </c>
      <c r="F8" s="8">
        <f>IFERROR('Linha 3'!O136,"")</f>
        <v>274450</v>
      </c>
      <c r="G8" s="9">
        <f t="shared" si="0"/>
        <v>325580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10745090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6" activePane="bottomLeft" state="frozen"/>
      <selection pane="bottomLeft" activeCell="F122" sqref="F12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267</v>
      </c>
      <c r="G136" s="40">
        <f>G122+G135</f>
        <v>1335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F122" sqref="F1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135</v>
      </c>
      <c r="G136" s="40">
        <f>G122+G135</f>
        <v>567</v>
      </c>
      <c r="H136" s="41"/>
      <c r="I136" s="41"/>
      <c r="J136" s="41"/>
      <c r="K136" s="41"/>
      <c r="L136" s="41"/>
      <c r="M136" s="42">
        <f ca="1">IFERROR(M122+M135,"")</f>
        <v>0.14166666666666666</v>
      </c>
      <c r="N136" s="40" t="s">
        <v>203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O123" sqref="O1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7</v>
      </c>
      <c r="G136" s="40">
        <f>G122+G135</f>
        <v>29.4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203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107" activePane="bottomLeft" state="frozen"/>
      <selection pane="bottomLeft" activeCell="O123" sqref="O1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228</v>
      </c>
      <c r="L58" s="29">
        <v>0.54097222222222219</v>
      </c>
      <c r="M58" s="30" t="str">
        <f t="shared" ca="1" si="13"/>
        <v/>
      </c>
      <c r="N58" s="27" t="s">
        <v>229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54</v>
      </c>
      <c r="G136" s="40">
        <f>G122+G135</f>
        <v>226.8</v>
      </c>
      <c r="H136" s="41"/>
      <c r="I136" s="41"/>
      <c r="J136" s="41"/>
      <c r="K136" s="63"/>
      <c r="L136" s="63"/>
      <c r="M136" s="42">
        <f ca="1">IFERROR(M122+M135,"")</f>
        <v>0.36736111111111108</v>
      </c>
      <c r="N136" s="40" t="s">
        <v>203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2026-07-05T22:38:30Z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