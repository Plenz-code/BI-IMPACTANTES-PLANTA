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9" documentId="13_ncr:1_{A6DBCFB4-28D9-4249-9038-216934055CA6}" xr6:coauthVersionLast="47" xr6:coauthVersionMax="47" xr10:uidLastSave="{52610896-1896-4B65-8ADE-552E641AD7A8}"/>
  <bookViews>
    <workbookView xWindow="-120" yWindow="-120" windowWidth="29040" windowHeight="15720" tabRatio="500" firstSheet="1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189" i="6" l="1"/>
  <c r="M351" i="3"/>
  <c r="Q621" i="6"/>
  <c r="Q230" i="6"/>
  <c r="Q770" i="5"/>
  <c r="Q837" i="5"/>
  <c r="Q473" i="6"/>
  <c r="Q162" i="6"/>
  <c r="Q68" i="6"/>
  <c r="Q702" i="5"/>
  <c r="Q716" i="5"/>
  <c r="Q149" i="6"/>
  <c r="Q163" i="6" s="1"/>
  <c r="Q135" i="6"/>
  <c r="Q824" i="6"/>
  <c r="Q567" i="6"/>
  <c r="Q122" i="6"/>
  <c r="Q136" i="6" s="1"/>
  <c r="Q797" i="5"/>
  <c r="Q405" i="6"/>
  <c r="M203" i="3"/>
  <c r="Q608" i="6"/>
  <c r="Q567" i="5"/>
  <c r="Q446" i="6"/>
  <c r="Q460" i="6" s="1"/>
  <c r="Q513" i="6"/>
  <c r="Q514" i="6" s="1"/>
  <c r="M405" i="3"/>
  <c r="M41" i="3"/>
  <c r="Q14" i="6"/>
  <c r="Q28" i="6" s="1"/>
  <c r="Q689" i="5"/>
  <c r="Q703" i="5" s="1"/>
  <c r="Q527" i="6"/>
  <c r="Q486" i="6"/>
  <c r="Q487" i="6" s="1"/>
  <c r="Q81" i="6"/>
  <c r="Q82" i="6" s="1"/>
  <c r="Q27" i="4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730" i="4" s="1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16" i="5"/>
  <c r="Q217" i="5" s="1"/>
  <c r="Q68" i="5"/>
  <c r="M783" i="3"/>
  <c r="M338" i="3"/>
  <c r="M352" i="3" s="1"/>
  <c r="M243" i="3"/>
  <c r="M230" i="3"/>
  <c r="M244" i="3" s="1"/>
  <c r="M27" i="3"/>
  <c r="Q135" i="4"/>
  <c r="Q648" i="5"/>
  <c r="Q54" i="5"/>
  <c r="Q257" i="4"/>
  <c r="M648" i="3"/>
  <c r="Q756" i="4"/>
  <c r="Q757" i="4" s="1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M675" i="3"/>
  <c r="M189" i="3"/>
  <c r="M190" i="3" s="1"/>
  <c r="Q783" i="4"/>
  <c r="Q54" i="6"/>
  <c r="Q55" i="6" s="1"/>
  <c r="Q824" i="5"/>
  <c r="Q838" i="5" s="1"/>
  <c r="Q513" i="4"/>
  <c r="Q514" i="4" s="1"/>
  <c r="Q621" i="4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28" i="4" l="1"/>
  <c r="Q271" i="5"/>
  <c r="M784" i="3"/>
  <c r="Q649" i="5"/>
  <c r="Q568" i="5"/>
  <c r="Q541" i="6"/>
  <c r="Q784" i="4"/>
  <c r="Q622" i="4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<sst xmlns="http://schemas.openxmlformats.org/spreadsheetml/2006/main" count="9214" uniqueCount="404">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</sst>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P18" sqref="P1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25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2"/>
      <c r="N59" s="40"/>
      <c r="O59" s="40"/>
      <c r="P59" s="40" t="s">
        <v>222</v>
      </c>
      <c r="Q59" s="40"/>
      <c r="R59" s="40"/>
    </row>
    <row r="60" spans="1:18" ht="15" customHeight="1" x14ac:dyDescent="0.25">
      <c r="M60" s="162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2"/>
      <c r="N61" s="40"/>
      <c r="O61" s="40"/>
      <c r="P61" s="40" t="s">
        <v>223</v>
      </c>
      <c r="Q61" s="40"/>
      <c r="R61" s="40"/>
    </row>
    <row r="62" spans="1:18" ht="15" customHeight="1" x14ac:dyDescent="0.25">
      <c r="M62" s="162"/>
      <c r="N62" s="37"/>
      <c r="O62" s="37"/>
      <c r="P62" s="37" t="s">
        <v>224</v>
      </c>
      <c r="Q62" s="37"/>
      <c r="R62" s="37"/>
    </row>
    <row r="63" spans="1:18" ht="15" customHeight="1" x14ac:dyDescent="0.25">
      <c r="M63" s="162"/>
      <c r="N63" s="40"/>
      <c r="O63" s="40"/>
      <c r="P63" s="40" t="s">
        <v>225</v>
      </c>
      <c r="Q63" s="40"/>
      <c r="R63" s="40"/>
    </row>
    <row r="64" spans="1:18" ht="15" customHeight="1" x14ac:dyDescent="0.25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3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25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25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F530" sqref="F530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6.0278703705989756E-2</v>
      </c>
      <c r="N542" s="80"/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6.0278703705989756E-2</v>
      </c>
      <c r="N554" s="2" t="s">
        <v>261</v>
      </c>
      <c r="O554" s="74"/>
    </row>
    <row r="555" spans="1:15" ht="15" customHeight="1" x14ac:dyDescent="0.2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25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6.0278703705989756E-2</v>
      </c>
      <c r="N568" s="1" t="s">
        <v>264</v>
      </c>
      <c r="O568" s="82">
        <f>IFERROR(O554+O567,"")</f>
        <v>0</v>
      </c>
    </row>
    <row r="569" spans="1:15" ht="15" customHeight="1" x14ac:dyDescent="0.2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25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25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441" sqref="E441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0.23041759258921957</v>
      </c>
      <c r="R53" s="80" t="s">
        <v>306</v>
      </c>
      <c r="S53" s="67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0.3693064814781073</v>
      </c>
      <c r="R54" s="2" t="s">
        <v>261</v>
      </c>
      <c r="S54" s="113">
        <v>352430</v>
      </c>
      <c r="T54" s="114"/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0.45402870370033011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phoneticPr fontId="24" type="noConversion"/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6.0278703705989756E-2</v>
      </c>
      <c r="R542" s="63" t="s">
        <v>367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6.0278703705989756E-2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6.0278703705989756E-2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8" activePane="bottomLeft" state="frozen"/>
      <selection pane="bottomLeft" activeCell="N543" sqref="N543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14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58.800000000000004</v>
      </c>
      <c r="L554" s="72"/>
      <c r="M554" s="72"/>
      <c r="N554" s="72"/>
      <c r="O554" s="134"/>
      <c r="P554" s="134"/>
      <c r="Q554" s="73">
        <f ca="1">IFERROR(SUM(Q542:Q553),"")</f>
        <v>2.0833333333333315E-2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14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58.800000000000004</v>
      </c>
      <c r="L568" s="76"/>
      <c r="M568" s="76"/>
      <c r="N568" s="76"/>
      <c r="O568" s="135"/>
      <c r="P568" s="135"/>
      <c r="Q568" s="77">
        <f ca="1">IFERROR(Q554+Q567,"")</f>
        <v>2.0833333333333315E-2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2026-08-21T12:29:18Z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