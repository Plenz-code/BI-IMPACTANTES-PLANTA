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564" documentId="13_ncr:1_{0A10D8D4-8450-4366-8075-B53B08E6B7EA}" xr6:coauthVersionLast="47" xr6:coauthVersionMax="47" xr10:uidLastSave="{9D9D5FE2-0E13-4BF0-8B15-56040D3919FC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0" i="6"/>
  <c r="J340" i="6" s="1"/>
  <c r="H341" i="6"/>
  <c r="J341" i="6" s="1"/>
  <c r="H342" i="6"/>
  <c r="J342" i="6" s="1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0" i="5"/>
  <c r="J340" i="5" s="1"/>
  <c r="H341" i="5"/>
  <c r="J341" i="5" s="1"/>
  <c r="H342" i="5"/>
  <c r="J342" i="5" s="1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0" i="4"/>
  <c r="J340" i="4" s="1"/>
  <c r="H341" i="4"/>
  <c r="J341" i="4" s="1"/>
  <c r="H342" i="4"/>
  <c r="J342" i="4" s="1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H339" i="6" s="1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H339" i="5" s="1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H339" i="4" s="1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339" i="6" l="1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<sst xmlns="http://schemas.openxmlformats.org/spreadsheetml/2006/main" count="6086" uniqueCount="340">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</sst>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0" sqref="F34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30</v>
      </c>
      <c r="G351" s="36">
        <f>SUM(G339:G350)</f>
        <v>150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262</v>
      </c>
      <c r="G352" s="40">
        <f>G338+G351</f>
        <v>1310</v>
      </c>
      <c r="H352" s="41"/>
      <c r="I352" s="41"/>
      <c r="J352" s="41"/>
      <c r="K352" s="41"/>
      <c r="L352" s="41"/>
      <c r="M352" s="42">
        <f ca="1">IFERROR(M338+M351,"")</f>
        <v>7.7083333333333393E-2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G340" sqref="G34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0.72036504629068077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0.85925393517956961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0.94397615740179197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/>
      <c r="Q339" s="35">
        <f t="shared" ref="Q339:Q350" ca="1" si="80">IFERROR(IF(O339="","",IF(P339="",MOD(NOW()-O339,1),IF(P339&gt;=O339,P339-O339,P339+1-O339))),"")</f>
        <v>2.4531712959287688E-2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/>
      <c r="H340" s="134" t="str">
        <f>IFERROR(IF($G340="","",$G340*$S$351/$G$351/Cadastro!$E$33),"")</f>
        <v/>
      </c>
      <c r="I340" s="135">
        <f>IFERROR(IF($D340="","",VLOOKUP($D340,Cadastro!$C$4:$G$7,5,FALSE)),"")</f>
        <v>0.6</v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6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25.200000000000003</v>
      </c>
      <c r="L351" s="37"/>
      <c r="M351" s="37"/>
      <c r="N351" s="37"/>
      <c r="O351" s="37"/>
      <c r="P351" s="37"/>
      <c r="Q351" s="38">
        <f ca="1">IFERROR(SUM(Q339:Q350),"")</f>
        <v>2.4531712959287688E-2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43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198.2</v>
      </c>
      <c r="L352" s="41"/>
      <c r="M352" s="41"/>
      <c r="N352" s="41"/>
      <c r="O352" s="41"/>
      <c r="P352" s="41"/>
      <c r="Q352" s="42">
        <f ca="1">IFERROR(Q338+Q351,"")</f>
        <v>0.36689282407039869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40" sqref="G34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/>
      <c r="H340" s="134" t="str">
        <f>IFERROR(IF($G340="","",$G340*$S$351/$G$351/Cadastro!$E$33),"")</f>
        <v/>
      </c>
      <c r="I340" s="135">
        <f>IFERROR(IF($D340="","",VLOOKUP($D340,Cadastro!$C$4:$G$7,5,FALSE)),"")</f>
        <v>0.6</v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8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33.6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69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330.6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22" activePane="bottomLeft" state="frozen"/>
      <selection pane="bottomLeft" activeCell="G340" sqref="G34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/>
      <c r="H340" s="134" t="str">
        <f>IFERROR(IF($G340="","",$G340*$S$351/$G$351/Cadastro!$E$33),"")</f>
        <v/>
      </c>
      <c r="I340" s="135">
        <f>IFERROR(IF($D340="","",VLOOKUP($D340,Cadastro!$C$4:$G$7,5,FALSE)),"")</f>
        <v>0.6</v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30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126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247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1094.2</v>
      </c>
      <c r="L352" s="41"/>
      <c r="M352" s="41"/>
      <c r="N352" s="41"/>
      <c r="O352" s="63"/>
      <c r="P352" s="63"/>
      <c r="Q352" s="42">
        <f ca="1">IFERROR(Q338+Q351,"")</f>
        <v>4.0972222222222132E-2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2026-08-14T00:12:34Z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