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-my.sharepoint.com/personal/dsf_cco01_harpiagold_com_br/Documents/Documentos/"/>
    </mc:Choice>
  </mc:AlternateContent>
  <xr:revisionPtr revIDLastSave="1379" documentId="13_ncr:1_{0A10D8D4-8450-4366-8075-B53B08E6B7EA}" xr6:coauthVersionLast="47" xr6:coauthVersionMax="47" xr10:uidLastSave="{3E060D07-AC9F-45C5-9E9B-AF06B0062BD6}"/>
  <bookViews>
    <workbookView xWindow="-28920" yWindow="-60" windowWidth="29040" windowHeight="1572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35" i="1" l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B308" i="3"/>
  <c r="B309" i="3" s="1"/>
  <c r="B310" i="3" s="1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393" i="6"/>
  <c r="J394" i="6"/>
  <c r="J395" i="6"/>
  <c r="J396" i="6"/>
  <c r="J397" i="6"/>
  <c r="J398" i="6"/>
  <c r="J399" i="6"/>
  <c r="J400" i="6"/>
  <c r="J401" i="6"/>
  <c r="J402" i="6"/>
  <c r="J403" i="6"/>
  <c r="J390" i="6"/>
  <c r="J39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407" i="5"/>
  <c r="J408" i="5"/>
  <c r="J409" i="5"/>
  <c r="J410" i="5"/>
  <c r="J411" i="5"/>
  <c r="J412" i="5"/>
  <c r="J413" i="5"/>
  <c r="J414" i="5"/>
  <c r="J415" i="5"/>
  <c r="J416" i="5"/>
  <c r="J417" i="5"/>
  <c r="J418" i="5"/>
  <c r="J393" i="5"/>
  <c r="J394" i="5"/>
  <c r="J395" i="5"/>
  <c r="J396" i="5"/>
  <c r="J397" i="5"/>
  <c r="J398" i="5"/>
  <c r="J399" i="5"/>
  <c r="J400" i="5"/>
  <c r="J401" i="5"/>
  <c r="J402" i="5"/>
  <c r="J403" i="5"/>
  <c r="J404" i="5"/>
  <c r="J380" i="5"/>
  <c r="J381" i="5"/>
  <c r="J382" i="5"/>
  <c r="J383" i="5"/>
  <c r="J384" i="5"/>
  <c r="J385" i="5"/>
  <c r="J386" i="5"/>
  <c r="J387" i="5"/>
  <c r="J388" i="5"/>
  <c r="J389" i="5"/>
  <c r="J390" i="5"/>
  <c r="J39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J407" i="4"/>
  <c r="J408" i="4"/>
  <c r="J409" i="4"/>
  <c r="J410" i="4"/>
  <c r="J411" i="4"/>
  <c r="J412" i="4"/>
  <c r="J413" i="4"/>
  <c r="J414" i="4"/>
  <c r="J415" i="4"/>
  <c r="J416" i="4"/>
  <c r="J417" i="4"/>
  <c r="J418" i="4"/>
  <c r="J393" i="4"/>
  <c r="J394" i="4"/>
  <c r="J395" i="4"/>
  <c r="J396" i="4"/>
  <c r="J397" i="4"/>
  <c r="J398" i="4"/>
  <c r="J399" i="4"/>
  <c r="J400" i="4"/>
  <c r="J401" i="4"/>
  <c r="J402" i="4"/>
  <c r="J403" i="4"/>
  <c r="J404" i="4"/>
  <c r="J380" i="4"/>
  <c r="J381" i="4"/>
  <c r="J382" i="4"/>
  <c r="J383" i="4"/>
  <c r="J384" i="4"/>
  <c r="J385" i="4"/>
  <c r="J386" i="4"/>
  <c r="J387" i="4"/>
  <c r="J388" i="4"/>
  <c r="J389" i="4"/>
  <c r="J390" i="4"/>
  <c r="J39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407" i="6"/>
  <c r="J407" i="6" s="1"/>
  <c r="H408" i="6"/>
  <c r="J408" i="6" s="1"/>
  <c r="H409" i="6"/>
  <c r="J409" i="6" s="1"/>
  <c r="H410" i="6"/>
  <c r="J410" i="6" s="1"/>
  <c r="H411" i="6"/>
  <c r="J411" i="6" s="1"/>
  <c r="H412" i="6"/>
  <c r="J412" i="6" s="1"/>
  <c r="H413" i="6"/>
  <c r="J413" i="6" s="1"/>
  <c r="H414" i="6"/>
  <c r="J414" i="6" s="1"/>
  <c r="H415" i="6"/>
  <c r="J415" i="6" s="1"/>
  <c r="H416" i="6"/>
  <c r="J416" i="6" s="1"/>
  <c r="H417" i="6"/>
  <c r="J417" i="6" s="1"/>
  <c r="H418" i="6"/>
  <c r="J418" i="6" s="1"/>
  <c r="H393" i="6"/>
  <c r="H394" i="6"/>
  <c r="H395" i="6"/>
  <c r="H396" i="6"/>
  <c r="H397" i="6"/>
  <c r="H398" i="6"/>
  <c r="H399" i="6"/>
  <c r="H400" i="6"/>
  <c r="H401" i="6"/>
  <c r="H402" i="6"/>
  <c r="H403" i="6"/>
  <c r="H404" i="6"/>
  <c r="J404" i="6" s="1"/>
  <c r="H380" i="6"/>
  <c r="J380" i="6" s="1"/>
  <c r="H381" i="6"/>
  <c r="J381" i="6" s="1"/>
  <c r="H382" i="6"/>
  <c r="J382" i="6" s="1"/>
  <c r="H383" i="6"/>
  <c r="J383" i="6" s="1"/>
  <c r="H384" i="6"/>
  <c r="J384" i="6" s="1"/>
  <c r="H385" i="6"/>
  <c r="J385" i="6" s="1"/>
  <c r="H386" i="6"/>
  <c r="J386" i="6" s="1"/>
  <c r="H387" i="6"/>
  <c r="J387" i="6" s="1"/>
  <c r="H388" i="6"/>
  <c r="J388" i="6" s="1"/>
  <c r="H389" i="6"/>
  <c r="J389" i="6" s="1"/>
  <c r="H390" i="6"/>
  <c r="H39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H407" i="4"/>
  <c r="H408" i="4"/>
  <c r="H409" i="4"/>
  <c r="H410" i="4"/>
  <c r="H411" i="4"/>
  <c r="H412" i="4"/>
  <c r="H413" i="4"/>
  <c r="H414" i="4"/>
  <c r="H415" i="4"/>
  <c r="H416" i="4"/>
  <c r="H417" i="4"/>
  <c r="H418" i="4"/>
  <c r="H393" i="4"/>
  <c r="H394" i="4"/>
  <c r="H395" i="4"/>
  <c r="H396" i="4"/>
  <c r="H397" i="4"/>
  <c r="H398" i="4"/>
  <c r="H399" i="4"/>
  <c r="H400" i="4"/>
  <c r="H401" i="4"/>
  <c r="H402" i="4"/>
  <c r="H403" i="4"/>
  <c r="H404" i="4"/>
  <c r="H380" i="4"/>
  <c r="H381" i="4"/>
  <c r="H382" i="4"/>
  <c r="H383" i="4"/>
  <c r="H384" i="4"/>
  <c r="H385" i="4"/>
  <c r="H386" i="4"/>
  <c r="H387" i="4"/>
  <c r="H388" i="4"/>
  <c r="H389" i="4"/>
  <c r="H390" i="4"/>
  <c r="H39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405" i="5"/>
  <c r="T405" i="5" s="1"/>
  <c r="J756" i="5"/>
  <c r="T756" i="5" s="1"/>
  <c r="J405" i="4"/>
  <c r="T405" i="4" s="1"/>
  <c r="J729" i="6"/>
  <c r="T729" i="6" s="1"/>
  <c r="J405" i="6"/>
  <c r="J648" i="5"/>
  <c r="T648" i="5" s="1"/>
  <c r="J554" i="5"/>
  <c r="T554" i="5" s="1"/>
  <c r="J635" i="5"/>
  <c r="T635" i="5" s="1"/>
  <c r="J797" i="5"/>
  <c r="T797" i="5" s="1"/>
  <c r="J419" i="4"/>
  <c r="T419" i="4" s="1"/>
  <c r="J729" i="4"/>
  <c r="T729" i="4" s="1"/>
  <c r="J621" i="6"/>
  <c r="T621" i="6" s="1"/>
  <c r="J743" i="4"/>
  <c r="T743" i="4" s="1"/>
  <c r="J756" i="4"/>
  <c r="T756" i="4" s="1"/>
  <c r="J392" i="4"/>
  <c r="J581" i="4"/>
  <c r="T581" i="4" s="1"/>
  <c r="J392" i="5"/>
  <c r="T392" i="5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392" i="6"/>
  <c r="T392" i="6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19" i="5"/>
  <c r="T419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19" i="6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419" i="4"/>
  <c r="H621" i="4"/>
  <c r="H405" i="6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392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392" i="5"/>
  <c r="H473" i="5"/>
  <c r="H581" i="5"/>
  <c r="H621" i="5"/>
  <c r="H648" i="5"/>
  <c r="H459" i="5"/>
  <c r="H635" i="5"/>
  <c r="H689" i="5"/>
  <c r="H608" i="5"/>
  <c r="H405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405" i="4"/>
  <c r="H392" i="4"/>
  <c r="H406" i="4" s="1"/>
  <c r="H729" i="4"/>
  <c r="H473" i="4"/>
  <c r="H487" i="4" s="1"/>
  <c r="H594" i="4"/>
  <c r="H500" i="4"/>
  <c r="H513" i="4"/>
  <c r="H540" i="4"/>
  <c r="H541" i="4" s="1"/>
  <c r="H406" i="5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419" i="6"/>
  <c r="H567" i="4"/>
  <c r="H432" i="4"/>
  <c r="H433" i="4" s="1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419" i="5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406" i="6"/>
  <c r="T406" i="6" s="1"/>
  <c r="T405" i="6"/>
  <c r="J622" i="4"/>
  <c r="T622" i="4" s="1"/>
  <c r="T608" i="4"/>
  <c r="J406" i="4"/>
  <c r="T406" i="4" s="1"/>
  <c r="T392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433" i="6"/>
  <c r="T433" i="6" s="1"/>
  <c r="T419" i="6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406" i="5"/>
  <c r="T406" i="5" s="1"/>
  <c r="J433" i="4"/>
  <c r="T433" i="4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433" i="5"/>
  <c r="T433" i="5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406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33" i="5"/>
  <c r="H487" i="5"/>
  <c r="H676" i="5"/>
  <c r="H460" i="5"/>
  <c r="H649" i="4"/>
  <c r="H730" i="4"/>
  <c r="H514" i="4"/>
  <c r="H811" i="5"/>
  <c r="H568" i="5"/>
  <c r="H676" i="4"/>
  <c r="H433" i="6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18" i="1"/>
  <c r="J18" i="1" s="1"/>
  <c r="H22" i="1"/>
  <c r="J22" i="1" s="1"/>
  <c r="H23" i="1"/>
  <c r="J23" i="1" s="1"/>
  <c r="H24" i="1"/>
  <c r="J24" i="1" s="1"/>
  <c r="H25" i="1"/>
  <c r="J25" i="1" s="1"/>
  <c r="H27" i="1"/>
  <c r="J27" i="1" s="1"/>
  <c r="H19" i="1"/>
  <c r="J19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G406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376" i="6" l="1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06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G406" i="4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F406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365" i="5" l="1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406" i="4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40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406" i="6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T365" i="6" l="1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15" i="1" l="1"/>
  <c r="J35" i="1" s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<sst xmlns="http://schemas.openxmlformats.org/spreadsheetml/2006/main" count="6562" uniqueCount="349">
  <si>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</si>
  <si>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</si>
  <si>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</si>
  <si>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</si>
  <si>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</si>
  <si>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</si>
  <si>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</si>
  <si>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</si>
  <si>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</si>
  <si>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</si>
  <si>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</si>
  <si>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</si>
  <si>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</si>
  <si>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</si>
  <si>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</si>
  <si>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</si>
  <si>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</si>
  <si>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</si>
  <si>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</si>
  <si>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</si>
  <si>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</si>
  <si>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</si>
  <si>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</si>
  <si>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</si>
  <si>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</si>
  <si>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</si>
  <si>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</si>
  <si>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</si>
  <si>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</si>
  <si>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</si>
  <si>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</si>
  <si>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</si>
  <si>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</si>
  <si>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</si>
  <si>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</si>
  <si>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</si>
  <si>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</si>
  <si>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</si>
  <si>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b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</si>
  <si>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</si>
  <si>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</si>
  <si>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</si>
  <si>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</si>
  <si>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</si>
  <si>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</si>
  <si>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</si>
  <si>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</si>
  <si>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</si>
  <si>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</si>
  <si>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</si>
  <si>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</si>
  <si>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</si>
  <si>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</si>
  <si>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</si>
  <si>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</si>
  <si>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</si>
  <si>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</si>
  <si>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</si>
  <si>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</si>
  <si>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</si>
  <si>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</si>
  <si>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</si>
  <si>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</si>
  <si>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</si>
  <si>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</si>
  <si>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</si>
  <si>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</si>
  <si>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</si>
  <si>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</si>
  <si>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</si>
  <si>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</si>
  <si>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</si>
  <si>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</si>
  <si>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</si>
  <si>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</si>
  <si>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</si>
  <si>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</si>
  <si>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</si>
  <si>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</si>
  <si>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</si>
  <si>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</si>
  <si>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</si>
  <si>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</si>
  <si>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</si>
  <si>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</si>
  <si>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</si>
  <si>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</si>
  <si>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</si>
  <si>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</si>
  <si>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</si>
  <si>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</si>
  <si>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</si>
  <si>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</si>
  <si>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</si>
  <si>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</si>
  <si>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</si>
  <si>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</si>
  <si>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</si>
  <si>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</si>
  <si>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</si>
  <si>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</si>
  <si>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</si>
  <si>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</si>
  <si>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</si>
  <si>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</si>
  <si>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</si>
  <si>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</si>
  <si>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</si>
  <si>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</si>
  <si>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</si>
  <si>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</si>
  <si>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</si>
  <si>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</si>
  <si>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</si>
  <si>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</si>
  <si>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</si>
  <si>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</si>
  <si>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</si>
  <si>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</si>
  <si>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</si>
  <si>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</si>
  <si>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</si>
  <si>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</si>
  <si>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</si>
  <si>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</si>
  <si>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</si>
  <si>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</si>
  <si>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</si>
  <si>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</si>
  <si>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</si>
  <si>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</si>
  <si>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</si>
  <si>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</si>
  <si>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</si>
  <si>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</si>
  <si>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</si>
  <si>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</si>
  <si>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</si>
  <si>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</si>
  <si>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</si>
  <si>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</si>
  <si>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</si>
  <si>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</si>
  <si>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</si>
  <si>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</si>
  <si>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</si>
  <si>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</si>
  <si>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</si>
  <si>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</si>
  <si>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</si>
  <si>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</si>
  <si>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</si>
  <si>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</si>
  <si>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</si>
  <si>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</si>
  <si>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</si>
  <si>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</si>
  <si>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</si>
  <si>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</si>
  <si>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</si>
  <si>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</si>
  <si>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</si>
  <si>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</si>
  <si>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</si>
  <si>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</si>
  <si>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</si>
  <si>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</si>
  <si>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</si>
  <si>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</si>
  <si>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</si>
  <si>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</si>
  <si>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</si>
  <si>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</si>
  <si>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</si>
  <si>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</si>
  <si>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</si>
  <si>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</si>
  <si>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</si>
  <si>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</si>
  <si>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</si>
  <si>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</si>
  <si>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</si>
  <si>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</si>
  <si>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</si>
  <si>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</si>
  <si>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</si>
  <si>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</si>
  <si>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</si>
  <si>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</si>
  <si>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</si>
  <si>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</si>
  <si>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</si>
  <si>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</si>
  <si>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</si>
  <si>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</si>
  <si>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</si>
  <si>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</si>
  <si>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</si>
  <si>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</si>
  <si>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</si>
  <si>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</si>
  <si>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</si>
  <si>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</si>
  <si>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</si>
  <si>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</si>
  <si>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</si>
  <si>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</si>
  <si>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</si>
  <si>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</si>
  <si>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</si>
  <si>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</si>
  <si>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</si>
  <si>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</si>
  <si>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</si>
  <si>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</si>
  <si>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</si>
  <si>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</si>
  <si>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</si>
  <si>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</si>
  <si>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</si>
  <si>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</si>
  <si>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</si>
  <si>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</si>
  <si>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</si>
  <si>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</si>
  <si>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</si>
  <si>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</si>
  <si>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</si>
  <si>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</si>
  <si>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</si>
  <si>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</si>
  <si>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</si>
  <si>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</si>
  <si>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</si>
  <si>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</si>
  <si>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</si>
  <si>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</si>
  <si>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</si>
  <si>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</si>
  <si>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</si>
  <si>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</si>
  <si>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</si>
  <si>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</si>
  <si>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</si>
  <si>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</si>
  <si>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</si>
  <si>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</si>
  <si>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</si>
  <si>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</si>
  <si>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</si>
  <si>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</si>
  <si>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</si>
  <si>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</si>
  <si>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</si>
  <si>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</si>
  <si>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</si>
  <si>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</si>
  <si>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</si>
  <si>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</si>
  <si>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</si>
  <si>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</si>
  <si>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</si>
  <si>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</si>
  <si>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</si>
  <si>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</si>
  <si>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</si>
  <si>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</si>
  <si>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</si>
  <si>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</si>
  <si>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</si>
  <si>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</si>
  <si>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</si>
  <si>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</si>
  <si>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</si>
  <si>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</si>
  <si>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</si>
  <si>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</si>
  <si>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</si>
  <si>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</si>
  <si>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</si>
  <si>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</si>
  <si>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</si>
  <si>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</si>
  <si>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</si>
  <si>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</si>
  <si>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</si>
  <si>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</si>
  <si>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</si>
  <si>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</si>
  <si>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</si>
  <si>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</si>
  <si>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</si>
  <si>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</si>
  <si>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</si>
  <si>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</si>
  <si>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</si>
  <si>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</si>
  <si>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</si>
  <si>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</si>
  <si>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</si>
  <si>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</si>
  <si>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</si>
  <si>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</si>
  <si>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</si>
  <si>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</si>
  <si>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</si>
  <si>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</si>
  <si>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</si>
  <si>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</si>
  <si>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</si>
  <si>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</si>
  <si>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</si>
  <si>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</si>
  <si>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</si>
  <si>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</si>
  <si>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</si>
  <si>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</si>
  <si>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</si>
  <si>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</si>
  <si>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</si>
  <si>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</si>
  <si>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</si>
  <si>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</si>
  <si>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</si>
  <si>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</si>
  <si>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</si>
  <si>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</si>
  <si>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</si>
  <si>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</si>
  <si>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</si>
  <si>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</si>
  <si>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</si>
  <si>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</si>
  <si>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</si>
  <si>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</si>
  <si>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</si>
  <si>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</si>
  <si>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</si>
  <si>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</si>
  <si>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</si>
  <si>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</si>
  <si>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</si>
  <si>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 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</si>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</sst>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C18" sqref="C18"/>
    </sheetView>
  </sheetViews>
  <sheetFormatPr defaultColWidth="8.5703125" defaultRowHeight="1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28515625" hidden="1" customWidth="1"/>
    <col min="11" max="11" width="22.140625" hidden="1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186.62356853735207</v>
      </c>
      <c r="I15" s="96">
        <v>702</v>
      </c>
      <c r="J15" s="129">
        <f t="shared" si="1"/>
        <v>-1.7615827706107607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/>
      <c r="J16" s="129">
        <f t="shared" si="1"/>
        <v>0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2315280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/>
      <c r="J17" s="129">
        <f t="shared" si="1"/>
        <v>0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0</v>
      </c>
      <c r="D18" s="8">
        <f>IFERROR('Linha 1'!S406,"")</f>
        <v>0</v>
      </c>
      <c r="E18" s="8">
        <f>IFERROR('Linha 2'!S406,"")</f>
        <v>0</v>
      </c>
      <c r="F18" s="8">
        <f>IFERROR('Linha 3'!S406,"")</f>
        <v>0</v>
      </c>
      <c r="G18" s="9">
        <f>IFERROR(D18+E18+F18,"")</f>
        <v>0</v>
      </c>
      <c r="H18" s="96">
        <f>IFERROR('Linha 1'!T406+'Linha 2'!T406+'Linha 3'!T406,0)</f>
        <v>0</v>
      </c>
      <c r="I18" s="96"/>
      <c r="J18" s="129" t="str">
        <f t="shared" si="1"/>
        <v>-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0</v>
      </c>
      <c r="D19" s="11">
        <f>IFERROR('Linha 1'!S433,"")</f>
        <v>0</v>
      </c>
      <c r="E19" s="11">
        <f>IFERROR('Linha 2'!S433,"")</f>
        <v>0</v>
      </c>
      <c r="F19" s="11">
        <f>IFERROR('Linha 3'!S433,"")</f>
        <v>0</v>
      </c>
      <c r="G19" s="12">
        <f t="shared" si="0"/>
        <v>0</v>
      </c>
      <c r="H19" s="96">
        <f>IFERROR('Linha 1'!T433+'Linha 2'!T433+'Linha 3'!T433,0)</f>
        <v>0</v>
      </c>
      <c r="I19" s="96"/>
      <c r="J19" s="129" t="str">
        <f t="shared" si="1"/>
        <v>-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48674070</v>
      </c>
      <c r="D35" s="13">
        <f t="shared" si="2"/>
        <v>16653160</v>
      </c>
      <c r="E35" s="13">
        <f t="shared" si="2"/>
        <v>8465690</v>
      </c>
      <c r="F35" s="13">
        <f t="shared" si="2"/>
        <v>21843810</v>
      </c>
      <c r="G35" s="13">
        <f t="shared" si="2"/>
        <v>46962660</v>
      </c>
      <c r="H35" s="97">
        <f t="shared" si="2"/>
        <v>1857.2764685373518</v>
      </c>
      <c r="I35" s="97">
        <f>IFERROR(SUM(I4:I34),"")</f>
        <v>702</v>
      </c>
      <c r="J35" s="130">
        <f>IFERROR(AVERAGE(J4:J34),"-")</f>
        <v>-0.58719425687025362</v>
      </c>
      <c r="K35" s="157">
        <f>SUM(K4:K34)</f>
        <v>450.78</v>
      </c>
    </row>
  </sheetData>
  <sheetProtection algorithmName="SHA-512" hashValue="7obxAnaFdHJXioolh8enNMKgm4QhJYvPk9q7BL4oK9vRSFbb62YkareQo4n0C0uR+wLVQnClmaVai3YrskQD2w==" saltValue="bi2PXZhDAa702WTyN6LfGw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2" zoomScale="85" zoomScaleNormal="85" workbookViewId="0">
      <selection activeCell="G6" sqref="G6"/>
    </sheetView>
  </sheetViews>
  <sheetFormatPr defaultColWidth="8.5703125" defaultRowHeight="15"/>
  <cols>
    <col min="1" max="1" width="14" customWidth="1"/>
    <col min="2" max="2" width="2" customWidth="1"/>
    <col min="3" max="3" width="17.5703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5.9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 t="s">
        <v>38</v>
      </c>
      <c r="G5" s="95">
        <v>0.6</v>
      </c>
      <c r="J5" s="17" t="s">
        <v>24</v>
      </c>
      <c r="L5" s="17" t="s">
        <v>39</v>
      </c>
      <c r="M5" s="167"/>
      <c r="N5" s="17" t="s">
        <v>40</v>
      </c>
      <c r="O5" s="17" t="s">
        <v>41</v>
      </c>
      <c r="P5" s="17" t="s">
        <v>42</v>
      </c>
      <c r="Q5" s="17" t="s">
        <v>43</v>
      </c>
      <c r="R5" s="17" t="s">
        <v>44</v>
      </c>
    </row>
    <row r="6" spans="1:18" ht="15.75" customHeight="1">
      <c r="A6" s="16" t="s">
        <v>45</v>
      </c>
      <c r="C6" s="16" t="s">
        <v>46</v>
      </c>
      <c r="E6" s="92">
        <v>0.21</v>
      </c>
      <c r="G6" s="94">
        <v>0.55000000000000004</v>
      </c>
      <c r="J6" s="16" t="s">
        <v>25</v>
      </c>
      <c r="L6" s="16" t="s">
        <v>47</v>
      </c>
      <c r="M6" s="167"/>
      <c r="N6" s="16" t="s">
        <v>48</v>
      </c>
      <c r="O6" s="16" t="s">
        <v>49</v>
      </c>
      <c r="P6" s="16" t="s">
        <v>50</v>
      </c>
      <c r="Q6" s="16" t="s">
        <v>51</v>
      </c>
      <c r="R6" s="16" t="s">
        <v>52</v>
      </c>
    </row>
    <row r="7" spans="1:18" ht="15.75" customHeight="1">
      <c r="A7" s="17" t="s">
        <v>53</v>
      </c>
      <c r="C7" s="17" t="s">
        <v>54</v>
      </c>
      <c r="E7" s="93">
        <v>0.13</v>
      </c>
      <c r="G7" s="95">
        <v>0.55000000000000004</v>
      </c>
      <c r="J7" s="16" t="s">
        <v>26</v>
      </c>
      <c r="L7" s="17" t="s">
        <v>55</v>
      </c>
      <c r="M7" s="167"/>
      <c r="N7" s="17" t="s">
        <v>56</v>
      </c>
      <c r="O7" s="17" t="s">
        <v>57</v>
      </c>
      <c r="P7" s="17" t="s">
        <v>42</v>
      </c>
      <c r="Q7" s="17" t="s">
        <v>58</v>
      </c>
      <c r="R7" s="17" t="s">
        <v>59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60</v>
      </c>
      <c r="M8" s="167"/>
      <c r="N8" s="16" t="s">
        <v>61</v>
      </c>
      <c r="O8" s="16" t="s">
        <v>62</v>
      </c>
      <c r="P8" s="16" t="s">
        <v>50</v>
      </c>
      <c r="Q8" s="16" t="s">
        <v>63</v>
      </c>
      <c r="R8" s="16" t="s">
        <v>64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65</v>
      </c>
      <c r="M9" s="167"/>
      <c r="N9" s="17" t="s">
        <v>66</v>
      </c>
      <c r="O9" s="17" t="s">
        <v>67</v>
      </c>
      <c r="P9" s="17" t="s">
        <v>68</v>
      </c>
      <c r="Q9" s="17" t="s">
        <v>69</v>
      </c>
      <c r="R9" s="17" t="s">
        <v>70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71</v>
      </c>
      <c r="M10" s="167"/>
      <c r="N10" s="16" t="s">
        <v>72</v>
      </c>
      <c r="O10" s="16" t="s">
        <v>73</v>
      </c>
      <c r="P10" s="16" t="s">
        <v>74</v>
      </c>
      <c r="Q10" s="16" t="s">
        <v>75</v>
      </c>
      <c r="R10" s="16" t="s">
        <v>76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77</v>
      </c>
      <c r="M11" s="167"/>
      <c r="N11" s="17" t="s">
        <v>78</v>
      </c>
      <c r="O11" s="17" t="s">
        <v>79</v>
      </c>
      <c r="P11" s="17" t="s">
        <v>80</v>
      </c>
      <c r="Q11" s="17" t="s">
        <v>81</v>
      </c>
      <c r="R11" s="17" t="s">
        <v>82</v>
      </c>
    </row>
    <row r="12" spans="1:18" ht="15.75" customHeight="1">
      <c r="A12" s="16"/>
      <c r="C12" s="16"/>
      <c r="J12" s="16"/>
      <c r="L12" s="16" t="s">
        <v>83</v>
      </c>
      <c r="M12" s="167"/>
      <c r="N12" s="16" t="s">
        <v>84</v>
      </c>
      <c r="O12" s="16" t="s">
        <v>85</v>
      </c>
      <c r="P12" s="16" t="s">
        <v>69</v>
      </c>
      <c r="Q12" s="16" t="s">
        <v>86</v>
      </c>
      <c r="R12" s="16" t="s">
        <v>87</v>
      </c>
    </row>
    <row r="13" spans="1:18" ht="15.75" customHeight="1">
      <c r="A13" s="17"/>
      <c r="C13" s="17"/>
      <c r="J13" s="17"/>
      <c r="L13" s="17" t="s">
        <v>88</v>
      </c>
      <c r="M13" s="167"/>
      <c r="N13" s="17"/>
      <c r="O13" s="17" t="s">
        <v>89</v>
      </c>
      <c r="P13" s="17" t="s">
        <v>90</v>
      </c>
      <c r="Q13" s="17" t="s">
        <v>91</v>
      </c>
      <c r="R13" s="17" t="s">
        <v>92</v>
      </c>
    </row>
    <row r="14" spans="1:18" ht="15.75" customHeight="1">
      <c r="A14" s="16"/>
      <c r="C14" s="16"/>
      <c r="J14" s="16"/>
      <c r="L14" s="16" t="s">
        <v>93</v>
      </c>
      <c r="M14" s="167"/>
      <c r="N14" s="16" t="s">
        <v>94</v>
      </c>
      <c r="O14" s="16" t="s">
        <v>95</v>
      </c>
      <c r="P14" s="16" t="s">
        <v>96</v>
      </c>
      <c r="Q14" s="16" t="s">
        <v>97</v>
      </c>
      <c r="R14" s="16" t="s">
        <v>98</v>
      </c>
    </row>
    <row r="15" spans="1:18" ht="15.75" customHeight="1">
      <c r="A15" s="17"/>
      <c r="C15" s="17"/>
      <c r="J15" s="17"/>
      <c r="L15" s="17" t="s">
        <v>99</v>
      </c>
      <c r="M15" s="167"/>
      <c r="N15" s="17" t="s">
        <v>100</v>
      </c>
      <c r="O15" s="17" t="s">
        <v>101</v>
      </c>
      <c r="P15" s="17" t="s">
        <v>102</v>
      </c>
      <c r="Q15" s="17" t="s">
        <v>103</v>
      </c>
      <c r="R15" s="17" t="s">
        <v>104</v>
      </c>
    </row>
    <row r="16" spans="1:18" ht="15.75" customHeight="1">
      <c r="A16" s="16"/>
      <c r="C16" s="16"/>
      <c r="J16" s="16"/>
      <c r="L16" s="16" t="s">
        <v>105</v>
      </c>
      <c r="M16" s="167"/>
      <c r="N16" s="16" t="s">
        <v>106</v>
      </c>
      <c r="O16" s="16" t="s">
        <v>107</v>
      </c>
      <c r="P16" s="16" t="s">
        <v>108</v>
      </c>
      <c r="Q16" s="16" t="s">
        <v>109</v>
      </c>
      <c r="R16" s="16" t="s">
        <v>110</v>
      </c>
    </row>
    <row r="17" spans="1:18" ht="15.75" customHeight="1">
      <c r="A17" s="17"/>
      <c r="C17" s="17"/>
      <c r="J17" s="17"/>
      <c r="L17" s="17" t="s">
        <v>111</v>
      </c>
      <c r="M17" s="167"/>
      <c r="N17" s="17" t="s">
        <v>112</v>
      </c>
      <c r="O17" s="17" t="s">
        <v>113</v>
      </c>
      <c r="P17" s="17" t="s">
        <v>114</v>
      </c>
      <c r="Q17" s="17" t="s">
        <v>115</v>
      </c>
      <c r="R17" s="17" t="s">
        <v>116</v>
      </c>
    </row>
    <row r="18" spans="1:18" ht="15.75" customHeight="1">
      <c r="A18" s="16"/>
      <c r="C18" s="16"/>
      <c r="J18" s="16"/>
      <c r="L18" s="16" t="s">
        <v>117</v>
      </c>
      <c r="M18" s="167"/>
      <c r="N18" s="16" t="s">
        <v>118</v>
      </c>
      <c r="O18" s="16" t="s">
        <v>119</v>
      </c>
      <c r="P18" s="16" t="s">
        <v>120</v>
      </c>
      <c r="Q18" s="16" t="s">
        <v>121</v>
      </c>
      <c r="R18" s="16" t="s">
        <v>122</v>
      </c>
    </row>
    <row r="19" spans="1:18" ht="15.75" customHeight="1">
      <c r="A19" s="17"/>
      <c r="C19" s="17"/>
      <c r="J19" s="17"/>
      <c r="L19" s="17" t="s">
        <v>123</v>
      </c>
      <c r="M19" s="167"/>
      <c r="N19" s="17" t="s">
        <v>124</v>
      </c>
      <c r="O19" s="17" t="s">
        <v>125</v>
      </c>
      <c r="P19" s="17" t="s">
        <v>126</v>
      </c>
      <c r="Q19" s="17"/>
      <c r="R19" s="17" t="s">
        <v>127</v>
      </c>
    </row>
    <row r="20" spans="1:18" ht="15.75" customHeight="1">
      <c r="A20" s="16"/>
      <c r="C20" s="16"/>
      <c r="J20" s="16"/>
      <c r="L20" s="16" t="s">
        <v>128</v>
      </c>
      <c r="M20" s="167"/>
      <c r="N20" s="16"/>
      <c r="O20" s="16"/>
      <c r="P20" s="16" t="s">
        <v>129</v>
      </c>
      <c r="Q20" s="16"/>
      <c r="R20" s="16" t="s">
        <v>130</v>
      </c>
    </row>
    <row r="21" spans="1:18" ht="15.75" customHeight="1">
      <c r="A21" s="17"/>
      <c r="C21" s="17"/>
      <c r="J21" s="17"/>
      <c r="L21" s="17" t="s">
        <v>131</v>
      </c>
      <c r="M21" s="167"/>
      <c r="N21" s="17"/>
      <c r="O21" s="17"/>
      <c r="P21" s="17" t="s">
        <v>132</v>
      </c>
      <c r="Q21" s="17"/>
      <c r="R21" s="17" t="s">
        <v>133</v>
      </c>
    </row>
    <row r="22" spans="1:18" ht="15.75" customHeight="1">
      <c r="A22" s="16"/>
      <c r="C22" s="16"/>
      <c r="J22" s="16"/>
      <c r="L22" s="16" t="s">
        <v>134</v>
      </c>
      <c r="M22" s="167"/>
      <c r="N22" s="16"/>
      <c r="O22" s="16"/>
      <c r="P22" s="16" t="s">
        <v>135</v>
      </c>
      <c r="Q22" s="16"/>
      <c r="R22" s="16" t="s">
        <v>136</v>
      </c>
    </row>
    <row r="23" spans="1:18" ht="15.75" customHeight="1">
      <c r="A23" s="17"/>
      <c r="C23" s="17"/>
      <c r="J23" s="17"/>
      <c r="L23" s="17" t="s">
        <v>137</v>
      </c>
      <c r="M23" s="167"/>
      <c r="N23" s="17"/>
      <c r="O23" s="17"/>
      <c r="P23" s="17" t="s">
        <v>138</v>
      </c>
      <c r="Q23" s="17"/>
      <c r="R23" s="17" t="s">
        <v>139</v>
      </c>
    </row>
    <row r="24" spans="1:18" ht="15.75" customHeight="1">
      <c r="A24" s="16"/>
      <c r="C24" s="16"/>
      <c r="J24" s="16"/>
      <c r="L24" s="16" t="s">
        <v>140</v>
      </c>
      <c r="M24" s="167"/>
      <c r="N24" s="16"/>
      <c r="O24" s="16"/>
      <c r="P24" s="16" t="s">
        <v>141</v>
      </c>
      <c r="Q24" s="16"/>
      <c r="R24" s="16" t="s">
        <v>142</v>
      </c>
    </row>
    <row r="25" spans="1:18" ht="15.75" customHeight="1">
      <c r="A25" s="17"/>
      <c r="C25" s="17"/>
      <c r="J25" s="17"/>
      <c r="L25" s="17" t="s">
        <v>143</v>
      </c>
      <c r="M25" s="167"/>
      <c r="N25" s="17"/>
      <c r="O25" s="17"/>
      <c r="P25" s="17" t="s">
        <v>144</v>
      </c>
      <c r="Q25" s="17"/>
      <c r="R25" s="17" t="s">
        <v>145</v>
      </c>
    </row>
    <row r="26" spans="1:18" ht="15.75" customHeight="1">
      <c r="A26" s="16"/>
      <c r="C26" s="16"/>
      <c r="J26" s="16"/>
      <c r="L26" s="16" t="s">
        <v>146</v>
      </c>
      <c r="M26" s="167"/>
      <c r="N26" s="16"/>
      <c r="O26" s="16"/>
      <c r="P26" s="16" t="s">
        <v>147</v>
      </c>
      <c r="Q26" s="16"/>
      <c r="R26" s="16"/>
    </row>
    <row r="27" spans="1:18" ht="15.75" customHeight="1">
      <c r="A27" s="17"/>
      <c r="C27" s="17"/>
      <c r="J27" s="17"/>
      <c r="L27" s="17" t="s">
        <v>148</v>
      </c>
      <c r="M27" s="167"/>
      <c r="N27" s="17"/>
      <c r="O27" s="17"/>
      <c r="P27" s="17" t="s">
        <v>139</v>
      </c>
      <c r="Q27" s="17"/>
      <c r="R27" s="17" t="s">
        <v>70</v>
      </c>
    </row>
    <row r="28" spans="1:18" ht="15.75" customHeight="1">
      <c r="A28" s="16"/>
      <c r="C28" s="16"/>
      <c r="J28" s="16"/>
      <c r="L28" s="16" t="s">
        <v>149</v>
      </c>
      <c r="M28" s="167"/>
      <c r="N28" s="16"/>
      <c r="O28" s="16"/>
      <c r="P28" s="16" t="s">
        <v>142</v>
      </c>
      <c r="Q28" s="16"/>
      <c r="R28" s="16" t="s">
        <v>150</v>
      </c>
    </row>
    <row r="29" spans="1:18" ht="15.75" customHeight="1">
      <c r="A29" s="17"/>
      <c r="C29" s="17"/>
      <c r="J29" s="17"/>
      <c r="L29" s="17" t="s">
        <v>151</v>
      </c>
      <c r="M29" s="167"/>
      <c r="N29" s="17"/>
      <c r="O29" s="17"/>
      <c r="P29" s="17" t="s">
        <v>152</v>
      </c>
      <c r="Q29" s="17"/>
      <c r="R29" s="17" t="s">
        <v>153</v>
      </c>
    </row>
    <row r="30" spans="1:18" ht="15.75" customHeight="1">
      <c r="A30" s="16"/>
      <c r="C30" s="16"/>
      <c r="J30" s="16"/>
      <c r="L30" s="16" t="s">
        <v>154</v>
      </c>
      <c r="M30" s="167"/>
      <c r="N30" s="16"/>
      <c r="O30" s="16"/>
      <c r="P30" s="16" t="s">
        <v>155</v>
      </c>
      <c r="Q30" s="16"/>
      <c r="R30" s="16" t="s">
        <v>156</v>
      </c>
    </row>
    <row r="31" spans="1:18" ht="15.75" customHeight="1">
      <c r="A31" s="17"/>
      <c r="C31" s="17"/>
      <c r="J31" s="17"/>
      <c r="L31" s="17" t="s">
        <v>157</v>
      </c>
      <c r="M31" s="167"/>
      <c r="N31" s="17"/>
      <c r="O31" s="17"/>
      <c r="P31" s="18" t="s">
        <v>158</v>
      </c>
      <c r="Q31" s="17"/>
      <c r="R31" s="17" t="s">
        <v>159</v>
      </c>
    </row>
    <row r="32" spans="1:18" ht="15.75" customHeight="1">
      <c r="A32" s="16"/>
      <c r="C32" s="16"/>
      <c r="J32" s="16"/>
      <c r="L32" s="16" t="s">
        <v>160</v>
      </c>
      <c r="M32" s="167"/>
      <c r="N32" s="16"/>
      <c r="O32" s="16"/>
      <c r="P32" s="16" t="s">
        <v>161</v>
      </c>
      <c r="Q32" s="16"/>
      <c r="R32" t="s">
        <v>162</v>
      </c>
    </row>
    <row r="33" spans="1:18" ht="15.75" customHeight="1">
      <c r="A33" s="17"/>
      <c r="C33" s="131" t="s">
        <v>163</v>
      </c>
      <c r="E33" s="113">
        <v>1000</v>
      </c>
      <c r="J33" s="17"/>
      <c r="L33" s="17" t="s">
        <v>164</v>
      </c>
      <c r="M33" s="167"/>
      <c r="N33" s="17"/>
      <c r="O33" s="17"/>
      <c r="P33" s="18" t="s">
        <v>165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166</v>
      </c>
      <c r="M34" s="167"/>
      <c r="N34" s="16"/>
      <c r="O34" s="16"/>
      <c r="P34" s="16" t="s">
        <v>87</v>
      </c>
      <c r="Q34" s="16"/>
      <c r="R34" s="16" t="s">
        <v>167</v>
      </c>
    </row>
    <row r="35" spans="1:18" ht="15.75" customHeight="1">
      <c r="A35" s="17"/>
      <c r="C35" s="17"/>
      <c r="J35" s="17"/>
      <c r="L35" s="17" t="s">
        <v>168</v>
      </c>
      <c r="M35" s="167"/>
      <c r="N35" s="17"/>
      <c r="O35" s="17"/>
      <c r="P35" s="17" t="s">
        <v>169</v>
      </c>
      <c r="Q35" s="17"/>
      <c r="R35" s="17" t="s">
        <v>170</v>
      </c>
    </row>
    <row r="36" spans="1:18" ht="15.75" customHeight="1">
      <c r="A36" s="16"/>
      <c r="C36" s="16"/>
      <c r="J36" s="16"/>
      <c r="L36" s="16" t="s">
        <v>171</v>
      </c>
      <c r="M36" s="167"/>
      <c r="N36" s="16"/>
      <c r="O36" s="16"/>
      <c r="P36" s="16" t="s">
        <v>172</v>
      </c>
      <c r="Q36" s="16"/>
      <c r="R36" s="16" t="s">
        <v>173</v>
      </c>
    </row>
    <row r="37" spans="1:18" ht="15.75" customHeight="1">
      <c r="A37" s="17"/>
      <c r="C37" s="17"/>
      <c r="J37" s="17"/>
      <c r="L37" s="17" t="s">
        <v>174</v>
      </c>
      <c r="M37" s="167"/>
      <c r="N37" s="17"/>
      <c r="O37" s="17"/>
      <c r="P37" s="17" t="s">
        <v>175</v>
      </c>
      <c r="Q37" s="17"/>
      <c r="R37" s="17" t="s">
        <v>176</v>
      </c>
    </row>
    <row r="38" spans="1:18" ht="15.75" customHeight="1">
      <c r="A38" s="16"/>
      <c r="C38" s="16"/>
      <c r="J38" s="16"/>
      <c r="L38" s="16" t="s">
        <v>177</v>
      </c>
      <c r="M38" s="167"/>
      <c r="N38" s="16"/>
      <c r="O38" s="16"/>
      <c r="P38" s="16" t="s">
        <v>178</v>
      </c>
      <c r="Q38" s="16"/>
      <c r="R38" s="16" t="s">
        <v>179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180</v>
      </c>
      <c r="Q39" s="17"/>
      <c r="R39" s="17" t="s">
        <v>181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182</v>
      </c>
      <c r="Q40" s="16"/>
      <c r="R40" s="16" t="s">
        <v>183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184</v>
      </c>
      <c r="Q41" s="17"/>
      <c r="R41" s="17" t="s">
        <v>185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186</v>
      </c>
      <c r="Q42" s="16"/>
      <c r="R42" s="16" t="s">
        <v>187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188</v>
      </c>
      <c r="Q43" s="17"/>
      <c r="R43" s="17" t="s">
        <v>189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190</v>
      </c>
      <c r="Q44" s="16"/>
      <c r="R44" s="16" t="s">
        <v>191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192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193</v>
      </c>
      <c r="Q46" s="16"/>
      <c r="R46" s="16" t="s">
        <v>194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195</v>
      </c>
      <c r="Q47" s="17"/>
      <c r="R47" s="17" t="s">
        <v>196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197</v>
      </c>
      <c r="Q48" s="16"/>
      <c r="R48" s="16" t="s">
        <v>198</v>
      </c>
    </row>
    <row r="49" spans="1:18" ht="18" customHeight="1">
      <c r="M49" s="167"/>
      <c r="N49" s="17"/>
      <c r="O49" s="17"/>
      <c r="P49" s="17" t="s">
        <v>199</v>
      </c>
      <c r="Q49" s="17"/>
      <c r="R49" s="17" t="s">
        <v>200</v>
      </c>
    </row>
    <row r="50" spans="1:18" ht="21" customHeight="1">
      <c r="A50" s="19" t="s">
        <v>201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202</v>
      </c>
      <c r="Q50" s="16"/>
      <c r="R50" s="16" t="s">
        <v>203</v>
      </c>
    </row>
    <row r="51" spans="1:18" ht="24" customHeight="1">
      <c r="M51" s="167"/>
      <c r="N51" s="17"/>
      <c r="O51" s="17"/>
      <c r="P51" s="17" t="s">
        <v>204</v>
      </c>
      <c r="Q51" s="17"/>
      <c r="R51" s="17" t="s">
        <v>205</v>
      </c>
    </row>
    <row r="52" spans="1:18" ht="24" customHeight="1">
      <c r="M52" s="167"/>
      <c r="N52" s="16"/>
      <c r="O52" s="16"/>
      <c r="P52" s="16" t="s">
        <v>206</v>
      </c>
      <c r="Q52" s="16"/>
      <c r="R52" s="16" t="s">
        <v>207</v>
      </c>
    </row>
    <row r="53" spans="1:18" ht="36" customHeight="1">
      <c r="M53" s="167"/>
      <c r="N53" s="17"/>
      <c r="O53" s="17"/>
      <c r="P53" s="17" t="s">
        <v>208</v>
      </c>
      <c r="Q53" s="17"/>
      <c r="R53" s="17" t="s">
        <v>209</v>
      </c>
    </row>
    <row r="54" spans="1:18" ht="15" customHeight="1">
      <c r="M54" s="167"/>
      <c r="N54" s="16"/>
      <c r="O54" s="16"/>
      <c r="P54" s="16" t="s">
        <v>210</v>
      </c>
      <c r="Q54" s="16"/>
      <c r="R54" s="16" t="s">
        <v>211</v>
      </c>
    </row>
    <row r="55" spans="1:18" ht="15" customHeight="1">
      <c r="M55" s="167"/>
      <c r="N55" s="17"/>
      <c r="O55" s="17"/>
      <c r="P55" s="17" t="s">
        <v>212</v>
      </c>
      <c r="Q55" s="17"/>
      <c r="R55" s="17" t="s">
        <v>213</v>
      </c>
    </row>
    <row r="56" spans="1:18" ht="15" customHeight="1">
      <c r="M56" s="167"/>
      <c r="N56" s="16"/>
      <c r="O56" s="16"/>
      <c r="P56" s="16" t="s">
        <v>214</v>
      </c>
      <c r="Q56" s="16"/>
      <c r="R56" s="16" t="s">
        <v>215</v>
      </c>
    </row>
    <row r="57" spans="1:18" ht="15" customHeight="1">
      <c r="M57" s="167"/>
      <c r="N57" s="17"/>
      <c r="O57" s="17"/>
      <c r="P57" s="17" t="s">
        <v>58</v>
      </c>
      <c r="Q57" s="17"/>
      <c r="R57" s="17" t="s">
        <v>216</v>
      </c>
    </row>
    <row r="58" spans="1:18" ht="15" customHeight="1">
      <c r="M58" s="167"/>
      <c r="N58" s="16"/>
      <c r="O58" s="16"/>
      <c r="P58" s="16" t="s">
        <v>217</v>
      </c>
      <c r="Q58" s="16"/>
      <c r="R58" s="16"/>
    </row>
    <row r="59" spans="1:18" ht="15" customHeight="1">
      <c r="M59" s="167"/>
      <c r="N59" s="17"/>
      <c r="O59" s="17"/>
      <c r="P59" s="17" t="s">
        <v>218</v>
      </c>
      <c r="Q59" s="17"/>
      <c r="R59" s="17"/>
    </row>
    <row r="60" spans="1:18" ht="15" customHeight="1">
      <c r="M60" s="167"/>
      <c r="N60" s="16"/>
      <c r="O60" s="16"/>
      <c r="P60" s="77" t="s">
        <v>113</v>
      </c>
      <c r="Q60" s="16"/>
      <c r="R60" s="16"/>
    </row>
    <row r="61" spans="1:18" ht="15" customHeight="1">
      <c r="M61" s="167"/>
      <c r="N61" s="17"/>
      <c r="O61" s="17"/>
      <c r="P61" s="17" t="s">
        <v>219</v>
      </c>
      <c r="Q61" s="17"/>
      <c r="R61" s="17"/>
    </row>
    <row r="62" spans="1:18" ht="15" customHeight="1">
      <c r="M62" s="167"/>
      <c r="N62" s="16"/>
      <c r="O62" s="16"/>
      <c r="P62" s="16" t="s">
        <v>220</v>
      </c>
      <c r="Q62" s="16"/>
      <c r="R62" s="16"/>
    </row>
    <row r="63" spans="1:18" ht="15" customHeight="1">
      <c r="M63" s="167"/>
      <c r="N63" s="17"/>
      <c r="O63" s="17"/>
      <c r="P63" s="17" t="s">
        <v>221</v>
      </c>
      <c r="Q63" s="17"/>
      <c r="R63" s="17"/>
    </row>
    <row r="64" spans="1:18" ht="15" customHeight="1">
      <c r="M64" s="167"/>
      <c r="N64" s="16"/>
      <c r="O64" s="16"/>
      <c r="P64" s="16" t="s">
        <v>222</v>
      </c>
      <c r="Q64" s="16"/>
      <c r="R64" s="16"/>
    </row>
    <row r="65" spans="13:18" ht="15" customHeight="1">
      <c r="M65" s="167"/>
      <c r="N65" s="17"/>
      <c r="O65" s="17"/>
      <c r="P65" s="17" t="s">
        <v>223</v>
      </c>
      <c r="Q65" s="17"/>
      <c r="R65" s="17"/>
    </row>
    <row r="66" spans="13:18" ht="15" customHeight="1">
      <c r="M66" s="167"/>
      <c r="N66" s="16"/>
      <c r="O66" s="16"/>
      <c r="P66" s="16" t="s">
        <v>224</v>
      </c>
      <c r="Q66" s="16"/>
      <c r="R66" s="16"/>
    </row>
    <row r="67" spans="13:18" ht="15" customHeight="1">
      <c r="M67" s="167"/>
      <c r="N67" s="17"/>
      <c r="O67" s="17"/>
      <c r="P67" s="17" t="s">
        <v>225</v>
      </c>
      <c r="Q67" s="17"/>
      <c r="R67" s="17"/>
    </row>
    <row r="68" spans="13:18" ht="15" customHeight="1">
      <c r="M68" s="167"/>
      <c r="N68" s="16"/>
      <c r="O68" s="16"/>
      <c r="P68" s="16" t="s">
        <v>226</v>
      </c>
      <c r="Q68" s="16"/>
      <c r="R68" s="16"/>
    </row>
    <row r="69" spans="13:18" ht="15" customHeight="1">
      <c r="M69" s="167"/>
      <c r="N69" s="17"/>
      <c r="O69" s="17"/>
      <c r="P69" s="17" t="s">
        <v>227</v>
      </c>
      <c r="Q69" s="17"/>
      <c r="R69" s="17"/>
    </row>
    <row r="70" spans="13:18" ht="15" customHeight="1">
      <c r="M70" s="167"/>
      <c r="N70" s="16"/>
      <c r="O70" s="16"/>
      <c r="P70" s="16" t="s">
        <v>228</v>
      </c>
      <c r="Q70" s="16"/>
      <c r="R70" s="16"/>
    </row>
    <row r="71" spans="13:18" ht="15" customHeight="1">
      <c r="M71" s="167"/>
      <c r="N71" s="17"/>
      <c r="O71" s="17"/>
      <c r="P71" s="17" t="s">
        <v>229</v>
      </c>
      <c r="Q71" s="17"/>
      <c r="R71" s="17"/>
    </row>
    <row r="72" spans="13:18" ht="15" customHeight="1">
      <c r="M72" s="167"/>
      <c r="N72" s="16"/>
      <c r="O72" s="16"/>
      <c r="P72" s="16" t="s">
        <v>230</v>
      </c>
      <c r="Q72" s="16"/>
      <c r="R72" s="16"/>
    </row>
    <row r="73" spans="13:18" ht="15" customHeight="1">
      <c r="M73" s="167"/>
      <c r="N73" s="17"/>
      <c r="O73" s="17"/>
      <c r="P73" s="17" t="s">
        <v>231</v>
      </c>
      <c r="Q73" s="17"/>
      <c r="R73" s="17"/>
    </row>
    <row r="74" spans="13:18" ht="15" customHeight="1">
      <c r="M74" s="167"/>
      <c r="N74" s="16"/>
      <c r="O74" s="16"/>
      <c r="P74" s="16" t="s">
        <v>232</v>
      </c>
      <c r="Q74" s="16"/>
      <c r="R74" s="16"/>
    </row>
    <row r="75" spans="13:18" ht="15" customHeight="1">
      <c r="M75" s="167"/>
      <c r="N75" s="17"/>
      <c r="O75" s="17"/>
      <c r="P75" s="17"/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47" activePane="bottomLeft" state="frozen"/>
      <selection pane="bottomLeft" activeCell="H375" sqref="H375"/>
    </sheetView>
  </sheetViews>
  <sheetFormatPr defaultColWidth="8.5703125" defaultRowHeight="1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53</v>
      </c>
      <c r="D2" s="20" t="s">
        <v>46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75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53</v>
      </c>
      <c r="D3" s="59" t="s">
        <v>46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53</v>
      </c>
      <c r="D4" s="59" t="s">
        <v>46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53</v>
      </c>
      <c r="D5" s="59" t="s">
        <v>46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53</v>
      </c>
      <c r="D6" s="59" t="s">
        <v>46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53</v>
      </c>
      <c r="D7" s="59" t="s">
        <v>46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53</v>
      </c>
      <c r="D8" s="59" t="s">
        <v>46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53</v>
      </c>
      <c r="D9" s="59" t="s">
        <v>46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53</v>
      </c>
      <c r="D10" s="59" t="s">
        <v>46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53</v>
      </c>
      <c r="D11" s="59" t="s">
        <v>46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53</v>
      </c>
      <c r="D12" s="59" t="s">
        <v>46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53</v>
      </c>
      <c r="D13" s="59" t="s">
        <v>46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139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52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58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138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58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46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75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52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46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52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46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58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46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52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46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52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46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46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46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46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46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53</v>
      </c>
      <c r="D56" s="20" t="s">
        <v>46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142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46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52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75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66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142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153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42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46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46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46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46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115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44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124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142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95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142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75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153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124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95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44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44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44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175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52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211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211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153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153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216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76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75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53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97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53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142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53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53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53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53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53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53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53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53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53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53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175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142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75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216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58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53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53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53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53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53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53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53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53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53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53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53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53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232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142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42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42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142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211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44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52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142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52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52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59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/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2315280</v>
      </c>
    </row>
    <row r="380" spans="1:15" ht="15" customHeight="1">
      <c r="A380" s="67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79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/>
      <c r="D381" s="59"/>
      <c r="E381" s="59"/>
      <c r="F381" s="27"/>
      <c r="G381" s="34" t="str">
        <f t="shared" si="79"/>
        <v/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/>
      <c r="D382" s="59"/>
      <c r="E382" s="59"/>
      <c r="F382" s="27"/>
      <c r="G382" s="28" t="str">
        <f t="shared" si="79"/>
        <v/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/>
      <c r="D383" s="59"/>
      <c r="E383" s="59"/>
      <c r="F383" s="27"/>
      <c r="G383" s="34" t="str">
        <f t="shared" si="79"/>
        <v/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/>
      <c r="D384" s="59"/>
      <c r="E384" s="59"/>
      <c r="F384" s="27"/>
      <c r="G384" s="28" t="str">
        <f t="shared" si="79"/>
        <v/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/>
      <c r="D385" s="59"/>
      <c r="E385" s="59"/>
      <c r="F385" s="27"/>
      <c r="G385" s="34" t="str">
        <f t="shared" si="79"/>
        <v/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/>
      <c r="D386" s="59"/>
      <c r="E386" s="59"/>
      <c r="F386" s="27"/>
      <c r="G386" s="28" t="str">
        <f t="shared" si="79"/>
        <v/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/>
      <c r="D387" s="59"/>
      <c r="E387" s="59"/>
      <c r="F387" s="27"/>
      <c r="G387" s="34" t="str">
        <f t="shared" si="79"/>
        <v/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/>
      <c r="D388" s="59"/>
      <c r="E388" s="59"/>
      <c r="F388" s="27"/>
      <c r="G388" s="28" t="str">
        <f t="shared" si="79"/>
        <v/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/>
      <c r="D389" s="59"/>
      <c r="E389" s="59"/>
      <c r="F389" s="27"/>
      <c r="G389" s="34" t="str">
        <f t="shared" si="79"/>
        <v/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/>
      <c r="D390" s="59"/>
      <c r="E390" s="59"/>
      <c r="F390" s="27"/>
      <c r="G390" s="28" t="str">
        <f t="shared" si="79"/>
        <v/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/>
      <c r="D391" s="59"/>
      <c r="E391" s="59"/>
      <c r="F391" s="27"/>
      <c r="G391" s="34" t="str">
        <f t="shared" si="79"/>
        <v/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/>
    </row>
    <row r="393" spans="1:15" ht="15" customHeight="1">
      <c r="A393" s="68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2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3">IFERROR(IF(K393="","",IF(L393="",MOD(NOW()-K393,1),IF(L393&gt;=K393,L393-K393,L393+1-K393))),"")</f>
        <v/>
      </c>
      <c r="N393" s="46"/>
      <c r="O393" s="47"/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/>
      <c r="D394" s="62"/>
      <c r="E394" s="62"/>
      <c r="F394" s="27"/>
      <c r="G394" s="28" t="str">
        <f t="shared" si="82"/>
        <v/>
      </c>
      <c r="H394" s="26"/>
      <c r="I394" s="26"/>
      <c r="J394" s="26"/>
      <c r="K394" s="29"/>
      <c r="L394" s="29"/>
      <c r="M394" s="30" t="str">
        <f t="shared" ca="1" si="83"/>
        <v/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/>
      <c r="D395" s="62"/>
      <c r="E395" s="62"/>
      <c r="F395" s="27"/>
      <c r="G395" s="34" t="str">
        <f t="shared" si="82"/>
        <v/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/>
      <c r="D396" s="62"/>
      <c r="E396" s="62"/>
      <c r="F396" s="27"/>
      <c r="G396" s="28" t="str">
        <f t="shared" si="82"/>
        <v/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/>
      <c r="D397" s="62"/>
      <c r="E397" s="62"/>
      <c r="F397" s="27"/>
      <c r="G397" s="34" t="str">
        <f t="shared" si="82"/>
        <v/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/>
      <c r="D398" s="62"/>
      <c r="E398" s="62"/>
      <c r="F398" s="27"/>
      <c r="G398" s="28" t="str">
        <f t="shared" si="82"/>
        <v/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/>
      <c r="D399" s="62"/>
      <c r="E399" s="62"/>
      <c r="F399" s="27"/>
      <c r="G399" s="34" t="str">
        <f t="shared" si="82"/>
        <v/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/>
      <c r="D400" s="62"/>
      <c r="E400" s="62"/>
      <c r="F400" s="27"/>
      <c r="G400" s="28" t="str">
        <f t="shared" si="82"/>
        <v/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/>
      <c r="D401" s="62"/>
      <c r="E401" s="62"/>
      <c r="F401" s="27"/>
      <c r="G401" s="34" t="str">
        <f t="shared" si="82"/>
        <v/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/>
      <c r="D402" s="62"/>
      <c r="E402" s="62"/>
      <c r="F402" s="27"/>
      <c r="G402" s="28" t="str">
        <f t="shared" si="82"/>
        <v/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/>
      <c r="D403" s="62"/>
      <c r="E403" s="62"/>
      <c r="F403" s="27"/>
      <c r="G403" s="34" t="str">
        <f t="shared" si="82"/>
        <v/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/>
      <c r="D404" s="62"/>
      <c r="E404" s="62"/>
      <c r="F404" s="27"/>
      <c r="G404" s="28" t="str">
        <f t="shared" si="82"/>
        <v/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245</v>
      </c>
      <c r="O405" s="39"/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249</v>
      </c>
      <c r="O406" s="48">
        <f>IFERROR(O392+O405,"")</f>
        <v>0</v>
      </c>
    </row>
    <row r="407" spans="1:15" ht="15" customHeight="1">
      <c r="A407" s="68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85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86">IFERROR(IF(K407="","",IF(L407="",MOD(NOW()-K407,1),IF(L407&gt;=K407,L407-K407,L407+1-K407))),"")</f>
        <v/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/>
      <c r="D408" s="62"/>
      <c r="E408" s="62"/>
      <c r="F408" s="27"/>
      <c r="G408" s="28" t="str">
        <f t="shared" si="85"/>
        <v/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/>
      <c r="D409" s="62"/>
      <c r="E409" s="62"/>
      <c r="F409" s="27"/>
      <c r="G409" s="34" t="str">
        <f t="shared" si="85"/>
        <v/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/>
      <c r="D410" s="62"/>
      <c r="E410" s="62"/>
      <c r="F410" s="27"/>
      <c r="G410" s="28" t="str">
        <f t="shared" si="85"/>
        <v/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/>
      <c r="D411" s="62"/>
      <c r="E411" s="62"/>
      <c r="F411" s="27"/>
      <c r="G411" s="34" t="str">
        <f t="shared" si="85"/>
        <v/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/>
      <c r="D412" s="62"/>
      <c r="E412" s="62"/>
      <c r="F412" s="27"/>
      <c r="G412" s="28" t="str">
        <f t="shared" si="85"/>
        <v/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/>
      <c r="D413" s="62"/>
      <c r="E413" s="62"/>
      <c r="F413" s="27"/>
      <c r="G413" s="34" t="str">
        <f t="shared" si="85"/>
        <v/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/>
      <c r="D414" s="62"/>
      <c r="E414" s="62"/>
      <c r="F414" s="27"/>
      <c r="G414" s="28" t="str">
        <f t="shared" si="85"/>
        <v/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/>
      <c r="D415" s="62"/>
      <c r="E415" s="62"/>
      <c r="F415" s="27"/>
      <c r="G415" s="34" t="str">
        <f t="shared" si="85"/>
        <v/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/>
      <c r="D416" s="62"/>
      <c r="E416" s="62"/>
      <c r="F416" s="27"/>
      <c r="G416" s="28" t="str">
        <f t="shared" si="85"/>
        <v/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/>
      <c r="D417" s="62"/>
      <c r="E417" s="62"/>
      <c r="F417" s="27"/>
      <c r="G417" s="34" t="str">
        <f t="shared" si="85"/>
        <v/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/>
      <c r="D418" s="62"/>
      <c r="E418" s="62"/>
      <c r="F418" s="27"/>
      <c r="G418" s="28" t="str">
        <f t="shared" si="85"/>
        <v/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245</v>
      </c>
      <c r="O419" s="39"/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249</v>
      </c>
      <c r="O433" s="48">
        <f>IFERROR(O419+O432,"")</f>
        <v>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49" activePane="bottomLeft" state="frozen"/>
      <selection pane="bottomLeft" activeCell="S379" sqref="S3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9" width="16.28515625" style="20" hidden="1" customWidth="1"/>
    <col min="10" max="10" width="13.85546875" style="20" hidden="1" customWidth="1"/>
    <col min="11" max="11" width="14" style="20" customWidth="1"/>
    <col min="12" max="12" width="31.28515625" style="20" customWidth="1"/>
    <col min="13" max="13" width="29.28515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710937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168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271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82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39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47</v>
      </c>
      <c r="N5" s="33" t="s">
        <v>138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272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66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273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139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139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39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47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143</v>
      </c>
      <c r="N17" s="33" t="s">
        <v>57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166</v>
      </c>
      <c r="N18" s="26" t="s">
        <v>82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143</v>
      </c>
      <c r="N19" s="33" t="s">
        <v>57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274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39</v>
      </c>
      <c r="N20" s="26" t="s">
        <v>44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275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47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39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39</v>
      </c>
      <c r="N23" s="33" t="s">
        <v>58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166</v>
      </c>
      <c r="N29" s="33" t="s">
        <v>82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47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47</v>
      </c>
      <c r="N31" s="33" t="s">
        <v>58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47</v>
      </c>
      <c r="N42" s="26" t="s">
        <v>59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47</v>
      </c>
      <c r="N43" s="33" t="s">
        <v>59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39</v>
      </c>
      <c r="N44" s="26" t="s">
        <v>59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168</v>
      </c>
      <c r="N45" s="33" t="s">
        <v>59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47</v>
      </c>
      <c r="N46" s="26" t="s">
        <v>59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168</v>
      </c>
      <c r="N47" s="33" t="s">
        <v>59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47</v>
      </c>
      <c r="N48" s="26" t="s">
        <v>59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276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47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277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47</v>
      </c>
      <c r="N50" s="26" t="s">
        <v>43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47</v>
      </c>
      <c r="N51" s="33" t="s">
        <v>59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47</v>
      </c>
      <c r="N52" s="26" t="s">
        <v>138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278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138</v>
      </c>
      <c r="O53" s="29">
        <v>0.12152777777777778</v>
      </c>
      <c r="P53" s="29"/>
      <c r="Q53" s="30">
        <f t="shared" ca="1" si="11"/>
        <v>0.1641049768513767</v>
      </c>
      <c r="R53" s="46" t="s">
        <v>279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0.3029938657402656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0.38771608796248791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39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131</v>
      </c>
      <c r="N57" s="50" t="s">
        <v>122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131</v>
      </c>
      <c r="N58" s="26" t="s">
        <v>122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131</v>
      </c>
      <c r="N59" s="33" t="s">
        <v>122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131</v>
      </c>
      <c r="N60" s="26" t="s">
        <v>122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131</v>
      </c>
      <c r="N61" s="33" t="s">
        <v>122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131</v>
      </c>
      <c r="N62" s="26" t="s">
        <v>122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47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271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157</v>
      </c>
      <c r="N69" s="26" t="s">
        <v>194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143</v>
      </c>
      <c r="N70" s="26" t="s">
        <v>57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166</v>
      </c>
      <c r="N71" s="33" t="s">
        <v>82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39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166</v>
      </c>
      <c r="N74" s="26" t="s">
        <v>82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47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39</v>
      </c>
      <c r="N76" s="26" t="s">
        <v>209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280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146</v>
      </c>
      <c r="N83" s="33" t="s">
        <v>219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47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47</v>
      </c>
      <c r="N85" s="33" t="s">
        <v>44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47</v>
      </c>
      <c r="N86" s="26" t="s">
        <v>44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146</v>
      </c>
      <c r="N87" s="33" t="s">
        <v>126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149</v>
      </c>
      <c r="N96" s="26" t="s">
        <v>126</v>
      </c>
      <c r="O96" s="29">
        <v>0.79166666666666663</v>
      </c>
      <c r="P96" s="29" t="s">
        <v>281</v>
      </c>
      <c r="Q96" s="30" t="str">
        <f t="shared" ref="Q96:Q107" ca="1" si="22">IFERROR(IF(O96="","",IF(P96="",MOD(NOW()-O96,1),IF(P96&gt;=O96,P96-O96,P96+1-O96))),"")</f>
        <v/>
      </c>
      <c r="R96" s="46" t="s">
        <v>282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39</v>
      </c>
      <c r="N97" s="33" t="s">
        <v>58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39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283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47</v>
      </c>
      <c r="N99" s="33" t="s">
        <v>192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284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39</v>
      </c>
      <c r="N100" s="26" t="s">
        <v>58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47</v>
      </c>
      <c r="N101" s="33" t="s">
        <v>44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39</v>
      </c>
      <c r="N110" s="26" t="s">
        <v>165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47</v>
      </c>
      <c r="N111" s="33" t="s">
        <v>44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285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47</v>
      </c>
      <c r="N112" s="26" t="s">
        <v>165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47</v>
      </c>
      <c r="N113" s="33" t="s">
        <v>44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168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39</v>
      </c>
      <c r="N124" s="26" t="s">
        <v>165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143</v>
      </c>
      <c r="N125" s="33" t="s">
        <v>57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143</v>
      </c>
      <c r="N126" s="26" t="s">
        <v>57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131</v>
      </c>
      <c r="N127" s="33" t="s">
        <v>122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47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39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47</v>
      </c>
      <c r="N138" s="26" t="s">
        <v>59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47</v>
      </c>
      <c r="N139" s="33" t="s">
        <v>64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286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47</v>
      </c>
      <c r="N140" s="26" t="s">
        <v>44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47</v>
      </c>
      <c r="N141" s="33" t="s">
        <v>44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287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126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39</v>
      </c>
      <c r="N143" s="33" t="s">
        <v>44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168</v>
      </c>
      <c r="N144" s="26" t="s">
        <v>118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288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128</v>
      </c>
      <c r="N151" s="33" t="s">
        <v>95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289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47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47</v>
      </c>
      <c r="N153" s="33" t="s">
        <v>42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47</v>
      </c>
      <c r="N164" s="26" t="s">
        <v>42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39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39</v>
      </c>
      <c r="N166" s="26" t="s">
        <v>44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166</v>
      </c>
      <c r="N167" s="33" t="s">
        <v>82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166</v>
      </c>
      <c r="N168" s="26" t="s">
        <v>82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39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125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131</v>
      </c>
      <c r="N179" s="33" t="s">
        <v>122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157</v>
      </c>
      <c r="N180" s="26" t="s">
        <v>142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82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290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82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287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82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291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292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157</v>
      </c>
      <c r="N192" s="26" t="s">
        <v>191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157</v>
      </c>
      <c r="N193" s="26" t="s">
        <v>191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47</v>
      </c>
      <c r="N194" s="26" t="s">
        <v>44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47</v>
      </c>
      <c r="N195" s="33" t="s">
        <v>44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285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47</v>
      </c>
      <c r="N196" s="26" t="s">
        <v>175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131</v>
      </c>
      <c r="N197" s="33" t="s">
        <v>122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131</v>
      </c>
      <c r="N198" s="33" t="s">
        <v>122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82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168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168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39</v>
      </c>
      <c r="N218" s="33" t="s">
        <v>180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280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39</v>
      </c>
      <c r="N219" s="33" t="s">
        <v>43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39</v>
      </c>
      <c r="N220" s="26" t="s">
        <v>58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39</v>
      </c>
      <c r="N221" s="33" t="s">
        <v>86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293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47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143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294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143</v>
      </c>
      <c r="N224" s="26" t="s">
        <v>69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295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47</v>
      </c>
      <c r="N231" s="33" t="s">
        <v>44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168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47</v>
      </c>
      <c r="N233" s="33" t="s">
        <v>44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168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39</v>
      </c>
      <c r="N245" s="33" t="s">
        <v>175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47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47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39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46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46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46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46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46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46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45</v>
      </c>
      <c r="D285" s="62" t="s">
        <v>54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45</v>
      </c>
      <c r="D286" s="62" t="s">
        <v>54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45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45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45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45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45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45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45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45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45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45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 t="str">
        <f>IFERROR(IF($D299="","",VLOOKUP($D299,Cadastro!$C$4:$E$7,3,FALSE)),"")</f>
        <v>b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143</v>
      </c>
      <c r="N299" s="33" t="s">
        <v>57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 t="str">
        <f>IFERROR(IF($D300="","",VLOOKUP($D300,Cadastro!$C$4:$E$7,3,FALSE)),"")</f>
        <v>b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84</v>
      </c>
      <c r="L300" s="26" t="s">
        <v>26</v>
      </c>
      <c r="M300" s="26" t="s">
        <v>47</v>
      </c>
      <c r="N300" s="26" t="s">
        <v>86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 t="str">
        <f>IFERROR(IF($D301="","",VLOOKUP($D301,Cadastro!$C$4:$E$7,3,FALSE)),"")</f>
        <v>b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84</v>
      </c>
      <c r="L301" s="33" t="s">
        <v>26</v>
      </c>
      <c r="M301" s="33" t="s">
        <v>39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 t="str">
        <f>IFERROR(IF($D302="","",VLOOKUP($D302,Cadastro!$C$4:$E$7,3,FALSE)),"")</f>
        <v>b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71.400000000000006</v>
      </c>
      <c r="L302" s="26" t="s">
        <v>27</v>
      </c>
      <c r="M302" s="26" t="s">
        <v>39</v>
      </c>
      <c r="N302" s="26" t="s">
        <v>44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 t="str">
        <f>IFERROR(IF($D303="","",VLOOKUP($D303,Cadastro!$C$4:$E$7,3,FALSE)),"")</f>
        <v>b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63</v>
      </c>
      <c r="L303" s="33" t="s">
        <v>26</v>
      </c>
      <c r="M303" s="33" t="s">
        <v>47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 t="str">
        <f>IFERROR(IF($D304="","",VLOOKUP($D304,Cadastro!$C$4:$E$7,3,FALSE)),"")</f>
        <v>b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67.536298224852061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67.536298224852061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 t="str">
        <f>IFERROR(IF($D312="","",VLOOKUP($D312,Cadastro!$C$4:$E$7,3,FALSE)),"")</f>
        <v>b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 t="str">
        <f>IFERROR(IF($H312="","",$H312*$F312*$I312),"")</f>
        <v/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168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 t="str">
        <f>IFERROR(IF($D313="","",VLOOKUP($D313,Cadastro!$C$4:$E$7,3,FALSE)),"")</f>
        <v>b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 t="str">
        <f t="shared" ref="J312:J323" si="73">IFERROR(IF($H313="","",$H313*$F313*$I313),"")</f>
        <v/>
      </c>
      <c r="K313" s="34">
        <f t="shared" si="70"/>
        <v>54.6</v>
      </c>
      <c r="L313" s="33" t="s">
        <v>27</v>
      </c>
      <c r="M313" s="33" t="s">
        <v>47</v>
      </c>
      <c r="N313" s="33" t="s">
        <v>44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 t="str">
        <f>IFERROR(IF($D314="","",VLOOKUP($D314,Cadastro!$C$4:$E$7,3,FALSE)),"")</f>
        <v>b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 t="str">
        <f t="shared" si="73"/>
        <v/>
      </c>
      <c r="K314" s="28">
        <f t="shared" si="70"/>
        <v>67.2</v>
      </c>
      <c r="L314" s="26" t="s">
        <v>25</v>
      </c>
      <c r="M314" s="26" t="s">
        <v>47</v>
      </c>
      <c r="N314" s="26" t="s">
        <v>165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 t="str">
        <f t="shared" si="73"/>
        <v/>
      </c>
      <c r="K315" s="34">
        <f t="shared" si="70"/>
        <v>25.200000000000003</v>
      </c>
      <c r="L315" s="33" t="s">
        <v>27</v>
      </c>
      <c r="M315" s="33" t="s">
        <v>47</v>
      </c>
      <c r="N315" s="33" t="s">
        <v>44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 t="str">
        <f t="shared" si="73"/>
        <v/>
      </c>
      <c r="K316" s="28">
        <f t="shared" si="70"/>
        <v>84</v>
      </c>
      <c r="L316" s="26" t="s">
        <v>26</v>
      </c>
      <c r="M316" s="26" t="s">
        <v>168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 t="str">
        <f>IFERROR(IF($D317="","",VLOOKUP($D317,Cadastro!$C$4:$E$7,3,FALSE)),"")</f>
        <v>b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 t="str">
        <f t="shared" si="73"/>
        <v/>
      </c>
      <c r="K317" s="34">
        <f t="shared" si="70"/>
        <v>75.600000000000009</v>
      </c>
      <c r="L317" s="33" t="s">
        <v>25</v>
      </c>
      <c r="M317" s="33" t="s">
        <v>146</v>
      </c>
      <c r="N317" s="33" t="s">
        <v>108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 t="str">
        <f>IFERROR(IF($D318="","",VLOOKUP($D318,Cadastro!$C$4:$E$7,3,FALSE)),"")</f>
        <v>b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 t="str">
        <f t="shared" si="73"/>
        <v/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 t="str">
        <f>IFERROR(IF($D319="","",VLOOKUP($D319,Cadastro!$C$4:$E$7,3,FALSE)),"")</f>
        <v>b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 t="str">
        <f t="shared" si="73"/>
        <v/>
      </c>
      <c r="K319" s="34">
        <f t="shared" si="70"/>
        <v>63</v>
      </c>
      <c r="L319" s="33" t="s">
        <v>24</v>
      </c>
      <c r="M319" s="33" t="s">
        <v>39</v>
      </c>
      <c r="N319" s="33" t="s">
        <v>57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 t="str">
        <f>IFERROR(IF($D320="","",VLOOKUP($D320,Cadastro!$C$4:$E$7,3,FALSE)),"")</f>
        <v>b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 t="str">
        <f t="shared" si="73"/>
        <v/>
      </c>
      <c r="K320" s="28">
        <f t="shared" si="70"/>
        <v>67.2</v>
      </c>
      <c r="L320" s="26" t="s">
        <v>24</v>
      </c>
      <c r="M320" s="26" t="s">
        <v>143</v>
      </c>
      <c r="N320" s="26" t="s">
        <v>57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 t="str">
        <f>IFERROR(IF($D321="","",VLOOKUP($D321,Cadastro!$C$4:$E$7,3,FALSE)),"")</f>
        <v>b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 t="str">
        <f t="shared" si="73"/>
        <v/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 t="str">
        <f>IFERROR(IF($D322="","",VLOOKUP($D322,Cadastro!$C$4:$E$7,3,FALSE)),"")</f>
        <v>b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 t="str">
        <f t="shared" si="73"/>
        <v/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 t="str">
        <f>IFERROR(IF($D323="","",VLOOKUP($D323,Cadastro!$C$4:$E$7,3,FALSE)),"")</f>
        <v>b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 t="str">
        <f t="shared" si="73"/>
        <v/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0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67.536298224852061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67.536298224852061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47</v>
      </c>
      <c r="N326" s="26" t="s">
        <v>138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296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47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146</v>
      </c>
      <c r="N328" s="26" t="s">
        <v>138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297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146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298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134</v>
      </c>
      <c r="N330" s="26" t="s">
        <v>122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146</v>
      </c>
      <c r="N331" s="33" t="s">
        <v>69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299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47</v>
      </c>
      <c r="N332" s="26" t="s">
        <v>180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300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47</v>
      </c>
      <c r="N339" s="33" t="s">
        <v>43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47</v>
      </c>
      <c r="N340" s="26" t="s">
        <v>86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39</v>
      </c>
      <c r="N341" s="33" t="s">
        <v>44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292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47</v>
      </c>
      <c r="N342" s="26" t="s">
        <v>175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47</v>
      </c>
      <c r="N343" s="33" t="s">
        <v>205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287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39</v>
      </c>
      <c r="N344" s="26" t="s">
        <v>165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47</v>
      </c>
      <c r="N345" s="33" t="s">
        <v>165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143</v>
      </c>
      <c r="N346" s="26" t="s">
        <v>57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143</v>
      </c>
      <c r="N347" s="33" t="s">
        <v>57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47</v>
      </c>
      <c r="N353" s="33" t="s">
        <v>64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280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39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39</v>
      </c>
      <c r="N355" s="33" t="s">
        <v>86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168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146</v>
      </c>
      <c r="N367" s="33" t="s">
        <v>82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301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168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70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168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46"/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45"/>
      <c r="T392" s="122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46"/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45"/>
      <c r="T405" s="122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143">
        <f>IFERROR(S392+S405,"")</f>
        <v>0</v>
      </c>
      <c r="T406" s="144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26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34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34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45"/>
      <c r="T419" s="122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143">
        <f>IFERROR(S419+S432,"")</f>
        <v>0</v>
      </c>
      <c r="T433" s="144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zbs9plIZO6EiPtTW7n0EqTmQU041f0rxb2y6n8rm+4+jdyLB/NN4IL/5yH5aj3yDbuCjGt/aSCEZqru5kmSYJw==" saltValue="uiud2b9tEPsDKK7CeIPPq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50" activePane="bottomLeft" state="frozen"/>
      <selection pane="bottomLeft" activeCell="S379" sqref="S379"/>
    </sheetView>
  </sheetViews>
  <sheetFormatPr defaultColWidth="8.5703125" defaultRowHeight="1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7109375" style="20" hidden="1" customWidth="1"/>
    <col min="9" max="10" width="13.85546875" style="20" hidden="1" customWidth="1"/>
    <col min="11" max="11" width="14" style="20" customWidth="1"/>
    <col min="12" max="12" width="32.71093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82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55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55</v>
      </c>
      <c r="N15" s="33" t="s">
        <v>63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302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143</v>
      </c>
      <c r="N16" s="26" t="s">
        <v>57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166</v>
      </c>
      <c r="N17" s="33" t="s">
        <v>82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143</v>
      </c>
      <c r="N18" s="26" t="s">
        <v>57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274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170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303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54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54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55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55</v>
      </c>
      <c r="N42" s="26" t="s">
        <v>176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280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55</v>
      </c>
      <c r="N43" s="33" t="s">
        <v>64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302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55</v>
      </c>
      <c r="N44" s="26" t="s">
        <v>59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55</v>
      </c>
      <c r="N45" s="33" t="s">
        <v>59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55</v>
      </c>
      <c r="N46" s="26" t="s">
        <v>59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55</v>
      </c>
      <c r="N47" s="33" t="s">
        <v>59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55</v>
      </c>
      <c r="N48" s="26" t="s">
        <v>59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55</v>
      </c>
      <c r="N49" s="33" t="s">
        <v>59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55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302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166</v>
      </c>
      <c r="N51" s="33" t="s">
        <v>82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55</v>
      </c>
      <c r="N52" s="26" t="s">
        <v>40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55</v>
      </c>
      <c r="N53" s="33" t="s">
        <v>142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131</v>
      </c>
      <c r="N56" s="26" t="s">
        <v>122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54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131</v>
      </c>
      <c r="N57" s="26" t="s">
        <v>122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55</v>
      </c>
      <c r="N58" s="26" t="s">
        <v>59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54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55</v>
      </c>
      <c r="N59" s="26" t="s">
        <v>59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54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131</v>
      </c>
      <c r="N60" s="26" t="s">
        <v>122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54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55</v>
      </c>
      <c r="N61" s="33" t="s">
        <v>59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54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138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304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54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54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54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54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54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55</v>
      </c>
      <c r="N69" s="33" t="s">
        <v>64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305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157</v>
      </c>
      <c r="N70" s="26" t="s">
        <v>194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166</v>
      </c>
      <c r="N71" s="33" t="s">
        <v>82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166</v>
      </c>
      <c r="N72" s="26" t="s">
        <v>82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166</v>
      </c>
      <c r="N73" s="33" t="s">
        <v>82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55</v>
      </c>
      <c r="N83" s="33" t="s">
        <v>64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306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146</v>
      </c>
      <c r="N84" s="26" t="s">
        <v>126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307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146</v>
      </c>
      <c r="N96" s="26" t="s">
        <v>126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146</v>
      </c>
      <c r="N97" s="33" t="s">
        <v>126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308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55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166</v>
      </c>
      <c r="N99" s="33" t="s">
        <v>82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166</v>
      </c>
      <c r="N123" s="33" t="s">
        <v>82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166</v>
      </c>
      <c r="N124" s="26" t="s">
        <v>82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55</v>
      </c>
      <c r="N125" s="33" t="s">
        <v>64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309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55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143</v>
      </c>
      <c r="N127" s="33" t="s">
        <v>57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55</v>
      </c>
      <c r="N128" s="26" t="s">
        <v>44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139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55</v>
      </c>
      <c r="N130" s="26" t="s">
        <v>59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207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55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310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55</v>
      </c>
      <c r="N138" s="26" t="s">
        <v>118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55</v>
      </c>
      <c r="N139" s="33" t="s">
        <v>213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146</v>
      </c>
      <c r="N140" s="26" t="s">
        <v>82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55</v>
      </c>
      <c r="N141" s="33" t="s">
        <v>59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288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146</v>
      </c>
      <c r="N150" s="26" t="s">
        <v>82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55</v>
      </c>
      <c r="N151" s="33" t="s">
        <v>64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55</v>
      </c>
      <c r="N152" s="26" t="s">
        <v>44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55</v>
      </c>
      <c r="N153" s="33" t="s">
        <v>44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280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55</v>
      </c>
      <c r="N164" s="26" t="s">
        <v>59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55</v>
      </c>
      <c r="N165" s="33" t="s">
        <v>59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55</v>
      </c>
      <c r="N166" s="26" t="s">
        <v>59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311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55</v>
      </c>
      <c r="N167" s="33" t="s">
        <v>59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55</v>
      </c>
      <c r="N168" s="26" t="s">
        <v>59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55</v>
      </c>
      <c r="N169" s="33" t="s">
        <v>59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55</v>
      </c>
      <c r="N170" s="26" t="s">
        <v>59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55</v>
      </c>
      <c r="N171" s="33" t="s">
        <v>59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166</v>
      </c>
      <c r="N172" s="26" t="s">
        <v>82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166</v>
      </c>
      <c r="N173" s="33" t="s">
        <v>82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55</v>
      </c>
      <c r="N177" s="33" t="s">
        <v>43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157</v>
      </c>
      <c r="N178" s="26" t="s">
        <v>142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55</v>
      </c>
      <c r="N179" s="33" t="s">
        <v>64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312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131</v>
      </c>
      <c r="N180" s="26" t="s">
        <v>122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157</v>
      </c>
      <c r="N181" s="33" t="s">
        <v>142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82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291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55</v>
      </c>
      <c r="N183" s="33" t="s">
        <v>59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82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82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291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157</v>
      </c>
      <c r="N191" s="33" t="s">
        <v>191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55</v>
      </c>
      <c r="N192" s="33" t="s">
        <v>44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55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157</v>
      </c>
      <c r="N194" s="26" t="s">
        <v>191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157</v>
      </c>
      <c r="N195" s="26" t="s">
        <v>191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55</v>
      </c>
      <c r="N196" s="26" t="s">
        <v>86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55</v>
      </c>
      <c r="N197" s="33" t="s">
        <v>59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55</v>
      </c>
      <c r="N198" s="33" t="s">
        <v>86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55</v>
      </c>
      <c r="N199" s="33" t="s">
        <v>86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131</v>
      </c>
      <c r="N200" s="26" t="s">
        <v>122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131</v>
      </c>
      <c r="N201" s="33" t="s">
        <v>122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55</v>
      </c>
      <c r="N204" s="26" t="s">
        <v>59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55</v>
      </c>
      <c r="N205" s="33" t="s">
        <v>64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313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82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143</v>
      </c>
      <c r="N218" s="26" t="s">
        <v>69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55</v>
      </c>
      <c r="N219" s="33" t="s">
        <v>44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166</v>
      </c>
      <c r="N220" s="26" t="s">
        <v>82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143</v>
      </c>
      <c r="N221" s="33" t="s">
        <v>108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143</v>
      </c>
      <c r="N222" s="26" t="s">
        <v>69</v>
      </c>
      <c r="O222" s="29">
        <v>0.69930555555555551</v>
      </c>
      <c r="P222" s="29" t="s">
        <v>315</v>
      </c>
      <c r="Q222" s="30" t="str">
        <f t="shared" ca="1" si="49"/>
        <v/>
      </c>
      <c r="R222" s="27" t="s">
        <v>316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55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55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55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317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55</v>
      </c>
      <c r="N246" s="33" t="s">
        <v>59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55</v>
      </c>
      <c r="N247" s="33" t="s">
        <v>44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46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46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46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46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46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46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46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46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46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46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46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 t="str">
        <f t="shared" ref="J299:J310" si="65">IFERROR(IF($H299="","",$H299*$F299*$I299),"")</f>
        <v/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207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 t="str">
        <f t="shared" si="65"/>
        <v/>
      </c>
      <c r="K300" s="28">
        <f t="shared" si="66"/>
        <v>42</v>
      </c>
      <c r="L300" s="26" t="s">
        <v>27</v>
      </c>
      <c r="M300" s="26"/>
      <c r="N300" s="26" t="s">
        <v>207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 t="str">
        <f t="shared" si="65"/>
        <v/>
      </c>
      <c r="K301" s="34">
        <f t="shared" si="66"/>
        <v>58.800000000000004</v>
      </c>
      <c r="L301" s="33" t="s">
        <v>27</v>
      </c>
      <c r="M301" s="33" t="s">
        <v>55</v>
      </c>
      <c r="N301" s="33" t="s">
        <v>192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 t="str">
        <f t="shared" si="65"/>
        <v/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 t="str">
        <f t="shared" si="65"/>
        <v/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 t="str">
        <f t="shared" si="65"/>
        <v/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47.471199999999996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47.471199999999996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 t="str">
        <f t="shared" ref="J312:J323" si="69">IFERROR(IF($H312="","",$H312*$F312*$I312),"")</f>
        <v/>
      </c>
      <c r="K312" s="28">
        <v>33.6</v>
      </c>
      <c r="L312" s="26" t="s">
        <v>26</v>
      </c>
      <c r="M312" s="26" t="s">
        <v>55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 t="str">
        <f t="shared" si="69"/>
        <v/>
      </c>
      <c r="K313" s="34">
        <v>20</v>
      </c>
      <c r="L313" s="33" t="s">
        <v>25</v>
      </c>
      <c r="M313" s="33" t="s">
        <v>146</v>
      </c>
      <c r="N313" s="33" t="s">
        <v>108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 t="str">
        <f t="shared" si="69"/>
        <v/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 t="str">
        <f t="shared" si="69"/>
        <v/>
      </c>
      <c r="K315" s="34">
        <v>25.200000000000003</v>
      </c>
      <c r="L315" s="33" t="s">
        <v>24</v>
      </c>
      <c r="M315" s="33" t="s">
        <v>143</v>
      </c>
      <c r="N315" s="33" t="s">
        <v>57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 t="str">
        <f t="shared" si="69"/>
        <v/>
      </c>
      <c r="K316" s="28">
        <v>25.200000000000003</v>
      </c>
      <c r="L316" s="26" t="s">
        <v>24</v>
      </c>
      <c r="M316" s="26" t="s">
        <v>143</v>
      </c>
      <c r="N316" s="26" t="s">
        <v>57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 t="str">
        <f t="shared" si="69"/>
        <v/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 t="str">
        <f t="shared" si="69"/>
        <v/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 t="str">
        <f t="shared" si="69"/>
        <v/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 t="str">
        <f t="shared" si="69"/>
        <v/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 t="str">
        <f t="shared" si="69"/>
        <v/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 t="str">
        <f t="shared" si="69"/>
        <v/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 t="str">
        <f t="shared" si="69"/>
        <v/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0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47.471199999999996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47.471199999999996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146</v>
      </c>
      <c r="N326" s="26" t="s">
        <v>138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298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146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318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134</v>
      </c>
      <c r="N328" s="26" t="s">
        <v>122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146</v>
      </c>
      <c r="N329" s="33" t="s">
        <v>69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299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55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143</v>
      </c>
      <c r="N340" s="26" t="s">
        <v>57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143</v>
      </c>
      <c r="N341" s="33" t="s">
        <v>57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55</v>
      </c>
      <c r="N353" s="33" t="s">
        <v>70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55</v>
      </c>
      <c r="N354" s="26" t="s">
        <v>70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280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166</v>
      </c>
      <c r="N355" s="33" t="s">
        <v>82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134</v>
      </c>
      <c r="N356" s="26" t="s">
        <v>122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143</v>
      </c>
      <c r="N357" s="33" t="s">
        <v>126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143</v>
      </c>
      <c r="N366" s="26" t="s">
        <v>126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143</v>
      </c>
      <c r="N367" s="33" t="s">
        <v>126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55</v>
      </c>
      <c r="N368" s="26" t="s">
        <v>213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55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88">IFERROR(IF($H380="","",$H380*$F380*$I380),"")</f>
        <v/>
      </c>
      <c r="K380" s="28" t="str">
        <f t="shared" ref="K380:K391" si="89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0">IFERROR(IF(O380="","",IF(P380="",MOD(NOW()-O380,1),IF(P380&gt;=O380,P380-O380,P380+1-O380))),"")</f>
        <v/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/>
      <c r="D381" s="59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88"/>
        <v/>
      </c>
      <c r="K381" s="34" t="str">
        <f>IF(G381="","",IF(E382="PC 17",G381*4.2,IF(E382="PC 19",G381*5,"")))</f>
        <v/>
      </c>
      <c r="L381" s="33"/>
      <c r="M381" s="33"/>
      <c r="N381" s="33"/>
      <c r="O381" s="29"/>
      <c r="P381" s="29"/>
      <c r="Q381" s="35" t="str">
        <f t="shared" ca="1" si="90"/>
        <v/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88"/>
        <v/>
      </c>
      <c r="K382" s="28"/>
      <c r="L382" s="26"/>
      <c r="M382" s="26"/>
      <c r="N382" s="33"/>
      <c r="O382" s="29"/>
      <c r="P382" s="29"/>
      <c r="Q382" s="30" t="str">
        <f t="shared" ca="1" si="90"/>
        <v/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88"/>
        <v/>
      </c>
      <c r="K383" s="34" t="str">
        <f t="shared" si="89"/>
        <v/>
      </c>
      <c r="L383" s="33"/>
      <c r="M383" s="33"/>
      <c r="N383" s="33"/>
      <c r="O383" s="29"/>
      <c r="P383" s="29"/>
      <c r="Q383" s="35" t="str">
        <f t="shared" ca="1" si="90"/>
        <v/>
      </c>
      <c r="R383" s="27"/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88"/>
        <v/>
      </c>
      <c r="K384" s="28" t="str">
        <f t="shared" si="89"/>
        <v/>
      </c>
      <c r="L384" s="26"/>
      <c r="M384" s="26"/>
      <c r="N384" s="26"/>
      <c r="O384" s="29"/>
      <c r="P384" s="29"/>
      <c r="Q384" s="30" t="str">
        <f t="shared" ca="1" si="90"/>
        <v/>
      </c>
      <c r="R384" s="27"/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88"/>
        <v/>
      </c>
      <c r="K385" s="34" t="str">
        <f t="shared" si="89"/>
        <v/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88"/>
        <v/>
      </c>
      <c r="K386" s="28" t="str">
        <f t="shared" si="89"/>
        <v/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88"/>
        <v/>
      </c>
      <c r="K387" s="34" t="str">
        <f t="shared" si="89"/>
        <v/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88"/>
        <v/>
      </c>
      <c r="K388" s="28" t="str">
        <f t="shared" si="89"/>
        <v/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88"/>
        <v/>
      </c>
      <c r="K389" s="34" t="str">
        <f t="shared" si="89"/>
        <v/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88"/>
        <v/>
      </c>
      <c r="K390" s="28" t="str">
        <f t="shared" si="89"/>
        <v/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88"/>
        <v/>
      </c>
      <c r="K391" s="34" t="str">
        <f t="shared" si="89"/>
        <v/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37"/>
      <c r="P392" s="37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2">IFERROR(IF($H393="","",$H393*$F393*$I393),"")</f>
        <v/>
      </c>
      <c r="K393" s="34" t="str">
        <f t="shared" ref="K393:K404" si="93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4">IFERROR(IF(O393="","",IF(P393="",MOD(NOW()-O393,1),IF(P393&gt;=O393,P393-O393,P393+1-O393))),"")</f>
        <v/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2"/>
        <v/>
      </c>
      <c r="K394" s="28" t="str">
        <f t="shared" si="93"/>
        <v/>
      </c>
      <c r="L394" s="26"/>
      <c r="M394" s="26"/>
      <c r="N394" s="26"/>
      <c r="O394" s="29"/>
      <c r="P394" s="29"/>
      <c r="Q394" s="30" t="str">
        <f t="shared" ca="1" si="94"/>
        <v/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2"/>
        <v/>
      </c>
      <c r="K395" s="34" t="str">
        <f t="shared" si="93"/>
        <v/>
      </c>
      <c r="L395" s="33"/>
      <c r="M395" s="33"/>
      <c r="N395" s="33"/>
      <c r="O395" s="29"/>
      <c r="P395" s="29"/>
      <c r="Q395" s="35" t="str">
        <f t="shared" ca="1" si="94"/>
        <v/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2"/>
        <v/>
      </c>
      <c r="K396" s="28" t="str">
        <f t="shared" si="93"/>
        <v/>
      </c>
      <c r="L396" s="26"/>
      <c r="M396" s="26"/>
      <c r="N396" s="26"/>
      <c r="O396" s="29"/>
      <c r="P396" s="29"/>
      <c r="Q396" s="30" t="str">
        <f t="shared" ca="1" si="94"/>
        <v/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2"/>
        <v/>
      </c>
      <c r="K397" s="34" t="str">
        <f t="shared" si="93"/>
        <v/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2"/>
        <v/>
      </c>
      <c r="K398" s="28" t="str">
        <f t="shared" si="93"/>
        <v/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2"/>
        <v/>
      </c>
      <c r="K399" s="34" t="str">
        <f t="shared" si="93"/>
        <v/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2"/>
        <v/>
      </c>
      <c r="K400" s="28" t="str">
        <f t="shared" si="93"/>
        <v/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2"/>
        <v/>
      </c>
      <c r="K401" s="34" t="str">
        <f t="shared" si="93"/>
        <v/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2"/>
        <v/>
      </c>
      <c r="K402" s="28" t="str">
        <f t="shared" si="93"/>
        <v/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2"/>
        <v/>
      </c>
      <c r="K403" s="34" t="str">
        <f t="shared" si="93"/>
        <v/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2"/>
        <v/>
      </c>
      <c r="K404" s="28" t="str">
        <f t="shared" si="93"/>
        <v/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37"/>
      <c r="P405" s="37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41"/>
      <c r="P406" s="41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6">IFERROR(IF($H407="","",$H407*$F407*$I407),"")</f>
        <v/>
      </c>
      <c r="K407" s="34" t="str">
        <f t="shared" ref="K407:K418" si="97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98">IFERROR(IF(O407="","",IF(P407="",MOD(NOW()-O407,1),IF(P407&gt;=O407,P407-O407,P407+1-O407))),"")</f>
        <v/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6"/>
        <v/>
      </c>
      <c r="K408" s="28" t="str">
        <f t="shared" si="97"/>
        <v/>
      </c>
      <c r="L408" s="26"/>
      <c r="M408" s="26"/>
      <c r="N408" s="26"/>
      <c r="O408" s="29"/>
      <c r="P408" s="29"/>
      <c r="Q408" s="30" t="str">
        <f t="shared" ca="1" si="98"/>
        <v/>
      </c>
      <c r="R408" s="27"/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6"/>
        <v/>
      </c>
      <c r="K409" s="34" t="str">
        <f t="shared" si="97"/>
        <v/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6"/>
        <v/>
      </c>
      <c r="K410" s="28" t="str">
        <f t="shared" si="97"/>
        <v/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6"/>
        <v/>
      </c>
      <c r="K411" s="34" t="str">
        <f t="shared" si="97"/>
        <v/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6"/>
        <v/>
      </c>
      <c r="K412" s="28" t="str">
        <f t="shared" si="97"/>
        <v/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6"/>
        <v/>
      </c>
      <c r="K413" s="34" t="str">
        <f t="shared" si="97"/>
        <v/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6"/>
        <v/>
      </c>
      <c r="K414" s="28" t="str">
        <f t="shared" si="97"/>
        <v/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6"/>
        <v/>
      </c>
      <c r="K415" s="34" t="str">
        <f t="shared" si="97"/>
        <v/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6"/>
        <v/>
      </c>
      <c r="K416" s="28" t="str">
        <f t="shared" si="97"/>
        <v/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6"/>
        <v/>
      </c>
      <c r="K417" s="34" t="str">
        <f t="shared" si="97"/>
        <v/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6"/>
        <v/>
      </c>
      <c r="K418" s="28" t="str">
        <f t="shared" si="97"/>
        <v/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37"/>
      <c r="P419" s="37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41"/>
      <c r="P433" s="41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ZFHLeH4pg/rb7olsDfOO0qrLfSVxo43aewoQ3gkfc6Z9OB1rSnozbZEJY2qn/yjEf+JcJQ9XdQi+K6ils5UUAA==" saltValue="Z0WMKvUvyK/+dKWqT/qlqg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341" activePane="bottomLeft" state="frozen"/>
      <selection pane="bottomLeft" activeCell="S379" sqref="S379"/>
    </sheetView>
  </sheetViews>
  <sheetFormatPr defaultColWidth="8.5703125" defaultRowHeight="1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71093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28515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71093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269</v>
      </c>
      <c r="I1" s="133" t="s">
        <v>20</v>
      </c>
      <c r="J1" s="133" t="s">
        <v>270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270</v>
      </c>
    </row>
    <row r="2" spans="1:20" ht="15" customHeight="1">
      <c r="A2" s="67">
        <v>46235</v>
      </c>
      <c r="B2" s="25">
        <v>0.33333333333333298</v>
      </c>
      <c r="C2" s="26" t="s">
        <v>53</v>
      </c>
      <c r="D2" s="59" t="s">
        <v>46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60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53</v>
      </c>
      <c r="D3" s="59" t="s">
        <v>46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65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53</v>
      </c>
      <c r="D4" s="59" t="s">
        <v>46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65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53</v>
      </c>
      <c r="D5" s="59" t="s">
        <v>46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53</v>
      </c>
      <c r="D6" s="59" t="s">
        <v>46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53</v>
      </c>
      <c r="D7" s="59" t="s">
        <v>46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53</v>
      </c>
      <c r="D8" s="59" t="s">
        <v>46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53</v>
      </c>
      <c r="D9" s="59" t="s">
        <v>46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53</v>
      </c>
      <c r="D10" s="59" t="s">
        <v>46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53</v>
      </c>
      <c r="D11" s="59" t="s">
        <v>46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53</v>
      </c>
      <c r="D12" s="59" t="s">
        <v>46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53</v>
      </c>
      <c r="D13" s="59" t="s">
        <v>46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46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60</v>
      </c>
      <c r="N15" s="33" t="s">
        <v>70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46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65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319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46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60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277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46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60</v>
      </c>
      <c r="N18" s="26" t="s">
        <v>138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302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46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60</v>
      </c>
      <c r="N19" s="33" t="s">
        <v>138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320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46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65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46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65</v>
      </c>
      <c r="N21" s="33" t="s">
        <v>70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46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170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321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46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46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46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46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53</v>
      </c>
      <c r="D29" s="59" t="s">
        <v>46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65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53</v>
      </c>
      <c r="D30" s="59" t="s">
        <v>46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53</v>
      </c>
      <c r="D31" s="59" t="s">
        <v>46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53</v>
      </c>
      <c r="D32" s="59" t="s">
        <v>46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53</v>
      </c>
      <c r="D33" s="59" t="s">
        <v>46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53</v>
      </c>
      <c r="D34" s="59" t="s">
        <v>46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53</v>
      </c>
      <c r="D35" s="59" t="s">
        <v>46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53</v>
      </c>
      <c r="D36" s="59" t="s">
        <v>46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53</v>
      </c>
      <c r="D37" s="59" t="s">
        <v>46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53</v>
      </c>
      <c r="D38" s="59" t="s">
        <v>46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53</v>
      </c>
      <c r="D39" s="59" t="s">
        <v>46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53</v>
      </c>
      <c r="D40" s="59" t="s">
        <v>46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60</v>
      </c>
      <c r="N42" s="26" t="s">
        <v>59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65</v>
      </c>
      <c r="N43" s="33" t="s">
        <v>59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60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65</v>
      </c>
      <c r="N45" s="33" t="s">
        <v>70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322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65</v>
      </c>
      <c r="N46" s="26" t="s">
        <v>44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65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65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53</v>
      </c>
      <c r="D56" s="59" t="s">
        <v>46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65</v>
      </c>
      <c r="N56" s="33" t="s">
        <v>59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53</v>
      </c>
      <c r="D57" s="59" t="s">
        <v>46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60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53</v>
      </c>
      <c r="D58" s="59" t="s">
        <v>54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65</v>
      </c>
      <c r="N58" s="26" t="s">
        <v>215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53</v>
      </c>
      <c r="D59" s="59" t="s">
        <v>46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60</v>
      </c>
      <c r="N59" s="33" t="s">
        <v>42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323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53</v>
      </c>
      <c r="D60" s="59" t="s">
        <v>46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60</v>
      </c>
      <c r="N60" s="26" t="s">
        <v>138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324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53</v>
      </c>
      <c r="D61" s="59" t="s">
        <v>46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53</v>
      </c>
      <c r="D62" s="59" t="s">
        <v>46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53</v>
      </c>
      <c r="D63" s="59" t="s">
        <v>46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53</v>
      </c>
      <c r="D64" s="59" t="s">
        <v>46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53</v>
      </c>
      <c r="D65" s="59" t="s">
        <v>46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53</v>
      </c>
      <c r="D66" s="59" t="s">
        <v>46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53</v>
      </c>
      <c r="D67" s="59" t="s">
        <v>46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46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60</v>
      </c>
      <c r="N69" s="33" t="s">
        <v>226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325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46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65</v>
      </c>
      <c r="N70" s="26" t="s">
        <v>70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46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65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46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65</v>
      </c>
      <c r="N72" s="26" t="s">
        <v>138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302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46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60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46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60</v>
      </c>
      <c r="N74" s="33" t="s">
        <v>215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46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46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46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46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53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171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53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60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53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53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53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53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53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53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53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53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53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53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171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60</v>
      </c>
      <c r="N97" s="33" t="s">
        <v>138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302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53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171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53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65</v>
      </c>
      <c r="N111" s="33" t="s">
        <v>226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53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231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53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231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53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171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326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53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53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53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53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53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53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53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60</v>
      </c>
      <c r="N123" s="33" t="s">
        <v>215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60</v>
      </c>
      <c r="N124" s="26" t="s">
        <v>64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327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60</v>
      </c>
      <c r="N125" s="33" t="s">
        <v>44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65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60</v>
      </c>
      <c r="N127" s="33" t="s">
        <v>280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65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60</v>
      </c>
      <c r="N129" s="33" t="s">
        <v>138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302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65</v>
      </c>
      <c r="N130" s="26" t="s">
        <v>59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171</v>
      </c>
      <c r="N138" s="26" t="s">
        <v>44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328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46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60</v>
      </c>
      <c r="N139" s="33" t="s">
        <v>118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329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46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65</v>
      </c>
      <c r="N140" s="26" t="s">
        <v>59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46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149</v>
      </c>
      <c r="N141" s="33" t="s">
        <v>82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46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60</v>
      </c>
      <c r="N142" s="26" t="s">
        <v>59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46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171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46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65</v>
      </c>
      <c r="N144" s="26" t="s">
        <v>118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46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46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288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46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46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53</v>
      </c>
      <c r="D150" s="59" t="s">
        <v>46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171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330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53</v>
      </c>
      <c r="D151" s="59" t="s">
        <v>46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148</v>
      </c>
      <c r="N151" s="33" t="s">
        <v>66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53</v>
      </c>
      <c r="D152" s="59" t="s">
        <v>46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53</v>
      </c>
      <c r="D153" s="59" t="s">
        <v>46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53</v>
      </c>
      <c r="D154" s="59" t="s">
        <v>46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53</v>
      </c>
      <c r="D155" s="59" t="s">
        <v>46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53</v>
      </c>
      <c r="D156" s="59" t="s">
        <v>46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53</v>
      </c>
      <c r="D157" s="59" t="s">
        <v>46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53</v>
      </c>
      <c r="D158" s="59" t="s">
        <v>46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53</v>
      </c>
      <c r="D159" s="59" t="s">
        <v>46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53</v>
      </c>
      <c r="D160" s="59" t="s">
        <v>46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53</v>
      </c>
      <c r="D161" s="59" t="s">
        <v>46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46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148</v>
      </c>
      <c r="N164" s="26" t="s">
        <v>142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46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171</v>
      </c>
      <c r="N165" s="33" t="s">
        <v>192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46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171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46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65</v>
      </c>
      <c r="N167" s="33" t="s">
        <v>44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46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65</v>
      </c>
      <c r="N168" s="26" t="s">
        <v>165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46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149</v>
      </c>
      <c r="N169" s="33" t="s">
        <v>82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46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171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332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46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149</v>
      </c>
      <c r="N171" s="33" t="s">
        <v>82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46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46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46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46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53</v>
      </c>
      <c r="D177" s="62" t="s">
        <v>46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125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333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53</v>
      </c>
      <c r="D178" s="62" t="s">
        <v>46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149</v>
      </c>
      <c r="N178" s="26" t="s">
        <v>138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53</v>
      </c>
      <c r="D179" s="62" t="s">
        <v>46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171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53</v>
      </c>
      <c r="D180" s="62" t="s">
        <v>46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53</v>
      </c>
      <c r="D181" s="62" t="s">
        <v>46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53</v>
      </c>
      <c r="D182" s="62" t="s">
        <v>46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53</v>
      </c>
      <c r="D183" s="62" t="s">
        <v>46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53</v>
      </c>
      <c r="D184" s="62" t="s">
        <v>46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53</v>
      </c>
      <c r="D185" s="62" t="s">
        <v>46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53</v>
      </c>
      <c r="D186" s="62" t="s">
        <v>46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53</v>
      </c>
      <c r="D187" s="62" t="s">
        <v>46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53</v>
      </c>
      <c r="D188" s="62" t="s">
        <v>46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46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171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46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60</v>
      </c>
      <c r="N192" s="33" t="s">
        <v>165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334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46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65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46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166</v>
      </c>
      <c r="N194" s="26" t="s">
        <v>82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46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46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46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46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46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46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46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46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53</v>
      </c>
      <c r="D204" s="59" t="s">
        <v>46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65</v>
      </c>
      <c r="N204" s="26" t="s">
        <v>42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335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53</v>
      </c>
      <c r="D205" s="59" t="s">
        <v>46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336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53</v>
      </c>
      <c r="D206" s="59" t="s">
        <v>46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60</v>
      </c>
      <c r="N206" s="26" t="s">
        <v>44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337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53</v>
      </c>
      <c r="D207" s="59" t="s">
        <v>46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53</v>
      </c>
      <c r="D208" s="59" t="s">
        <v>46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53</v>
      </c>
      <c r="D209" s="59" t="s">
        <v>46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53</v>
      </c>
      <c r="D210" s="59" t="s">
        <v>46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53</v>
      </c>
      <c r="D211" s="59" t="s">
        <v>46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53</v>
      </c>
      <c r="D212" s="59" t="s">
        <v>46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53</v>
      </c>
      <c r="D213" s="59" t="s">
        <v>46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53</v>
      </c>
      <c r="D214" s="59" t="s">
        <v>46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53</v>
      </c>
      <c r="D215" s="59" t="s">
        <v>46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46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65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46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60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46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60</v>
      </c>
      <c r="N220" s="26" t="s">
        <v>64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338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46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65</v>
      </c>
      <c r="N221" s="33" t="s">
        <v>86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339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46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46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46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46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46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46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46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46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53</v>
      </c>
      <c r="D231" s="62" t="s">
        <v>46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65</v>
      </c>
      <c r="N231" s="33" t="s">
        <v>44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340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53</v>
      </c>
      <c r="D232" s="62" t="s">
        <v>46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65</v>
      </c>
      <c r="N232" s="26" t="s">
        <v>64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341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53</v>
      </c>
      <c r="D233" s="62" t="s">
        <v>46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160</v>
      </c>
      <c r="N233" s="33" t="s">
        <v>138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53</v>
      </c>
      <c r="D234" s="62" t="s">
        <v>46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60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53</v>
      </c>
      <c r="D235" s="62" t="s">
        <v>46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53</v>
      </c>
      <c r="D236" s="62" t="s">
        <v>46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53</v>
      </c>
      <c r="D237" s="62" t="s">
        <v>46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53</v>
      </c>
      <c r="D238" s="62" t="s">
        <v>46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53</v>
      </c>
      <c r="D239" s="62" t="s">
        <v>46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53</v>
      </c>
      <c r="D240" s="62" t="s">
        <v>46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53</v>
      </c>
      <c r="D241" s="62" t="s">
        <v>46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53</v>
      </c>
      <c r="D242" s="62" t="s">
        <v>46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46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60</v>
      </c>
      <c r="N245" s="33" t="s">
        <v>175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46</v>
      </c>
      <c r="E246" s="108" t="s">
        <v>243</v>
      </c>
      <c r="F246" s="134"/>
      <c r="G246" s="27" t="s">
        <v>342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65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46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60</v>
      </c>
      <c r="N247" s="33" t="s">
        <v>70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46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65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160</v>
      </c>
      <c r="N249" s="33" t="s">
        <v>138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60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60</v>
      </c>
      <c r="N251" s="33" t="s">
        <v>59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46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46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46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46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46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46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46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46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46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46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46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46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53</v>
      </c>
      <c r="D285" s="62" t="s">
        <v>54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53</v>
      </c>
      <c r="D286" s="62" t="s">
        <v>54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53</v>
      </c>
      <c r="D287" s="62" t="s">
        <v>54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53</v>
      </c>
      <c r="D288" s="62" t="s">
        <v>54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53</v>
      </c>
      <c r="D289" s="62" t="s">
        <v>54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53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53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53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53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53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53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53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 t="str">
        <f>IFERROR(IF($D299="","",VLOOKUP($D299,Cadastro!$C$4:$E$7,3,FALSE)),"")</f>
        <v>b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 t="str">
        <f t="shared" ref="J299:J310" si="66">IFERROR(IF($H299="","",$H299*$F299*$I299),"")</f>
        <v/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60</v>
      </c>
      <c r="N299" s="33" t="s">
        <v>192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 t="str">
        <f>IFERROR(IF($D300="","",VLOOKUP($D300,Cadastro!$C$4:$E$7,3,FALSE)),"")</f>
        <v>b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 t="str">
        <f t="shared" si="66"/>
        <v/>
      </c>
      <c r="K300" s="28">
        <f t="shared" si="67"/>
        <v>71.400000000000006</v>
      </c>
      <c r="L300" s="26" t="s">
        <v>26</v>
      </c>
      <c r="M300" s="26" t="s">
        <v>65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 t="str">
        <f>IFERROR(IF($D301="","",VLOOKUP($D301,Cadastro!$C$4:$E$7,3,FALSE)),"")</f>
        <v>b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 t="str">
        <f t="shared" si="66"/>
        <v/>
      </c>
      <c r="K301" s="34">
        <f t="shared" si="67"/>
        <v>92.4</v>
      </c>
      <c r="L301" s="33" t="s">
        <v>23</v>
      </c>
      <c r="M301" s="33"/>
      <c r="N301" s="33" t="s">
        <v>94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 t="str">
        <f>IFERROR(IF($D302="","",VLOOKUP($D302,Cadastro!$C$4:$E$7,3,FALSE)),"")</f>
        <v>b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 t="str">
        <f t="shared" si="66"/>
        <v/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 t="str">
        <f>IFERROR(IF($D303="","",VLOOKUP($D303,Cadastro!$C$4:$E$7,3,FALSE)),"")</f>
        <v>b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 t="str">
        <f t="shared" si="66"/>
        <v/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 t="str">
        <f>IFERROR(IF($D304="","",VLOOKUP($D304,Cadastro!$C$4:$E$7,3,FALSE)),"")</f>
        <v>b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 t="str">
        <f t="shared" si="66"/>
        <v/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71.6160703125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71.6160703125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 t="str">
        <f>IFERROR(IF($D312="","",VLOOKUP($D312,Cadastro!$C$4:$E$7,3,FALSE)),"")</f>
        <v>b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 t="str">
        <f t="shared" ref="J312:J323" si="70">IFERROR(IF($H312="","",$H312*$F312*$I312),"")</f>
        <v/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166</v>
      </c>
      <c r="N312" s="26" t="s">
        <v>82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 t="str">
        <f>IFERROR(IF($D313="","",VLOOKUP($D313,Cadastro!$C$4:$E$7,3,FALSE)),"")</f>
        <v>b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 t="str">
        <f t="shared" si="70"/>
        <v/>
      </c>
      <c r="K313" s="34">
        <f t="shared" si="71"/>
        <v>71.400000000000006</v>
      </c>
      <c r="L313" s="33" t="s">
        <v>26</v>
      </c>
      <c r="M313" s="33" t="s">
        <v>171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 t="str">
        <f>IFERROR(IF($D314="","",VLOOKUP($D314,Cadastro!$C$4:$E$7,3,FALSE)),"")</f>
        <v>b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 t="str">
        <f t="shared" si="70"/>
        <v/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 t="str">
        <f>IFERROR(IF($D315="","",VLOOKUP($D315,Cadastro!$C$4:$E$7,3,FALSE)),"")</f>
        <v>b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 t="str">
        <f t="shared" si="70"/>
        <v/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 t="str">
        <f>IFERROR(IF($D316="","",VLOOKUP($D316,Cadastro!$C$4:$E$7,3,FALSE)),"")</f>
        <v>b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 t="str">
        <f t="shared" si="70"/>
        <v/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 t="str">
        <f>IFERROR(IF($D317="","",VLOOKUP($D317,Cadastro!$C$4:$E$7,3,FALSE)),"")</f>
        <v>b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 t="str">
        <f t="shared" si="70"/>
        <v/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 t="str">
        <f>IFERROR(IF($D318="","",VLOOKUP($D318,Cadastro!$C$4:$E$7,3,FALSE)),"")</f>
        <v>b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 t="str">
        <f t="shared" si="70"/>
        <v/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 t="str">
        <f>IFERROR(IF($D319="","",VLOOKUP($D319,Cadastro!$C$4:$E$7,3,FALSE)),"")</f>
        <v>b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 t="str">
        <f t="shared" si="70"/>
        <v/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 t="str">
        <f>IFERROR(IF($D320="","",VLOOKUP($D320,Cadastro!$C$4:$E$7,3,FALSE)),"")</f>
        <v>b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 t="str">
        <f t="shared" si="70"/>
        <v/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 t="str">
        <f>IFERROR(IF($D321="","",VLOOKUP($D321,Cadastro!$C$4:$E$7,3,FALSE)),"")</f>
        <v>b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 t="str">
        <f t="shared" si="70"/>
        <v/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 t="str">
        <f>IFERROR(IF($D322="","",VLOOKUP($D322,Cadastro!$C$4:$E$7,3,FALSE)),"")</f>
        <v>b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 t="str">
        <f t="shared" si="70"/>
        <v/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 t="str">
        <f>IFERROR(IF($D323="","",VLOOKUP($D323,Cadastro!$C$4:$E$7,3,FALSE)),"")</f>
        <v>b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 t="str">
        <f t="shared" si="70"/>
        <v/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0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0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71.6160703125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71.6160703125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171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65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60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171</v>
      </c>
      <c r="N339" s="33" t="s">
        <v>70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65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60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171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60</v>
      </c>
      <c r="N343" s="33" t="s">
        <v>44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65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65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171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65</v>
      </c>
      <c r="N347" s="33" t="s">
        <v>64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102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149</v>
      </c>
      <c r="N354" s="33" t="s">
        <v>138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65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60</v>
      </c>
      <c r="N356" s="26" t="s">
        <v>64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346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65</v>
      </c>
      <c r="N357" s="33" t="s">
        <v>70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65</v>
      </c>
      <c r="N358" s="26" t="s">
        <v>64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347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65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140</v>
      </c>
      <c r="N367" s="33" t="s">
        <v>122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171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60</v>
      </c>
      <c r="N369" s="33" t="s">
        <v>70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65</v>
      </c>
      <c r="N370" s="26" t="s">
        <v>70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60</v>
      </c>
      <c r="N371" s="33" t="s">
        <v>165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60</v>
      </c>
      <c r="N372" s="26" t="s">
        <v>64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348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65</v>
      </c>
      <c r="N373" s="33" t="s">
        <v>175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/>
      <c r="D380" s="59"/>
      <c r="E380" s="108"/>
      <c r="F380" s="140" t="str">
        <f>IFERROR(IF($D380="","",VLOOKUP($D380,Cadastro!$C$4:$E$7,3,FALSE)),"")</f>
        <v/>
      </c>
      <c r="G380" s="105"/>
      <c r="H380" s="140" t="str">
        <f>IFERROR(IF($G380="","",$G380*$S$392/$G$392/Cadastro!$E$33),"")</f>
        <v/>
      </c>
      <c r="I380" s="141" t="str">
        <f>IFERROR(IF($D380="","",VLOOKUP($D380,Cadastro!$C$4:$G$7,5,FALSE)),"")</f>
        <v/>
      </c>
      <c r="J380" s="142" t="str">
        <f t="shared" ref="J380:J391" si="90">IFERROR(IF($H380="","",$H380*$F380*$I380),"")</f>
        <v/>
      </c>
      <c r="K380" s="28" t="str">
        <f t="shared" ref="K380:K391" si="91">IF(G380="","",IF(E380="PC 17",G380*4.2,IF(E380="PC 19",G380*5,IF(E380="CB",G380*24,""))))</f>
        <v/>
      </c>
      <c r="L380" s="26"/>
      <c r="M380" s="26"/>
      <c r="N380" s="26"/>
      <c r="O380" s="29"/>
      <c r="P380" s="29"/>
      <c r="Q380" s="30" t="str">
        <f t="shared" ref="Q380:Q391" ca="1" si="92">IFERROR(IF(O380="","",IF(P380="",MOD(NOW()-O380,1),IF(P380&gt;=O380,P380-O380,P380+1-O380))),"")</f>
        <v/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/>
      <c r="D381" s="59"/>
      <c r="E381" s="108"/>
      <c r="F381" s="134" t="str">
        <f>IFERROR(IF($D381="","",VLOOKUP($D381,Cadastro!$C$4:$E$7,3,FALSE)),"")</f>
        <v/>
      </c>
      <c r="G381" s="105"/>
      <c r="H381" s="134" t="str">
        <f>IFERROR(IF($G381="","",$G381*$S$392/$G$392/Cadastro!$E$33),"")</f>
        <v/>
      </c>
      <c r="I381" s="135" t="str">
        <f>IFERROR(IF($D381="","",VLOOKUP($D381,Cadastro!$C$4:$G$7,5,FALSE)),"")</f>
        <v/>
      </c>
      <c r="J381" s="136" t="str">
        <f t="shared" si="90"/>
        <v/>
      </c>
      <c r="K381" s="34" t="str">
        <f t="shared" si="91"/>
        <v/>
      </c>
      <c r="L381" s="33"/>
      <c r="M381" s="33"/>
      <c r="N381" s="33"/>
      <c r="O381" s="29"/>
      <c r="P381" s="29"/>
      <c r="Q381" s="35" t="str">
        <f t="shared" ca="1" si="92"/>
        <v/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/>
      <c r="D382" s="59"/>
      <c r="E382" s="108"/>
      <c r="F382" s="134" t="str">
        <f>IFERROR(IF($D382="","",VLOOKUP($D382,Cadastro!$C$4:$E$7,3,FALSE)),"")</f>
        <v/>
      </c>
      <c r="G382" s="105"/>
      <c r="H382" s="134" t="str">
        <f>IFERROR(IF($G382="","",$G382*$S$392/$G$392/Cadastro!$E$33),"")</f>
        <v/>
      </c>
      <c r="I382" s="135" t="str">
        <f>IFERROR(IF($D382="","",VLOOKUP($D382,Cadastro!$C$4:$G$7,5,FALSE)),"")</f>
        <v/>
      </c>
      <c r="J382" s="136" t="str">
        <f t="shared" si="90"/>
        <v/>
      </c>
      <c r="K382" s="28" t="str">
        <f t="shared" si="91"/>
        <v/>
      </c>
      <c r="L382" s="26"/>
      <c r="M382" s="26"/>
      <c r="N382" s="33"/>
      <c r="O382" s="29"/>
      <c r="P382" s="29"/>
      <c r="Q382" s="30" t="str">
        <f t="shared" ca="1" si="92"/>
        <v/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/>
      <c r="D383" s="59"/>
      <c r="E383" s="108"/>
      <c r="F383" s="134" t="str">
        <f>IFERROR(IF($D383="","",VLOOKUP($D383,Cadastro!$C$4:$E$7,3,FALSE)),"")</f>
        <v/>
      </c>
      <c r="G383" s="105"/>
      <c r="H383" s="134" t="str">
        <f>IFERROR(IF($G383="","",$G383*$S$392/$G$392/Cadastro!$E$33),"")</f>
        <v/>
      </c>
      <c r="I383" s="135" t="str">
        <f>IFERROR(IF($D383="","",VLOOKUP($D383,Cadastro!$C$4:$G$7,5,FALSE)),"")</f>
        <v/>
      </c>
      <c r="J383" s="136" t="str">
        <f t="shared" si="90"/>
        <v/>
      </c>
      <c r="K383" s="34" t="str">
        <f t="shared" si="91"/>
        <v/>
      </c>
      <c r="L383" s="33"/>
      <c r="M383" s="33"/>
      <c r="N383" s="33"/>
      <c r="O383" s="29"/>
      <c r="P383" s="29"/>
      <c r="Q383" s="35" t="str">
        <f t="shared" ca="1" si="92"/>
        <v/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/>
      <c r="D384" s="59"/>
      <c r="E384" s="108"/>
      <c r="F384" s="134" t="str">
        <f>IFERROR(IF($D384="","",VLOOKUP($D384,Cadastro!$C$4:$E$7,3,FALSE)),"")</f>
        <v/>
      </c>
      <c r="G384" s="105"/>
      <c r="H384" s="134" t="str">
        <f>IFERROR(IF($G384="","",$G384*$S$392/$G$392/Cadastro!$E$33),"")</f>
        <v/>
      </c>
      <c r="I384" s="135" t="str">
        <f>IFERROR(IF($D384="","",VLOOKUP($D384,Cadastro!$C$4:$G$7,5,FALSE)),"")</f>
        <v/>
      </c>
      <c r="J384" s="136" t="str">
        <f t="shared" si="90"/>
        <v/>
      </c>
      <c r="K384" s="28" t="str">
        <f t="shared" si="91"/>
        <v/>
      </c>
      <c r="L384" s="26"/>
      <c r="M384" s="26"/>
      <c r="N384" s="26"/>
      <c r="O384" s="29"/>
      <c r="P384" s="29"/>
      <c r="Q384" s="30" t="str">
        <f t="shared" ca="1" si="92"/>
        <v/>
      </c>
      <c r="R384" s="27"/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/>
      <c r="D385" s="59"/>
      <c r="E385" s="108"/>
      <c r="F385" s="134" t="str">
        <f>IFERROR(IF($D385="","",VLOOKUP($D385,Cadastro!$C$4:$E$7,3,FALSE)),"")</f>
        <v/>
      </c>
      <c r="G385" s="105"/>
      <c r="H385" s="134" t="str">
        <f>IFERROR(IF($G385="","",$G385*$S$392/$G$392/Cadastro!$E$33),"")</f>
        <v/>
      </c>
      <c r="I385" s="135" t="str">
        <f>IFERROR(IF($D385="","",VLOOKUP($D385,Cadastro!$C$4:$G$7,5,FALSE)),"")</f>
        <v/>
      </c>
      <c r="J385" s="136" t="str">
        <f t="shared" si="90"/>
        <v/>
      </c>
      <c r="K385" s="34" t="str">
        <f t="shared" si="91"/>
        <v/>
      </c>
      <c r="L385" s="33"/>
      <c r="M385" s="33"/>
      <c r="N385" s="33"/>
      <c r="O385" s="29"/>
      <c r="P385" s="29"/>
      <c r="Q385" s="35" t="str">
        <f t="shared" ca="1" si="92"/>
        <v/>
      </c>
      <c r="R385" s="27"/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/>
      <c r="D386" s="59"/>
      <c r="E386" s="108"/>
      <c r="F386" s="134" t="str">
        <f>IFERROR(IF($D386="","",VLOOKUP($D386,Cadastro!$C$4:$E$7,3,FALSE)),"")</f>
        <v/>
      </c>
      <c r="G386" s="105"/>
      <c r="H386" s="134" t="str">
        <f>IFERROR(IF($G386="","",$G386*$S$392/$G$392/Cadastro!$E$33),"")</f>
        <v/>
      </c>
      <c r="I386" s="135" t="str">
        <f>IFERROR(IF($D386="","",VLOOKUP($D386,Cadastro!$C$4:$G$7,5,FALSE)),"")</f>
        <v/>
      </c>
      <c r="J386" s="136" t="str">
        <f t="shared" si="90"/>
        <v/>
      </c>
      <c r="K386" s="28" t="str">
        <f t="shared" si="91"/>
        <v/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/>
      <c r="D387" s="59"/>
      <c r="E387" s="108"/>
      <c r="F387" s="134" t="str">
        <f>IFERROR(IF($D387="","",VLOOKUP($D387,Cadastro!$C$4:$E$7,3,FALSE)),"")</f>
        <v/>
      </c>
      <c r="G387" s="105"/>
      <c r="H387" s="134" t="str">
        <f>IFERROR(IF($G387="","",$G387*$S$392/$G$392/Cadastro!$E$33),"")</f>
        <v/>
      </c>
      <c r="I387" s="135" t="str">
        <f>IFERROR(IF($D387="","",VLOOKUP($D387,Cadastro!$C$4:$G$7,5,FALSE)),"")</f>
        <v/>
      </c>
      <c r="J387" s="136" t="str">
        <f t="shared" si="90"/>
        <v/>
      </c>
      <c r="K387" s="34" t="str">
        <f t="shared" si="91"/>
        <v/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/>
      <c r="D388" s="59"/>
      <c r="E388" s="108"/>
      <c r="F388" s="134" t="str">
        <f>IFERROR(IF($D388="","",VLOOKUP($D388,Cadastro!$C$4:$E$7,3,FALSE)),"")</f>
        <v/>
      </c>
      <c r="G388" s="105"/>
      <c r="H388" s="134" t="str">
        <f>IFERROR(IF($G388="","",$G388*$S$392/$G$392/Cadastro!$E$33),"")</f>
        <v/>
      </c>
      <c r="I388" s="135" t="str">
        <f>IFERROR(IF($D388="","",VLOOKUP($D388,Cadastro!$C$4:$G$7,5,FALSE)),"")</f>
        <v/>
      </c>
      <c r="J388" s="136" t="str">
        <f t="shared" si="90"/>
        <v/>
      </c>
      <c r="K388" s="28" t="str">
        <f t="shared" si="91"/>
        <v/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/>
      <c r="D389" s="59"/>
      <c r="E389" s="108"/>
      <c r="F389" s="134" t="str">
        <f>IFERROR(IF($D389="","",VLOOKUP($D389,Cadastro!$C$4:$E$7,3,FALSE)),"")</f>
        <v/>
      </c>
      <c r="G389" s="105"/>
      <c r="H389" s="134" t="str">
        <f>IFERROR(IF($G389="","",$G389*$S$392/$G$392/Cadastro!$E$33),"")</f>
        <v/>
      </c>
      <c r="I389" s="135" t="str">
        <f>IFERROR(IF($D389="","",VLOOKUP($D389,Cadastro!$C$4:$G$7,5,FALSE)),"")</f>
        <v/>
      </c>
      <c r="J389" s="136" t="str">
        <f t="shared" si="90"/>
        <v/>
      </c>
      <c r="K389" s="34" t="str">
        <f t="shared" si="91"/>
        <v/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/>
      <c r="D390" s="59"/>
      <c r="E390" s="108"/>
      <c r="F390" s="134" t="str">
        <f>IFERROR(IF($D390="","",VLOOKUP($D390,Cadastro!$C$4:$E$7,3,FALSE)),"")</f>
        <v/>
      </c>
      <c r="G390" s="105"/>
      <c r="H390" s="134" t="str">
        <f>IFERROR(IF($G390="","",$G390*$S$392/$G$392/Cadastro!$E$33),"")</f>
        <v/>
      </c>
      <c r="I390" s="135" t="str">
        <f>IFERROR(IF($D390="","",VLOOKUP($D390,Cadastro!$C$4:$G$7,5,FALSE)),"")</f>
        <v/>
      </c>
      <c r="J390" s="136" t="str">
        <f t="shared" si="90"/>
        <v/>
      </c>
      <c r="K390" s="28" t="str">
        <f t="shared" si="91"/>
        <v/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/>
      <c r="D391" s="59"/>
      <c r="E391" s="108"/>
      <c r="F391" s="137" t="str">
        <f>IFERROR(IF($D391="","",VLOOKUP($D391,Cadastro!$C$4:$E$7,3,FALSE)),"")</f>
        <v/>
      </c>
      <c r="G391" s="105"/>
      <c r="H391" s="137" t="str">
        <f>IFERROR(IF($G391="","",$G391*$S$392/$G$392/Cadastro!$E$33),"")</f>
        <v/>
      </c>
      <c r="I391" s="138" t="str">
        <f>IFERROR(IF($D391="","",VLOOKUP($D391,Cadastro!$C$4:$G$7,5,FALSE)),"")</f>
        <v/>
      </c>
      <c r="J391" s="139" t="str">
        <f t="shared" si="90"/>
        <v/>
      </c>
      <c r="K391" s="34" t="str">
        <f t="shared" si="91"/>
        <v/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0</v>
      </c>
      <c r="H392" s="110">
        <f>IFERROR(SUM(H380:H391),"")</f>
        <v>0</v>
      </c>
      <c r="I392" s="114"/>
      <c r="J392" s="123">
        <f>IFERROR(SUM(J380:J391),"")</f>
        <v>0</v>
      </c>
      <c r="K392" s="36">
        <f>SUM(K380:K391)</f>
        <v>0</v>
      </c>
      <c r="L392" s="37"/>
      <c r="M392" s="37"/>
      <c r="N392" s="37"/>
      <c r="O392" s="61"/>
      <c r="P392" s="61"/>
      <c r="Q392" s="38">
        <f ca="1">IFERROR(SUM(Q380:Q391),"")</f>
        <v>0</v>
      </c>
      <c r="R392" s="36" t="s">
        <v>245</v>
      </c>
      <c r="S392" s="39"/>
      <c r="T392" s="119">
        <f>IFERROR(J392,"")</f>
        <v>0</v>
      </c>
    </row>
    <row r="393" spans="1:20" ht="15" customHeight="1">
      <c r="A393" s="68">
        <v>46249</v>
      </c>
      <c r="B393" s="32">
        <v>0.83333333333333304</v>
      </c>
      <c r="C393" s="33"/>
      <c r="D393" s="62"/>
      <c r="E393" s="109"/>
      <c r="F393" s="140" t="str">
        <f>IFERROR(IF($D393="","",VLOOKUP($D393,Cadastro!$C$4:$E$7,3,FALSE)),"")</f>
        <v/>
      </c>
      <c r="G393" s="105"/>
      <c r="H393" s="140" t="str">
        <f>IFERROR(IF($G393="","",$G393*$S$405/$G$405/Cadastro!$E$33),"")</f>
        <v/>
      </c>
      <c r="I393" s="141" t="str">
        <f>IFERROR(IF($D393="","",VLOOKUP($D393,Cadastro!$C$4:$G$7,5,FALSE)),"")</f>
        <v/>
      </c>
      <c r="J393" s="142" t="str">
        <f t="shared" ref="J393:J404" si="94">IFERROR(IF($H393="","",$H393*$F393*$I393),"")</f>
        <v/>
      </c>
      <c r="K393" s="34" t="str">
        <f t="shared" ref="K393:K404" si="95">IF(G393="","",IF(E393="PC 17",G393*4.2,IF(E393="PC 19",G393*5,IF(E393="CB",G393*24,""))))</f>
        <v/>
      </c>
      <c r="L393" s="33"/>
      <c r="M393" s="33"/>
      <c r="N393" s="33"/>
      <c r="O393" s="29"/>
      <c r="P393" s="29"/>
      <c r="Q393" s="35" t="str">
        <f t="shared" ref="Q393:Q404" ca="1" si="96">IFERROR(IF(O393="","",IF(P393="",MOD(NOW()-O393,1),IF(P393&gt;=O393,P393-O393,P393+1-O393))),"")</f>
        <v/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/>
      <c r="D394" s="62"/>
      <c r="E394" s="109"/>
      <c r="F394" s="134" t="str">
        <f>IFERROR(IF($D394="","",VLOOKUP($D394,Cadastro!$C$4:$E$7,3,FALSE)),"")</f>
        <v/>
      </c>
      <c r="G394" s="105"/>
      <c r="H394" s="134" t="str">
        <f>IFERROR(IF($G394="","",$G394*$S$405/$G$405/Cadastro!$E$33),"")</f>
        <v/>
      </c>
      <c r="I394" s="135" t="str">
        <f>IFERROR(IF($D394="","",VLOOKUP($D394,Cadastro!$C$4:$G$7,5,FALSE)),"")</f>
        <v/>
      </c>
      <c r="J394" s="136" t="str">
        <f t="shared" si="94"/>
        <v/>
      </c>
      <c r="K394" s="28" t="str">
        <f t="shared" si="95"/>
        <v/>
      </c>
      <c r="L394" s="26"/>
      <c r="M394" s="26"/>
      <c r="N394" s="26"/>
      <c r="O394" s="29"/>
      <c r="P394" s="29"/>
      <c r="Q394" s="30" t="str">
        <f t="shared" ca="1" si="96"/>
        <v/>
      </c>
      <c r="R394" s="27"/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/>
      <c r="D395" s="62"/>
      <c r="E395" s="109"/>
      <c r="F395" s="134" t="str">
        <f>IFERROR(IF($D395="","",VLOOKUP($D395,Cadastro!$C$4:$E$7,3,FALSE)),"")</f>
        <v/>
      </c>
      <c r="G395" s="105"/>
      <c r="H395" s="134" t="str">
        <f>IFERROR(IF($G395="","",$G395*$S$405/$G$405/Cadastro!$E$33),"")</f>
        <v/>
      </c>
      <c r="I395" s="135" t="str">
        <f>IFERROR(IF($D395="","",VLOOKUP($D395,Cadastro!$C$4:$G$7,5,FALSE)),"")</f>
        <v/>
      </c>
      <c r="J395" s="136" t="str">
        <f t="shared" si="94"/>
        <v/>
      </c>
      <c r="K395" s="34" t="str">
        <f t="shared" si="95"/>
        <v/>
      </c>
      <c r="L395" s="33"/>
      <c r="M395" s="33"/>
      <c r="N395" s="33"/>
      <c r="O395" s="29"/>
      <c r="P395" s="29"/>
      <c r="Q395" s="35" t="str">
        <f t="shared" ca="1" si="96"/>
        <v/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/>
      <c r="D396" s="62"/>
      <c r="E396" s="109"/>
      <c r="F396" s="134" t="str">
        <f>IFERROR(IF($D396="","",VLOOKUP($D396,Cadastro!$C$4:$E$7,3,FALSE)),"")</f>
        <v/>
      </c>
      <c r="G396" s="105"/>
      <c r="H396" s="134" t="str">
        <f>IFERROR(IF($G396="","",$G396*$S$405/$G$405/Cadastro!$E$33),"")</f>
        <v/>
      </c>
      <c r="I396" s="135" t="str">
        <f>IFERROR(IF($D396="","",VLOOKUP($D396,Cadastro!$C$4:$G$7,5,FALSE)),"")</f>
        <v/>
      </c>
      <c r="J396" s="136" t="str">
        <f t="shared" si="94"/>
        <v/>
      </c>
      <c r="K396" s="28" t="str">
        <f t="shared" si="95"/>
        <v/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/>
      <c r="D397" s="62"/>
      <c r="E397" s="109"/>
      <c r="F397" s="134" t="str">
        <f>IFERROR(IF($D397="","",VLOOKUP($D397,Cadastro!$C$4:$E$7,3,FALSE)),"")</f>
        <v/>
      </c>
      <c r="G397" s="105"/>
      <c r="H397" s="134" t="str">
        <f>IFERROR(IF($G397="","",$G397*$S$405/$G$405/Cadastro!$E$33),"")</f>
        <v/>
      </c>
      <c r="I397" s="135" t="str">
        <f>IFERROR(IF($D397="","",VLOOKUP($D397,Cadastro!$C$4:$G$7,5,FALSE)),"")</f>
        <v/>
      </c>
      <c r="J397" s="136" t="str">
        <f t="shared" si="94"/>
        <v/>
      </c>
      <c r="K397" s="34" t="str">
        <f t="shared" si="95"/>
        <v/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/>
      <c r="D398" s="62"/>
      <c r="E398" s="109"/>
      <c r="F398" s="134" t="str">
        <f>IFERROR(IF($D398="","",VLOOKUP($D398,Cadastro!$C$4:$E$7,3,FALSE)),"")</f>
        <v/>
      </c>
      <c r="G398" s="105"/>
      <c r="H398" s="134" t="str">
        <f>IFERROR(IF($G398="","",$G398*$S$405/$G$405/Cadastro!$E$33),"")</f>
        <v/>
      </c>
      <c r="I398" s="135" t="str">
        <f>IFERROR(IF($D398="","",VLOOKUP($D398,Cadastro!$C$4:$G$7,5,FALSE)),"")</f>
        <v/>
      </c>
      <c r="J398" s="136" t="str">
        <f t="shared" si="94"/>
        <v/>
      </c>
      <c r="K398" s="28" t="str">
        <f t="shared" si="95"/>
        <v/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/>
      <c r="D399" s="62"/>
      <c r="E399" s="109"/>
      <c r="F399" s="134" t="str">
        <f>IFERROR(IF($D399="","",VLOOKUP($D399,Cadastro!$C$4:$E$7,3,FALSE)),"")</f>
        <v/>
      </c>
      <c r="G399" s="105"/>
      <c r="H399" s="134" t="str">
        <f>IFERROR(IF($G399="","",$G399*$S$405/$G$405/Cadastro!$E$33),"")</f>
        <v/>
      </c>
      <c r="I399" s="135" t="str">
        <f>IFERROR(IF($D399="","",VLOOKUP($D399,Cadastro!$C$4:$G$7,5,FALSE)),"")</f>
        <v/>
      </c>
      <c r="J399" s="136" t="str">
        <f t="shared" si="94"/>
        <v/>
      </c>
      <c r="K399" s="34" t="str">
        <f t="shared" si="95"/>
        <v/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/>
      <c r="D400" s="62"/>
      <c r="E400" s="109"/>
      <c r="F400" s="134" t="str">
        <f>IFERROR(IF($D400="","",VLOOKUP($D400,Cadastro!$C$4:$E$7,3,FALSE)),"")</f>
        <v/>
      </c>
      <c r="G400" s="105"/>
      <c r="H400" s="134" t="str">
        <f>IFERROR(IF($G400="","",$G400*$S$405/$G$405/Cadastro!$E$33),"")</f>
        <v/>
      </c>
      <c r="I400" s="135" t="str">
        <f>IFERROR(IF($D400="","",VLOOKUP($D400,Cadastro!$C$4:$G$7,5,FALSE)),"")</f>
        <v/>
      </c>
      <c r="J400" s="136" t="str">
        <f t="shared" si="94"/>
        <v/>
      </c>
      <c r="K400" s="28" t="str">
        <f t="shared" si="95"/>
        <v/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/>
      <c r="D401" s="62"/>
      <c r="E401" s="109"/>
      <c r="F401" s="134" t="str">
        <f>IFERROR(IF($D401="","",VLOOKUP($D401,Cadastro!$C$4:$E$7,3,FALSE)),"")</f>
        <v/>
      </c>
      <c r="G401" s="105"/>
      <c r="H401" s="134" t="str">
        <f>IFERROR(IF($G401="","",$G401*$S$405/$G$405/Cadastro!$E$33),"")</f>
        <v/>
      </c>
      <c r="I401" s="135" t="str">
        <f>IFERROR(IF($D401="","",VLOOKUP($D401,Cadastro!$C$4:$G$7,5,FALSE)),"")</f>
        <v/>
      </c>
      <c r="J401" s="136" t="str">
        <f t="shared" si="94"/>
        <v/>
      </c>
      <c r="K401" s="34" t="str">
        <f t="shared" si="95"/>
        <v/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/>
      <c r="D402" s="62"/>
      <c r="E402" s="109"/>
      <c r="F402" s="134" t="str">
        <f>IFERROR(IF($D402="","",VLOOKUP($D402,Cadastro!$C$4:$E$7,3,FALSE)),"")</f>
        <v/>
      </c>
      <c r="G402" s="105"/>
      <c r="H402" s="134" t="str">
        <f>IFERROR(IF($G402="","",$G402*$S$405/$G$405/Cadastro!$E$33),"")</f>
        <v/>
      </c>
      <c r="I402" s="135" t="str">
        <f>IFERROR(IF($D402="","",VLOOKUP($D402,Cadastro!$C$4:$G$7,5,FALSE)),"")</f>
        <v/>
      </c>
      <c r="J402" s="136" t="str">
        <f t="shared" si="94"/>
        <v/>
      </c>
      <c r="K402" s="28" t="str">
        <f t="shared" si="95"/>
        <v/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/>
      <c r="D403" s="62"/>
      <c r="E403" s="109"/>
      <c r="F403" s="134" t="str">
        <f>IFERROR(IF($D403="","",VLOOKUP($D403,Cadastro!$C$4:$E$7,3,FALSE)),"")</f>
        <v/>
      </c>
      <c r="G403" s="105"/>
      <c r="H403" s="134" t="str">
        <f>IFERROR(IF($G403="","",$G403*$S$405/$G$405/Cadastro!$E$33),"")</f>
        <v/>
      </c>
      <c r="I403" s="135" t="str">
        <f>IFERROR(IF($D403="","",VLOOKUP($D403,Cadastro!$C$4:$G$7,5,FALSE)),"")</f>
        <v/>
      </c>
      <c r="J403" s="136" t="str">
        <f t="shared" si="94"/>
        <v/>
      </c>
      <c r="K403" s="34" t="str">
        <f t="shared" si="95"/>
        <v/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/>
      <c r="D404" s="62"/>
      <c r="E404" s="109"/>
      <c r="F404" s="137" t="str">
        <f>IFERROR(IF($D404="","",VLOOKUP($D404,Cadastro!$C$4:$E$7,3,FALSE)),"")</f>
        <v/>
      </c>
      <c r="G404" s="105"/>
      <c r="H404" s="137" t="str">
        <f>IFERROR(IF($G404="","",$G404*$S$405/$G$405/Cadastro!$E$33),"")</f>
        <v/>
      </c>
      <c r="I404" s="138" t="str">
        <f>IFERROR(IF($D404="","",VLOOKUP($D404,Cadastro!$C$4:$G$7,5,FALSE)),"")</f>
        <v/>
      </c>
      <c r="J404" s="139" t="str">
        <f t="shared" si="94"/>
        <v/>
      </c>
      <c r="K404" s="28" t="str">
        <f t="shared" si="95"/>
        <v/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0</v>
      </c>
      <c r="H405" s="111">
        <f>IFERROR(SUM(H393:H404),"")</f>
        <v>0</v>
      </c>
      <c r="I405" s="115"/>
      <c r="J405" s="124">
        <f>IFERROR(SUM(J393:J404),"")</f>
        <v>0</v>
      </c>
      <c r="K405" s="36">
        <f>SUM(K393:K404)</f>
        <v>0</v>
      </c>
      <c r="L405" s="37"/>
      <c r="M405" s="37"/>
      <c r="N405" s="37"/>
      <c r="O405" s="61"/>
      <c r="P405" s="61"/>
      <c r="Q405" s="38">
        <f ca="1">IFERROR(SUM(Q393:Q404),"")</f>
        <v>0</v>
      </c>
      <c r="R405" s="36" t="s">
        <v>245</v>
      </c>
      <c r="S405" s="39"/>
      <c r="T405" s="119">
        <f>IFERROR(J405,"")</f>
        <v>0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0</v>
      </c>
      <c r="H406" s="112">
        <f>IFERROR(H392+H405,"")</f>
        <v>0</v>
      </c>
      <c r="I406" s="116"/>
      <c r="J406" s="125">
        <f>IFERROR(J392+J405,"")</f>
        <v>0</v>
      </c>
      <c r="K406" s="40">
        <f>K392+K405</f>
        <v>0</v>
      </c>
      <c r="L406" s="41"/>
      <c r="M406" s="41"/>
      <c r="N406" s="41"/>
      <c r="O406" s="63"/>
      <c r="P406" s="63"/>
      <c r="Q406" s="42">
        <f ca="1">IFERROR(Q392+Q405,"")</f>
        <v>0</v>
      </c>
      <c r="R406" s="40" t="s">
        <v>249</v>
      </c>
      <c r="S406" s="48">
        <f>IFERROR(S392+S405,"")</f>
        <v>0</v>
      </c>
      <c r="T406" s="121">
        <f>IFERROR(J406,"")</f>
        <v>0</v>
      </c>
    </row>
    <row r="407" spans="1:20" ht="15" customHeight="1">
      <c r="A407" s="68">
        <v>46250</v>
      </c>
      <c r="B407" s="32">
        <v>0.33333333333333298</v>
      </c>
      <c r="C407" s="33"/>
      <c r="D407" s="62"/>
      <c r="E407" s="109"/>
      <c r="F407" s="140" t="str">
        <f>IFERROR(IF($D407="","",VLOOKUP($D407,Cadastro!$C$4:$E$7,3,FALSE)),"")</f>
        <v/>
      </c>
      <c r="G407" s="105"/>
      <c r="H407" s="140" t="str">
        <f>IFERROR(IF($G407="","",$G407*$S$419/$G$419/Cadastro!$E$33),"")</f>
        <v/>
      </c>
      <c r="I407" s="141" t="str">
        <f>IFERROR(IF($D407="","",VLOOKUP($D407,Cadastro!$C$4:$G$7,5,FALSE)),"")</f>
        <v/>
      </c>
      <c r="J407" s="142" t="str">
        <f t="shared" ref="J407:J418" si="98">IFERROR(IF($H407="","",$H407*$F407*$I407),"")</f>
        <v/>
      </c>
      <c r="K407" s="34" t="str">
        <f t="shared" ref="K407:K418" si="99">IF(G407="","",IF(E407="PC 17",G407*4.2,IF(E407="PC 19",G407*5,IF(E407="CB",G407*24,""))))</f>
        <v/>
      </c>
      <c r="L407" s="33"/>
      <c r="M407" s="33"/>
      <c r="N407" s="33"/>
      <c r="O407" s="29"/>
      <c r="P407" s="29"/>
      <c r="Q407" s="35" t="str">
        <f t="shared" ref="Q407:Q418" ca="1" si="100">IFERROR(IF(O407="","",IF(P407="",MOD(NOW()-O407,1),IF(P407&gt;=O407,P407-O407,P407+1-O407))),"")</f>
        <v/>
      </c>
      <c r="R407" s="27"/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/>
      <c r="D408" s="62"/>
      <c r="E408" s="109"/>
      <c r="F408" s="134" t="str">
        <f>IFERROR(IF($D408="","",VLOOKUP($D408,Cadastro!$C$4:$E$7,3,FALSE)),"")</f>
        <v/>
      </c>
      <c r="G408" s="105"/>
      <c r="H408" s="134" t="str">
        <f>IFERROR(IF($G408="","",$G408*$S$419/$G$419/Cadastro!$E$33),"")</f>
        <v/>
      </c>
      <c r="I408" s="135" t="str">
        <f>IFERROR(IF($D408="","",VLOOKUP($D408,Cadastro!$C$4:$G$7,5,FALSE)),"")</f>
        <v/>
      </c>
      <c r="J408" s="136" t="str">
        <f t="shared" si="98"/>
        <v/>
      </c>
      <c r="K408" s="28" t="str">
        <f t="shared" si="99"/>
        <v/>
      </c>
      <c r="L408" s="26"/>
      <c r="M408" s="26"/>
      <c r="N408" s="26"/>
      <c r="O408" s="29"/>
      <c r="P408" s="29"/>
      <c r="Q408" s="30" t="str">
        <f t="shared" ca="1" si="100"/>
        <v/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/>
      <c r="D409" s="62"/>
      <c r="E409" s="109"/>
      <c r="F409" s="134" t="str">
        <f>IFERROR(IF($D409="","",VLOOKUP($D409,Cadastro!$C$4:$E$7,3,FALSE)),"")</f>
        <v/>
      </c>
      <c r="G409" s="105"/>
      <c r="H409" s="134" t="str">
        <f>IFERROR(IF($G409="","",$G409*$S$419/$G$419/Cadastro!$E$33),"")</f>
        <v/>
      </c>
      <c r="I409" s="135" t="str">
        <f>IFERROR(IF($D409="","",VLOOKUP($D409,Cadastro!$C$4:$G$7,5,FALSE)),"")</f>
        <v/>
      </c>
      <c r="J409" s="136" t="str">
        <f t="shared" si="98"/>
        <v/>
      </c>
      <c r="K409" s="34" t="str">
        <f t="shared" si="99"/>
        <v/>
      </c>
      <c r="L409" s="33"/>
      <c r="M409" s="33"/>
      <c r="N409" s="33"/>
      <c r="O409" s="29"/>
      <c r="P409" s="29"/>
      <c r="Q409" s="35" t="str">
        <f t="shared" ca="1" si="100"/>
        <v/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/>
      <c r="D410" s="62"/>
      <c r="E410" s="109"/>
      <c r="F410" s="134" t="str">
        <f>IFERROR(IF($D410="","",VLOOKUP($D410,Cadastro!$C$4:$E$7,3,FALSE)),"")</f>
        <v/>
      </c>
      <c r="G410" s="105"/>
      <c r="H410" s="134" t="str">
        <f>IFERROR(IF($G410="","",$G410*$S$419/$G$419/Cadastro!$E$33),"")</f>
        <v/>
      </c>
      <c r="I410" s="135" t="str">
        <f>IFERROR(IF($D410="","",VLOOKUP($D410,Cadastro!$C$4:$G$7,5,FALSE)),"")</f>
        <v/>
      </c>
      <c r="J410" s="136" t="str">
        <f t="shared" si="98"/>
        <v/>
      </c>
      <c r="K410" s="28" t="str">
        <f t="shared" si="99"/>
        <v/>
      </c>
      <c r="L410" s="26"/>
      <c r="M410" s="26"/>
      <c r="N410" s="26"/>
      <c r="O410" s="29"/>
      <c r="P410" s="29"/>
      <c r="Q410" s="30" t="str">
        <f t="shared" ca="1" si="100"/>
        <v/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/>
      <c r="D411" s="62"/>
      <c r="E411" s="109"/>
      <c r="F411" s="134" t="str">
        <f>IFERROR(IF($D411="","",VLOOKUP($D411,Cadastro!$C$4:$E$7,3,FALSE)),"")</f>
        <v/>
      </c>
      <c r="G411" s="105"/>
      <c r="H411" s="134" t="str">
        <f>IFERROR(IF($G411="","",$G411*$S$419/$G$419/Cadastro!$E$33),"")</f>
        <v/>
      </c>
      <c r="I411" s="135" t="str">
        <f>IFERROR(IF($D411="","",VLOOKUP($D411,Cadastro!$C$4:$G$7,5,FALSE)),"")</f>
        <v/>
      </c>
      <c r="J411" s="136" t="str">
        <f t="shared" si="98"/>
        <v/>
      </c>
      <c r="K411" s="34" t="str">
        <f t="shared" si="99"/>
        <v/>
      </c>
      <c r="L411" s="33"/>
      <c r="M411" s="33"/>
      <c r="N411" s="33"/>
      <c r="O411" s="29"/>
      <c r="P411" s="29"/>
      <c r="Q411" s="35" t="str">
        <f t="shared" ca="1" si="100"/>
        <v/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/>
      <c r="D412" s="62"/>
      <c r="E412" s="109"/>
      <c r="F412" s="134" t="str">
        <f>IFERROR(IF($D412="","",VLOOKUP($D412,Cadastro!$C$4:$E$7,3,FALSE)),"")</f>
        <v/>
      </c>
      <c r="G412" s="105"/>
      <c r="H412" s="134" t="str">
        <f>IFERROR(IF($G412="","",$G412*$S$419/$G$419/Cadastro!$E$33),"")</f>
        <v/>
      </c>
      <c r="I412" s="135" t="str">
        <f>IFERROR(IF($D412="","",VLOOKUP($D412,Cadastro!$C$4:$G$7,5,FALSE)),"")</f>
        <v/>
      </c>
      <c r="J412" s="136" t="str">
        <f t="shared" si="98"/>
        <v/>
      </c>
      <c r="K412" s="28" t="str">
        <f t="shared" si="99"/>
        <v/>
      </c>
      <c r="L412" s="26"/>
      <c r="M412" s="26"/>
      <c r="N412" s="26"/>
      <c r="O412" s="29"/>
      <c r="P412" s="29"/>
      <c r="Q412" s="30" t="str">
        <f t="shared" ca="1" si="100"/>
        <v/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/>
      <c r="D413" s="62"/>
      <c r="E413" s="109"/>
      <c r="F413" s="134" t="str">
        <f>IFERROR(IF($D413="","",VLOOKUP($D413,Cadastro!$C$4:$E$7,3,FALSE)),"")</f>
        <v/>
      </c>
      <c r="G413" s="105"/>
      <c r="H413" s="134" t="str">
        <f>IFERROR(IF($G413="","",$G413*$S$419/$G$419/Cadastro!$E$33),"")</f>
        <v/>
      </c>
      <c r="I413" s="135" t="str">
        <f>IFERROR(IF($D413="","",VLOOKUP($D413,Cadastro!$C$4:$G$7,5,FALSE)),"")</f>
        <v/>
      </c>
      <c r="J413" s="136" t="str">
        <f t="shared" si="98"/>
        <v/>
      </c>
      <c r="K413" s="34" t="str">
        <f t="shared" si="99"/>
        <v/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/>
      <c r="D414" s="62"/>
      <c r="E414" s="109"/>
      <c r="F414" s="134" t="str">
        <f>IFERROR(IF($D414="","",VLOOKUP($D414,Cadastro!$C$4:$E$7,3,FALSE)),"")</f>
        <v/>
      </c>
      <c r="G414" s="105"/>
      <c r="H414" s="134" t="str">
        <f>IFERROR(IF($G414="","",$G414*$S$419/$G$419/Cadastro!$E$33),"")</f>
        <v/>
      </c>
      <c r="I414" s="135" t="str">
        <f>IFERROR(IF($D414="","",VLOOKUP($D414,Cadastro!$C$4:$G$7,5,FALSE)),"")</f>
        <v/>
      </c>
      <c r="J414" s="136" t="str">
        <f t="shared" si="98"/>
        <v/>
      </c>
      <c r="K414" s="28" t="str">
        <f t="shared" si="99"/>
        <v/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/>
      <c r="D415" s="62"/>
      <c r="E415" s="109"/>
      <c r="F415" s="134" t="str">
        <f>IFERROR(IF($D415="","",VLOOKUP($D415,Cadastro!$C$4:$E$7,3,FALSE)),"")</f>
        <v/>
      </c>
      <c r="G415" s="105"/>
      <c r="H415" s="134" t="str">
        <f>IFERROR(IF($G415="","",$G415*$S$419/$G$419/Cadastro!$E$33),"")</f>
        <v/>
      </c>
      <c r="I415" s="135" t="str">
        <f>IFERROR(IF($D415="","",VLOOKUP($D415,Cadastro!$C$4:$G$7,5,FALSE)),"")</f>
        <v/>
      </c>
      <c r="J415" s="136" t="str">
        <f t="shared" si="98"/>
        <v/>
      </c>
      <c r="K415" s="34" t="str">
        <f t="shared" si="99"/>
        <v/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/>
      <c r="D416" s="62"/>
      <c r="E416" s="109"/>
      <c r="F416" s="134" t="str">
        <f>IFERROR(IF($D416="","",VLOOKUP($D416,Cadastro!$C$4:$E$7,3,FALSE)),"")</f>
        <v/>
      </c>
      <c r="G416" s="105"/>
      <c r="H416" s="134" t="str">
        <f>IFERROR(IF($G416="","",$G416*$S$419/$G$419/Cadastro!$E$33),"")</f>
        <v/>
      </c>
      <c r="I416" s="135" t="str">
        <f>IFERROR(IF($D416="","",VLOOKUP($D416,Cadastro!$C$4:$G$7,5,FALSE)),"")</f>
        <v/>
      </c>
      <c r="J416" s="136" t="str">
        <f t="shared" si="98"/>
        <v/>
      </c>
      <c r="K416" s="28" t="str">
        <f t="shared" si="99"/>
        <v/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/>
      <c r="D417" s="62"/>
      <c r="E417" s="109"/>
      <c r="F417" s="134" t="str">
        <f>IFERROR(IF($D417="","",VLOOKUP($D417,Cadastro!$C$4:$E$7,3,FALSE)),"")</f>
        <v/>
      </c>
      <c r="G417" s="105"/>
      <c r="H417" s="134" t="str">
        <f>IFERROR(IF($G417="","",$G417*$S$419/$G$419/Cadastro!$E$33),"")</f>
        <v/>
      </c>
      <c r="I417" s="135" t="str">
        <f>IFERROR(IF($D417="","",VLOOKUP($D417,Cadastro!$C$4:$G$7,5,FALSE)),"")</f>
        <v/>
      </c>
      <c r="J417" s="136" t="str">
        <f t="shared" si="98"/>
        <v/>
      </c>
      <c r="K417" s="34" t="str">
        <f t="shared" si="99"/>
        <v/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/>
      <c r="D418" s="62"/>
      <c r="E418" s="109"/>
      <c r="F418" s="137" t="str">
        <f>IFERROR(IF($D418="","",VLOOKUP($D418,Cadastro!$C$4:$E$7,3,FALSE)),"")</f>
        <v/>
      </c>
      <c r="G418" s="105"/>
      <c r="H418" s="137" t="str">
        <f>IFERROR(IF($G418="","",$G418*$S$419/$G$419/Cadastro!$E$33),"")</f>
        <v/>
      </c>
      <c r="I418" s="138" t="str">
        <f>IFERROR(IF($D418="","",VLOOKUP($D418,Cadastro!$C$4:$G$7,5,FALSE)),"")</f>
        <v/>
      </c>
      <c r="J418" s="139" t="str">
        <f t="shared" si="98"/>
        <v/>
      </c>
      <c r="K418" s="28" t="str">
        <f t="shared" si="99"/>
        <v/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0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0</v>
      </c>
      <c r="L419" s="37"/>
      <c r="M419" s="37"/>
      <c r="N419" s="37"/>
      <c r="O419" s="61"/>
      <c r="P419" s="61"/>
      <c r="Q419" s="38">
        <f ca="1">IFERROR(SUM(Q407:Q418),"")</f>
        <v>0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0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0</v>
      </c>
      <c r="L433" s="41"/>
      <c r="M433" s="41"/>
      <c r="N433" s="41"/>
      <c r="O433" s="63"/>
      <c r="P433" s="63"/>
      <c r="Q433" s="42">
        <f ca="1">IFERROR(Q419+Q432,"")</f>
        <v>0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rS2t3fejTaq4A379akafgaTA5DrSu90PpMCCwDK929/gTgeGdli8kLgz9CbivPBQYb/xsR2wuuuzaL1tqbgyLQ==" saltValue="sAu/hKgMiRf+iZHwVDCkL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2026-08-15T10:51:50Z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