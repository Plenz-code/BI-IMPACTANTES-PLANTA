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86" documentId="8_{AF585B22-221D-4780-BB9C-493D365A6A02}" xr6:coauthVersionLast="47" xr6:coauthVersionMax="47" xr10:uidLastSave="{AD47F788-1450-4235-8F1E-0C2C2143191C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<sst xmlns="http://schemas.openxmlformats.org/spreadsheetml/2006/main" count="7501" uniqueCount="349">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</sst>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4" sqref="E4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40</v>
      </c>
      <c r="G466" s="28">
        <f t="shared" si="102"/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N465" sqref="N4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0.36806331018306082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0.52570219907194971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0.63542442129417187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0.34653553240787005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0.51736886574120344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0.66250775463009237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0.51041666666666663</v>
      </c>
      <c r="M464" s="30">
        <f t="shared" ca="1" si="103"/>
        <v>0.9722222222222221</v>
      </c>
      <c r="N464" s="46" t="s">
        <v>292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75</v>
      </c>
      <c r="G473" s="36">
        <f>SUM(G461:G472)</f>
        <v>375</v>
      </c>
      <c r="H473" s="37"/>
      <c r="I473" s="37"/>
      <c r="J473" s="37"/>
      <c r="K473" s="37"/>
      <c r="L473" s="37"/>
      <c r="M473" s="38">
        <f ca="1">IFERROR(SUM(M461:M472),"")</f>
        <v>1.0159722222222221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75</v>
      </c>
      <c r="G487" s="40">
        <f>G473+G486</f>
        <v>375</v>
      </c>
      <c r="H487" s="41"/>
      <c r="I487" s="41"/>
      <c r="J487" s="41"/>
      <c r="K487" s="41"/>
      <c r="L487" s="41"/>
      <c r="M487" s="42">
        <f ca="1">IFERROR(M473+M486,"")</f>
        <v>1.0159722222222221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I463" sqref="I4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301</v>
      </c>
      <c r="N166" s="27" t="s">
        <v>302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 t="s">
        <v>17</v>
      </c>
      <c r="I463" s="33"/>
      <c r="J463" s="33"/>
      <c r="K463" s="29">
        <v>0.5541666666666667</v>
      </c>
      <c r="L463" s="29"/>
      <c r="M463" s="35">
        <f t="shared" ca="1" si="103"/>
        <v>5.3479976850212552E-2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7</v>
      </c>
      <c r="G466" s="28">
        <f t="shared" si="102"/>
        <v>35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26</v>
      </c>
      <c r="G473" s="36">
        <f>SUM(G461:G472)</f>
        <v>130</v>
      </c>
      <c r="H473" s="37"/>
      <c r="I473" s="37"/>
      <c r="J473" s="37"/>
      <c r="K473" s="37"/>
      <c r="L473" s="37"/>
      <c r="M473" s="38">
        <f ca="1">IFERROR(SUM(M461:M472),"")</f>
        <v>8.4729976850212496E-2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26</v>
      </c>
      <c r="G487" s="40">
        <f>G473+G486</f>
        <v>130</v>
      </c>
      <c r="H487" s="41"/>
      <c r="I487" s="41"/>
      <c r="J487" s="41"/>
      <c r="K487" s="41"/>
      <c r="L487" s="41"/>
      <c r="M487" s="42">
        <f ca="1">IFERROR(M473+M486,"")</f>
        <v>8.4729976850212496E-2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45" activePane="bottomLeft" state="frozen"/>
      <selection pane="bottomLeft" activeCell="I464" sqref="I46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317</v>
      </c>
      <c r="L58" s="29">
        <v>0.54097222222222219</v>
      </c>
      <c r="M58" s="30" t="str">
        <f t="shared" ca="1" si="13"/>
        <v/>
      </c>
      <c r="N58" s="27" t="s">
        <v>318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0.35834108796552755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0.55764664352108317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0.9250077546321942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347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348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 t="s">
        <v>18</v>
      </c>
      <c r="I464" s="26" t="s">
        <v>137</v>
      </c>
      <c r="J464" s="26"/>
      <c r="K464" s="29">
        <v>0.60069444444444442</v>
      </c>
      <c r="L464" s="29"/>
      <c r="M464" s="30">
        <f t="shared" ca="1" si="103"/>
        <v>6.9521990735665895E-3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63</v>
      </c>
      <c r="G473" s="36">
        <f>SUM(G461:G472)</f>
        <v>315</v>
      </c>
      <c r="H473" s="37"/>
      <c r="I473" s="37"/>
      <c r="J473" s="37"/>
      <c r="K473" s="61"/>
      <c r="L473" s="61"/>
      <c r="M473" s="38">
        <f ca="1">IFERROR(SUM(M461:M472),"")</f>
        <v>0.11806331018467764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63</v>
      </c>
      <c r="G487" s="40">
        <f>G473+G486</f>
        <v>315</v>
      </c>
      <c r="H487" s="41"/>
      <c r="I487" s="41"/>
      <c r="J487" s="41"/>
      <c r="K487" s="63"/>
      <c r="L487" s="63"/>
      <c r="M487" s="42">
        <f ca="1">IFERROR(M473+M486,"")</f>
        <v>0.11806331018467764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2026-07-18T18:35:02Z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