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421" documentId="8_{AF585B22-221D-4780-BB9C-493D365A6A02}" xr6:coauthVersionLast="47" xr6:coauthVersionMax="47" xr10:uidLastSave="{AF60B28C-F8AE-4C9E-83CB-6C587556FBBD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<sst xmlns="http://schemas.openxmlformats.org/spreadsheetml/2006/main" count="7333" uniqueCount="345">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</sst>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1268235</v>
      </c>
      <c r="D20" s="8">
        <f>IFERROR('Linha 1'!O460,"")</f>
        <v>1370620</v>
      </c>
      <c r="E20" s="8">
        <f>IFERROR('Linha 2'!O460,"")</f>
        <v>551310</v>
      </c>
      <c r="F20" s="8">
        <f>IFERROR('Linha 3'!O460,"")</f>
        <v>1353700</v>
      </c>
      <c r="G20" s="9">
        <f t="shared" si="0"/>
        <v>3275630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49592197</v>
      </c>
      <c r="D35" s="13">
        <f>IFERROR(SUM(D4:D34),"")</f>
        <v>19135750</v>
      </c>
      <c r="E35" s="13">
        <f>IFERROR(SUM(E4:E34),"")</f>
        <v>12196740</v>
      </c>
      <c r="F35" s="13">
        <f>IFERROR(SUM(F4:F34),"")</f>
        <v>23391460</v>
      </c>
      <c r="G35" s="13">
        <f>IFERROR(SUM(G4:G34),"")</f>
        <v>54723950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3" activePane="bottomLeft" state="frozen"/>
      <selection pane="bottomLeft" activeCell="O460" sqref="O46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26755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1268235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26" activePane="bottomLeft" state="frozen"/>
      <selection pane="bottomLeft" activeCell="O460" sqref="O4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4.8628819444274995E-2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0.20626770833316388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0.31598993055538604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2.7101041669084225E-2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0.19793437500241759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0.34307326389130643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1370620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32" zoomScale="50" zoomScaleNormal="50" workbookViewId="0">
      <selection activeCell="O460" sqref="O4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299</v>
      </c>
      <c r="N166" s="27" t="s">
        <v>300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551310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O460" sqref="O46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315</v>
      </c>
      <c r="L58" s="29">
        <v>0.54097222222222219</v>
      </c>
      <c r="M58" s="30" t="str">
        <f t="shared" ca="1" si="13"/>
        <v/>
      </c>
      <c r="N58" s="27" t="s">
        <v>316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3.8906828704057261E-2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0.23821238425961289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0.60557349537072391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341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342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343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1353700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2026-07-18T10:55:34Z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