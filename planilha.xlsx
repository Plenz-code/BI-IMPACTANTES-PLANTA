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284" documentId="13_ncr:1_{A6DBCFB4-28D9-4249-9038-216934055CA6}" xr6:coauthVersionLast="47" xr6:coauthVersionMax="47" xr10:uidLastSave="{0E932BA6-57DA-45AA-89C3-749D385D86DD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676" i="5" l="1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<sst xmlns="http://schemas.openxmlformats.org/spreadsheetml/2006/main" count="11046" uniqueCount="447">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</sst>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2220720</v>
      </c>
      <c r="D28" s="19">
        <f>IFERROR('Linha 1'!S676,"")</f>
        <v>261620</v>
      </c>
      <c r="E28" s="19">
        <f>IFERROR('Linha 2'!S676,"")</f>
        <v>24120</v>
      </c>
      <c r="F28" s="19">
        <f>IFERROR('Linha 3'!S676,"")</f>
        <v>597370</v>
      </c>
      <c r="G28" s="20">
        <f t="shared" si="0"/>
        <v>883110</v>
      </c>
      <c r="H28" s="21">
        <f>IFERROR('Linha 1'!T676+'Linha 2'!T676+'Linha 3'!T676,0)</f>
        <v>185.45309999999998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90445770</v>
      </c>
      <c r="D35" s="30">
        <f t="shared" si="1"/>
        <v>28186290</v>
      </c>
      <c r="E35" s="30">
        <f t="shared" si="1"/>
        <v>15912690</v>
      </c>
      <c r="F35" s="30">
        <f t="shared" si="1"/>
        <v>38210940</v>
      </c>
      <c r="G35" s="30">
        <f t="shared" si="1"/>
        <v>82309920</v>
      </c>
      <c r="H35" s="31">
        <f t="shared" si="1"/>
        <v>8863.8676946384148</v>
      </c>
      <c r="I35" s="31">
        <f t="shared" si="1"/>
        <v>9156.869999999999</v>
      </c>
      <c r="J35" s="32">
        <f>IFERROR(IF(H35&gt;I35,MAX(0,2-H35/I35),H35/I35),"")</f>
        <v>0.96800191491616849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r3XIo71h0/l39sS9U5Ji6OyAkkljO6Xc89dheQfNXAJ7ZWvgaiVsmf/cxxO0PPMSrf7cCW/vu4RjHJoK+2mC1g==" saltValue="Rbm/NLSQOx0VbKKqbXZYE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42" activePane="bottomLeft" state="frozen"/>
      <selection pane="bottomLeft" activeCell="F670" sqref="F670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/>
      <c r="I664" s="60"/>
      <c r="J664" s="60"/>
      <c r="K664" s="64"/>
      <c r="L664" s="64"/>
      <c r="M664" s="65" t="str">
        <f t="shared" ca="1" si="144"/>
        <v/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/>
      <c r="G670" s="63" t="str">
        <f t="shared" si="143"/>
        <v/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/>
      <c r="G671" s="68" t="str">
        <f t="shared" si="143"/>
        <v/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/>
      <c r="G672" s="63" t="str">
        <f t="shared" si="143"/>
        <v/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/>
      <c r="G673" s="68" t="str">
        <f t="shared" si="143"/>
        <v/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/>
      <c r="G674" s="63" t="str">
        <f t="shared" si="143"/>
        <v/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275</v>
      </c>
      <c r="G675" s="2">
        <f>SUM(G663:G674)</f>
        <v>1375</v>
      </c>
      <c r="H675" s="71"/>
      <c r="I675" s="71"/>
      <c r="J675" s="71"/>
      <c r="K675" s="71"/>
      <c r="L675" s="71"/>
      <c r="M675" s="72">
        <f ca="1">IFERROR(SUM(M663:M674),"")</f>
        <v>7.6388888888888618E-3</v>
      </c>
      <c r="N675" s="2" t="s">
        <v>265</v>
      </c>
      <c r="O675" s="73"/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602</v>
      </c>
      <c r="G676" s="1">
        <f>G662+G675</f>
        <v>3010</v>
      </c>
      <c r="H676" s="75"/>
      <c r="I676" s="75"/>
      <c r="J676" s="75"/>
      <c r="K676" s="75"/>
      <c r="L676" s="75"/>
      <c r="M676" s="76">
        <f ca="1">IFERROR(M662+M675,"")</f>
        <v>0.14305555555555549</v>
      </c>
      <c r="N676" s="1" t="s">
        <v>268</v>
      </c>
      <c r="O676" s="81">
        <f>IFERROR(O662+O675,"")</f>
        <v>2220720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33" activePane="bottomLeft" state="frozen"/>
      <selection pane="bottomLeft" activeCell="N666" sqref="N666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0.9859452546297689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1.1248341435186566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1.2095563657408794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359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4"/>
        <v>0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4"/>
        <v>0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4"/>
        <v>0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/>
      <c r="Q666" s="65">
        <f t="shared" ca="1" si="176"/>
        <v>5.2858796698274091E-4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0</v>
      </c>
      <c r="I667" s="89">
        <f>IFERROR(IF($D667="","",VLOOKUP($D667,Cadastro!$C$4:$G$7,5,FALSE())),"")</f>
        <v>0.6</v>
      </c>
      <c r="J667" s="90">
        <f t="shared" si="174"/>
        <v>0</v>
      </c>
      <c r="K667" s="68">
        <f t="shared" si="175"/>
        <v>100.80000000000001</v>
      </c>
      <c r="L667" s="69"/>
      <c r="M667" s="69"/>
      <c r="N667" s="69"/>
      <c r="O667" s="64"/>
      <c r="P667" s="64"/>
      <c r="Q667" s="70" t="str">
        <f t="shared" ca="1" si="176"/>
        <v/>
      </c>
      <c r="R667" s="79"/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0</v>
      </c>
      <c r="I668" s="89">
        <f>IFERROR(IF($D668="","",VLOOKUP($D668,Cadastro!$C$4:$G$7,5,FALSE())),"")</f>
        <v>0.6</v>
      </c>
      <c r="J668" s="90">
        <f t="shared" si="174"/>
        <v>0</v>
      </c>
      <c r="K668" s="63">
        <f t="shared" si="175"/>
        <v>67.2</v>
      </c>
      <c r="L668" s="60"/>
      <c r="M668" s="60"/>
      <c r="N668" s="60"/>
      <c r="O668" s="64"/>
      <c r="P668" s="64"/>
      <c r="Q668" s="65" t="str">
        <f t="shared" ca="1" si="176"/>
        <v/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0</v>
      </c>
      <c r="I669" s="89">
        <f>IFERROR(IF($D669="","",VLOOKUP($D669,Cadastro!$C$4:$G$7,5,FALSE())),"")</f>
        <v>0.6</v>
      </c>
      <c r="J669" s="90">
        <f t="shared" si="174"/>
        <v>0</v>
      </c>
      <c r="K669" s="68">
        <f t="shared" si="175"/>
        <v>46.2</v>
      </c>
      <c r="L669" s="69"/>
      <c r="M669" s="69"/>
      <c r="N669" s="69"/>
      <c r="O669" s="64"/>
      <c r="P669" s="64"/>
      <c r="Q669" s="70" t="str">
        <f t="shared" ca="1" si="176"/>
        <v/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79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331.8</v>
      </c>
      <c r="L675" s="71"/>
      <c r="M675" s="71"/>
      <c r="N675" s="71"/>
      <c r="O675" s="71"/>
      <c r="P675" s="71"/>
      <c r="Q675" s="72">
        <f ca="1">IFERROR(SUM(Q663:Q674),"")</f>
        <v>0.13872303241142703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146</v>
      </c>
      <c r="H676" s="107">
        <f>IFERROR(H662+H675,"")</f>
        <v>261.62</v>
      </c>
      <c r="I676" s="109"/>
      <c r="J676" s="110">
        <f>IFERROR(J662+J675,"")</f>
        <v>54.94019999999999</v>
      </c>
      <c r="K676" s="1">
        <f>K662+K675</f>
        <v>613.20000000000005</v>
      </c>
      <c r="L676" s="75"/>
      <c r="M676" s="75"/>
      <c r="N676" s="75"/>
      <c r="O676" s="75"/>
      <c r="P676" s="75"/>
      <c r="Q676" s="76">
        <f ca="1">IFERROR(Q662+Q675,"")</f>
        <v>0.50330636574476029</v>
      </c>
      <c r="R676" s="1" t="s">
        <v>268</v>
      </c>
      <c r="S676" s="81">
        <f>IFERROR(S662+S675,"")</f>
        <v>261620</v>
      </c>
      <c r="T676" s="117">
        <f>IFERROR(J676,"")</f>
        <v>54.94019999999999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41" activePane="bottomLeft" state="frozen"/>
      <selection pane="bottomLeft" activeCell="G670" sqref="G670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369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373</v>
      </c>
      <c r="Q222" s="65" t="str">
        <f t="shared" ca="1" si="49"/>
        <v/>
      </c>
      <c r="R222" s="62" t="s">
        <v>374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379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389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389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389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0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1"/>
        <v>0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1"/>
        <v>0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0</v>
      </c>
      <c r="I667" s="89">
        <f>IFERROR(IF($D667="","",VLOOKUP($D667,Cadastro!$C$4:$G$7,5,FALSE())),"")</f>
        <v>0.6</v>
      </c>
      <c r="J667" s="90">
        <f t="shared" si="171"/>
        <v>0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0</v>
      </c>
      <c r="I668" s="89">
        <f>IFERROR(IF($D668="","",VLOOKUP($D668,Cadastro!$C$4:$G$7,5,FALSE())),"")</f>
        <v>0.6</v>
      </c>
      <c r="J668" s="90">
        <f t="shared" si="171"/>
        <v>0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0</v>
      </c>
      <c r="I669" s="89">
        <f>IFERROR(IF($D669="","",VLOOKUP($D669,Cadastro!$C$4:$G$7,5,FALSE())),"")</f>
        <v>0.6</v>
      </c>
      <c r="J669" s="90">
        <f t="shared" si="171"/>
        <v>0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1"/>
        <v/>
      </c>
      <c r="K670" s="63" t="str">
        <f t="shared" si="172"/>
        <v/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1"/>
        <v/>
      </c>
      <c r="K671" s="68" t="str">
        <f t="shared" si="172"/>
        <v/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1"/>
        <v/>
      </c>
      <c r="K672" s="63" t="str">
        <f t="shared" si="172"/>
        <v/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1"/>
        <v/>
      </c>
      <c r="K673" s="68" t="str">
        <f t="shared" si="172"/>
        <v/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1"/>
        <v/>
      </c>
      <c r="K674" s="63" t="str">
        <f t="shared" si="172"/>
        <v/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29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121.80000000000001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31</v>
      </c>
      <c r="H676" s="107">
        <f>IFERROR(H662+H675,"")</f>
        <v>24.12</v>
      </c>
      <c r="I676" s="109"/>
      <c r="J676" s="110">
        <f>IFERROR(J662+J675,"")</f>
        <v>5.0651999999999999</v>
      </c>
      <c r="K676" s="1">
        <f>K662+K675</f>
        <v>130.20000000000002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24120</v>
      </c>
      <c r="T676" s="117">
        <f>IFERROR(J676,"")</f>
        <v>5.0651999999999999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35" activePane="bottomLeft" state="frozen"/>
      <selection pane="bottomLeft" activeCell="G669" sqref="G669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393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394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395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396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397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398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399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400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401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402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403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404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405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406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408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409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410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411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412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413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414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415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416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417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418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419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420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421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422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423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424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425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426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420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427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428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429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430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431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432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433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434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435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436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419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420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437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438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439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440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419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441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436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442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443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444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445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446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4"/>
        <v>0</v>
      </c>
      <c r="K664" s="63">
        <f t="shared" si="175"/>
        <v>84</v>
      </c>
      <c r="L664" s="60"/>
      <c r="M664" s="60"/>
      <c r="N664" s="60"/>
      <c r="O664" s="64"/>
      <c r="P664" s="64"/>
      <c r="Q664" s="65" t="str">
        <f t="shared" ca="1" si="176"/>
        <v/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4"/>
        <v>0</v>
      </c>
      <c r="K665" s="68">
        <f t="shared" si="175"/>
        <v>79.8</v>
      </c>
      <c r="L665" s="69"/>
      <c r="M665" s="69"/>
      <c r="N665" s="69"/>
      <c r="O665" s="64"/>
      <c r="P665" s="64"/>
      <c r="Q665" s="70" t="str">
        <f t="shared" ca="1" si="176"/>
        <v/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4"/>
        <v>0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0</v>
      </c>
      <c r="I667" s="89">
        <f>IFERROR(IF($D667="","",VLOOKUP($D667,Cadastro!$C$4:$G$7,5,FALSE())),"")</f>
        <v>0.6</v>
      </c>
      <c r="J667" s="90">
        <f t="shared" si="174"/>
        <v>0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0</v>
      </c>
      <c r="I668" s="89">
        <f>IFERROR(IF($D668="","",VLOOKUP($D668,Cadastro!$C$4:$G$7,5,FALSE())),"")</f>
        <v>0.6</v>
      </c>
      <c r="J668" s="90">
        <f t="shared" si="174"/>
        <v>0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117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491.4</v>
      </c>
      <c r="L675" s="71"/>
      <c r="M675" s="71"/>
      <c r="N675" s="71"/>
      <c r="O675" s="133"/>
      <c r="P675" s="133"/>
      <c r="Q675" s="72">
        <f ca="1">IFERROR(SUM(Q663:Q674),"")</f>
        <v>1.8055555555555602E-2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247</v>
      </c>
      <c r="H676" s="107">
        <f>IFERROR(H662+H675,"")</f>
        <v>597.37</v>
      </c>
      <c r="I676" s="109"/>
      <c r="J676" s="110">
        <f>IFERROR(J662+J675,"")</f>
        <v>125.4477</v>
      </c>
      <c r="K676" s="1">
        <f>K662+K675</f>
        <v>1047.8</v>
      </c>
      <c r="L676" s="75"/>
      <c r="M676" s="75"/>
      <c r="N676" s="75"/>
      <c r="O676" s="134"/>
      <c r="P676" s="134"/>
      <c r="Q676" s="76">
        <f ca="1">IFERROR(Q662+Q675,"")</f>
        <v>0.28263888888888883</v>
      </c>
      <c r="R676" s="1" t="s">
        <v>268</v>
      </c>
      <c r="S676" s="81">
        <f>IFERROR(S662+S675,"")</f>
        <v>597370</v>
      </c>
      <c r="T676" s="117">
        <f>IFERROR(J676,"")</f>
        <v>125.4477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2026-08-26T06:36:24Z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