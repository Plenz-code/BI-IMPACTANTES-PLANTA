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89" documentId="13_ncr:1_{A6DBCFB4-28D9-4249-9038-216934055CA6}" xr6:coauthVersionLast="47" xr6:coauthVersionMax="47" xr10:uidLastSave="{8DF82117-BA4A-493F-BC67-2019155D992A}"/>
  <bookViews>
    <workbookView xWindow="-110" yWindow="-110" windowWidth="25820" windowHeight="1550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8" i="4" l="1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<sst xmlns="http://schemas.openxmlformats.org/spreadsheetml/2006/main" count="9721" uniqueCount="421">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</sst>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53" activePane="bottomLeft" state="frozen"/>
      <selection pane="bottomLeft" activeCell="F580" sqref="F58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348</v>
      </c>
      <c r="G581" s="2">
        <f>SUM(G569:G580)</f>
        <v>1740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348</v>
      </c>
      <c r="G595" s="1">
        <f>G581+G594</f>
        <v>1740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N570" sqref="N57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0.63096296296134824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0.76985185185023597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0.85457407407245878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/>
      <c r="Q570" s="66">
        <f t="shared" ca="1" si="148"/>
        <v>5.2685185219161212E-3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117.6</v>
      </c>
      <c r="L581" s="72"/>
      <c r="M581" s="72"/>
      <c r="N581" s="72"/>
      <c r="O581" s="72"/>
      <c r="P581" s="72"/>
      <c r="Q581" s="73">
        <f ca="1">IFERROR(SUM(Q569:Q580),"")</f>
        <v>0.36499074074413834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117.6</v>
      </c>
      <c r="L595" s="76"/>
      <c r="M595" s="76"/>
      <c r="N595" s="76"/>
      <c r="O595" s="76"/>
      <c r="P595" s="76"/>
      <c r="Q595" s="77">
        <f ca="1">IFERROR(Q581+Q594,"")</f>
        <v>0.36499074074413834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55" activePane="bottomLeft" state="frozen"/>
      <selection pane="bottomLeft" activeCell="N573" sqref="N57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/>
      <c r="Q573" s="71">
        <f t="shared" ca="1" si="145"/>
        <v>5.2685185219161212E-3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3"/>
        <v>0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3"/>
        <v>0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139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592.6</v>
      </c>
      <c r="L581" s="72"/>
      <c r="M581" s="72"/>
      <c r="N581" s="72"/>
      <c r="O581" s="72"/>
      <c r="P581" s="72"/>
      <c r="Q581" s="73">
        <f ca="1">IFERROR(SUM(Q569:Q580),"")</f>
        <v>0.11707407407747172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139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592.6</v>
      </c>
      <c r="L595" s="76"/>
      <c r="M595" s="76"/>
      <c r="N595" s="76"/>
      <c r="O595" s="76"/>
      <c r="P595" s="76"/>
      <c r="Q595" s="77">
        <f ca="1">IFERROR(Q581+Q594,"")</f>
        <v>0.11707407407747172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Q575" sqref="Q57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/>
      <c r="Q576" s="66">
        <f ca="1">IFERROR(IF(O576="","",IF(P576="",MOD(NOW()-O576,1),IF(P576&gt;=O576,P576-O576,P576+1-O576))),"")</f>
        <v>1.6379629632865544E-2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0</v>
      </c>
      <c r="I577" s="90">
        <f>IFERROR(IF($D577="","",VLOOKUP($D577,Cadastro!$C$4:$G$7,5,FALSE())),"")</f>
        <v>0.6</v>
      </c>
      <c r="J577" s="91">
        <f t="shared" si="146"/>
        <v>0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0</v>
      </c>
      <c r="I578" s="90">
        <f>IFERROR(IF($D578="","",VLOOKUP($D578,Cadastro!$C$4:$G$7,5,FALSE())),"")</f>
        <v>0.6</v>
      </c>
      <c r="J578" s="91">
        <f t="shared" si="146"/>
        <v>0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174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746.80000000000007</v>
      </c>
      <c r="L581" s="72"/>
      <c r="M581" s="72"/>
      <c r="N581" s="72"/>
      <c r="O581" s="134"/>
      <c r="P581" s="134"/>
      <c r="Q581" s="73">
        <f ca="1">IFERROR(SUM(Q569:Q580),"")</f>
        <v>0.13235185185508791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174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746.80000000000007</v>
      </c>
      <c r="L595" s="76"/>
      <c r="M595" s="76"/>
      <c r="N595" s="76"/>
      <c r="O595" s="135"/>
      <c r="P595" s="135"/>
      <c r="Q595" s="77">
        <f ca="1">IFERROR(Q581+Q594,"")</f>
        <v>0.13235185185508791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2026-08-22T22:04:09Z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