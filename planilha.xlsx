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033" documentId="8_{AF585B22-221D-4780-BB9C-493D365A6A02}" xr6:coauthVersionLast="47" xr6:coauthVersionMax="47" xr10:uidLastSave="{DF54C174-432C-49EB-81C5-7FEBAD9BEE94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<sst xmlns="http://schemas.openxmlformats.org/spreadsheetml/2006/main" count="10367" uniqueCount="396">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</sst>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71" activePane="bottomLeft" state="frozen"/>
      <selection pane="bottomLeft" activeCell="F684" sqref="F68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132</v>
      </c>
      <c r="G689" s="36">
        <f>SUM(G677:G688)</f>
        <v>660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132</v>
      </c>
      <c r="G703" s="40">
        <f>G689+G702</f>
        <v>660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F684" sqref="F68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0.38753379629633855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0.54517268518522743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0.6548949074074496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0.36600601852114778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0.53683935185448117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0.6819782407433701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85</v>
      </c>
      <c r="G689" s="36">
        <f>SUM(G677:G688)</f>
        <v>357.00000000000006</v>
      </c>
      <c r="H689" s="37"/>
      <c r="I689" s="37"/>
      <c r="J689" s="37"/>
      <c r="K689" s="37"/>
      <c r="L689" s="37"/>
      <c r="M689" s="38">
        <f ca="1">IFERROR(SUM(M677:M688),"")</f>
        <v>0.10694444444444451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85</v>
      </c>
      <c r="G703" s="40">
        <f>G689+G702</f>
        <v>357.00000000000006</v>
      </c>
      <c r="H703" s="41"/>
      <c r="I703" s="41"/>
      <c r="J703" s="41"/>
      <c r="K703" s="41"/>
      <c r="L703" s="41"/>
      <c r="M703" s="42">
        <f ca="1">IFERROR(M689+M702,"")</f>
        <v>0.10694444444444451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85" sqref="F6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326</v>
      </c>
      <c r="N166" s="27" t="s">
        <v>327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16</v>
      </c>
      <c r="G684" s="28">
        <f t="shared" si="150"/>
        <v>67.2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89</v>
      </c>
      <c r="G689" s="36">
        <f>SUM(G677:G688)</f>
        <v>373.8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89</v>
      </c>
      <c r="G703" s="40">
        <f>G689+G702</f>
        <v>373.8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F685" sqref="F68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352</v>
      </c>
      <c r="L58" s="29">
        <v>0.54097222222222219</v>
      </c>
      <c r="M58" s="30" t="str">
        <f t="shared" ca="1" si="13"/>
        <v/>
      </c>
      <c r="N58" s="27" t="s">
        <v>353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0.37781157407880528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0.5771171296343609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0.94447824074547193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135</v>
      </c>
      <c r="G689" s="36">
        <f>SUM(G677:G688)</f>
        <v>495.6</v>
      </c>
      <c r="H689" s="37"/>
      <c r="I689" s="37"/>
      <c r="J689" s="37"/>
      <c r="K689" s="61"/>
      <c r="L689" s="61"/>
      <c r="M689" s="38">
        <f ca="1">IFERROR(SUM(M677:M688),"")</f>
        <v>6.7361111111111205E-2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135</v>
      </c>
      <c r="G703" s="40">
        <f>G689+G702</f>
        <v>495.6</v>
      </c>
      <c r="H703" s="41"/>
      <c r="I703" s="41"/>
      <c r="J703" s="41"/>
      <c r="K703" s="63"/>
      <c r="L703" s="63"/>
      <c r="M703" s="42">
        <f ca="1">IFERROR(M689+M702,"")</f>
        <v>6.7361111111111205E-2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2026-07-26T19:03:36Z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