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02" documentId="8_{AF585B22-221D-4780-BB9C-493D365A6A02}" xr6:coauthVersionLast="47" xr6:coauthVersionMax="47" xr10:uidLastSave="{EB1D61A9-2F09-4010-BF11-B811968AA601}"/>
  <bookViews>
    <workbookView xWindow="-108" yWindow="-108" windowWidth="23256" windowHeight="12456" tabRatio="500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D8" i="1" s="1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<sst xmlns="http://schemas.openxmlformats.org/spreadsheetml/2006/main" count="2795" uniqueCount="246">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</sst>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3" t="s">
        <v>0</v>
      </c>
      <c r="B1" s="93"/>
      <c r="C1" s="93"/>
      <c r="D1" s="93"/>
      <c r="E1" s="93"/>
      <c r="F1" s="93"/>
      <c r="G1" s="93"/>
    </row>
    <row r="2" spans="1:7" ht="24.75" customHeight="1" x14ac:dyDescent="0.3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 x14ac:dyDescent="0.3">
      <c r="H2" s="97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9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9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3">
      <c r="A15" s="17"/>
      <c r="C15" s="17"/>
      <c r="E15" s="17"/>
      <c r="G15" s="17" t="s">
        <v>90</v>
      </c>
      <c r="H15" s="9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3">
      <c r="A16" s="16"/>
      <c r="C16" s="16"/>
      <c r="E16" s="16"/>
      <c r="G16" s="16" t="s">
        <v>95</v>
      </c>
      <c r="H16" s="9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3">
      <c r="A17" s="17"/>
      <c r="C17" s="17"/>
      <c r="E17" s="17"/>
      <c r="G17" s="17" t="s">
        <v>99</v>
      </c>
      <c r="H17" s="9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3">
      <c r="A18" s="16"/>
      <c r="C18" s="16"/>
      <c r="E18" s="16"/>
      <c r="G18" s="16" t="s">
        <v>103</v>
      </c>
      <c r="H18" s="9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3">
      <c r="A19" s="17"/>
      <c r="C19" s="17"/>
      <c r="E19" s="17"/>
      <c r="G19" s="17" t="s">
        <v>107</v>
      </c>
      <c r="H19" s="97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3">
      <c r="A20" s="16"/>
      <c r="C20" s="16"/>
      <c r="E20" s="16"/>
      <c r="G20" s="16" t="s">
        <v>110</v>
      </c>
      <c r="H20" s="97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3">
      <c r="A21" s="17"/>
      <c r="C21" s="17"/>
      <c r="E21" s="17"/>
      <c r="G21" s="17" t="s">
        <v>113</v>
      </c>
      <c r="H21" s="97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3">
      <c r="A22" s="16"/>
      <c r="C22" s="16"/>
      <c r="E22" s="16"/>
      <c r="G22" s="16" t="s">
        <v>116</v>
      </c>
      <c r="H22" s="97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3">
      <c r="A23" s="17"/>
      <c r="C23" s="17"/>
      <c r="E23" s="17"/>
      <c r="G23" s="17" t="s">
        <v>119</v>
      </c>
      <c r="H23" s="97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3">
      <c r="A24" s="16"/>
      <c r="C24" s="16"/>
      <c r="E24" s="16"/>
      <c r="G24" s="16" t="s">
        <v>122</v>
      </c>
      <c r="H24" s="97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3">
      <c r="A25" s="17"/>
      <c r="C25" s="17"/>
      <c r="E25" s="17"/>
      <c r="G25" s="17" t="s">
        <v>125</v>
      </c>
      <c r="H25" s="97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3">
      <c r="A26" s="16"/>
      <c r="C26" s="16"/>
      <c r="E26" s="16"/>
      <c r="G26" s="16" t="s">
        <v>128</v>
      </c>
      <c r="H26" s="97"/>
      <c r="I26" s="16"/>
      <c r="J26" s="16"/>
      <c r="K26" s="16" t="s">
        <v>129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130</v>
      </c>
      <c r="H27" s="97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131</v>
      </c>
      <c r="H28" s="97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3">
      <c r="A29" s="17"/>
      <c r="C29" s="17"/>
      <c r="E29" s="17"/>
      <c r="G29" s="17" t="s">
        <v>133</v>
      </c>
      <c r="H29" s="97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3">
      <c r="A30" s="16"/>
      <c r="C30" s="16"/>
      <c r="E30" s="16"/>
      <c r="G30" s="16" t="s">
        <v>136</v>
      </c>
      <c r="H30" s="97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3">
      <c r="A31" s="17"/>
      <c r="C31" s="17"/>
      <c r="E31" s="17"/>
      <c r="G31" s="17" t="s">
        <v>139</v>
      </c>
      <c r="H31" s="97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3">
      <c r="A32" s="16"/>
      <c r="C32" s="16"/>
      <c r="E32" s="16"/>
      <c r="G32" s="16" t="s">
        <v>142</v>
      </c>
      <c r="H32" s="97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3">
      <c r="A33" s="17"/>
      <c r="C33" s="17"/>
      <c r="E33" s="17"/>
      <c r="G33" s="17" t="s">
        <v>145</v>
      </c>
      <c r="H33" s="97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147</v>
      </c>
      <c r="H34" s="97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3">
      <c r="A35" s="17"/>
      <c r="C35" s="17"/>
      <c r="E35" s="17"/>
      <c r="G35" s="17" t="s">
        <v>149</v>
      </c>
      <c r="H35" s="97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3">
      <c r="A36" s="16"/>
      <c r="C36" s="16"/>
      <c r="E36" s="16"/>
      <c r="G36" s="16" t="s">
        <v>152</v>
      </c>
      <c r="H36" s="97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3">
      <c r="A37" s="17"/>
      <c r="C37" s="17"/>
      <c r="E37" s="17"/>
      <c r="G37" s="17" t="s">
        <v>155</v>
      </c>
      <c r="H37" s="97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3">
      <c r="A38" s="16"/>
      <c r="C38" s="16"/>
      <c r="E38" s="16"/>
      <c r="G38" s="16"/>
      <c r="H38" s="97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3">
      <c r="A39" s="17"/>
      <c r="C39" s="17"/>
      <c r="E39" s="17"/>
      <c r="G39" s="17"/>
      <c r="H39" s="97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3">
      <c r="A40" s="16"/>
      <c r="C40" s="16"/>
      <c r="E40" s="16"/>
      <c r="G40" s="16"/>
      <c r="H40" s="97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3">
      <c r="A41" s="17"/>
      <c r="C41" s="17"/>
      <c r="E41" s="17"/>
      <c r="G41" s="17"/>
      <c r="H41" s="97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3">
      <c r="A42" s="16"/>
      <c r="C42" s="16"/>
      <c r="E42" s="16"/>
      <c r="G42" s="16"/>
      <c r="H42" s="97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3">
      <c r="A43" s="17"/>
      <c r="C43" s="17"/>
      <c r="E43" s="17"/>
      <c r="G43" s="17"/>
      <c r="H43" s="97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3">
      <c r="A44" s="16"/>
      <c r="C44" s="16"/>
      <c r="E44" s="16"/>
      <c r="G44" s="16"/>
      <c r="H44" s="97"/>
      <c r="I44" s="16"/>
      <c r="J44" s="16"/>
      <c r="K44" s="16" t="s">
        <v>170</v>
      </c>
      <c r="L44" s="16"/>
      <c r="M44" s="16" t="s">
        <v>171</v>
      </c>
    </row>
    <row r="45" spans="1:13" ht="15.75" customHeight="1" x14ac:dyDescent="0.3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172</v>
      </c>
    </row>
    <row r="46" spans="1:13" ht="15.75" customHeight="1" x14ac:dyDescent="0.3">
      <c r="A46" s="16"/>
      <c r="C46" s="16"/>
      <c r="E46" s="16"/>
      <c r="G46" s="16"/>
      <c r="H46" s="97"/>
      <c r="I46" s="16"/>
      <c r="J46" s="16"/>
      <c r="K46" s="16" t="s">
        <v>173</v>
      </c>
      <c r="L46" s="16"/>
      <c r="M46" s="16" t="s">
        <v>174</v>
      </c>
    </row>
    <row r="47" spans="1:13" ht="15.75" customHeight="1" x14ac:dyDescent="0.3">
      <c r="A47" s="17"/>
      <c r="C47" s="17"/>
      <c r="E47" s="17"/>
      <c r="G47" s="17"/>
      <c r="H47" s="97"/>
      <c r="I47" s="17"/>
      <c r="J47" s="17"/>
      <c r="K47" s="17" t="s">
        <v>175</v>
      </c>
      <c r="L47" s="17"/>
      <c r="M47" s="17" t="s">
        <v>176</v>
      </c>
    </row>
    <row r="48" spans="1:13" ht="15.75" customHeight="1" x14ac:dyDescent="0.3">
      <c r="A48" s="16"/>
      <c r="C48" s="16"/>
      <c r="E48" s="16"/>
      <c r="G48" s="16"/>
      <c r="H48" s="97"/>
      <c r="I48" s="16"/>
      <c r="J48" s="16"/>
      <c r="K48" s="16" t="s">
        <v>177</v>
      </c>
      <c r="L48" s="16"/>
      <c r="M48" s="16" t="s">
        <v>178</v>
      </c>
    </row>
    <row r="49" spans="1:13" ht="18" customHeight="1" x14ac:dyDescent="0.3">
      <c r="H49" s="97"/>
      <c r="I49" s="17"/>
      <c r="J49" s="17"/>
      <c r="K49" s="17" t="s">
        <v>179</v>
      </c>
      <c r="L49" s="17"/>
      <c r="M49" s="17" t="s">
        <v>180</v>
      </c>
    </row>
    <row r="50" spans="1:13" ht="21" customHeight="1" x14ac:dyDescent="0.3">
      <c r="A50" s="19" t="s">
        <v>181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182</v>
      </c>
      <c r="L50" s="16"/>
      <c r="M50" s="16" t="s">
        <v>183</v>
      </c>
    </row>
    <row r="51" spans="1:13" ht="24" customHeight="1" x14ac:dyDescent="0.3">
      <c r="H51" s="97"/>
      <c r="I51" s="17"/>
      <c r="J51" s="17"/>
      <c r="K51" s="17" t="s">
        <v>184</v>
      </c>
      <c r="L51" s="17"/>
      <c r="M51" s="17"/>
    </row>
    <row r="52" spans="1:13" ht="24" customHeight="1" x14ac:dyDescent="0.3">
      <c r="H52" s="97"/>
      <c r="I52" s="16"/>
      <c r="J52" s="16"/>
      <c r="K52" s="16" t="s">
        <v>185</v>
      </c>
      <c r="L52" s="16"/>
      <c r="M52" s="16"/>
    </row>
    <row r="53" spans="1:13" ht="36" customHeight="1" x14ac:dyDescent="0.3">
      <c r="H53" s="97"/>
      <c r="I53" s="17"/>
      <c r="J53" s="17"/>
      <c r="K53" s="17" t="s">
        <v>186</v>
      </c>
      <c r="L53" s="17"/>
      <c r="M53" s="17"/>
    </row>
    <row r="54" spans="1:13" ht="15" customHeight="1" x14ac:dyDescent="0.3">
      <c r="H54" s="97"/>
      <c r="I54" s="16"/>
      <c r="J54" s="16"/>
      <c r="K54" s="16" t="s">
        <v>187</v>
      </c>
      <c r="L54" s="16"/>
      <c r="M54" s="16"/>
    </row>
    <row r="55" spans="1:13" ht="15" customHeight="1" x14ac:dyDescent="0.3">
      <c r="H55" s="97"/>
      <c r="I55" s="17"/>
      <c r="J55" s="17"/>
      <c r="K55" s="17" t="s">
        <v>188</v>
      </c>
      <c r="L55" s="17"/>
      <c r="M55" s="17"/>
    </row>
    <row r="56" spans="1:13" ht="15" customHeight="1" x14ac:dyDescent="0.3">
      <c r="H56" s="97"/>
      <c r="I56" s="16"/>
      <c r="J56" s="16"/>
      <c r="K56" s="16" t="s">
        <v>189</v>
      </c>
      <c r="L56" s="16"/>
      <c r="M56" s="16"/>
    </row>
    <row r="57" spans="1:13" ht="15" customHeight="1" x14ac:dyDescent="0.3">
      <c r="H57" s="97"/>
      <c r="I57" s="17"/>
      <c r="J57" s="17"/>
      <c r="K57" s="17"/>
      <c r="L57" s="17"/>
      <c r="M57" s="17"/>
    </row>
    <row r="58" spans="1:13" ht="15" customHeight="1" x14ac:dyDescent="0.3">
      <c r="H58" s="97"/>
      <c r="I58" s="16"/>
      <c r="J58" s="16"/>
      <c r="K58" s="16"/>
      <c r="L58" s="16"/>
      <c r="M58" s="16"/>
    </row>
    <row r="59" spans="1:13" ht="15" customHeight="1" x14ac:dyDescent="0.3">
      <c r="H59" s="97"/>
      <c r="I59" s="17"/>
      <c r="J59" s="17"/>
      <c r="K59" s="17"/>
      <c r="L59" s="17"/>
      <c r="M59" s="17"/>
    </row>
    <row r="60" spans="1:13" ht="15" customHeight="1" x14ac:dyDescent="0.3">
      <c r="H60" s="97"/>
      <c r="I60" s="16"/>
      <c r="J60" s="16"/>
      <c r="K60" s="16"/>
      <c r="L60" s="16"/>
      <c r="M60" s="16"/>
    </row>
    <row r="61" spans="1:13" ht="15" customHeight="1" x14ac:dyDescent="0.3">
      <c r="H61" s="97"/>
      <c r="I61" s="17"/>
      <c r="J61" s="17"/>
      <c r="K61" s="17"/>
      <c r="L61" s="17"/>
      <c r="M61" s="17"/>
    </row>
    <row r="62" spans="1:13" ht="15" customHeight="1" x14ac:dyDescent="0.3">
      <c r="H62" s="97"/>
      <c r="I62" s="16"/>
      <c r="J62" s="16"/>
      <c r="K62" s="16"/>
      <c r="L62" s="16"/>
      <c r="M62" s="16"/>
    </row>
    <row r="63" spans="1:13" ht="15" customHeight="1" x14ac:dyDescent="0.3">
      <c r="H63" s="97"/>
      <c r="I63" s="17"/>
      <c r="J63" s="17"/>
      <c r="K63" s="17"/>
      <c r="L63" s="17"/>
      <c r="M63" s="17"/>
    </row>
    <row r="64" spans="1:13" ht="15" customHeight="1" x14ac:dyDescent="0.3">
      <c r="H64" s="97"/>
      <c r="I64" s="16"/>
      <c r="J64" s="16"/>
      <c r="K64" s="16"/>
      <c r="L64" s="16"/>
      <c r="M64" s="16"/>
    </row>
    <row r="65" spans="8:13" ht="15" customHeight="1" x14ac:dyDescent="0.3">
      <c r="H65" s="97"/>
      <c r="I65" s="17"/>
      <c r="J65" s="17"/>
      <c r="K65" s="17"/>
      <c r="L65" s="17"/>
      <c r="M65" s="17"/>
    </row>
    <row r="66" spans="8:13" ht="15" customHeight="1" x14ac:dyDescent="0.3">
      <c r="H66" s="97"/>
      <c r="I66" s="16"/>
      <c r="J66" s="16"/>
      <c r="K66" s="16"/>
      <c r="L66" s="16"/>
      <c r="M66" s="16"/>
    </row>
    <row r="67" spans="8:13" ht="15" customHeight="1" x14ac:dyDescent="0.3">
      <c r="H67" s="97"/>
      <c r="I67" s="17"/>
      <c r="J67" s="17"/>
      <c r="K67" s="17"/>
      <c r="L67" s="17"/>
      <c r="M67" s="17"/>
    </row>
    <row r="68" spans="8:13" ht="15" customHeight="1" x14ac:dyDescent="0.3">
      <c r="H68" s="97"/>
      <c r="I68" s="16"/>
      <c r="J68" s="16"/>
      <c r="K68" s="16"/>
      <c r="L68" s="16"/>
      <c r="M68" s="16"/>
    </row>
    <row r="69" spans="8:13" ht="15" customHeight="1" x14ac:dyDescent="0.3">
      <c r="H69" s="97"/>
      <c r="I69" s="17"/>
      <c r="J69" s="17"/>
      <c r="K69" s="17"/>
      <c r="L69" s="17"/>
      <c r="M69" s="17"/>
    </row>
    <row r="70" spans="8:13" ht="15" customHeight="1" x14ac:dyDescent="0.3">
      <c r="H70" s="97"/>
      <c r="I70" s="16"/>
      <c r="J70" s="16"/>
      <c r="K70" s="16"/>
      <c r="L70" s="16"/>
      <c r="M70" s="16"/>
    </row>
    <row r="71" spans="8:13" ht="15" customHeight="1" x14ac:dyDescent="0.3">
      <c r="H71" s="97"/>
      <c r="I71" s="17"/>
      <c r="J71" s="17"/>
      <c r="K71" s="17"/>
      <c r="L71" s="17"/>
      <c r="M71" s="17"/>
    </row>
    <row r="72" spans="8:13" ht="15" customHeight="1" x14ac:dyDescent="0.3">
      <c r="H72" s="97"/>
      <c r="I72" s="16"/>
      <c r="J72" s="16"/>
      <c r="K72" s="16"/>
      <c r="L72" s="16"/>
      <c r="M72" s="16"/>
    </row>
    <row r="73" spans="8:13" ht="15" customHeight="1" x14ac:dyDescent="0.3">
      <c r="H73" s="97"/>
      <c r="I73" s="17"/>
      <c r="J73" s="17"/>
      <c r="K73" s="17"/>
      <c r="L73" s="17"/>
      <c r="M73" s="17"/>
    </row>
    <row r="74" spans="8:13" ht="15" customHeight="1" x14ac:dyDescent="0.3">
      <c r="H74" s="97"/>
      <c r="I74" s="16"/>
      <c r="J74" s="16"/>
      <c r="K74" s="16"/>
      <c r="L74" s="16"/>
      <c r="M74" s="16"/>
    </row>
    <row r="75" spans="8:13" ht="15" customHeight="1" x14ac:dyDescent="0.3">
      <c r="H75" s="97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E147" sqref="E147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87" t="s">
        <v>203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87" t="s">
        <v>205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 x14ac:dyDescent="0.3">
      <c r="A28" s="90" t="s">
        <v>206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7" t="s">
        <v>203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7" t="s">
        <v>205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 x14ac:dyDescent="0.3">
      <c r="A55" s="90" t="s">
        <v>206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7" t="s">
        <v>203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7" t="s">
        <v>205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 x14ac:dyDescent="0.3">
      <c r="A82" s="90" t="s">
        <v>206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7" t="s">
        <v>203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7" t="s">
        <v>205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 x14ac:dyDescent="0.3">
      <c r="A109" s="90" t="s">
        <v>206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7" t="s">
        <v>203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7" t="s">
        <v>205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 x14ac:dyDescent="0.3">
      <c r="A136" s="90" t="s">
        <v>206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7" t="s">
        <v>203</v>
      </c>
      <c r="B149" s="88"/>
      <c r="C149" s="88"/>
      <c r="D149" s="88"/>
      <c r="E149" s="8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7" t="s">
        <v>205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 x14ac:dyDescent="0.3">
      <c r="A163" s="90" t="s">
        <v>206</v>
      </c>
      <c r="B163" s="91"/>
      <c r="C163" s="91"/>
      <c r="D163" s="91"/>
      <c r="E163" s="9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203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205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 x14ac:dyDescent="0.3">
      <c r="A190" s="90" t="s">
        <v>206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203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7" t="s">
        <v>205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 x14ac:dyDescent="0.3">
      <c r="A217" s="90" t="s">
        <v>206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203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7" t="s">
        <v>205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 x14ac:dyDescent="0.3">
      <c r="A244" s="90" t="s">
        <v>206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7" t="s">
        <v>203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7" t="s">
        <v>205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 x14ac:dyDescent="0.3">
      <c r="A271" s="90" t="s">
        <v>206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7" t="s">
        <v>203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7" t="s">
        <v>205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 x14ac:dyDescent="0.3">
      <c r="A298" s="90" t="s">
        <v>206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7" t="s">
        <v>203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7" t="s">
        <v>205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 x14ac:dyDescent="0.3">
      <c r="A325" s="90" t="s">
        <v>206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7" t="s">
        <v>203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7" t="s">
        <v>205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 x14ac:dyDescent="0.3">
      <c r="A352" s="90" t="s">
        <v>206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7" t="s">
        <v>203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7" t="s">
        <v>205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 x14ac:dyDescent="0.3">
      <c r="A379" s="90" t="s">
        <v>206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7" t="s">
        <v>203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7" t="s">
        <v>205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 x14ac:dyDescent="0.3">
      <c r="A406" s="90" t="s">
        <v>206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7" t="s">
        <v>203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205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 x14ac:dyDescent="0.3">
      <c r="A433" s="90" t="s">
        <v>206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7" t="s">
        <v>203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7" t="s">
        <v>205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 x14ac:dyDescent="0.3">
      <c r="A460" s="90" t="s">
        <v>206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7" t="s">
        <v>203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7" t="s">
        <v>205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 x14ac:dyDescent="0.3">
      <c r="A487" s="90" t="s">
        <v>206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7" t="s">
        <v>203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205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 x14ac:dyDescent="0.3">
      <c r="A514" s="90" t="s">
        <v>206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7" t="s">
        <v>203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7" t="s">
        <v>205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 x14ac:dyDescent="0.3">
      <c r="A541" s="90" t="s">
        <v>206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7" t="s">
        <v>203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7" t="s">
        <v>205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 x14ac:dyDescent="0.3">
      <c r="A568" s="90" t="s">
        <v>206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7" t="s">
        <v>203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7" t="s">
        <v>205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 x14ac:dyDescent="0.3">
      <c r="A595" s="90" t="s">
        <v>206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7" t="s">
        <v>203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7" t="s">
        <v>205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 x14ac:dyDescent="0.3">
      <c r="A622" s="90" t="s">
        <v>206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7" t="s">
        <v>203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7" t="s">
        <v>205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 x14ac:dyDescent="0.3">
      <c r="A649" s="90" t="s">
        <v>206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7" t="s">
        <v>203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7" t="s">
        <v>205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 x14ac:dyDescent="0.3">
      <c r="A676" s="90" t="s">
        <v>206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7" t="s">
        <v>203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7" t="s">
        <v>205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 x14ac:dyDescent="0.3">
      <c r="A703" s="90" t="s">
        <v>206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7" t="s">
        <v>203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7" t="s">
        <v>205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 x14ac:dyDescent="0.3">
      <c r="A730" s="90" t="s">
        <v>206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7" t="s">
        <v>203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7" t="s">
        <v>205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 x14ac:dyDescent="0.3">
      <c r="A757" s="90" t="s">
        <v>206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7" t="s">
        <v>203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7" t="s">
        <v>205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 x14ac:dyDescent="0.3">
      <c r="A784" s="90" t="s">
        <v>206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7" t="s">
        <v>203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7" t="s">
        <v>205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 x14ac:dyDescent="0.3">
      <c r="A811" s="90" t="s">
        <v>206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U136" sqref="U136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75.109375" style="20" customWidth="1"/>
    <col min="15" max="15" width="20" customWidth="1"/>
  </cols>
  <sheetData>
    <row r="1" spans="1:15" ht="37.5" customHeight="1" x14ac:dyDescent="0.3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87" t="s">
        <v>203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87" t="s">
        <v>205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 x14ac:dyDescent="0.3">
      <c r="A28" s="90" t="s">
        <v>206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87" t="s">
        <v>203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87" t="s">
        <v>205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 x14ac:dyDescent="0.3">
      <c r="A55" s="90" t="s">
        <v>206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87" t="s">
        <v>203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87" t="s">
        <v>205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 x14ac:dyDescent="0.3">
      <c r="A82" s="90" t="s">
        <v>206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87" t="s">
        <v>203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87" t="s">
        <v>205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 x14ac:dyDescent="0.3">
      <c r="A109" s="90" t="s">
        <v>206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87" t="s">
        <v>203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87" t="s">
        <v>205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204</v>
      </c>
      <c r="O135" s="54">
        <v>794480</v>
      </c>
    </row>
    <row r="136" spans="1:15" ht="18" customHeight="1" x14ac:dyDescent="0.3">
      <c r="A136" s="90" t="s">
        <v>206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207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187</v>
      </c>
      <c r="K137" s="29">
        <v>0.29166666666666669</v>
      </c>
      <c r="L137" s="29"/>
      <c r="M137" s="35">
        <f t="shared" ref="M137:M148" ca="1" si="31">IFERROR(IF(K137="","",IF(L137="",MOD(NOW()-K137,1),IF(L137&gt;=K137,L137-K137,L137+1-K137))),"")</f>
        <v>1.237384259729879E-2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87" t="s">
        <v>203</v>
      </c>
      <c r="B149" s="88"/>
      <c r="C149" s="88"/>
      <c r="D149" s="88"/>
      <c r="E149" s="8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1.237384259729879E-2</v>
      </c>
      <c r="N149" s="36" t="s">
        <v>204</v>
      </c>
      <c r="O149" s="54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87" t="s">
        <v>205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 x14ac:dyDescent="0.3">
      <c r="A163" s="90" t="s">
        <v>206</v>
      </c>
      <c r="B163" s="91"/>
      <c r="C163" s="91"/>
      <c r="D163" s="91"/>
      <c r="E163" s="9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1.237384259729879E-2</v>
      </c>
      <c r="N163" s="40" t="s">
        <v>207</v>
      </c>
      <c r="O163" s="8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87" t="s">
        <v>203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87" t="s">
        <v>205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 x14ac:dyDescent="0.3">
      <c r="A190" s="90" t="s">
        <v>206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87" t="s">
        <v>203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7" t="s">
        <v>205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 x14ac:dyDescent="0.3">
      <c r="A217" s="90" t="s">
        <v>206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203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7" t="s">
        <v>205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 x14ac:dyDescent="0.3">
      <c r="A244" s="90" t="s">
        <v>206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7" t="s">
        <v>203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7" t="s">
        <v>205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 x14ac:dyDescent="0.3">
      <c r="A271" s="90" t="s">
        <v>206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7" t="s">
        <v>203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7" t="s">
        <v>205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 x14ac:dyDescent="0.3">
      <c r="A298" s="90" t="s">
        <v>206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7" t="s">
        <v>203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7" t="s">
        <v>205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 x14ac:dyDescent="0.3">
      <c r="A325" s="90" t="s">
        <v>206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7" t="s">
        <v>203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7" t="s">
        <v>205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 x14ac:dyDescent="0.3">
      <c r="A352" s="90" t="s">
        <v>206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7" t="s">
        <v>203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7" t="s">
        <v>205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 x14ac:dyDescent="0.3">
      <c r="A379" s="90" t="s">
        <v>206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7" t="s">
        <v>203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7" t="s">
        <v>205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 x14ac:dyDescent="0.3">
      <c r="A406" s="90" t="s">
        <v>206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7" t="s">
        <v>203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205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 x14ac:dyDescent="0.3">
      <c r="A433" s="90" t="s">
        <v>206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7" t="s">
        <v>203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7" t="s">
        <v>205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 x14ac:dyDescent="0.3">
      <c r="A460" s="90" t="s">
        <v>206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7" t="s">
        <v>203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7" t="s">
        <v>205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 x14ac:dyDescent="0.3">
      <c r="A487" s="90" t="s">
        <v>206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7" t="s">
        <v>203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205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 x14ac:dyDescent="0.3">
      <c r="A514" s="90" t="s">
        <v>206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7" t="s">
        <v>203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7" t="s">
        <v>205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 x14ac:dyDescent="0.3">
      <c r="A541" s="90" t="s">
        <v>206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7" t="s">
        <v>203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7" t="s">
        <v>205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 x14ac:dyDescent="0.3">
      <c r="A568" s="90" t="s">
        <v>206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7" t="s">
        <v>203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7" t="s">
        <v>205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 x14ac:dyDescent="0.3">
      <c r="A595" s="90" t="s">
        <v>206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7" t="s">
        <v>203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7" t="s">
        <v>205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 x14ac:dyDescent="0.3">
      <c r="A622" s="90" t="s">
        <v>206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7" t="s">
        <v>203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7" t="s">
        <v>205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 x14ac:dyDescent="0.3">
      <c r="A649" s="90" t="s">
        <v>206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7" t="s">
        <v>203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7" t="s">
        <v>205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 x14ac:dyDescent="0.3">
      <c r="A676" s="90" t="s">
        <v>206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7" t="s">
        <v>203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7" t="s">
        <v>205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 x14ac:dyDescent="0.3">
      <c r="A703" s="90" t="s">
        <v>206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7" t="s">
        <v>203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7" t="s">
        <v>205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 x14ac:dyDescent="0.3">
      <c r="A730" s="90" t="s">
        <v>206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7" t="s">
        <v>203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7" t="s">
        <v>205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 x14ac:dyDescent="0.3">
      <c r="A757" s="90" t="s">
        <v>206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7" t="s">
        <v>203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7" t="s">
        <v>205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 x14ac:dyDescent="0.3">
      <c r="A784" s="90" t="s">
        <v>206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7" t="s">
        <v>203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7" t="s">
        <v>205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 x14ac:dyDescent="0.3">
      <c r="A811" s="90" t="s">
        <v>206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1" zoomScale="60" zoomScaleNormal="60" workbookViewId="0">
      <pane ySplit="1" topLeftCell="A108" activePane="bottomLeft" state="frozen"/>
      <selection pane="bottomLeft" activeCell="O136" sqref="O136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88.8867187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87" t="s">
        <v>203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87" t="s">
        <v>205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 x14ac:dyDescent="0.3">
      <c r="A28" s="90" t="s">
        <v>206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7" t="s">
        <v>203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7" t="s">
        <v>205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 x14ac:dyDescent="0.3">
      <c r="A55" s="90" t="s">
        <v>206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7" t="s">
        <v>203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7" t="s">
        <v>205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 x14ac:dyDescent="0.3">
      <c r="A82" s="90" t="s">
        <v>206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7" t="s">
        <v>203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7" t="s">
        <v>205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 x14ac:dyDescent="0.3">
      <c r="A109" s="90" t="s">
        <v>206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7" t="s">
        <v>203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7" t="s">
        <v>205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381250</v>
      </c>
    </row>
    <row r="136" spans="1:15" ht="18" customHeight="1" x14ac:dyDescent="0.3">
      <c r="A136" s="90" t="s">
        <v>206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203</v>
      </c>
      <c r="B149" s="88"/>
      <c r="C149" s="88"/>
      <c r="D149" s="88"/>
      <c r="E149" s="8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7" t="s">
        <v>205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 x14ac:dyDescent="0.3">
      <c r="A163" s="90" t="s">
        <v>206</v>
      </c>
      <c r="B163" s="91"/>
      <c r="C163" s="91"/>
      <c r="D163" s="91"/>
      <c r="E163" s="9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203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205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 x14ac:dyDescent="0.3">
      <c r="A190" s="90" t="s">
        <v>206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203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87" t="s">
        <v>205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 x14ac:dyDescent="0.3">
      <c r="A217" s="90" t="s">
        <v>206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87" t="s">
        <v>203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87" t="s">
        <v>205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 x14ac:dyDescent="0.3">
      <c r="A244" s="90" t="s">
        <v>206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87" t="s">
        <v>203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87" t="s">
        <v>205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 x14ac:dyDescent="0.3">
      <c r="A271" s="90" t="s">
        <v>206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87" t="s">
        <v>203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87" t="s">
        <v>205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 x14ac:dyDescent="0.3">
      <c r="A298" s="90" t="s">
        <v>206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87" t="s">
        <v>203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87" t="s">
        <v>205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 x14ac:dyDescent="0.3">
      <c r="A325" s="90" t="s">
        <v>206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87" t="s">
        <v>203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87" t="s">
        <v>205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 x14ac:dyDescent="0.3">
      <c r="A352" s="90" t="s">
        <v>206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87" t="s">
        <v>203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87" t="s">
        <v>205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 x14ac:dyDescent="0.3">
      <c r="A379" s="90" t="s">
        <v>206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87" t="s">
        <v>203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87" t="s">
        <v>205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 x14ac:dyDescent="0.3">
      <c r="A406" s="90" t="s">
        <v>206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87" t="s">
        <v>203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87" t="s">
        <v>205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 x14ac:dyDescent="0.3">
      <c r="A433" s="90" t="s">
        <v>206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87" t="s">
        <v>203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87" t="s">
        <v>205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 x14ac:dyDescent="0.3">
      <c r="A460" s="90" t="s">
        <v>206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87" t="s">
        <v>203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87" t="s">
        <v>205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 x14ac:dyDescent="0.3">
      <c r="A487" s="90" t="s">
        <v>206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87" t="s">
        <v>203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87" t="s">
        <v>205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 x14ac:dyDescent="0.3">
      <c r="A514" s="90" t="s">
        <v>206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87" t="s">
        <v>203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87" t="s">
        <v>205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 x14ac:dyDescent="0.3">
      <c r="A541" s="90" t="s">
        <v>206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87" t="s">
        <v>203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87" t="s">
        <v>205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 x14ac:dyDescent="0.3">
      <c r="A568" s="90" t="s">
        <v>206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87" t="s">
        <v>203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87" t="s">
        <v>205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 x14ac:dyDescent="0.3">
      <c r="A595" s="90" t="s">
        <v>206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87" t="s">
        <v>203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87" t="s">
        <v>205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 x14ac:dyDescent="0.3">
      <c r="A622" s="90" t="s">
        <v>206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87" t="s">
        <v>203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87" t="s">
        <v>205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 x14ac:dyDescent="0.3">
      <c r="A649" s="90" t="s">
        <v>206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87" t="s">
        <v>203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87" t="s">
        <v>205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 x14ac:dyDescent="0.3">
      <c r="A676" s="90" t="s">
        <v>206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87" t="s">
        <v>203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87" t="s">
        <v>205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 x14ac:dyDescent="0.3">
      <c r="A703" s="90" t="s">
        <v>206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87" t="s">
        <v>203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87" t="s">
        <v>205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 x14ac:dyDescent="0.3">
      <c r="A730" s="90" t="s">
        <v>206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87" t="s">
        <v>203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87" t="s">
        <v>205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 x14ac:dyDescent="0.3">
      <c r="A757" s="90" t="s">
        <v>206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87" t="s">
        <v>203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87" t="s">
        <v>205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 x14ac:dyDescent="0.3">
      <c r="A784" s="90" t="s">
        <v>206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87" t="s">
        <v>203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87" t="s">
        <v>205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 x14ac:dyDescent="0.3">
      <c r="A811" s="90" t="s">
        <v>206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21" activePane="bottomLeft" state="frozen"/>
      <selection pane="bottomLeft" activeCell="R142" sqref="R142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60.88671875" style="57" customWidth="1"/>
    <col min="15" max="15" width="14" customWidth="1"/>
  </cols>
  <sheetData>
    <row r="1" spans="1:15" ht="37.5" customHeight="1" x14ac:dyDescent="0.3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87" t="s">
        <v>203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87" t="s">
        <v>205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 x14ac:dyDescent="0.3">
      <c r="A28" s="90" t="s">
        <v>206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87" t="s">
        <v>203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87" t="s">
        <v>205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 x14ac:dyDescent="0.3">
      <c r="A55" s="90" t="s">
        <v>206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87" t="s">
        <v>203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87" t="s">
        <v>205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 x14ac:dyDescent="0.3">
      <c r="A82" s="90" t="s">
        <v>206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87" t="s">
        <v>203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87" t="s">
        <v>205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 x14ac:dyDescent="0.3">
      <c r="A109" s="90" t="s">
        <v>206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87" t="s">
        <v>203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5.4734953708248213E-2</v>
      </c>
      <c r="N128" s="27"/>
      <c r="O128" s="60"/>
    </row>
    <row r="129" spans="1:18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8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87" t="s">
        <v>205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0.25404050926380384</v>
      </c>
      <c r="N135" s="36" t="s">
        <v>204</v>
      </c>
      <c r="O135" s="39">
        <v>729290</v>
      </c>
    </row>
    <row r="136" spans="1:18" ht="18" customHeight="1" x14ac:dyDescent="0.3">
      <c r="A136" s="90" t="s">
        <v>206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0.62140162037491486</v>
      </c>
      <c r="N136" s="40" t="s">
        <v>207</v>
      </c>
      <c r="O136" s="48">
        <f>IFERROR(O122+O135,"")</f>
        <v>1003740</v>
      </c>
    </row>
    <row r="137" spans="1:18" ht="15" customHeight="1" x14ac:dyDescent="0.3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203</v>
      </c>
      <c r="B149" s="88"/>
      <c r="C149" s="88"/>
      <c r="D149" s="88"/>
      <c r="E149" s="8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7" t="s">
        <v>205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 x14ac:dyDescent="0.3">
      <c r="A163" s="90" t="s">
        <v>206</v>
      </c>
      <c r="B163" s="91"/>
      <c r="C163" s="91"/>
      <c r="D163" s="91"/>
      <c r="E163" s="9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203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205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 x14ac:dyDescent="0.3">
      <c r="A190" s="90" t="s">
        <v>206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203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87" t="s">
        <v>205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 x14ac:dyDescent="0.3">
      <c r="A217" s="90" t="s">
        <v>206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87" t="s">
        <v>203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87" t="s">
        <v>205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 x14ac:dyDescent="0.3">
      <c r="A244" s="90" t="s">
        <v>206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87" t="s">
        <v>203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87" t="s">
        <v>205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 x14ac:dyDescent="0.3">
      <c r="A271" s="90" t="s">
        <v>206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87" t="s">
        <v>203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87" t="s">
        <v>205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 x14ac:dyDescent="0.3">
      <c r="A298" s="90" t="s">
        <v>206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87" t="s">
        <v>203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87" t="s">
        <v>205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 x14ac:dyDescent="0.3">
      <c r="A325" s="90" t="s">
        <v>206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">
      <c r="A338" s="87" t="s">
        <v>203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87" t="s">
        <v>205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 x14ac:dyDescent="0.3">
      <c r="A352" s="90" t="s">
        <v>206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203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87" t="s">
        <v>205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 x14ac:dyDescent="0.3">
      <c r="A379" s="90" t="s">
        <v>206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87" t="s">
        <v>203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87" t="s">
        <v>205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 x14ac:dyDescent="0.3">
      <c r="A406" s="90" t="s">
        <v>206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87" t="s">
        <v>203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87" t="s">
        <v>205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 x14ac:dyDescent="0.3">
      <c r="A433" s="90" t="s">
        <v>206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87" t="s">
        <v>203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87" t="s">
        <v>205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 x14ac:dyDescent="0.3">
      <c r="A460" s="90" t="s">
        <v>206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87" t="s">
        <v>203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87" t="s">
        <v>205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 x14ac:dyDescent="0.3">
      <c r="A487" s="90" t="s">
        <v>206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87" t="s">
        <v>203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87" t="s">
        <v>205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 x14ac:dyDescent="0.3">
      <c r="A514" s="90" t="s">
        <v>206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87" t="s">
        <v>203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87" t="s">
        <v>205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 x14ac:dyDescent="0.3">
      <c r="A541" s="90" t="s">
        <v>206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87" t="s">
        <v>203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87" t="s">
        <v>205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 x14ac:dyDescent="0.3">
      <c r="A568" s="90" t="s">
        <v>206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87" t="s">
        <v>203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87" t="s">
        <v>205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 x14ac:dyDescent="0.3">
      <c r="A595" s="90" t="s">
        <v>206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87" t="s">
        <v>203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87" t="s">
        <v>205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 x14ac:dyDescent="0.3">
      <c r="A622" s="90" t="s">
        <v>206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87" t="s">
        <v>203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87" t="s">
        <v>205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 x14ac:dyDescent="0.3">
      <c r="A649" s="90" t="s">
        <v>206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87" t="s">
        <v>203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87" t="s">
        <v>205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 x14ac:dyDescent="0.3">
      <c r="A676" s="90" t="s">
        <v>206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87" t="s">
        <v>203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87" t="s">
        <v>205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 x14ac:dyDescent="0.3">
      <c r="A703" s="90" t="s">
        <v>206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87" t="s">
        <v>203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87" t="s">
        <v>205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 x14ac:dyDescent="0.3">
      <c r="A730" s="90" t="s">
        <v>206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87" t="s">
        <v>203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87" t="s">
        <v>205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 x14ac:dyDescent="0.3">
      <c r="A757" s="90" t="s">
        <v>206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87" t="s">
        <v>203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87" t="s">
        <v>205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 x14ac:dyDescent="0.3">
      <c r="A784" s="90" t="s">
        <v>206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87" t="s">
        <v>203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87" t="s">
        <v>205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 x14ac:dyDescent="0.3">
      <c r="A811" s="90" t="s">
        <v>206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2026-07-06T11:19:31Z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