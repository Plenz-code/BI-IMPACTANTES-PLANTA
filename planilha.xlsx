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61" documentId="8_{AF585B22-221D-4780-BB9C-493D365A6A02}" xr6:coauthVersionLast="47" xr6:coauthVersionMax="47" xr10:uidLastSave="{C5A91E3B-257F-43D1-837F-07E4FE4995A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<sst xmlns="http://schemas.openxmlformats.org/spreadsheetml/2006/main" count="3953" uniqueCount="273">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</sst>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97" activePane="bottomLeft" state="frozen"/>
      <selection pane="bottomLeft" activeCell="F224" sqref="F2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83</v>
      </c>
      <c r="G230" s="36">
        <f>SUM(G218:G229)</f>
        <v>415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83</v>
      </c>
      <c r="G244" s="40">
        <f>G230+G243</f>
        <v>415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4" sqref="F2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/>
      <c r="K219" s="29">
        <v>0.52013888888888893</v>
      </c>
      <c r="L219" s="29"/>
      <c r="M219" s="35">
        <f t="shared" ca="1" si="49"/>
        <v>2.1839930552232545E-2</v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0.18572881944112141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0.18572881944112141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E229" sqref="E2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249</v>
      </c>
      <c r="N166" s="27" t="s">
        <v>250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55</v>
      </c>
      <c r="G230" s="36">
        <f>SUM(G218:G229)</f>
        <v>231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55</v>
      </c>
      <c r="G244" s="40">
        <f>G230+G243</f>
        <v>231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24" sqref="F2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256</v>
      </c>
      <c r="L58" s="29">
        <v>0.54097222222222219</v>
      </c>
      <c r="M58" s="30" t="str">
        <f t="shared" ca="1" si="13"/>
        <v/>
      </c>
      <c r="N58" s="27" t="s">
        <v>257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0.2926732638879912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0.49197881944354682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0.85933993055465785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46</v>
      </c>
      <c r="G230" s="36">
        <f>SUM(G218:G229)</f>
        <v>193.20000000000002</v>
      </c>
      <c r="H230" s="37"/>
      <c r="I230" s="37"/>
      <c r="J230" s="37"/>
      <c r="K230" s="61"/>
      <c r="L230" s="61"/>
      <c r="M230" s="38">
        <f ca="1">IFERROR(SUM(M218:M229),"")</f>
        <v>0.12361111111111117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46</v>
      </c>
      <c r="G244" s="40">
        <f>G230+G243</f>
        <v>193.20000000000002</v>
      </c>
      <c r="H244" s="41"/>
      <c r="I244" s="41"/>
      <c r="J244" s="41"/>
      <c r="K244" s="63"/>
      <c r="L244" s="63"/>
      <c r="M244" s="42">
        <f ca="1">IFERROR(M230+M243,"")</f>
        <v>0.12361111111111117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2026-07-09T17:01:01Z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