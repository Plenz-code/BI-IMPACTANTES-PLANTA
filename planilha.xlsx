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01" documentId="13_ncr:1_{0A10D8D4-8450-4366-8075-B53B08E6B7EA}" xr6:coauthVersionLast="47" xr6:coauthVersionMax="47" xr10:uidLastSave="{E0F0A2B7-87E2-4174-997C-0EDD850A680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1" i="6"/>
  <c r="J421" i="6" s="1"/>
  <c r="H422" i="6"/>
  <c r="J422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1" i="5"/>
  <c r="J421" i="5" s="1"/>
  <c r="H422" i="5"/>
  <c r="J422" i="5" s="1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1" i="4"/>
  <c r="J421" i="4" s="1"/>
  <c r="H422" i="4"/>
  <c r="J422" i="4" s="1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0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0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0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20" i="6" l="1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<sst xmlns="http://schemas.openxmlformats.org/spreadsheetml/2006/main" count="7292" uniqueCount="356">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</sst>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G439" sqref="G439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29</v>
      </c>
      <c r="E420" s="59" t="s">
        <v>243</v>
      </c>
      <c r="F420" s="27"/>
      <c r="G420" s="28" t="str">
        <f t="shared" ref="G420:G431" si="88">IF(F420="","",IF(E420="PC 17",F420*4.2,IF(E420="PC 19",F420*5,IF(E420="CB",F420*35,""))))</f>
        <v/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29</v>
      </c>
      <c r="E421" s="59" t="s">
        <v>243</v>
      </c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29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29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29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29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29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29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29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29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29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29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210</v>
      </c>
      <c r="G433" s="40">
        <f>G419+G432</f>
        <v>1050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G421" sqref="G42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0.71237488425686024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0.85126377314574908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0.93598599536797145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24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100.80000000000001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171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718.2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1" sqref="G42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6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25.200000000000003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127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533.40000000000009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G421" sqref="G421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/>
      <c r="Q420" s="30">
        <f t="shared" ref="Q420:Q431" ca="1" si="104">IFERROR(IF(O420="","",IF(P420="",MOD(NOW()-O420,1),IF(P420&gt;=O420,P420-O420,P420+1-O420))),"")</f>
        <v>6.1248842612258159E-3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88.2</v>
      </c>
      <c r="L432" s="37"/>
      <c r="M432" s="37"/>
      <c r="N432" s="37"/>
      <c r="O432" s="61"/>
      <c r="P432" s="61"/>
      <c r="Q432" s="38">
        <f ca="1">IFERROR(SUM(Q420:Q431),"")</f>
        <v>6.1248842612258159E-3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684.60000000000014</v>
      </c>
      <c r="L433" s="41"/>
      <c r="M433" s="41"/>
      <c r="N433" s="41"/>
      <c r="O433" s="63"/>
      <c r="P433" s="63"/>
      <c r="Q433" s="42">
        <f ca="1">IFERROR(Q419+Q432,"")</f>
        <v>0.12140266203900363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2026-08-17T00:01:03Z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