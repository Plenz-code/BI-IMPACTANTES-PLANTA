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474" documentId="8_{AF585B22-221D-4780-BB9C-493D365A6A02}" xr6:coauthVersionLast="47" xr6:coauthVersionMax="47" xr10:uidLastSave="{465958BF-622B-4314-B0C4-69BA4DB00576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<sst xmlns="http://schemas.openxmlformats.org/spreadsheetml/2006/main" count="9117" uniqueCount="376">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</sst>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5" sqref="G25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1630000</v>
      </c>
      <c r="D25" s="11">
        <f>IFERROR('Linha 1'!O595,"")</f>
        <v>966000</v>
      </c>
      <c r="E25" s="11">
        <f>IFERROR('Linha 2'!O595,"")</f>
        <v>222600</v>
      </c>
      <c r="F25" s="11">
        <f>IFERROR('Linha 3'!O595,"")</f>
        <v>0</v>
      </c>
      <c r="G25" s="12">
        <f t="shared" si="0"/>
        <v>1188600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66223351</v>
      </c>
      <c r="D35" s="13">
        <f>IFERROR(SUM(D4:D34),"")</f>
        <v>26460250</v>
      </c>
      <c r="E35" s="13">
        <f>IFERROR(SUM(E4:E34),"")</f>
        <v>14550490</v>
      </c>
      <c r="F35" s="13">
        <f>IFERROR(SUM(F4:F34),"")</f>
        <v>28724440</v>
      </c>
      <c r="G35" s="13">
        <f>IFERROR(SUM(G4:G34),"")</f>
        <v>69735180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62" activePane="bottomLeft" state="frozen"/>
      <selection pane="bottomLeft" activeCell="F584" sqref="F58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231</v>
      </c>
      <c r="O567" s="39">
        <v>1482110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234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228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228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228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228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228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228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231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228</v>
      </c>
      <c r="F582" s="27">
        <v>20</v>
      </c>
      <c r="G582" s="28">
        <f t="shared" ref="G582:G593" si="129">IF(F582="","",IF(E582="PC 17",F582*4.2,IF(E582="PC 19",F582*5,"")))</f>
        <v>100</v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228</v>
      </c>
      <c r="F583" s="27">
        <v>18</v>
      </c>
      <c r="G583" s="34">
        <f t="shared" si="129"/>
        <v>90</v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228</v>
      </c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228</v>
      </c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228</v>
      </c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228</v>
      </c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255</v>
      </c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228</v>
      </c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228</v>
      </c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228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228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228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38</v>
      </c>
      <c r="G594" s="36">
        <f>SUM(G582:G593)</f>
        <v>190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224</v>
      </c>
      <c r="G595" s="40">
        <f>G581+G594</f>
        <v>1120</v>
      </c>
      <c r="H595" s="41"/>
      <c r="I595" s="41"/>
      <c r="J595" s="41"/>
      <c r="K595" s="41"/>
      <c r="L595" s="41"/>
      <c r="M595" s="42">
        <f ca="1">IFERROR(M581+M594,"")</f>
        <v>5.8333333333333293E-2</v>
      </c>
      <c r="N595" s="40" t="s">
        <v>234</v>
      </c>
      <c r="O595" s="48">
        <f>IFERROR(O581+O594,"")</f>
        <v>1630000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55" activePane="bottomLeft" state="frozen"/>
      <selection pane="bottomLeft" activeCell="F584" sqref="F58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0.63824849536467809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0.79588738425356698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0.90560960647578914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0.61672071758948732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0.78755405092282071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0.93269293981170964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231</v>
      </c>
      <c r="O567" s="77">
        <v>722660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234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231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255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255</v>
      </c>
      <c r="F583" s="27">
        <v>11</v>
      </c>
      <c r="G583" s="34">
        <f t="shared" si="129"/>
        <v>46.2</v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255</v>
      </c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255</v>
      </c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255</v>
      </c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255</v>
      </c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255</v>
      </c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255</v>
      </c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255</v>
      </c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255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255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255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27</v>
      </c>
      <c r="G594" s="36">
        <f>SUM(G582:G593)</f>
        <v>113.4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257</v>
      </c>
      <c r="G595" s="40">
        <f>G581+G594</f>
        <v>1079.4000000000001</v>
      </c>
      <c r="H595" s="41"/>
      <c r="I595" s="41"/>
      <c r="J595" s="41"/>
      <c r="K595" s="41"/>
      <c r="L595" s="41"/>
      <c r="M595" s="42">
        <f ca="1">IFERROR(M581+M594,"")</f>
        <v>3.0555555555555558E-2</v>
      </c>
      <c r="N595" s="40" t="s">
        <v>234</v>
      </c>
      <c r="O595" s="83">
        <f>IFERROR(O581+O594,"")</f>
        <v>966000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549" zoomScale="50" zoomScaleNormal="50" workbookViewId="0">
      <selection activeCell="F584" sqref="F58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305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311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313</v>
      </c>
      <c r="N166" s="27" t="s">
        <v>314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231</v>
      </c>
      <c r="O567" s="39">
        <v>315860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234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231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255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255</v>
      </c>
      <c r="F583" s="27">
        <v>5</v>
      </c>
      <c r="G583" s="34">
        <f t="shared" si="129"/>
        <v>21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255</v>
      </c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255</v>
      </c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255</v>
      </c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255</v>
      </c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255</v>
      </c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255</v>
      </c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255</v>
      </c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255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255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255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8</v>
      </c>
      <c r="G594" s="36">
        <f>SUM(G582:G593)</f>
        <v>33.6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61</v>
      </c>
      <c r="G595" s="40">
        <f>G581+G594</f>
        <v>256.20000000000005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234</v>
      </c>
      <c r="O595" s="48">
        <f>IFERROR(O581+O594,"")</f>
        <v>222600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62" activePane="bottomLeft" state="frozen"/>
      <selection pane="bottomLeft" activeCell="F582" sqref="F58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332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333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334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335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336</v>
      </c>
      <c r="L58" s="29">
        <v>0.54097222222222219</v>
      </c>
      <c r="M58" s="30" t="str">
        <f t="shared" ca="1" si="13"/>
        <v/>
      </c>
      <c r="N58" s="27" t="s">
        <v>337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305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338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339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340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341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342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343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344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345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0.62852627314714482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0.82783182870270045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1.1951929398138115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346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348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349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350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351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352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353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355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356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357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359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361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348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362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363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364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341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341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231</v>
      </c>
      <c r="O567" s="39">
        <v>499820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234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231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255</v>
      </c>
      <c r="F582" s="27"/>
      <c r="G582" s="28" t="str">
        <f t="shared" ref="G582:G593" si="129">IF(F582="","",IF(E582="PC 17",F582*4.2,IF(E582="PC 19",F582*5,"")))</f>
        <v/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/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255</v>
      </c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ref="M582:M593" ca="1" si="131">IFERROR(IF(K583="","",IF(L583="",MOD(NOW()-K583,1),IF(L583&gt;=K583,L583-K583,L583+1-K583))),"")</f>
        <v/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255</v>
      </c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255</v>
      </c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255</v>
      </c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255</v>
      </c>
      <c r="F587" s="27"/>
      <c r="G587" s="34" t="str">
        <f>IF(F587="","",IF(E588="PC 17",F587*4.2,IF(E588="PC 19",F587*5,"")))</f>
        <v/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255</v>
      </c>
      <c r="F588" s="27"/>
      <c r="G588" s="28" t="str">
        <f>IF(F588="","",IF(#REF!="PC 17",F588*4.2,IF(#REF!="PC 19",F588*5,"")))</f>
        <v/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255</v>
      </c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255</v>
      </c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255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255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255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0.49999999999999994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2026-07-23T01:04:14Z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