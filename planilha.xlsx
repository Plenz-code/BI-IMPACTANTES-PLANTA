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84" documentId="8_{AF585B22-221D-4780-BB9C-493D365A6A02}" xr6:coauthVersionLast="47" xr6:coauthVersionMax="47" xr10:uidLastSave="{20636288-B794-445A-B285-7F0DE3FC7CE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<sst xmlns="http://schemas.openxmlformats.org/spreadsheetml/2006/main" count="3781" uniqueCount="269">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</sst>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K206" sqref="K2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 t="s">
        <v>18</v>
      </c>
      <c r="I205" s="33"/>
      <c r="J205" s="33" t="s">
        <v>151</v>
      </c>
      <c r="K205" s="29">
        <v>0.1388888888888889</v>
      </c>
      <c r="L205" s="29"/>
      <c r="M205" s="35">
        <f t="shared" ca="1" si="46"/>
        <v>5.8738426014315337E-4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246</v>
      </c>
      <c r="G216" s="36">
        <f>SUM(G204:G215)</f>
        <v>1209.2</v>
      </c>
      <c r="H216" s="37"/>
      <c r="I216" s="37"/>
      <c r="J216" s="37"/>
      <c r="K216" s="37"/>
      <c r="L216" s="37"/>
      <c r="M216" s="38">
        <f ca="1">IFERROR(SUM(M204:M215),"")</f>
        <v>2.2115162037920966E-2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576</v>
      </c>
      <c r="G217" s="40">
        <f>G203+G216</f>
        <v>2859.2</v>
      </c>
      <c r="H217" s="41"/>
      <c r="I217" s="41"/>
      <c r="J217" s="41"/>
      <c r="K217" s="41"/>
      <c r="L217" s="41"/>
      <c r="M217" s="42">
        <f ca="1">IFERROR(M203+M216,"")</f>
        <v>4.5726273149032104E-2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K208" sqref="K2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>
        <v>0.10069444444444445</v>
      </c>
      <c r="L207" s="29"/>
      <c r="M207" s="35">
        <f t="shared" ca="1" si="46"/>
        <v>3.8781828705396038E-2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122</v>
      </c>
      <c r="G216" s="36">
        <f>SUM(G204:G215)</f>
        <v>512.40000000000009</v>
      </c>
      <c r="H216" s="37"/>
      <c r="I216" s="37"/>
      <c r="J216" s="37"/>
      <c r="K216" s="37"/>
      <c r="L216" s="37"/>
      <c r="M216" s="38">
        <f ca="1">IFERROR(SUM(M204:M215),"")</f>
        <v>0.10475405092761825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41"/>
      <c r="L217" s="41"/>
      <c r="M217" s="42">
        <f ca="1">IFERROR(M203+M216,"")</f>
        <v>0.10475405092761825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77</v>
      </c>
      <c r="G216" s="36">
        <f>SUM(G204:G215)</f>
        <v>323.40000000000003</v>
      </c>
      <c r="H216" s="37"/>
      <c r="I216" s="37"/>
      <c r="J216" s="37"/>
      <c r="K216" s="37"/>
      <c r="L216" s="37"/>
      <c r="M216" s="38">
        <f ca="1">IFERROR(SUM(M204:M215),"")</f>
        <v>5.5555555555555539E-2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167</v>
      </c>
      <c r="G217" s="40">
        <f>G203+G216</f>
        <v>701.4</v>
      </c>
      <c r="H217" s="41"/>
      <c r="I217" s="41"/>
      <c r="J217" s="41"/>
      <c r="K217" s="41"/>
      <c r="L217" s="41"/>
      <c r="M217" s="42">
        <f ca="1">IFERROR(M203+M216,"")</f>
        <v>0.21180555555555558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2" sqref="F2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0.890170717597357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1.0894762731529126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1.4568373842640236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142</v>
      </c>
      <c r="G216" s="36">
        <f>SUM(G204:G215)</f>
        <v>596.4</v>
      </c>
      <c r="H216" s="37"/>
      <c r="I216" s="37"/>
      <c r="J216" s="37"/>
      <c r="K216" s="61"/>
      <c r="L216" s="61"/>
      <c r="M216" s="38">
        <f ca="1">IFERROR(SUM(M204:M215),"")</f>
        <v>6.3194444444444525E-2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292</v>
      </c>
      <c r="G217" s="40">
        <f>G203+G216</f>
        <v>1226.4000000000001</v>
      </c>
      <c r="H217" s="41"/>
      <c r="I217" s="41"/>
      <c r="J217" s="41"/>
      <c r="K217" s="63"/>
      <c r="L217" s="63"/>
      <c r="M217" s="42">
        <f ca="1">IFERROR(M203+M216,"")</f>
        <v>0.26041666666666674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2026-07-09T07:21:02Z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