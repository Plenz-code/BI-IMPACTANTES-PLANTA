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255" documentId="8_{AF585B22-221D-4780-BB9C-493D365A6A02}" xr6:coauthVersionLast="47" xr6:coauthVersionMax="47" xr10:uidLastSave="{F278CB58-2F37-410E-A0E1-46238B8BC12E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<sst xmlns="http://schemas.openxmlformats.org/spreadsheetml/2006/main" count="2485" uniqueCount="233">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</sst>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9976020</v>
      </c>
      <c r="D35" s="13">
        <f>IFERROR(SUM(D4:D34),"")</f>
        <v>4101110</v>
      </c>
      <c r="E35" s="13">
        <f>IFERROR(SUM(E4:E34),"")</f>
        <v>2346210</v>
      </c>
      <c r="F35" s="13">
        <f>IFERROR(SUM(F4:F34),"")</f>
        <v>3972190</v>
      </c>
      <c r="G35" s="13">
        <f>IFERROR(SUM(G4:G34),"")</f>
        <v>10419510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2" zoomScale="85" zoomScaleNormal="85" workbookViewId="0">
      <selection activeCell="K55" sqref="K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 t="s">
        <v>184</v>
      </c>
      <c r="L54" s="16"/>
      <c r="M54" s="16"/>
    </row>
    <row r="55" spans="1:13" ht="15" customHeight="1">
      <c r="H55" s="96"/>
      <c r="I55" s="17"/>
      <c r="J55" s="17"/>
      <c r="K55" s="17"/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99" activePane="bottomLeft" state="frozen"/>
      <selection pane="bottomLeft" activeCell="E121" sqref="E12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195</v>
      </c>
      <c r="E2" s="59" t="s">
        <v>196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198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200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199</v>
      </c>
      <c r="O27" s="39">
        <v>1183060</v>
      </c>
    </row>
    <row r="28" spans="1:15" ht="18" customHeight="1">
      <c r="A28" s="89" t="s">
        <v>201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198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200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199</v>
      </c>
      <c r="O54" s="39">
        <v>959290</v>
      </c>
    </row>
    <row r="55" spans="1:15" ht="18" customHeight="1">
      <c r="A55" s="89" t="s">
        <v>201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198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200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199</v>
      </c>
      <c r="O81" s="39">
        <v>878050</v>
      </c>
    </row>
    <row r="82" spans="1:15" ht="18" customHeight="1">
      <c r="A82" s="89" t="s">
        <v>201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196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198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200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199</v>
      </c>
      <c r="O108" s="39">
        <v>1700000</v>
      </c>
    </row>
    <row r="109" spans="1:15" ht="18" customHeight="1">
      <c r="A109" s="89" t="s">
        <v>201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207</v>
      </c>
      <c r="F110" s="27">
        <v>20</v>
      </c>
      <c r="G110" s="28">
        <f t="shared" ref="G110:G121" si="24">IF(F110="","",IF(E110="PC 17",F110*4.2,IF(E110="PC 19",F110*5,"")))</f>
        <v>84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207</v>
      </c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207</v>
      </c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207</v>
      </c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207</v>
      </c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207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207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207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207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207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207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207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198</v>
      </c>
      <c r="B122" s="87"/>
      <c r="C122" s="87"/>
      <c r="D122" s="87"/>
      <c r="E122" s="88">
        <f>SUM(E110:E121)</f>
        <v>0</v>
      </c>
      <c r="F122" s="36">
        <f>SUM(F110:F121)</f>
        <v>20</v>
      </c>
      <c r="G122" s="36">
        <f>SUM(G110:G121)</f>
        <v>84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200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199</v>
      </c>
      <c r="O135" s="39"/>
    </row>
    <row r="136" spans="1:15" ht="18" customHeight="1">
      <c r="A136" s="89" t="s">
        <v>201</v>
      </c>
      <c r="B136" s="90"/>
      <c r="C136" s="90"/>
      <c r="D136" s="90"/>
      <c r="E136" s="91">
        <f>E122+E135</f>
        <v>0</v>
      </c>
      <c r="F136" s="40">
        <f>F122+F135</f>
        <v>20</v>
      </c>
      <c r="G136" s="40">
        <f>G122+G135</f>
        <v>84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202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198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199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200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199</v>
      </c>
      <c r="O162" s="44"/>
    </row>
    <row r="163" spans="1:15" ht="18" customHeight="1">
      <c r="A163" s="89" t="s">
        <v>201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198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200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199</v>
      </c>
      <c r="O189" s="39"/>
    </row>
    <row r="190" spans="1:15" ht="18" customHeight="1">
      <c r="A190" s="89" t="s">
        <v>201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198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200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199</v>
      </c>
      <c r="O216" s="45"/>
    </row>
    <row r="217" spans="1:15" ht="18" customHeight="1">
      <c r="A217" s="89" t="s">
        <v>201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198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200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199</v>
      </c>
      <c r="O243" s="39"/>
    </row>
    <row r="244" spans="1:15" ht="18" customHeight="1">
      <c r="A244" s="89" t="s">
        <v>201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198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200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199</v>
      </c>
      <c r="O270" s="39"/>
    </row>
    <row r="271" spans="1:15" ht="18" customHeight="1">
      <c r="A271" s="89" t="s">
        <v>201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198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200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199</v>
      </c>
      <c r="O297" s="39"/>
    </row>
    <row r="298" spans="1:15" ht="18" customHeight="1">
      <c r="A298" s="89" t="s">
        <v>201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198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200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199</v>
      </c>
      <c r="O324" s="39"/>
    </row>
    <row r="325" spans="1:15" ht="18" customHeight="1">
      <c r="A325" s="89" t="s">
        <v>201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198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200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199</v>
      </c>
      <c r="O351" s="39"/>
    </row>
    <row r="352" spans="1:15" ht="18" customHeight="1">
      <c r="A352" s="89" t="s">
        <v>201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198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200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199</v>
      </c>
      <c r="O378" s="39"/>
    </row>
    <row r="379" spans="1:15" ht="18" customHeight="1">
      <c r="A379" s="89" t="s">
        <v>201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198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200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199</v>
      </c>
      <c r="O405" s="39"/>
    </row>
    <row r="406" spans="1:15" ht="18" customHeight="1">
      <c r="A406" s="89" t="s">
        <v>201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198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200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199</v>
      </c>
      <c r="O432" s="39"/>
    </row>
    <row r="433" spans="1:15" ht="18" customHeight="1">
      <c r="A433" s="89" t="s">
        <v>201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198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200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199</v>
      </c>
      <c r="O459" s="39"/>
    </row>
    <row r="460" spans="1:15" ht="18" customHeight="1">
      <c r="A460" s="89" t="s">
        <v>201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198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200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199</v>
      </c>
      <c r="O486" s="39"/>
    </row>
    <row r="487" spans="1:15" ht="18" customHeight="1">
      <c r="A487" s="89" t="s">
        <v>201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198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200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199</v>
      </c>
      <c r="O513" s="39"/>
    </row>
    <row r="514" spans="1:15" ht="18" customHeight="1">
      <c r="A514" s="89" t="s">
        <v>201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198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200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199</v>
      </c>
      <c r="O540" s="39"/>
    </row>
    <row r="541" spans="1:15" ht="18" customHeight="1">
      <c r="A541" s="89" t="s">
        <v>201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198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200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199</v>
      </c>
      <c r="O567" s="39"/>
    </row>
    <row r="568" spans="1:15" ht="18" customHeight="1">
      <c r="A568" s="89" t="s">
        <v>201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198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200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199</v>
      </c>
      <c r="O594" s="39"/>
    </row>
    <row r="595" spans="1:15" ht="18" customHeight="1">
      <c r="A595" s="89" t="s">
        <v>201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198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200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199</v>
      </c>
      <c r="O621" s="39"/>
    </row>
    <row r="622" spans="1:15" ht="18" customHeight="1">
      <c r="A622" s="89" t="s">
        <v>201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198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200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199</v>
      </c>
      <c r="O648" s="39"/>
    </row>
    <row r="649" spans="1:15" ht="18" customHeight="1">
      <c r="A649" s="89" t="s">
        <v>201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198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200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199</v>
      </c>
      <c r="O675" s="39"/>
    </row>
    <row r="676" spans="1:15" ht="18" customHeight="1">
      <c r="A676" s="89" t="s">
        <v>201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198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200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199</v>
      </c>
      <c r="O702" s="39"/>
    </row>
    <row r="703" spans="1:15" ht="18" customHeight="1">
      <c r="A703" s="89" t="s">
        <v>201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198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200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199</v>
      </c>
      <c r="O729" s="39"/>
    </row>
    <row r="730" spans="1:15" ht="18" customHeight="1">
      <c r="A730" s="89" t="s">
        <v>201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198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200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9" t="s">
        <v>201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198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200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9" t="s">
        <v>201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198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200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9" t="s">
        <v>201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95" activePane="bottomLeft" state="frozen"/>
      <selection pane="bottomLeft" activeCell="F111" sqref="F11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207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198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200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199</v>
      </c>
      <c r="O27" s="78">
        <v>393200</v>
      </c>
    </row>
    <row r="28" spans="1:15" ht="18" customHeight="1">
      <c r="A28" s="89" t="s">
        <v>201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198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207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200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199</v>
      </c>
      <c r="O54" s="85">
        <v>276360</v>
      </c>
    </row>
    <row r="55" spans="1:15" ht="18" customHeight="1">
      <c r="A55" s="89" t="s">
        <v>201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198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200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199</v>
      </c>
      <c r="O81" s="54">
        <v>787860</v>
      </c>
    </row>
    <row r="82" spans="1:15" ht="18" customHeight="1">
      <c r="A82" s="89" t="s">
        <v>201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198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199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200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199</v>
      </c>
      <c r="O108" s="54">
        <v>1087080</v>
      </c>
    </row>
    <row r="109" spans="1:15" ht="18" customHeight="1">
      <c r="A109" s="89" t="s">
        <v>201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196</v>
      </c>
      <c r="F110" s="27">
        <v>22</v>
      </c>
      <c r="G110" s="28">
        <f t="shared" ref="G110:G121" si="24">IF(F110="","",IF(E110="PC 17",F110*4.2,IF(E110="PC 19",F110*5,"")))</f>
        <v>110</v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196</v>
      </c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196</v>
      </c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196</v>
      </c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196</v>
      </c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196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207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207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207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207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207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207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198</v>
      </c>
      <c r="B122" s="87"/>
      <c r="C122" s="87"/>
      <c r="D122" s="87"/>
      <c r="E122" s="88">
        <f>SUM(E110:E121)</f>
        <v>0</v>
      </c>
      <c r="F122" s="36">
        <f>SUM(F110:F121)</f>
        <v>22</v>
      </c>
      <c r="G122" s="36">
        <f>SUM(G110:G121)</f>
        <v>110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199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200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199</v>
      </c>
      <c r="O135" s="54"/>
    </row>
    <row r="136" spans="1:15" ht="18" customHeight="1">
      <c r="A136" s="89" t="s">
        <v>201</v>
      </c>
      <c r="B136" s="90"/>
      <c r="C136" s="90"/>
      <c r="D136" s="90"/>
      <c r="E136" s="91">
        <f>E122+E135</f>
        <v>0</v>
      </c>
      <c r="F136" s="40">
        <f>F122+F135</f>
        <v>22</v>
      </c>
      <c r="G136" s="40">
        <f>G122+G135</f>
        <v>110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202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198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199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200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199</v>
      </c>
      <c r="O162" s="54"/>
    </row>
    <row r="163" spans="1:15" ht="18" customHeight="1">
      <c r="A163" s="89" t="s">
        <v>201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202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198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199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200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199</v>
      </c>
      <c r="O189" s="78"/>
    </row>
    <row r="190" spans="1:15" ht="18" customHeight="1">
      <c r="A190" s="89" t="s">
        <v>201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198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200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199</v>
      </c>
      <c r="O216" s="78"/>
    </row>
    <row r="217" spans="1:15" ht="18" customHeight="1">
      <c r="A217" s="89" t="s">
        <v>201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198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200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199</v>
      </c>
      <c r="O243" s="78"/>
    </row>
    <row r="244" spans="1:15" ht="18" customHeight="1">
      <c r="A244" s="89" t="s">
        <v>201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198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200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199</v>
      </c>
      <c r="O270" s="78"/>
    </row>
    <row r="271" spans="1:15" ht="18" customHeight="1">
      <c r="A271" s="89" t="s">
        <v>201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198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200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199</v>
      </c>
      <c r="O297" s="78"/>
    </row>
    <row r="298" spans="1:15" ht="18" customHeight="1">
      <c r="A298" s="89" t="s">
        <v>201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198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200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199</v>
      </c>
      <c r="O324" s="78"/>
    </row>
    <row r="325" spans="1:15" ht="18" customHeight="1">
      <c r="A325" s="89" t="s">
        <v>201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198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200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199</v>
      </c>
      <c r="O351" s="78"/>
    </row>
    <row r="352" spans="1:15" ht="18" customHeight="1">
      <c r="A352" s="89" t="s">
        <v>201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198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200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199</v>
      </c>
      <c r="O378" s="78"/>
    </row>
    <row r="379" spans="1:15" ht="18" customHeight="1">
      <c r="A379" s="89" t="s">
        <v>201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198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200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199</v>
      </c>
      <c r="O405" s="78"/>
    </row>
    <row r="406" spans="1:15" ht="18" customHeight="1">
      <c r="A406" s="89" t="s">
        <v>201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198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200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199</v>
      </c>
      <c r="O432" s="78"/>
    </row>
    <row r="433" spans="1:15" ht="18" customHeight="1">
      <c r="A433" s="89" t="s">
        <v>201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198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200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199</v>
      </c>
      <c r="O459" s="78"/>
    </row>
    <row r="460" spans="1:15" ht="18" customHeight="1">
      <c r="A460" s="89" t="s">
        <v>201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198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200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199</v>
      </c>
      <c r="O486" s="78"/>
    </row>
    <row r="487" spans="1:15" ht="18" customHeight="1">
      <c r="A487" s="89" t="s">
        <v>201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198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200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199</v>
      </c>
      <c r="O513" s="78"/>
    </row>
    <row r="514" spans="1:15" ht="18" customHeight="1">
      <c r="A514" s="89" t="s">
        <v>201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198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200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199</v>
      </c>
      <c r="O540" s="78"/>
    </row>
    <row r="541" spans="1:15" ht="18" customHeight="1">
      <c r="A541" s="89" t="s">
        <v>201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198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200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199</v>
      </c>
      <c r="O567" s="78"/>
    </row>
    <row r="568" spans="1:15" ht="18" customHeight="1">
      <c r="A568" s="89" t="s">
        <v>201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198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200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199</v>
      </c>
      <c r="O594" s="78"/>
    </row>
    <row r="595" spans="1:15" ht="18" customHeight="1">
      <c r="A595" s="89" t="s">
        <v>201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198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200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199</v>
      </c>
      <c r="O621" s="78"/>
    </row>
    <row r="622" spans="1:15" ht="18" customHeight="1">
      <c r="A622" s="89" t="s">
        <v>201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198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200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199</v>
      </c>
      <c r="O648" s="78"/>
    </row>
    <row r="649" spans="1:15" ht="18" customHeight="1">
      <c r="A649" s="89" t="s">
        <v>201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198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200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199</v>
      </c>
      <c r="O675" s="78"/>
    </row>
    <row r="676" spans="1:15" ht="18" customHeight="1">
      <c r="A676" s="89" t="s">
        <v>201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198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200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199</v>
      </c>
      <c r="O702" s="78"/>
    </row>
    <row r="703" spans="1:15" ht="18" customHeight="1">
      <c r="A703" s="89" t="s">
        <v>201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198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200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199</v>
      </c>
      <c r="O729" s="78"/>
    </row>
    <row r="730" spans="1:15" ht="18" customHeight="1">
      <c r="A730" s="89" t="s">
        <v>201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198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200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9" t="s">
        <v>201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198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200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9" t="s">
        <v>201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198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200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9" t="s">
        <v>201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5" activePane="bottomLeft" state="frozen"/>
      <selection pane="bottomLeft" activeCell="F117" sqref="F11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198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200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199</v>
      </c>
      <c r="O27" s="39">
        <v>308500</v>
      </c>
    </row>
    <row r="28" spans="1:15" ht="18" customHeight="1">
      <c r="A28" s="89" t="s">
        <v>201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198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200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199</v>
      </c>
      <c r="O54" s="39">
        <v>124290</v>
      </c>
    </row>
    <row r="55" spans="1:15" ht="18" customHeight="1">
      <c r="A55" s="89" t="s">
        <v>201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198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200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199</v>
      </c>
      <c r="O81" s="39">
        <v>396340</v>
      </c>
    </row>
    <row r="82" spans="1:15" ht="18" customHeight="1">
      <c r="A82" s="89" t="s">
        <v>201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198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200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199</v>
      </c>
      <c r="O108" s="39">
        <v>41230</v>
      </c>
    </row>
    <row r="109" spans="1:15" ht="18" customHeight="1">
      <c r="A109" s="89" t="s">
        <v>201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/>
      <c r="M110" s="30">
        <f t="shared" ref="M110:M121" ca="1" si="25">IFERROR(IF(K110="","",IF(L110="",MOD(NOW()-K110,1),IF(L110&gt;=K110,L110-K110,L110+1-K110))),"")</f>
        <v>5.0574652777868323E-2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198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5.0574652777868323E-2</v>
      </c>
      <c r="N122" s="36" t="s">
        <v>199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200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199</v>
      </c>
      <c r="O135" s="39"/>
    </row>
    <row r="136" spans="1:15" ht="18" customHeight="1">
      <c r="A136" s="89" t="s">
        <v>201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5.0574652777868323E-2</v>
      </c>
      <c r="N136" s="40" t="s">
        <v>202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198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199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200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199</v>
      </c>
      <c r="O162" s="39"/>
    </row>
    <row r="163" spans="1:15" ht="18" customHeight="1">
      <c r="A163" s="89" t="s">
        <v>201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198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200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199</v>
      </c>
      <c r="O189" s="39"/>
    </row>
    <row r="190" spans="1:15" ht="18" customHeight="1">
      <c r="A190" s="89" t="s">
        <v>201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198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200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199</v>
      </c>
      <c r="O216" s="39"/>
    </row>
    <row r="217" spans="1:15" ht="18" customHeight="1">
      <c r="A217" s="89" t="s">
        <v>201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198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200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199</v>
      </c>
      <c r="O243" s="39"/>
    </row>
    <row r="244" spans="1:15" ht="18" customHeight="1">
      <c r="A244" s="89" t="s">
        <v>201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198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200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199</v>
      </c>
      <c r="O270" s="39"/>
    </row>
    <row r="271" spans="1:15" ht="18" customHeight="1">
      <c r="A271" s="89" t="s">
        <v>201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198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200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199</v>
      </c>
      <c r="O297" s="39"/>
    </row>
    <row r="298" spans="1:15" ht="18" customHeight="1">
      <c r="A298" s="89" t="s">
        <v>201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198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200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199</v>
      </c>
      <c r="O324" s="39"/>
    </row>
    <row r="325" spans="1:15" ht="18" customHeight="1">
      <c r="A325" s="89" t="s">
        <v>201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198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200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199</v>
      </c>
      <c r="O351" s="39"/>
    </row>
    <row r="352" spans="1:15" ht="18" customHeight="1">
      <c r="A352" s="89" t="s">
        <v>201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198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200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199</v>
      </c>
      <c r="O378" s="39"/>
    </row>
    <row r="379" spans="1:15" ht="18" customHeight="1">
      <c r="A379" s="89" t="s">
        <v>201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198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200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199</v>
      </c>
      <c r="O405" s="39"/>
    </row>
    <row r="406" spans="1:15" ht="18" customHeight="1">
      <c r="A406" s="89" t="s">
        <v>201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198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200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199</v>
      </c>
      <c r="O432" s="39"/>
    </row>
    <row r="433" spans="1:15" ht="18" customHeight="1">
      <c r="A433" s="89" t="s">
        <v>201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198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200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199</v>
      </c>
      <c r="O459" s="39"/>
    </row>
    <row r="460" spans="1:15" ht="18" customHeight="1">
      <c r="A460" s="89" t="s">
        <v>201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198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200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199</v>
      </c>
      <c r="O486" s="39"/>
    </row>
    <row r="487" spans="1:15" ht="18" customHeight="1">
      <c r="A487" s="89" t="s">
        <v>201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198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200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199</v>
      </c>
      <c r="O513" s="39"/>
    </row>
    <row r="514" spans="1:15" ht="18" customHeight="1">
      <c r="A514" s="89" t="s">
        <v>201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198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200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199</v>
      </c>
      <c r="O540" s="39"/>
    </row>
    <row r="541" spans="1:15" ht="18" customHeight="1">
      <c r="A541" s="89" t="s">
        <v>201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198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200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199</v>
      </c>
      <c r="O567" s="39"/>
    </row>
    <row r="568" spans="1:15" ht="18" customHeight="1">
      <c r="A568" s="89" t="s">
        <v>201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198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200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199</v>
      </c>
      <c r="O594" s="39"/>
    </row>
    <row r="595" spans="1:15" ht="18" customHeight="1">
      <c r="A595" s="89" t="s">
        <v>201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198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200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199</v>
      </c>
      <c r="O621" s="39"/>
    </row>
    <row r="622" spans="1:15" ht="18" customHeight="1">
      <c r="A622" s="89" t="s">
        <v>201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198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200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199</v>
      </c>
      <c r="O648" s="39"/>
    </row>
    <row r="649" spans="1:15" ht="18" customHeight="1">
      <c r="A649" s="89" t="s">
        <v>201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198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200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199</v>
      </c>
      <c r="O675" s="39"/>
    </row>
    <row r="676" spans="1:15" ht="18" customHeight="1">
      <c r="A676" s="89" t="s">
        <v>201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198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200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199</v>
      </c>
      <c r="O702" s="39"/>
    </row>
    <row r="703" spans="1:15" ht="18" customHeight="1">
      <c r="A703" s="89" t="s">
        <v>201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198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200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199</v>
      </c>
      <c r="O729" s="39"/>
    </row>
    <row r="730" spans="1:15" ht="18" customHeight="1">
      <c r="A730" s="89" t="s">
        <v>201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198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200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9" t="s">
        <v>201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198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200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9" t="s">
        <v>201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198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200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9" t="s">
        <v>201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80" activePane="bottomLeft" state="frozen"/>
      <selection pane="bottomLeft" activeCell="H117" sqref="H117:H11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198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200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199</v>
      </c>
      <c r="O27" s="39">
        <v>202230</v>
      </c>
    </row>
    <row r="28" spans="1:15" ht="18" customHeight="1">
      <c r="A28" s="89" t="s">
        <v>201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198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200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199</v>
      </c>
      <c r="O54" s="39">
        <v>473910</v>
      </c>
    </row>
    <row r="55" spans="1:15" ht="18" customHeight="1">
      <c r="A55" s="89" t="s">
        <v>201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226</v>
      </c>
      <c r="L58" s="29">
        <v>0.54097222222222219</v>
      </c>
      <c r="M58" s="30" t="str">
        <f t="shared" ca="1" si="13"/>
        <v/>
      </c>
      <c r="N58" s="27" t="s">
        <v>227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198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200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199</v>
      </c>
      <c r="O81" s="39">
        <v>565120</v>
      </c>
    </row>
    <row r="82" spans="1:15" ht="18" customHeight="1">
      <c r="A82" s="89" t="s">
        <v>201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198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199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200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199</v>
      </c>
      <c r="O108" s="39">
        <v>558590</v>
      </c>
    </row>
    <row r="109" spans="1:15" ht="18" customHeight="1">
      <c r="A109" s="89" t="s">
        <v>201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 t="s">
        <v>18</v>
      </c>
      <c r="I110" s="26" t="s">
        <v>75</v>
      </c>
      <c r="J110" s="26" t="s">
        <v>184</v>
      </c>
      <c r="K110" s="29">
        <v>0.29166666666666669</v>
      </c>
      <c r="L110" s="29"/>
      <c r="M110" s="30">
        <f t="shared" ref="M110:M121" ca="1" si="25">IFERROR(IF(K110="","",IF(L110="",MOD(NOW()-K110,1),IF(L110&gt;=K110,L110-K110,L110+1-K110))),"")</f>
        <v>5.0574652777868323E-2</v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198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5.0574652777868323E-2</v>
      </c>
      <c r="N122" s="36" t="s">
        <v>199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200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199</v>
      </c>
      <c r="O135" s="39"/>
    </row>
    <row r="136" spans="1:15" ht="18" customHeight="1">
      <c r="A136" s="89" t="s">
        <v>201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5.0574652777868323E-2</v>
      </c>
      <c r="N136" s="40" t="s">
        <v>202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198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199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200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199</v>
      </c>
      <c r="O162" s="39"/>
    </row>
    <row r="163" spans="1:15" ht="18" customHeight="1">
      <c r="A163" s="89" t="s">
        <v>201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198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200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199</v>
      </c>
      <c r="O189" s="39"/>
    </row>
    <row r="190" spans="1:15" ht="18" customHeight="1">
      <c r="A190" s="89" t="s">
        <v>201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198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200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199</v>
      </c>
      <c r="O216" s="45"/>
    </row>
    <row r="217" spans="1:15" ht="18" customHeight="1">
      <c r="A217" s="89" t="s">
        <v>201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198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200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199</v>
      </c>
      <c r="O243" s="39"/>
    </row>
    <row r="244" spans="1:15" ht="18" customHeight="1">
      <c r="A244" s="89" t="s">
        <v>201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198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200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199</v>
      </c>
      <c r="O270" s="39"/>
    </row>
    <row r="271" spans="1:15" ht="18" customHeight="1">
      <c r="A271" s="89" t="s">
        <v>201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198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200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199</v>
      </c>
      <c r="O297" s="39"/>
    </row>
    <row r="298" spans="1:15" ht="18" customHeight="1">
      <c r="A298" s="89" t="s">
        <v>201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198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200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199</v>
      </c>
      <c r="O324" s="39"/>
    </row>
    <row r="325" spans="1:15" ht="18" customHeight="1">
      <c r="A325" s="89" t="s">
        <v>201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198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200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199</v>
      </c>
      <c r="O351" s="39"/>
    </row>
    <row r="352" spans="1:15" ht="18" customHeight="1">
      <c r="A352" s="89" t="s">
        <v>201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198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200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199</v>
      </c>
      <c r="O378" s="39"/>
    </row>
    <row r="379" spans="1:15" ht="18" customHeight="1">
      <c r="A379" s="89" t="s">
        <v>201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198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200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199</v>
      </c>
      <c r="O405" s="39"/>
    </row>
    <row r="406" spans="1:15" ht="18" customHeight="1">
      <c r="A406" s="89" t="s">
        <v>201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198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200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199</v>
      </c>
      <c r="O432" s="39"/>
    </row>
    <row r="433" spans="1:17" ht="18" customHeight="1">
      <c r="A433" s="89" t="s">
        <v>201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198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200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199</v>
      </c>
      <c r="O459" s="39"/>
    </row>
    <row r="460" spans="1:15" ht="18" customHeight="1">
      <c r="A460" s="89" t="s">
        <v>201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198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200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199</v>
      </c>
      <c r="O486" s="39"/>
    </row>
    <row r="487" spans="1:15" ht="18" customHeight="1">
      <c r="A487" s="89" t="s">
        <v>201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198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200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199</v>
      </c>
      <c r="O513" s="39"/>
    </row>
    <row r="514" spans="1:15" ht="18" customHeight="1">
      <c r="A514" s="89" t="s">
        <v>201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198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200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199</v>
      </c>
      <c r="O540" s="39"/>
    </row>
    <row r="541" spans="1:15" ht="18" customHeight="1">
      <c r="A541" s="89" t="s">
        <v>201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198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200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199</v>
      </c>
      <c r="O567" s="39"/>
    </row>
    <row r="568" spans="1:15" ht="18" customHeight="1">
      <c r="A568" s="89" t="s">
        <v>201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198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200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199</v>
      </c>
      <c r="O594" s="39"/>
    </row>
    <row r="595" spans="1:15" ht="18" customHeight="1">
      <c r="A595" s="89" t="s">
        <v>201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198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200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199</v>
      </c>
      <c r="O621" s="39"/>
    </row>
    <row r="622" spans="1:15" ht="18" customHeight="1">
      <c r="A622" s="89" t="s">
        <v>201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198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200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199</v>
      </c>
      <c r="O648" s="39"/>
    </row>
    <row r="649" spans="1:15" ht="18" customHeight="1">
      <c r="A649" s="89" t="s">
        <v>201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198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200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199</v>
      </c>
      <c r="O675" s="39"/>
    </row>
    <row r="676" spans="1:15" ht="18" customHeight="1">
      <c r="A676" s="89" t="s">
        <v>201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198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200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199</v>
      </c>
      <c r="O702" s="39"/>
    </row>
    <row r="703" spans="1:15" ht="18" customHeight="1">
      <c r="A703" s="89" t="s">
        <v>201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198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200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199</v>
      </c>
      <c r="O729" s="39"/>
    </row>
    <row r="730" spans="1:15" ht="18" customHeight="1">
      <c r="A730" s="89" t="s">
        <v>201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198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200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9" t="s">
        <v>201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198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200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9" t="s">
        <v>201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198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200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9" t="s">
        <v>201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2026-07-05T12:12:55Z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