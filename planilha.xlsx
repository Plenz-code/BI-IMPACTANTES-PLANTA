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01" documentId="8_{C51EB6CB-002B-4D6B-B68F-DDEBDB4460C0}" xr6:coauthVersionLast="47" xr6:coauthVersionMax="47" xr10:uidLastSave="{A2576B10-086A-4E33-8144-3A9E86980E6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<sst xmlns="http://schemas.openxmlformats.org/spreadsheetml/2006/main" count="3657" uniqueCount="290">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</sst>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L164" sqref="L1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/>
      <c r="M164" s="30">
        <f t="shared" ref="M164:M175" ca="1" si="37">IFERROR(IF(K164="","",IF(L164="",MOD(NOW()-K164,1),IF(L164&gt;=K164,L164-K164,L164+1-K164))),"")</f>
        <v>3.9478819446230773E-2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420</v>
      </c>
      <c r="H176" s="37"/>
      <c r="I176" s="37"/>
      <c r="J176" s="37"/>
      <c r="K176" s="37"/>
      <c r="L176" s="37"/>
      <c r="M176" s="38">
        <f ca="1">IFERROR(SUM(M164:M175),"")</f>
        <v>3.9478819446230773E-2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420</v>
      </c>
      <c r="H190" s="41"/>
      <c r="I190" s="41"/>
      <c r="J190" s="41"/>
      <c r="K190" s="41"/>
      <c r="L190" s="41"/>
      <c r="M190" s="42">
        <f ca="1">IFERROR(M176+M189,"")</f>
        <v>3.9478819446230773E-2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0" activePane="bottomLeft" state="frozen"/>
      <selection pane="bottomLeft" activeCell="M170" sqref="M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0.29295104166521924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0.43183993055410813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0.51656215277633044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/>
      <c r="M165" s="35">
        <f t="shared" ca="1" si="37"/>
        <v>2.1423263890028466E-2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</v>
      </c>
      <c r="G176" s="36">
        <f>SUM(G164:G175)</f>
        <v>42</v>
      </c>
      <c r="H176" s="37"/>
      <c r="I176" s="37"/>
      <c r="J176" s="37"/>
      <c r="K176" s="37"/>
      <c r="L176" s="37"/>
      <c r="M176" s="38">
        <f ca="1">IFERROR(SUM(M164:M175),"")</f>
        <v>5.2673263890028466E-2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</v>
      </c>
      <c r="G190" s="40">
        <f>G176+G189</f>
        <v>42</v>
      </c>
      <c r="H190" s="41"/>
      <c r="I190" s="41"/>
      <c r="J190" s="41"/>
      <c r="K190" s="41"/>
      <c r="L190" s="41"/>
      <c r="M190" s="42">
        <f ca="1">IFERROR(M176+M189,"")</f>
        <v>5.2673263890028466E-2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L153" sqref="L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75.600000000000009</v>
      </c>
      <c r="H176" s="37"/>
      <c r="I176" s="37"/>
      <c r="J176" s="37"/>
      <c r="K176" s="37"/>
      <c r="L176" s="37"/>
      <c r="M176" s="38">
        <f ca="1">IFERROR(SUM(M164:M175),"")</f>
        <v>8.3333333333333592E-3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75.600000000000009</v>
      </c>
      <c r="H190" s="41"/>
      <c r="I190" s="41"/>
      <c r="J190" s="41"/>
      <c r="K190" s="41"/>
      <c r="L190" s="41"/>
      <c r="M190" s="42">
        <f ca="1">IFERROR(M176+M189,"")</f>
        <v>8.3333333333333592E-3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22</v>
      </c>
      <c r="G176" s="36">
        <f>SUM(G164:G175)</f>
        <v>92.4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22</v>
      </c>
      <c r="G190" s="40">
        <f>G176+G189</f>
        <v>92.4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2026-08-07T13:56:58Z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