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027" documentId="8_{1D11E9C4-FEA4-4128-910F-91CB6BBF9255}" xr6:coauthVersionLast="47" xr6:coauthVersionMax="47" xr10:uidLastSave="{E1DEC7A0-23FC-4E5C-BBB9-B6470910C936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<sst xmlns="http://schemas.openxmlformats.org/spreadsheetml/2006/main" count="8317" uniqueCount="375">
  <si>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</si>
  <si>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</si>
  <si>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</si>
  <si>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</si>
  <si>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</si>
  <si>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</si>
  <si>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</si>
  <si>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</si>
  <si>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</si>
  <si>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</si>
  <si>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</si>
  <si>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</si>
  <si>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</si>
  <si>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</si>
  <si>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</si>
  <si>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</si>
  <si>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</si>
  <si>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</si>
  <si>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</si>
  <si>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</si>
  <si>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</si>
  <si>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</si>
  <si>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</si>
  <si>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</si>
  <si>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</si>
  <si>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</si>
  <si>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</si>
  <si>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</si>
  <si>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</si>
  <si>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</si>
  <si>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</si>
  <si>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</si>
  <si>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</si>
  <si>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</si>
  <si>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</si>
  <si>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</si>
  <si>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</si>
  <si>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</si>
  <si>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</si>
  <si>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</si>
  <si>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</si>
  <si>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</si>
  <si>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</si>
  <si>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</si>
  <si>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</si>
  <si>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</si>
  <si>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</si>
  <si>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</si>
  <si>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</si>
  <si>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</si>
  <si>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</si>
  <si>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</si>
  <si>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</si>
  <si>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</si>
  <si>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</si>
  <si>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</si>
  <si>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</si>
  <si>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</si>
  <si>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</si>
  <si>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</si>
  <si>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</si>
  <si>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</si>
  <si>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</si>
  <si>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</si>
  <si>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</si>
  <si>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</si>
  <si>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</si>
  <si>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</si>
  <si>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</si>
  <si>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</si>
  <si>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</si>
  <si>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</si>
  <si>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</si>
  <si>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</si>
  <si>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</si>
  <si>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</si>
  <si>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</si>
  <si>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</si>
  <si>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</si>
  <si>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</si>
  <si>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</si>
  <si>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</si>
  <si>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</si>
  <si>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</si>
  <si>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</si>
  <si>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</si>
  <si>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</si>
  <si>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</si>
  <si>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</si>
  <si>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</si>
  <si>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</si>
  <si>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</si>
  <si>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</si>
  <si>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</si>
  <si>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</si>
  <si>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</si>
  <si>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</si>
  <si>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</si>
  <si>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</si>
  <si>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</si>
  <si>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</si>
  <si>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</si>
  <si>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</si>
  <si>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</si>
  <si>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</si>
  <si>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</si>
  <si>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</si>
  <si>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</si>
  <si>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</si>
  <si>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</si>
  <si>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</si>
  <si>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</si>
  <si>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</si>
  <si>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</si>
  <si>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</si>
  <si>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</si>
  <si>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</si>
  <si>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</si>
  <si>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</si>
  <si>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</si>
  <si>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</si>
  <si>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</si>
  <si>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</si>
  <si>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</si>
  <si>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</si>
  <si>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</si>
  <si>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</si>
  <si>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</si>
  <si>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</si>
  <si>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</si>
  <si>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</si>
  <si>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</si>
  <si>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</si>
  <si>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</si>
  <si>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</si>
  <si>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</si>
  <si>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</si>
  <si>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</si>
  <si>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</si>
  <si>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</si>
  <si>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</si>
  <si>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</si>
  <si>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</si>
  <si>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</si>
  <si>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</si>
  <si>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</si>
  <si>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</si>
  <si>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</si>
  <si>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</si>
  <si>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</si>
  <si>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</si>
  <si>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</si>
  <si>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</si>
  <si>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</si>
  <si>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</si>
  <si>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</si>
  <si>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</si>
  <si>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</si>
  <si>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</si>
  <si>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</si>
  <si>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</si>
  <si>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</si>
  <si>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</si>
  <si>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</si>
  <si>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</si>
  <si>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</si>
  <si>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</si>
  <si>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</si>
  <si>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</si>
  <si>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</si>
  <si>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</si>
  <si>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</si>
  <si>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</si>
  <si>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</si>
  <si>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</si>
  <si>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</si>
  <si>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</si>
  <si>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</si>
  <si>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</si>
  <si>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</si>
  <si>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</si>
  <si>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</si>
  <si>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</si>
  <si>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</si>
  <si>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</si>
  <si>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</si>
  <si>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</si>
  <si>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</si>
  <si>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</si>
  <si>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</si>
  <si>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</si>
  <si>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</si>
  <si>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</si>
  <si>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</si>
  <si>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</si>
  <si>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</si>
  <si>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</si>
  <si>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</si>
  <si>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</si>
  <si>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</si>
  <si>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</si>
  <si>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</si>
  <si>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</si>
  <si>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</si>
  <si>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</si>
  <si>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</si>
  <si>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</si>
  <si>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</si>
  <si>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</si>
  <si>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</si>
  <si>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</si>
  <si>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</si>
  <si>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</si>
  <si>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</si>
  <si>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</si>
  <si>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</si>
  <si>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</si>
  <si>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</si>
  <si>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</si>
  <si>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</si>
  <si>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</si>
  <si>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</si>
  <si>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</si>
  <si>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</si>
  <si>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</si>
  <si>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</si>
  <si>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</si>
  <si>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</si>
  <si>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</si>
  <si>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</si>
  <si>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</si>
  <si>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</si>
  <si>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</si>
  <si>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</si>
  <si>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</si>
  <si>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</si>
  <si>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</si>
  <si>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</si>
  <si>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</si>
  <si>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</si>
  <si>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</si>
  <si>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</si>
  <si>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</si>
  <si>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</si>
  <si>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</si>
  <si>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</si>
  <si>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</si>
  <si>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</si>
  <si>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</si>
  <si>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</si>
  <si>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</si>
  <si>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</si>
  <si>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</si>
  <si>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</si>
  <si>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</si>
  <si>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</si>
  <si>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</si>
  <si>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</si>
  <si>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</si>
  <si>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</si>
  <si>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</si>
  <si>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</si>
  <si>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</si>
  <si>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</si>
  <si>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</si>
  <si>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</si>
  <si>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</si>
  <si>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</si>
  <si>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</si>
  <si>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</si>
  <si>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</si>
  <si>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</si>
  <si>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</si>
  <si>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</si>
  <si>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</si>
  <si>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</si>
  <si>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</si>
  <si>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</si>
  <si>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</si>
  <si>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</si>
  <si>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</si>
  <si>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</si>
  <si>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</si>
  <si>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</si>
  <si>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</si>
  <si>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</si>
  <si>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</si>
  <si>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</si>
  <si>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</si>
  <si>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</si>
  <si>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</si>
  <si>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</si>
  <si>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</si>
  <si>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</si>
  <si>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</si>
  <si>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</si>
  <si>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</si>
  <si>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</si>
  <si>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</si>
  <si>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</si>
  <si>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</si>
  <si>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</si>
  <si>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</si>
  <si>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</si>
  <si>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caindo material no moinho 01, linha parada para trocar grelha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</si>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</sst>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15" sqref="G15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67" sqref="E76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229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230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130</v>
      </c>
      <c r="F770" s="19">
        <f>SUM(F758:F769)</f>
        <v>650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130</v>
      </c>
      <c r="F784" s="22">
        <f>F770+F783</f>
        <v>650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C758:C769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68" sqref="E76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/>
      <c r="H759" s="10"/>
      <c r="I759" s="10"/>
      <c r="J759" s="13"/>
      <c r="K759" s="13"/>
      <c r="L759" s="71" t="str">
        <f t="shared" si="170"/>
        <v/>
      </c>
      <c r="M759" s="29" t="s">
        <v>304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80</v>
      </c>
      <c r="F784" s="22">
        <f>F770+F783</f>
        <v>320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M760" sqref="M76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305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306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321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322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/>
      <c r="L759" s="71" t="str">
        <f t="shared" si="169"/>
        <v/>
      </c>
      <c r="M759" s="11" t="s">
        <v>323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18"/>
      <c r="H770" s="18"/>
      <c r="I770" s="18"/>
      <c r="J770" s="18"/>
      <c r="K770" s="18"/>
      <c r="L770" s="72">
        <f>IFERROR(SUM(L758:L769),"")</f>
        <v>7.9861111111111049E-2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21"/>
      <c r="H784" s="21"/>
      <c r="I784" s="21"/>
      <c r="J784" s="21"/>
      <c r="K784" s="21"/>
      <c r="L784" s="73">
        <f>IFERROR(L770+L783,"")</f>
        <v>7.9861111111111049E-2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I761" sqref="I76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325</v>
      </c>
      <c r="I2" s="10" t="s">
        <v>326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325</v>
      </c>
      <c r="I3" s="16" t="s">
        <v>326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325</v>
      </c>
      <c r="I4" s="10" t="s">
        <v>326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325</v>
      </c>
      <c r="I5" s="16" t="s">
        <v>326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325</v>
      </c>
      <c r="I6" s="10" t="s">
        <v>326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325</v>
      </c>
      <c r="I7" s="16" t="s">
        <v>326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325</v>
      </c>
      <c r="I8" s="10" t="s">
        <v>326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325</v>
      </c>
      <c r="I9" s="16" t="s">
        <v>326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325</v>
      </c>
      <c r="I10" s="10" t="s">
        <v>326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325</v>
      </c>
      <c r="I11" s="16" t="s">
        <v>326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325</v>
      </c>
      <c r="I12" s="10" t="s">
        <v>326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325</v>
      </c>
      <c r="I13" s="16" t="s">
        <v>326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329</v>
      </c>
      <c r="I33" s="16" t="s">
        <v>330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331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321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322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9" t="s">
        <v>190</v>
      </c>
      <c r="B770" s="100"/>
      <c r="C770" s="100"/>
      <c r="D770" s="101"/>
      <c r="E770" s="19">
        <f>SUM(E758:E769)</f>
        <v>159</v>
      </c>
      <c r="F770" s="19">
        <f>SUM(F758:F769)</f>
        <v>636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159</v>
      </c>
      <c r="F784" s="22">
        <f>F770+F783</f>
        <v>636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2026-06-29T21:33:55Z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