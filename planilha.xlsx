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131" documentId="8_{AF585B22-221D-4780-BB9C-493D365A6A02}" xr6:coauthVersionLast="47" xr6:coauthVersionMax="47" xr10:uidLastSave="{A55AA68D-7143-4B6E-9A1E-3F9BC30183CE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<sst xmlns="http://schemas.openxmlformats.org/spreadsheetml/2006/main" count="3940" uniqueCount="273">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</sst>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23341680</v>
      </c>
      <c r="D35" s="13">
        <f>IFERROR(SUM(D4:D34),"")</f>
        <v>7887340</v>
      </c>
      <c r="E35" s="13">
        <f>IFERROR(SUM(E4:E34),"")</f>
        <v>5431820</v>
      </c>
      <c r="F35" s="13">
        <f>IFERROR(SUM(F4:F34),"")</f>
        <v>9940610</v>
      </c>
      <c r="G35" s="13">
        <f>IFERROR(SUM(G4:G34),"")</f>
        <v>23259770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97" activePane="bottomLeft" state="frozen"/>
      <selection pane="bottomLeft" activeCell="N219" sqref="N21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/>
      <c r="M218" s="30">
        <f t="shared" ref="M218:M229" ca="1" si="49">IFERROR(IF(K218="","",IF(L218="",MOD(NOW()-K218,1),IF(L218&gt;=K218,L218-K218,L218+1-K218))),"")</f>
        <v>3.2742245370172895E-2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58</v>
      </c>
      <c r="G230" s="36">
        <f>SUM(G218:G229)</f>
        <v>290</v>
      </c>
      <c r="H230" s="37"/>
      <c r="I230" s="37"/>
      <c r="J230" s="37"/>
      <c r="K230" s="37"/>
      <c r="L230" s="37"/>
      <c r="M230" s="38">
        <f ca="1">IFERROR(SUM(M218:M229),"")</f>
        <v>3.2742245370172895E-2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58</v>
      </c>
      <c r="G244" s="40">
        <f>G230+G243</f>
        <v>290</v>
      </c>
      <c r="H244" s="41"/>
      <c r="I244" s="41"/>
      <c r="J244" s="41"/>
      <c r="K244" s="41"/>
      <c r="L244" s="41"/>
      <c r="M244" s="42">
        <f ca="1">IFERROR(M230+M243,"")</f>
        <v>3.2742245370172895E-2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90" activePane="bottomLeft" state="frozen"/>
      <selection pane="bottomLeft" activeCell="N219" sqref="N21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/>
      <c r="M218" s="30">
        <f t="shared" ref="M218:M229" ca="1" si="49">IFERROR(IF(K218="","",IF(L218="",MOD(NOW()-K218,1),IF(L218&gt;=K218,L218-K218,L218+1-K218))),"")</f>
        <v>0.15704756944614928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33</v>
      </c>
      <c r="G230" s="36">
        <f>SUM(G218:G229)</f>
        <v>138.60000000000002</v>
      </c>
      <c r="H230" s="37"/>
      <c r="I230" s="37"/>
      <c r="J230" s="37"/>
      <c r="K230" s="37"/>
      <c r="L230" s="37"/>
      <c r="M230" s="38">
        <f ca="1">IFERROR(SUM(M218:M229),"")</f>
        <v>0.15704756944614928</v>
      </c>
      <c r="N230" s="36" t="s">
        <v>212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33</v>
      </c>
      <c r="G244" s="40">
        <f>G230+G243</f>
        <v>138.60000000000002</v>
      </c>
      <c r="H244" s="41"/>
      <c r="I244" s="41"/>
      <c r="J244" s="41"/>
      <c r="K244" s="41"/>
      <c r="L244" s="41"/>
      <c r="M244" s="42">
        <f ca="1">IFERROR(M230+M243,"")</f>
        <v>0.15704756944614928</v>
      </c>
      <c r="N244" s="40" t="s">
        <v>215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195" zoomScale="50" zoomScaleNormal="50" workbookViewId="0">
      <selection activeCell="F221" sqref="F2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249</v>
      </c>
      <c r="N166" s="27" t="s">
        <v>250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/>
      <c r="F218" s="27">
        <v>14</v>
      </c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/>
      <c r="F219" s="27">
        <v>11</v>
      </c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/>
      <c r="F220" s="27">
        <v>4</v>
      </c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29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29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89" activePane="bottomLeft" state="frozen"/>
      <selection pane="bottomLeft" activeCell="J219" sqref="J21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256</v>
      </c>
      <c r="L58" s="29">
        <v>0.54097222222222219</v>
      </c>
      <c r="M58" s="30" t="str">
        <f t="shared" ca="1" si="13"/>
        <v/>
      </c>
      <c r="N58" s="27" t="s">
        <v>257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0.1994089120416902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0.39871446759724583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0.76607557870835685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269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/>
      <c r="M219" s="35">
        <f t="shared" ca="1" si="49"/>
        <v>1.1214467594982125E-2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</v>
      </c>
      <c r="G230" s="36">
        <f>SUM(G218:G229)</f>
        <v>96.600000000000009</v>
      </c>
      <c r="H230" s="37"/>
      <c r="I230" s="37"/>
      <c r="J230" s="37"/>
      <c r="K230" s="61"/>
      <c r="L230" s="61"/>
      <c r="M230" s="38">
        <f ca="1">IFERROR(SUM(M218:M229),"")</f>
        <v>9.2464467594982169E-2</v>
      </c>
      <c r="N230" s="36" t="s">
        <v>212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</v>
      </c>
      <c r="G244" s="40">
        <f>G230+G243</f>
        <v>96.600000000000009</v>
      </c>
      <c r="H244" s="41"/>
      <c r="I244" s="41"/>
      <c r="J244" s="41"/>
      <c r="K244" s="63"/>
      <c r="L244" s="63"/>
      <c r="M244" s="42">
        <f ca="1">IFERROR(M230+M243,"")</f>
        <v>9.2464467594982169E-2</v>
      </c>
      <c r="N244" s="40" t="s">
        <v>215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2026-07-09T14:46:39Z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