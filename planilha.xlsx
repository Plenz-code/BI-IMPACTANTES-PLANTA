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841" documentId="8_{AF585B22-221D-4780-BB9C-493D365A6A02}" xr6:coauthVersionLast="47" xr6:coauthVersionMax="47" xr10:uidLastSave="{F7EF00FE-B217-4555-B9D8-E0C2B950C74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<sst xmlns="http://schemas.openxmlformats.org/spreadsheetml/2006/main" count="6109" uniqueCount="315">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</sst>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69" sqref="F3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47</v>
      </c>
      <c r="G378" s="36">
        <f>SUM(G366:G377)</f>
        <v>235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322</v>
      </c>
      <c r="G379" s="40">
        <f>G365+G378</f>
        <v>1610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64" activePane="bottomLeft" state="frozen"/>
      <selection pane="bottomLeft" activeCell="L370" sqref="L3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/>
      <c r="G368" s="28" t="str">
        <f t="shared" si="81"/>
        <v/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33</v>
      </c>
      <c r="G378" s="36">
        <f>SUM(G366:G377)</f>
        <v>138.60000000000002</v>
      </c>
      <c r="H378" s="37"/>
      <c r="I378" s="37"/>
      <c r="J378" s="37"/>
      <c r="K378" s="37"/>
      <c r="L378" s="37"/>
      <c r="M378" s="38">
        <f ca="1">IFERROR(SUM(M366:M377),"")</f>
        <v>5.9722222222222232E-2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191</v>
      </c>
      <c r="G379" s="40">
        <f>G365+G378</f>
        <v>802.2</v>
      </c>
      <c r="H379" s="41"/>
      <c r="I379" s="41"/>
      <c r="J379" s="41"/>
      <c r="K379" s="41"/>
      <c r="L379" s="41"/>
      <c r="M379" s="42">
        <f ca="1">IFERROR(M365+M378,"")</f>
        <v>0.1694444444444444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45" zoomScale="50" zoomScaleNormal="50" workbookViewId="0">
      <selection activeCell="J366" sqref="J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/>
      <c r="M366" s="30">
        <f t="shared" ref="M366:M377" ca="1" si="82">IFERROR(IF(K366="","",IF(L366="",MOD(NOW()-K366,1),IF(L366&gt;=K366,L366-K366,L366+1-K366))),"")</f>
        <v>5.5605324087082408E-3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31</v>
      </c>
      <c r="G378" s="36">
        <f>SUM(G366:G377)</f>
        <v>130.20000000000002</v>
      </c>
      <c r="H378" s="37"/>
      <c r="I378" s="37"/>
      <c r="J378" s="37"/>
      <c r="K378" s="37"/>
      <c r="L378" s="37"/>
      <c r="M378" s="38">
        <f ca="1">IFERROR(SUM(M366:M377),"")</f>
        <v>5.5605324087082408E-3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168.00000000000003</v>
      </c>
      <c r="H379" s="41"/>
      <c r="I379" s="41"/>
      <c r="J379" s="41"/>
      <c r="K379" s="41"/>
      <c r="L379" s="41"/>
      <c r="M379" s="42">
        <f ca="1">IFERROR(M365+M378,"")</f>
        <v>0.43681053240870821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6" activePane="bottomLeft" state="frozen"/>
      <selection pane="bottomLeft" activeCell="D369" sqref="D369:D3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0.69583831018826459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0.89514386574382021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1.2625049768549312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/>
      <c r="G369" s="34" t="str">
        <f t="shared" si="81"/>
        <v/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/>
      <c r="G370" s="28" t="str">
        <f t="shared" si="81"/>
        <v/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50</v>
      </c>
      <c r="G378" s="36">
        <f>SUM(G366:G377)</f>
        <v>210</v>
      </c>
      <c r="H378" s="37"/>
      <c r="I378" s="37"/>
      <c r="J378" s="37"/>
      <c r="K378" s="61"/>
      <c r="L378" s="61"/>
      <c r="M378" s="38">
        <f ca="1">IFERROR(SUM(M366:M377),"")</f>
        <v>2.430555555555558E-2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175</v>
      </c>
      <c r="G379" s="40">
        <f>G365+G378</f>
        <v>735</v>
      </c>
      <c r="H379" s="41"/>
      <c r="I379" s="41"/>
      <c r="J379" s="41"/>
      <c r="K379" s="63"/>
      <c r="L379" s="63"/>
      <c r="M379" s="42">
        <f ca="1">IFERROR(M365+M378,"")</f>
        <v>0.12916666666666676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2026-07-15T02:41:27Z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