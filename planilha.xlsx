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998" documentId="8_{AF585B22-221D-4780-BB9C-493D365A6A02}" xr6:coauthVersionLast="47" xr6:coauthVersionMax="47" xr10:uidLastSave="{6DDD77C5-E27D-4935-8DFD-F7BAFEA7D471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<sst xmlns="http://schemas.openxmlformats.org/spreadsheetml/2006/main" count="12554" uniqueCount="445">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</sst>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30" sqref="F83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133</v>
      </c>
      <c r="G837" s="109">
        <f>SUM(G825:G836)</f>
        <v>665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266</v>
      </c>
      <c r="G838" s="111">
        <f>G824+G837</f>
        <v>665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98" activePane="bottomLeft" state="frozen"/>
      <selection pane="bottomLeft" activeCell="E832" sqref="E8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0.77699027777271112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0.93462916666160001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1.0443513888838223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0.75546249999752035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0.92629583333085375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1.0714347222197427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82</v>
      </c>
      <c r="G837" s="109">
        <f>SUM(G825:G836)</f>
        <v>357.20000000000005</v>
      </c>
      <c r="H837" s="37"/>
      <c r="I837" s="37"/>
      <c r="J837" s="37"/>
      <c r="K837" s="37"/>
      <c r="L837" s="37"/>
      <c r="M837" s="110">
        <f ca="1">IFERROR(SUM(M825:M836),"")</f>
        <v>2.0833333333333259E-2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251</v>
      </c>
      <c r="G838" s="111">
        <f>G824+G837</f>
        <v>1067</v>
      </c>
      <c r="H838" s="41"/>
      <c r="I838" s="41"/>
      <c r="J838" s="41"/>
      <c r="K838" s="41"/>
      <c r="L838" s="41"/>
      <c r="M838" s="112">
        <f ca="1">IFERROR(M824+M837,"")</f>
        <v>0.12569444444444439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8" zoomScale="50" zoomScaleNormal="50" workbookViewId="0">
      <selection activeCell="E836" sqref="E8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53</v>
      </c>
      <c r="G837" s="109">
        <f>SUM(G825:G836)</f>
        <v>231.4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148</v>
      </c>
      <c r="G838" s="111">
        <f>G824+G837</f>
        <v>630.4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12" activePane="bottomLeft" state="frozen"/>
      <selection pane="bottomLeft" activeCell="D829" sqref="D829:D8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0.76726805555517785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0.96657361111073348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1.3339347222218445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/>
      <c r="G829" s="104" t="str">
        <f>IF(F829="","",IF(E829="PC 17",F829*4.2,IF(E829="PC 19",F829*5,"")))</f>
        <v/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39</v>
      </c>
      <c r="G837" s="109">
        <f>SUM(G825:G836)</f>
        <v>163.80000000000001</v>
      </c>
      <c r="H837" s="37"/>
      <c r="I837" s="37"/>
      <c r="J837" s="37"/>
      <c r="K837" s="37"/>
      <c r="L837" s="37"/>
      <c r="M837" s="110">
        <f ca="1">IFERROR(SUM(M825:M836),"")</f>
        <v>3.0555555555555558E-2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158</v>
      </c>
      <c r="G838" s="111">
        <f>G824+G837</f>
        <v>663.60000000000014</v>
      </c>
      <c r="H838" s="41"/>
      <c r="I838" s="41"/>
      <c r="J838" s="41"/>
      <c r="K838" s="41"/>
      <c r="L838" s="41"/>
      <c r="M838" s="112">
        <f ca="1">IFERROR(M824+M837,"")</f>
        <v>0.1465277777777777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2026-08-01T04:23:55Z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