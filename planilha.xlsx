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403" documentId="8_{AF585B22-221D-4780-BB9C-493D365A6A02}" xr6:coauthVersionLast="47" xr6:coauthVersionMax="47" xr10:uidLastSave="{32705E6F-2944-444D-B57D-15B06D882263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<sst xmlns="http://schemas.openxmlformats.org/spreadsheetml/2006/main" count="4152" uniqueCount="279">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</sst>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3" sqref="G13:G34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6" activePane="bottomLeft" state="frozen"/>
      <selection pane="bottomLeft" activeCell="F238" sqref="F23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79</v>
      </c>
      <c r="G243" s="36">
        <f>SUM(G231:G242)</f>
        <v>395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317</v>
      </c>
      <c r="G244" s="40">
        <f>G230+G243</f>
        <v>1585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09" activePane="bottomLeft" state="frozen"/>
      <selection pane="bottomLeft" activeCell="L234" sqref="L2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21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29</v>
      </c>
      <c r="G243" s="36">
        <f>SUM(G231:G242)</f>
        <v>121.80000000000001</v>
      </c>
      <c r="H243" s="37"/>
      <c r="I243" s="37"/>
      <c r="J243" s="37"/>
      <c r="K243" s="37"/>
      <c r="L243" s="37"/>
      <c r="M243" s="38">
        <f ca="1">IFERROR(SUM(M231:M242),"")</f>
        <v>0.10763888888888895</v>
      </c>
      <c r="N243" s="36" t="s">
        <v>213</v>
      </c>
      <c r="O243" s="78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144</v>
      </c>
      <c r="G244" s="40">
        <f>G230+G243</f>
        <v>604.79999999999995</v>
      </c>
      <c r="H244" s="41"/>
      <c r="I244" s="41"/>
      <c r="J244" s="41"/>
      <c r="K244" s="41"/>
      <c r="L244" s="41"/>
      <c r="M244" s="42">
        <f ca="1">IFERROR(M230+M243,"")</f>
        <v>0.43819444444444444</v>
      </c>
      <c r="N244" s="40" t="s">
        <v>216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16" zoomScale="50" zoomScaleNormal="50" workbookViewId="0">
      <selection activeCell="L232" sqref="L23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29.400000000000002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45</v>
      </c>
      <c r="G243" s="36">
        <f>SUM(G231:G242)</f>
        <v>189.00000000000003</v>
      </c>
      <c r="H243" s="37"/>
      <c r="I243" s="37"/>
      <c r="J243" s="37"/>
      <c r="K243" s="37"/>
      <c r="L243" s="37"/>
      <c r="M243" s="38">
        <f ca="1">IFERROR(SUM(M231:M242),"")</f>
        <v>2.083333333333337E-2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147</v>
      </c>
      <c r="G244" s="40">
        <f>G230+G243</f>
        <v>617.4</v>
      </c>
      <c r="H244" s="41"/>
      <c r="I244" s="41"/>
      <c r="J244" s="41"/>
      <c r="K244" s="41"/>
      <c r="L244" s="41"/>
      <c r="M244" s="42">
        <f ca="1">IFERROR(M230+M243,"")</f>
        <v>5.6250000000000133E-2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0" activePane="bottomLeft" state="frozen"/>
      <selection pane="bottomLeft" activeCell="F235" sqref="F23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0.71301319444319233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0.91231874999874796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1.279679861109859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88.2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65</v>
      </c>
      <c r="G243" s="36">
        <f>SUM(G231:G242)</f>
        <v>273</v>
      </c>
      <c r="H243" s="37"/>
      <c r="I243" s="37"/>
      <c r="J243" s="37"/>
      <c r="K243" s="61"/>
      <c r="L243" s="61"/>
      <c r="M243" s="38">
        <f ca="1">IFERROR(SUM(M231:M242),"")</f>
        <v>5.9722222222222232E-2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183</v>
      </c>
      <c r="G244" s="40">
        <f>G230+G243</f>
        <v>768.6</v>
      </c>
      <c r="H244" s="41"/>
      <c r="I244" s="41"/>
      <c r="J244" s="41"/>
      <c r="K244" s="63"/>
      <c r="L244" s="63"/>
      <c r="M244" s="42">
        <f ca="1">IFERROR(M230+M243,"")</f>
        <v>0.2562500000000002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2026-07-10T03:06:09Z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