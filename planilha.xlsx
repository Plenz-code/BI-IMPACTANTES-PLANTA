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29" documentId="8_{AF585B22-221D-4780-BB9C-493D365A6A02}" xr6:coauthVersionLast="47" xr6:coauthVersionMax="47" xr10:uidLastSave="{82C6744E-126E-483C-A312-69EAFB3559D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<sst xmlns="http://schemas.openxmlformats.org/spreadsheetml/2006/main" count="2016" uniqueCount="217">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</sst>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E80" sqref="E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192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192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192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192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192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</v>
      </c>
      <c r="G82" s="40">
        <f>G68+G81</f>
        <v>172.2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34</v>
      </c>
      <c r="G81" s="36">
        <f>SUM(G69:G80)</f>
        <v>142.80000000000001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138</v>
      </c>
      <c r="G82" s="40">
        <f>G68+G81</f>
        <v>579.6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55" activePane="bottomLeft" state="frozen"/>
      <selection pane="bottomLeft" activeCell="N74" sqref="N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/>
      <c r="M73" s="35">
        <f t="shared" ca="1" si="16"/>
        <v>5.096759254229255E-3</v>
      </c>
      <c r="N73" s="27" t="s">
        <v>210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58</v>
      </c>
      <c r="G81" s="36">
        <f>SUM(G69:G80)</f>
        <v>243.6</v>
      </c>
      <c r="H81" s="37"/>
      <c r="I81" s="37"/>
      <c r="J81" s="37"/>
      <c r="K81" s="61"/>
      <c r="L81" s="61"/>
      <c r="M81" s="38">
        <f ca="1">IFERROR(SUM(M69:M80),"")</f>
        <v>7.4541203698673564E-2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253</v>
      </c>
      <c r="G82" s="40">
        <f>G68+G81</f>
        <v>1062.6000000000001</v>
      </c>
      <c r="H82" s="41"/>
      <c r="I82" s="41"/>
      <c r="J82" s="41"/>
      <c r="K82" s="63"/>
      <c r="L82" s="63"/>
      <c r="M82" s="42">
        <f ca="1">IFERROR(M68+M81,"")</f>
        <v>0.1342634259208958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