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" documentId="13_ncr:1_{0A10D8D4-8450-4366-8075-B53B08E6B7EA}" xr6:coauthVersionLast="47" xr6:coauthVersionMax="47" xr10:uidLastSave="{0CE5C51D-0886-4348-8A85-41492189D593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7" i="5"/>
  <c r="J327" i="5" s="1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312" i="6" l="1"/>
  <c r="J315" i="6"/>
  <c r="J316" i="6"/>
  <c r="J318" i="6"/>
  <c r="J320" i="6"/>
  <c r="J322" i="6"/>
  <c r="J307" i="6"/>
  <c r="J309" i="6"/>
  <c r="J313" i="6"/>
  <c r="J314" i="6"/>
  <c r="J317" i="6"/>
  <c r="J319" i="6"/>
  <c r="J321" i="6"/>
  <c r="J323" i="6"/>
  <c r="J308" i="6"/>
  <c r="J310" i="6"/>
  <c r="J648" i="6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6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52" i="6" l="1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<sst xmlns="http://schemas.openxmlformats.org/spreadsheetml/2006/main" count="5861" uniqueCount="334">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</sst>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H2" sqref="H1:I1048576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 x14ac:dyDescent="0.25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 x14ac:dyDescent="0.25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 x14ac:dyDescent="0.25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 x14ac:dyDescent="0.25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 x14ac:dyDescent="0.25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 x14ac:dyDescent="0.25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E27" sqref="E26:E27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 x14ac:dyDescent="0.25">
      <c r="M2" s="162"/>
    </row>
    <row r="3" spans="1:18" ht="25.9" customHeight="1" x14ac:dyDescent="0.25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 x14ac:dyDescent="0.25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 x14ac:dyDescent="0.25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 x14ac:dyDescent="0.25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 x14ac:dyDescent="0.25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 x14ac:dyDescent="0.25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 x14ac:dyDescent="0.25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 x14ac:dyDescent="0.25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 x14ac:dyDescent="0.25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 x14ac:dyDescent="0.25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 x14ac:dyDescent="0.25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 x14ac:dyDescent="0.25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 x14ac:dyDescent="0.25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 x14ac:dyDescent="0.25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 x14ac:dyDescent="0.25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 x14ac:dyDescent="0.25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 x14ac:dyDescent="0.25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 x14ac:dyDescent="0.25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 x14ac:dyDescent="0.25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 x14ac:dyDescent="0.25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 x14ac:dyDescent="0.25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 x14ac:dyDescent="0.25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 x14ac:dyDescent="0.25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 x14ac:dyDescent="0.25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 x14ac:dyDescent="0.25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 x14ac:dyDescent="0.25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 x14ac:dyDescent="0.25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 x14ac:dyDescent="0.25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 x14ac:dyDescent="0.25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 x14ac:dyDescent="0.25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 x14ac:dyDescent="0.25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 x14ac:dyDescent="0.25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 x14ac:dyDescent="0.25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 x14ac:dyDescent="0.25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 x14ac:dyDescent="0.25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 x14ac:dyDescent="0.25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 x14ac:dyDescent="0.25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 x14ac:dyDescent="0.25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 x14ac:dyDescent="0.25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 x14ac:dyDescent="0.25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 x14ac:dyDescent="0.25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 x14ac:dyDescent="0.25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 x14ac:dyDescent="0.25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 x14ac:dyDescent="0.25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 x14ac:dyDescent="0.25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 x14ac:dyDescent="0.25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 x14ac:dyDescent="0.25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 x14ac:dyDescent="0.25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 x14ac:dyDescent="0.25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 x14ac:dyDescent="0.25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 x14ac:dyDescent="0.25">
      <c r="M58" s="162"/>
      <c r="N58" s="16"/>
      <c r="O58" s="16"/>
      <c r="P58" s="16" t="s">
        <v>214</v>
      </c>
      <c r="Q58" s="16"/>
      <c r="R58" s="16"/>
    </row>
    <row r="59" spans="1:18" ht="15" customHeight="1" x14ac:dyDescent="0.25">
      <c r="M59" s="162"/>
      <c r="N59" s="17"/>
      <c r="O59" s="17"/>
      <c r="P59" s="17" t="s">
        <v>215</v>
      </c>
      <c r="Q59" s="17"/>
      <c r="R59" s="17"/>
    </row>
    <row r="60" spans="1:18" ht="15" customHeight="1" x14ac:dyDescent="0.25">
      <c r="M60" s="162"/>
      <c r="N60" s="16"/>
      <c r="O60" s="16"/>
      <c r="P60" s="77" t="s">
        <v>110</v>
      </c>
      <c r="Q60" s="16"/>
      <c r="R60" s="16"/>
    </row>
    <row r="61" spans="1:18" ht="15" customHeight="1" x14ac:dyDescent="0.25">
      <c r="M61" s="162"/>
      <c r="N61" s="17"/>
      <c r="O61" s="17"/>
      <c r="P61" s="17" t="s">
        <v>216</v>
      </c>
      <c r="Q61" s="17"/>
      <c r="R61" s="17"/>
    </row>
    <row r="62" spans="1:18" ht="15" customHeight="1" x14ac:dyDescent="0.25">
      <c r="M62" s="162"/>
      <c r="N62" s="16"/>
      <c r="O62" s="16"/>
      <c r="P62" s="16" t="s">
        <v>217</v>
      </c>
      <c r="Q62" s="16"/>
      <c r="R62" s="16"/>
    </row>
    <row r="63" spans="1:18" ht="15" customHeight="1" x14ac:dyDescent="0.25">
      <c r="M63" s="162"/>
      <c r="N63" s="17"/>
      <c r="O63" s="17"/>
      <c r="P63" s="17" t="s">
        <v>218</v>
      </c>
      <c r="Q63" s="17"/>
      <c r="R63" s="17"/>
    </row>
    <row r="64" spans="1:18" ht="15" customHeight="1" x14ac:dyDescent="0.25">
      <c r="M64" s="162"/>
      <c r="N64" s="16"/>
      <c r="O64" s="16"/>
      <c r="P64" s="16" t="s">
        <v>219</v>
      </c>
      <c r="Q64" s="16"/>
      <c r="R64" s="16"/>
    </row>
    <row r="65" spans="13:18" ht="15" customHeight="1" x14ac:dyDescent="0.25">
      <c r="M65" s="162"/>
      <c r="N65" s="17"/>
      <c r="O65" s="17"/>
      <c r="P65" s="17" t="s">
        <v>220</v>
      </c>
      <c r="Q65" s="17"/>
      <c r="R65" s="17"/>
    </row>
    <row r="66" spans="13:18" ht="15" customHeight="1" x14ac:dyDescent="0.25">
      <c r="M66" s="162"/>
      <c r="N66" s="16"/>
      <c r="O66" s="16"/>
      <c r="P66" s="16" t="s">
        <v>221</v>
      </c>
      <c r="Q66" s="16"/>
      <c r="R66" s="16"/>
    </row>
    <row r="67" spans="13:18" ht="15" customHeight="1" x14ac:dyDescent="0.25">
      <c r="M67" s="162"/>
      <c r="N67" s="17"/>
      <c r="O67" s="17"/>
      <c r="P67" s="17" t="s">
        <v>222</v>
      </c>
      <c r="Q67" s="17"/>
      <c r="R67" s="17"/>
    </row>
    <row r="68" spans="13:18" ht="15" customHeight="1" x14ac:dyDescent="0.25">
      <c r="M68" s="162"/>
      <c r="N68" s="16"/>
      <c r="O68" s="16"/>
      <c r="P68" s="16" t="s">
        <v>223</v>
      </c>
      <c r="Q68" s="16"/>
      <c r="R68" s="16"/>
    </row>
    <row r="69" spans="13:18" ht="15" customHeight="1" x14ac:dyDescent="0.25">
      <c r="M69" s="162"/>
      <c r="N69" s="17"/>
      <c r="O69" s="17"/>
      <c r="P69" s="17" t="s">
        <v>224</v>
      </c>
      <c r="Q69" s="17"/>
      <c r="R69" s="17"/>
    </row>
    <row r="70" spans="13:18" ht="15" customHeight="1" x14ac:dyDescent="0.25">
      <c r="M70" s="162"/>
      <c r="N70" s="16"/>
      <c r="O70" s="16"/>
      <c r="P70" s="16" t="s">
        <v>225</v>
      </c>
      <c r="Q70" s="16"/>
      <c r="R70" s="16"/>
    </row>
    <row r="71" spans="13:18" ht="15" customHeight="1" x14ac:dyDescent="0.25">
      <c r="M71" s="162"/>
      <c r="N71" s="17"/>
      <c r="O71" s="17"/>
      <c r="P71" s="17" t="s">
        <v>226</v>
      </c>
      <c r="Q71" s="17"/>
      <c r="R71" s="17"/>
    </row>
    <row r="72" spans="13:18" ht="15" customHeight="1" x14ac:dyDescent="0.25">
      <c r="M72" s="162"/>
      <c r="N72" s="16"/>
      <c r="O72" s="16"/>
      <c r="P72" s="16" t="s">
        <v>227</v>
      </c>
      <c r="Q72" s="16"/>
      <c r="R72" s="16"/>
    </row>
    <row r="73" spans="13:18" ht="15" customHeight="1" x14ac:dyDescent="0.25">
      <c r="M73" s="162"/>
      <c r="N73" s="17"/>
      <c r="O73" s="17"/>
      <c r="P73" s="17" t="s">
        <v>228</v>
      </c>
      <c r="Q73" s="17"/>
      <c r="R73" s="17"/>
    </row>
    <row r="74" spans="13:18" ht="15" customHeight="1" x14ac:dyDescent="0.25">
      <c r="M74" s="162"/>
      <c r="N74" s="16"/>
      <c r="O74" s="16"/>
      <c r="P74" s="16" t="s">
        <v>229</v>
      </c>
      <c r="Q74" s="16"/>
      <c r="R74" s="16"/>
    </row>
    <row r="75" spans="13:18" ht="15" customHeight="1" x14ac:dyDescent="0.25">
      <c r="M75" s="162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 x14ac:dyDescent="0.25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1" t="s">
        <v>241</v>
      </c>
      <c r="B14" s="152"/>
      <c r="C14" s="152"/>
      <c r="D14" s="152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1" t="s">
        <v>244</v>
      </c>
      <c r="B27" s="152"/>
      <c r="C27" s="152"/>
      <c r="D27" s="152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 x14ac:dyDescent="0.25">
      <c r="A28" s="153" t="s">
        <v>245</v>
      </c>
      <c r="B28" s="154"/>
      <c r="C28" s="154"/>
      <c r="D28" s="154"/>
      <c r="E28" s="16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1" t="s">
        <v>241</v>
      </c>
      <c r="B41" s="152"/>
      <c r="C41" s="152"/>
      <c r="D41" s="152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1" t="s">
        <v>244</v>
      </c>
      <c r="B54" s="152"/>
      <c r="C54" s="152"/>
      <c r="D54" s="152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 x14ac:dyDescent="0.25">
      <c r="A55" s="153" t="s">
        <v>245</v>
      </c>
      <c r="B55" s="154"/>
      <c r="C55" s="154"/>
      <c r="D55" s="154"/>
      <c r="E55" s="16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1" t="s">
        <v>241</v>
      </c>
      <c r="B68" s="152"/>
      <c r="C68" s="152"/>
      <c r="D68" s="152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1" t="s">
        <v>244</v>
      </c>
      <c r="B81" s="152"/>
      <c r="C81" s="152"/>
      <c r="D81" s="152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 x14ac:dyDescent="0.25">
      <c r="A82" s="153" t="s">
        <v>245</v>
      </c>
      <c r="B82" s="154"/>
      <c r="C82" s="154"/>
      <c r="D82" s="154"/>
      <c r="E82" s="16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1" t="s">
        <v>241</v>
      </c>
      <c r="B95" s="152"/>
      <c r="C95" s="152"/>
      <c r="D95" s="152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1" t="s">
        <v>244</v>
      </c>
      <c r="B108" s="152"/>
      <c r="C108" s="152"/>
      <c r="D108" s="152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 x14ac:dyDescent="0.25">
      <c r="A109" s="153" t="s">
        <v>245</v>
      </c>
      <c r="B109" s="154"/>
      <c r="C109" s="154"/>
      <c r="D109" s="154"/>
      <c r="E109" s="16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1" t="s">
        <v>241</v>
      </c>
      <c r="B122" s="152"/>
      <c r="C122" s="152"/>
      <c r="D122" s="152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1" t="s">
        <v>244</v>
      </c>
      <c r="B135" s="152"/>
      <c r="C135" s="152"/>
      <c r="D135" s="152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 x14ac:dyDescent="0.25">
      <c r="A136" s="153" t="s">
        <v>245</v>
      </c>
      <c r="B136" s="154"/>
      <c r="C136" s="154"/>
      <c r="D136" s="154"/>
      <c r="E136" s="16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1" t="s">
        <v>241</v>
      </c>
      <c r="B149" s="152"/>
      <c r="C149" s="152"/>
      <c r="D149" s="152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1" t="s">
        <v>244</v>
      </c>
      <c r="B162" s="152"/>
      <c r="C162" s="152"/>
      <c r="D162" s="152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 x14ac:dyDescent="0.25">
      <c r="A163" s="153" t="s">
        <v>245</v>
      </c>
      <c r="B163" s="154"/>
      <c r="C163" s="154"/>
      <c r="D163" s="154"/>
      <c r="E163" s="16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1" t="s">
        <v>241</v>
      </c>
      <c r="B176" s="152"/>
      <c r="C176" s="152"/>
      <c r="D176" s="152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1" t="s">
        <v>244</v>
      </c>
      <c r="B189" s="152"/>
      <c r="C189" s="152"/>
      <c r="D189" s="152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 x14ac:dyDescent="0.25">
      <c r="A190" s="153" t="s">
        <v>245</v>
      </c>
      <c r="B190" s="154"/>
      <c r="C190" s="154"/>
      <c r="D190" s="154"/>
      <c r="E190" s="16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1" t="s">
        <v>241</v>
      </c>
      <c r="B203" s="152"/>
      <c r="C203" s="152"/>
      <c r="D203" s="152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1" t="s">
        <v>244</v>
      </c>
      <c r="B216" s="152"/>
      <c r="C216" s="152"/>
      <c r="D216" s="152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 x14ac:dyDescent="0.25">
      <c r="A217" s="153" t="s">
        <v>245</v>
      </c>
      <c r="B217" s="154"/>
      <c r="C217" s="154"/>
      <c r="D217" s="154"/>
      <c r="E217" s="16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5" t="s">
        <v>241</v>
      </c>
      <c r="B230" s="156"/>
      <c r="C230" s="156"/>
      <c r="D230" s="156"/>
      <c r="E230" s="16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1" t="s">
        <v>244</v>
      </c>
      <c r="B243" s="152"/>
      <c r="C243" s="152"/>
      <c r="D243" s="152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 x14ac:dyDescent="0.25">
      <c r="A244" s="153" t="s">
        <v>245</v>
      </c>
      <c r="B244" s="154"/>
      <c r="C244" s="154"/>
      <c r="D244" s="154"/>
      <c r="E244" s="16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1" t="s">
        <v>241</v>
      </c>
      <c r="B257" s="152"/>
      <c r="C257" s="152"/>
      <c r="D257" s="152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1" t="s">
        <v>244</v>
      </c>
      <c r="B270" s="152"/>
      <c r="C270" s="152"/>
      <c r="D270" s="152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 x14ac:dyDescent="0.25">
      <c r="A271" s="153" t="s">
        <v>245</v>
      </c>
      <c r="B271" s="154"/>
      <c r="C271" s="154"/>
      <c r="D271" s="154"/>
      <c r="E271" s="16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1" t="s">
        <v>241</v>
      </c>
      <c r="B284" s="152"/>
      <c r="C284" s="152"/>
      <c r="D284" s="152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1" t="s">
        <v>244</v>
      </c>
      <c r="B297" s="152"/>
      <c r="C297" s="152"/>
      <c r="D297" s="152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 x14ac:dyDescent="0.25">
      <c r="A298" s="153" t="s">
        <v>245</v>
      </c>
      <c r="B298" s="154"/>
      <c r="C298" s="154"/>
      <c r="D298" s="154"/>
      <c r="E298" s="16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1" t="s">
        <v>241</v>
      </c>
      <c r="B311" s="152"/>
      <c r="C311" s="152"/>
      <c r="D311" s="152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1" t="s">
        <v>244</v>
      </c>
      <c r="B324" s="152"/>
      <c r="C324" s="152"/>
      <c r="D324" s="152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 x14ac:dyDescent="0.25">
      <c r="A325" s="153" t="s">
        <v>245</v>
      </c>
      <c r="B325" s="154"/>
      <c r="C325" s="154"/>
      <c r="D325" s="154"/>
      <c r="E325" s="16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1" t="s">
        <v>241</v>
      </c>
      <c r="B338" s="152"/>
      <c r="C338" s="152"/>
      <c r="D338" s="152"/>
      <c r="E338" s="16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 x14ac:dyDescent="0.25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1" t="s">
        <v>244</v>
      </c>
      <c r="B351" s="152"/>
      <c r="C351" s="152"/>
      <c r="D351" s="152"/>
      <c r="E351" s="16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 x14ac:dyDescent="0.25">
      <c r="A352" s="153" t="s">
        <v>245</v>
      </c>
      <c r="B352" s="154"/>
      <c r="C352" s="154"/>
      <c r="D352" s="154"/>
      <c r="E352" s="16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 x14ac:dyDescent="0.25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1" t="s">
        <v>241</v>
      </c>
      <c r="B365" s="152"/>
      <c r="C365" s="152"/>
      <c r="D365" s="152"/>
      <c r="E365" s="16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 x14ac:dyDescent="0.25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1" t="s">
        <v>244</v>
      </c>
      <c r="B378" s="152"/>
      <c r="C378" s="152"/>
      <c r="D378" s="152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 x14ac:dyDescent="0.25">
      <c r="A379" s="153" t="s">
        <v>245</v>
      </c>
      <c r="B379" s="154"/>
      <c r="C379" s="154"/>
      <c r="D379" s="154"/>
      <c r="E379" s="16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 x14ac:dyDescent="0.25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1" t="s">
        <v>241</v>
      </c>
      <c r="B392" s="152"/>
      <c r="C392" s="152"/>
      <c r="D392" s="152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1" t="s">
        <v>244</v>
      </c>
      <c r="B405" s="152"/>
      <c r="C405" s="152"/>
      <c r="D405" s="152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 x14ac:dyDescent="0.25">
      <c r="A406" s="153" t="s">
        <v>245</v>
      </c>
      <c r="B406" s="154"/>
      <c r="C406" s="154"/>
      <c r="D406" s="154"/>
      <c r="E406" s="16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1" t="s">
        <v>241</v>
      </c>
      <c r="B419" s="152"/>
      <c r="C419" s="152"/>
      <c r="D419" s="152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1" t="s">
        <v>244</v>
      </c>
      <c r="B432" s="152"/>
      <c r="C432" s="152"/>
      <c r="D432" s="152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 x14ac:dyDescent="0.25">
      <c r="A433" s="153" t="s">
        <v>245</v>
      </c>
      <c r="B433" s="154"/>
      <c r="C433" s="154"/>
      <c r="D433" s="154"/>
      <c r="E433" s="16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1" t="s">
        <v>241</v>
      </c>
      <c r="B446" s="152"/>
      <c r="C446" s="152"/>
      <c r="D446" s="152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1" t="s">
        <v>244</v>
      </c>
      <c r="B459" s="152"/>
      <c r="C459" s="152"/>
      <c r="D459" s="152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 x14ac:dyDescent="0.25">
      <c r="A460" s="153" t="s">
        <v>245</v>
      </c>
      <c r="B460" s="154"/>
      <c r="C460" s="154"/>
      <c r="D460" s="154"/>
      <c r="E460" s="16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1" t="s">
        <v>241</v>
      </c>
      <c r="B473" s="152"/>
      <c r="C473" s="152"/>
      <c r="D473" s="152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1" t="s">
        <v>244</v>
      </c>
      <c r="B486" s="152"/>
      <c r="C486" s="152"/>
      <c r="D486" s="152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 x14ac:dyDescent="0.25">
      <c r="A487" s="153" t="s">
        <v>245</v>
      </c>
      <c r="B487" s="154"/>
      <c r="C487" s="154"/>
      <c r="D487" s="154"/>
      <c r="E487" s="16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1" t="s">
        <v>241</v>
      </c>
      <c r="B500" s="152"/>
      <c r="C500" s="152"/>
      <c r="D500" s="152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1" t="s">
        <v>244</v>
      </c>
      <c r="B513" s="152"/>
      <c r="C513" s="152"/>
      <c r="D513" s="152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 x14ac:dyDescent="0.25">
      <c r="A514" s="153" t="s">
        <v>245</v>
      </c>
      <c r="B514" s="154"/>
      <c r="C514" s="154"/>
      <c r="D514" s="154"/>
      <c r="E514" s="16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1" t="s">
        <v>241</v>
      </c>
      <c r="B527" s="152"/>
      <c r="C527" s="152"/>
      <c r="D527" s="152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1" t="s">
        <v>244</v>
      </c>
      <c r="B540" s="152"/>
      <c r="C540" s="152"/>
      <c r="D540" s="152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 x14ac:dyDescent="0.25">
      <c r="A541" s="153" t="s">
        <v>245</v>
      </c>
      <c r="B541" s="154"/>
      <c r="C541" s="154"/>
      <c r="D541" s="154"/>
      <c r="E541" s="16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1" t="s">
        <v>241</v>
      </c>
      <c r="B554" s="152"/>
      <c r="C554" s="152"/>
      <c r="D554" s="152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1" t="s">
        <v>244</v>
      </c>
      <c r="B567" s="152"/>
      <c r="C567" s="152"/>
      <c r="D567" s="152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 x14ac:dyDescent="0.25">
      <c r="A568" s="153" t="s">
        <v>245</v>
      </c>
      <c r="B568" s="154"/>
      <c r="C568" s="154"/>
      <c r="D568" s="154"/>
      <c r="E568" s="16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1" t="s">
        <v>241</v>
      </c>
      <c r="B581" s="152"/>
      <c r="C581" s="152"/>
      <c r="D581" s="152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1" t="s">
        <v>244</v>
      </c>
      <c r="B594" s="152"/>
      <c r="C594" s="152"/>
      <c r="D594" s="152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 x14ac:dyDescent="0.25">
      <c r="A595" s="153" t="s">
        <v>245</v>
      </c>
      <c r="B595" s="154"/>
      <c r="C595" s="154"/>
      <c r="D595" s="154"/>
      <c r="E595" s="16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1" t="s">
        <v>241</v>
      </c>
      <c r="B608" s="152"/>
      <c r="C608" s="152"/>
      <c r="D608" s="152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1" t="s">
        <v>244</v>
      </c>
      <c r="B621" s="152"/>
      <c r="C621" s="152"/>
      <c r="D621" s="152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 x14ac:dyDescent="0.25">
      <c r="A622" s="153" t="s">
        <v>245</v>
      </c>
      <c r="B622" s="154"/>
      <c r="C622" s="154"/>
      <c r="D622" s="154"/>
      <c r="E622" s="16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1" t="s">
        <v>241</v>
      </c>
      <c r="B635" s="152"/>
      <c r="C635" s="152"/>
      <c r="D635" s="152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1" t="s">
        <v>244</v>
      </c>
      <c r="B648" s="152"/>
      <c r="C648" s="152"/>
      <c r="D648" s="152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 x14ac:dyDescent="0.25">
      <c r="A649" s="153" t="s">
        <v>245</v>
      </c>
      <c r="B649" s="154"/>
      <c r="C649" s="154"/>
      <c r="D649" s="154"/>
      <c r="E649" s="16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1" t="s">
        <v>241</v>
      </c>
      <c r="B662" s="152"/>
      <c r="C662" s="152"/>
      <c r="D662" s="152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1" t="s">
        <v>244</v>
      </c>
      <c r="B675" s="152"/>
      <c r="C675" s="152"/>
      <c r="D675" s="152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 x14ac:dyDescent="0.25">
      <c r="A676" s="153" t="s">
        <v>245</v>
      </c>
      <c r="B676" s="154"/>
      <c r="C676" s="154"/>
      <c r="D676" s="154"/>
      <c r="E676" s="16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1" t="s">
        <v>241</v>
      </c>
      <c r="B689" s="152"/>
      <c r="C689" s="152"/>
      <c r="D689" s="152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1" t="s">
        <v>244</v>
      </c>
      <c r="B702" s="152"/>
      <c r="C702" s="152"/>
      <c r="D702" s="152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 x14ac:dyDescent="0.25">
      <c r="A703" s="153" t="s">
        <v>245</v>
      </c>
      <c r="B703" s="154"/>
      <c r="C703" s="154"/>
      <c r="D703" s="154"/>
      <c r="E703" s="16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1" t="s">
        <v>241</v>
      </c>
      <c r="B716" s="152"/>
      <c r="C716" s="152"/>
      <c r="D716" s="152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1" t="s">
        <v>244</v>
      </c>
      <c r="B729" s="152"/>
      <c r="C729" s="152"/>
      <c r="D729" s="152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 x14ac:dyDescent="0.25">
      <c r="A730" s="153" t="s">
        <v>245</v>
      </c>
      <c r="B730" s="154"/>
      <c r="C730" s="154"/>
      <c r="D730" s="154"/>
      <c r="E730" s="16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1" t="s">
        <v>241</v>
      </c>
      <c r="B743" s="152"/>
      <c r="C743" s="152"/>
      <c r="D743" s="152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1" t="s">
        <v>244</v>
      </c>
      <c r="B756" s="152"/>
      <c r="C756" s="152"/>
      <c r="D756" s="152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 x14ac:dyDescent="0.25">
      <c r="A757" s="153" t="s">
        <v>245</v>
      </c>
      <c r="B757" s="154"/>
      <c r="C757" s="154"/>
      <c r="D757" s="154"/>
      <c r="E757" s="16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1" t="s">
        <v>241</v>
      </c>
      <c r="B770" s="152"/>
      <c r="C770" s="152"/>
      <c r="D770" s="152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1" t="s">
        <v>244</v>
      </c>
      <c r="B783" s="152"/>
      <c r="C783" s="152"/>
      <c r="D783" s="152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 x14ac:dyDescent="0.25">
      <c r="A784" s="153" t="s">
        <v>245</v>
      </c>
      <c r="B784" s="154"/>
      <c r="C784" s="154"/>
      <c r="D784" s="154"/>
      <c r="E784" s="16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1" t="s">
        <v>241</v>
      </c>
      <c r="B797" s="152"/>
      <c r="C797" s="152"/>
      <c r="D797" s="152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1" t="s">
        <v>244</v>
      </c>
      <c r="B810" s="152"/>
      <c r="C810" s="152"/>
      <c r="D810" s="152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 x14ac:dyDescent="0.25">
      <c r="A811" s="165" t="s">
        <v>245</v>
      </c>
      <c r="B811" s="166"/>
      <c r="C811" s="166"/>
      <c r="D811" s="166"/>
      <c r="E811" s="16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1" t="s">
        <v>241</v>
      </c>
      <c r="B824" s="152"/>
      <c r="C824" s="152"/>
      <c r="D824" s="152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1" t="s">
        <v>244</v>
      </c>
      <c r="B837" s="152"/>
      <c r="C837" s="152"/>
      <c r="D837" s="152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 x14ac:dyDescent="0.25">
      <c r="A838" s="153" t="s">
        <v>245</v>
      </c>
      <c r="B838" s="154"/>
      <c r="C838" s="154"/>
      <c r="D838" s="154"/>
      <c r="E838" s="16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290" activePane="bottomLeft" state="frozen"/>
      <selection pane="bottomLeft" activeCell="L320" sqref="L320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 x14ac:dyDescent="0.25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0.25342812499729916</v>
      </c>
      <c r="R53" s="46" t="s">
        <v>275</v>
      </c>
      <c r="S53" s="31"/>
    </row>
    <row r="54" spans="1:20" ht="15.75" customHeight="1" thickBot="1" x14ac:dyDescent="0.3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0.39231701388618806</v>
      </c>
      <c r="R54" s="36" t="s">
        <v>242</v>
      </c>
      <c r="S54" s="75">
        <v>352430</v>
      </c>
      <c r="T54" s="117"/>
    </row>
    <row r="55" spans="1:20" ht="18" customHeight="1" x14ac:dyDescent="0.25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0.47703923610841037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 x14ac:dyDescent="0.25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 x14ac:dyDescent="0.25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 x14ac:dyDescent="0.25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 x14ac:dyDescent="0.25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 x14ac:dyDescent="0.25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 x14ac:dyDescent="0.25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 x14ac:dyDescent="0.25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 x14ac:dyDescent="0.25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 x14ac:dyDescent="0.25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0.3611111111111111</v>
      </c>
      <c r="Q326" s="30">
        <f t="shared" ref="Q326:Q337" ca="1" si="76">IFERROR(IF(O326="","",IF(P326="",MOD(NOW()-O326,1),IF(P326&gt;=O326,P326-O326,P326+1-O326))),"")</f>
        <v>5.5555555555555525E-2</v>
      </c>
      <c r="R326" s="46" t="s">
        <v>292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5.5555555555555525E-2</v>
      </c>
      <c r="R338" s="36" t="s">
        <v>242</v>
      </c>
      <c r="S338" s="45"/>
      <c r="T338" s="122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 x14ac:dyDescent="0.25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5.5555555555555525E-2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 x14ac:dyDescent="0.25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 x14ac:dyDescent="0.25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 x14ac:dyDescent="0.25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 x14ac:dyDescent="0.25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 x14ac:dyDescent="0.25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 x14ac:dyDescent="0.25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 x14ac:dyDescent="0.25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 x14ac:dyDescent="0.25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 x14ac:dyDescent="0.25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 x14ac:dyDescent="0.25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 x14ac:dyDescent="0.25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 x14ac:dyDescent="0.25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 x14ac:dyDescent="0.25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 x14ac:dyDescent="0.25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 x14ac:dyDescent="0.25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L318" sqref="L318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 x14ac:dyDescent="0.25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 x14ac:dyDescent="0.25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 x14ac:dyDescent="0.25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 x14ac:dyDescent="0.25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 x14ac:dyDescent="0.25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 x14ac:dyDescent="0.25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 x14ac:dyDescent="0.25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 x14ac:dyDescent="0.25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 x14ac:dyDescent="0.25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 x14ac:dyDescent="0.25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 x14ac:dyDescent="0.25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 x14ac:dyDescent="0.25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 x14ac:dyDescent="0.25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D306" sqref="D306:D310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 x14ac:dyDescent="0.25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 x14ac:dyDescent="0.25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 x14ac:dyDescent="0.25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 x14ac:dyDescent="0.25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 x14ac:dyDescent="0.25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 x14ac:dyDescent="0.25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 x14ac:dyDescent="0.25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 x14ac:dyDescent="0.25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 x14ac:dyDescent="0.25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 x14ac:dyDescent="0.25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 x14ac:dyDescent="0.25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8"/>
      <c r="F333" s="134">
        <f>IFERROR(IF($D333="","",VLOOKUP($D333,Cadastro!$C$4:$E$7,3,FALSE)),"")</f>
        <v>0.21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0.55000000000000004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 x14ac:dyDescent="0.25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 x14ac:dyDescent="0.25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2026-08-13T12:59:56Z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