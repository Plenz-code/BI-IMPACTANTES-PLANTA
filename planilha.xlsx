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397" documentId="8_{AF585B22-221D-4780-BB9C-493D365A6A02}" xr6:coauthVersionLast="47" xr6:coauthVersionMax="47" xr10:uidLastSave="{038F03BB-67D4-4EC9-93C4-81491EE21723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<sst xmlns="http://schemas.openxmlformats.org/spreadsheetml/2006/main" count="5728" uniqueCount="311">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</sst>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328" activePane="bottomLeft" state="frozen"/>
      <selection pane="bottomLeft" activeCell="H342" sqref="H34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>
        <v>0</v>
      </c>
      <c r="G339" s="34" t="str">
        <f t="shared" ref="G339:G350" si="75">IF(F339="","",IF(E339="PC 17",F339*4.2,IF(E339="PC 19",F339*5,"")))</f>
        <v/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>
        <v>11</v>
      </c>
      <c r="G340" s="28" t="str">
        <f t="shared" si="75"/>
        <v/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>
        <v>0</v>
      </c>
      <c r="G341" s="34" t="str">
        <f t="shared" si="75"/>
        <v/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>
        <v>0</v>
      </c>
      <c r="G342" s="28" t="str">
        <f t="shared" si="75"/>
        <v/>
      </c>
      <c r="H342" s="26" t="s">
        <v>18</v>
      </c>
      <c r="I342" s="26" t="s">
        <v>23</v>
      </c>
      <c r="J342" s="26"/>
      <c r="K342" s="29">
        <v>0.11805555555555555</v>
      </c>
      <c r="L342" s="29"/>
      <c r="M342" s="30">
        <f t="shared" ca="1" si="76"/>
        <v>9.795833335374482E-3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>
        <v>0</v>
      </c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>
        <v>10</v>
      </c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>
        <v>22</v>
      </c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43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0.22021250000204129</v>
      </c>
      <c r="N351" s="36" t="s">
        <v>219</v>
      </c>
      <c r="O351" s="39"/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348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0.31812916666870794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20" activePane="bottomLeft" state="frozen"/>
      <selection pane="bottomLeft" activeCell="F346" sqref="F34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10</v>
      </c>
      <c r="G342" s="28">
        <f t="shared" si="75"/>
        <v>42</v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80</v>
      </c>
      <c r="G351" s="36">
        <f>SUM(G339:G350)</f>
        <v>336</v>
      </c>
      <c r="H351" s="37"/>
      <c r="I351" s="37"/>
      <c r="J351" s="37"/>
      <c r="K351" s="37"/>
      <c r="L351" s="37"/>
      <c r="M351" s="38">
        <f ca="1">IFERROR(SUM(M339:M350),"")</f>
        <v>2.2222222222222199E-2</v>
      </c>
      <c r="N351" s="36" t="s">
        <v>219</v>
      </c>
      <c r="O351" s="78"/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277</v>
      </c>
      <c r="G352" s="40">
        <f>G338+G351</f>
        <v>1173</v>
      </c>
      <c r="H352" s="41"/>
      <c r="I352" s="41"/>
      <c r="J352" s="41"/>
      <c r="K352" s="41"/>
      <c r="L352" s="41"/>
      <c r="M352" s="42">
        <f ca="1">IFERROR(M338+M351,"")</f>
        <v>9.1666666666666674E-2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29" zoomScale="50" zoomScaleNormal="50" workbookViewId="0">
      <selection activeCell="F346" sqref="F34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273</v>
      </c>
      <c r="N166" s="27" t="s">
        <v>274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276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277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281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269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9</v>
      </c>
      <c r="G341" s="34">
        <f t="shared" si="75"/>
        <v>37.800000000000004</v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63</v>
      </c>
      <c r="G351" s="36">
        <f>SUM(G339:G350)</f>
        <v>264.60000000000002</v>
      </c>
      <c r="H351" s="37"/>
      <c r="I351" s="37"/>
      <c r="J351" s="37"/>
      <c r="K351" s="37"/>
      <c r="L351" s="37"/>
      <c r="M351" s="38">
        <f ca="1">IFERROR(SUM(M339:M350),"")</f>
        <v>1.4583333333333282E-2</v>
      </c>
      <c r="N351" s="36" t="s">
        <v>219</v>
      </c>
      <c r="O351" s="39"/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103</v>
      </c>
      <c r="G352" s="40">
        <f>G338+G351</f>
        <v>432.6</v>
      </c>
      <c r="H352" s="41"/>
      <c r="I352" s="41"/>
      <c r="J352" s="41"/>
      <c r="K352" s="41"/>
      <c r="L352" s="41"/>
      <c r="M352" s="42">
        <f ca="1">IFERROR(M338+M351,"")</f>
        <v>0.24861111111111117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15" activePane="bottomLeft" state="frozen"/>
      <selection pane="bottomLeft" activeCell="F346" sqref="F34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288</v>
      </c>
      <c r="L58" s="29">
        <v>0.54097222222222219</v>
      </c>
      <c r="M58" s="30" t="str">
        <f t="shared" ca="1" si="13"/>
        <v/>
      </c>
      <c r="N58" s="27" t="s">
        <v>289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0.87854583333682967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1.0778513888923853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1.4452125000034963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309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269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95</v>
      </c>
      <c r="G351" s="36">
        <f>SUM(G339:G350)</f>
        <v>399</v>
      </c>
      <c r="H351" s="37"/>
      <c r="I351" s="37"/>
      <c r="J351" s="37"/>
      <c r="K351" s="61"/>
      <c r="L351" s="61"/>
      <c r="M351" s="38">
        <f ca="1">IFERROR(SUM(M339:M350),"")</f>
        <v>4.513888888888884E-2</v>
      </c>
      <c r="N351" s="36" t="s">
        <v>219</v>
      </c>
      <c r="O351" s="39"/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278</v>
      </c>
      <c r="G352" s="40">
        <f>G338+G351</f>
        <v>1179.5999999999999</v>
      </c>
      <c r="H352" s="41"/>
      <c r="I352" s="41"/>
      <c r="J352" s="41"/>
      <c r="K352" s="63"/>
      <c r="L352" s="63"/>
      <c r="M352" s="42">
        <f ca="1">IFERROR(M338+M351,"")</f>
        <v>0.15416666666666656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2026-07-14T07:04:38Z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