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858" documentId="8_{AF585B22-221D-4780-BB9C-493D365A6A02}" xr6:coauthVersionLast="47" xr6:coauthVersionMax="47" xr10:uidLastSave="{0134D281-8572-407D-9138-9E867E0B0198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<sst xmlns="http://schemas.openxmlformats.org/spreadsheetml/2006/main" count="8606" uniqueCount="371">
  <si>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</si>
  <si>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</si>
  <si>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</si>
  <si>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</si>
  <si>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</si>
  <si>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</si>
  <si>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</si>
  <si>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</si>
  <si>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</si>
  <si>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</si>
  <si>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</si>
  <si>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</si>
  <si>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</si>
  <si>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</si>
  <si>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</si>
  <si>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</si>
  <si>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</si>
  <si>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</si>
  <si>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</si>
  <si>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</si>
  <si>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</si>
  <si>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</si>
  <si>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</si>
  <si>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</si>
  <si>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</si>
  <si>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</si>
  <si>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</si>
  <si>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</si>
  <si>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</si>
  <si>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</si>
  <si>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</si>
  <si>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</si>
  <si>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</si>
  <si>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</si>
  <si>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</si>
  <si>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</si>
  <si>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</si>
  <si>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</si>
  <si>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</si>
  <si>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</si>
  <si>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</si>
  <si>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</si>
  <si>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</si>
  <si>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</si>
  <si>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</si>
  <si>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</si>
  <si>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</si>
  <si>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</si>
  <si>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</si>
  <si>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</si>
  <si>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</si>
  <si>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</si>
  <si>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</si>
  <si>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</si>
  <si>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</si>
  <si>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</si>
  <si>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</si>
  <si>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</si>
  <si>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</si>
  <si>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</si>
  <si>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</si>
  <si>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</si>
  <si>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</si>
  <si>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</si>
  <si>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</si>
  <si>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</si>
  <si>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</si>
  <si>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</si>
  <si>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</si>
  <si>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</si>
  <si>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</si>
  <si>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</si>
  <si>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</si>
  <si>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</si>
  <si>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</si>
  <si>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</si>
  <si>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</si>
  <si>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</si>
  <si>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</si>
  <si>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</si>
  <si>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</si>
  <si>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</si>
  <si>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</si>
  <si>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</si>
  <si>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</si>
  <si>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</si>
  <si>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</si>
  <si>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</si>
  <si>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</si>
  <si>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</si>
  <si>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</si>
  <si>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</si>
  <si>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</si>
  <si>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</si>
  <si>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</si>
  <si>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</si>
  <si>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</si>
  <si>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</si>
  <si>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</si>
  <si>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</si>
  <si>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</si>
  <si>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</si>
  <si>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</si>
  <si>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</si>
  <si>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</si>
  <si>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</si>
  <si>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</si>
  <si>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</si>
  <si>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</si>
  <si>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</si>
  <si>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</si>
  <si>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</si>
  <si>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</si>
  <si>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</si>
  <si>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</si>
  <si>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</si>
  <si>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</si>
  <si>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</si>
  <si>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</si>
  <si>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</si>
  <si>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</si>
  <si>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</si>
  <si>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</si>
  <si>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</si>
  <si>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</si>
  <si>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</si>
  <si>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</si>
  <si>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</si>
  <si>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</si>
  <si>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</si>
  <si>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</si>
  <si>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</si>
  <si>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</si>
  <si>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</si>
  <si>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</si>
  <si>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</si>
  <si>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</si>
  <si>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</si>
  <si>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</si>
  <si>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</si>
  <si>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</si>
  <si>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</si>
  <si>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</si>
  <si>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</si>
  <si>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</si>
  <si>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</si>
  <si>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</si>
  <si>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</si>
  <si>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</si>
  <si>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</si>
  <si>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</si>
  <si>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</si>
  <si>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</si>
  <si>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</si>
  <si>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</si>
  <si>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</si>
  <si>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</si>
  <si>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</si>
  <si>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</si>
  <si>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</si>
  <si>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</si>
  <si>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</si>
  <si>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</si>
  <si>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</si>
  <si>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</si>
  <si>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</si>
  <si>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</si>
  <si>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</si>
  <si>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</si>
  <si>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</si>
  <si>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</si>
  <si>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</si>
  <si>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</si>
  <si>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</si>
  <si>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</si>
  <si>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</si>
  <si>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</si>
  <si>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</si>
  <si>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</si>
  <si>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</si>
  <si>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</si>
  <si>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</si>
  <si>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</si>
  <si>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</si>
  <si>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</si>
  <si>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</si>
  <si>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</si>
  <si>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</si>
  <si>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</si>
  <si>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</si>
  <si>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</si>
  <si>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</si>
  <si>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</si>
  <si>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</si>
  <si>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</si>
  <si>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</si>
  <si>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</si>
  <si>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</si>
  <si>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</si>
  <si>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</si>
  <si>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</si>
  <si>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</si>
  <si>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</si>
  <si>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</si>
  <si>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</si>
  <si>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</si>
  <si>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</si>
  <si>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</si>
  <si>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</si>
  <si>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</si>
  <si>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</si>
  <si>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</si>
  <si>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</si>
  <si>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</si>
  <si>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</si>
  <si>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</si>
  <si>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</si>
  <si>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</si>
  <si>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</si>
  <si>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</si>
  <si>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</si>
  <si>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</si>
  <si>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</si>
  <si>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</si>
  <si>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</si>
  <si>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</si>
  <si>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</si>
  <si>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</si>
  <si>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</si>
  <si>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</si>
  <si>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</si>
  <si>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</si>
  <si>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</si>
  <si>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</si>
  <si>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</si>
  <si>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</si>
  <si>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</si>
  <si>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</si>
  <si>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</si>
  <si>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</si>
  <si>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</si>
  <si>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</si>
  <si>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</si>
  <si>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</si>
  <si>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</si>
  <si>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</si>
  <si>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</si>
  <si>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</si>
  <si>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</si>
  <si>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</si>
  <si>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</si>
  <si>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</si>
  <si>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</si>
  <si>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</si>
  <si>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</si>
  <si>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</si>
  <si>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</si>
  <si>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</si>
  <si>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</si>
  <si>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</si>
  <si>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</si>
  <si>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</si>
  <si>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</si>
  <si>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</si>
  <si>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</si>
  <si>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</si>
  <si>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</si>
  <si>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</si>
  <si>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</si>
  <si>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</si>
  <si>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</si>
  <si>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</si>
  <si>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</si>
  <si>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</si>
  <si>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</si>
  <si>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</si>
  <si>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</si>
  <si>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</si>
  <si>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</si>
  <si>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</si>
  <si>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</si>
  <si>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</si>
  <si>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</si>
  <si>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</si>
  <si>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</si>
  <si>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</si>
  <si>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</si>
  <si>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</si>
  <si>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</si>
  <si>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</si>
  <si>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</si>
  <si>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</si>
  <si>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</si>
  <si>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</si>
  <si>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</si>
  <si>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</si>
  <si>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</si>
  <si>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</si>
  <si>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</si>
  <si>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</si>
  <si>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</si>
  <si>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</si>
  <si>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</si>
  <si>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15;35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</si>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</sst>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62385151</v>
      </c>
      <c r="D35" s="13">
        <f>IFERROR(SUM(D4:D34),"")</f>
        <v>23768360</v>
      </c>
      <c r="E35" s="13">
        <f>IFERROR(SUM(E4:E34),"")</f>
        <v>13840110</v>
      </c>
      <c r="F35" s="13">
        <f>IFERROR(SUM(F4:F34),"")</f>
        <v>27641240</v>
      </c>
      <c r="G35" s="13">
        <f>IFERROR(SUM(G4:G34),"")</f>
        <v>65249710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24" activePane="bottomLeft" state="frozen"/>
      <selection pane="bottomLeft" activeCell="F551" sqref="F55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85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206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45</v>
      </c>
      <c r="G554" s="36">
        <f>SUM(G542:G553)</f>
        <v>225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45</v>
      </c>
      <c r="G568" s="40">
        <f>G554+G567</f>
        <v>225</v>
      </c>
      <c r="H568" s="41"/>
      <c r="I568" s="41"/>
      <c r="J568" s="41"/>
      <c r="K568" s="41"/>
      <c r="L568" s="41"/>
      <c r="M568" s="42">
        <f ca="1">IFERROR(M554+M567,"")</f>
        <v>0.32291666666666669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26" activePane="bottomLeft" state="frozen"/>
      <selection pane="bottomLeft" activeCell="F551" sqref="F55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0.42796238425944466</v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0.58560127314833355</v>
      </c>
      <c r="N378" s="36" t="s">
        <v>231</v>
      </c>
      <c r="O378" s="77">
        <v>511980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0.69532349537055571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0.40643460648425389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0.57726793981758728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0.72240682870647621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28</v>
      </c>
      <c r="K545" s="29" t="s">
        <v>303</v>
      </c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12</v>
      </c>
      <c r="G546" s="28">
        <f t="shared" si="120"/>
        <v>50.400000000000006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202</v>
      </c>
      <c r="G554" s="36">
        <f>SUM(G542:G553)</f>
        <v>848.40000000000009</v>
      </c>
      <c r="H554" s="37"/>
      <c r="I554" s="37"/>
      <c r="J554" s="37"/>
      <c r="K554" s="37"/>
      <c r="L554" s="37"/>
      <c r="M554" s="38">
        <f ca="1">IFERROR(SUM(M542:M553),"")</f>
        <v>3.819444444444442E-2</v>
      </c>
      <c r="N554" s="36" t="s">
        <v>231</v>
      </c>
      <c r="O554" s="77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202</v>
      </c>
      <c r="G568" s="40">
        <f>G554+G567</f>
        <v>848.40000000000009</v>
      </c>
      <c r="H568" s="41"/>
      <c r="I568" s="41"/>
      <c r="J568" s="41"/>
      <c r="K568" s="41"/>
      <c r="L568" s="41"/>
      <c r="M568" s="42">
        <f ca="1">IFERROR(M554+M567,"")</f>
        <v>3.819444444444442E-2</v>
      </c>
      <c r="N568" s="40" t="s">
        <v>234</v>
      </c>
      <c r="O568" s="83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17" zoomScale="50" zoomScaleNormal="50" workbookViewId="0">
      <selection activeCell="F551" sqref="F55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272</v>
      </c>
      <c r="K141" s="29">
        <v>0.71597222222222223</v>
      </c>
      <c r="L141" s="29" t="s">
        <v>310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312</v>
      </c>
      <c r="N166" s="27" t="s">
        <v>313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328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3</v>
      </c>
      <c r="G543" s="34">
        <f t="shared" si="120"/>
        <v>12.600000000000001</v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5</v>
      </c>
      <c r="G544" s="28">
        <f t="shared" si="120"/>
        <v>21</v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24</v>
      </c>
      <c r="G554" s="36">
        <f>SUM(G542:G553)</f>
        <v>100.8</v>
      </c>
      <c r="H554" s="37"/>
      <c r="I554" s="37"/>
      <c r="J554" s="37"/>
      <c r="K554" s="37"/>
      <c r="L554" s="37"/>
      <c r="M554" s="38">
        <f ca="1">IFERROR(SUM(M542:M553),"")</f>
        <v>3.472222222222221E-2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24</v>
      </c>
      <c r="G568" s="40">
        <f>G554+G567</f>
        <v>100.8</v>
      </c>
      <c r="H568" s="41"/>
      <c r="I568" s="41"/>
      <c r="J568" s="41"/>
      <c r="K568" s="41"/>
      <c r="L568" s="41"/>
      <c r="M568" s="42">
        <f ca="1">IFERROR(M554+M567,"")</f>
        <v>3.472222222222221E-2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524" activePane="bottomLeft" state="frozen"/>
      <selection pane="bottomLeft" activeCell="F551" sqref="F55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333</v>
      </c>
      <c r="L58" s="29">
        <v>0.54097222222222219</v>
      </c>
      <c r="M58" s="30" t="str">
        <f t="shared" ca="1" si="13"/>
        <v/>
      </c>
      <c r="N58" s="27" t="s">
        <v>334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0.41824016204191139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0.61754571759746701</v>
      </c>
      <c r="N135" s="36" t="s">
        <v>231</v>
      </c>
      <c r="O135" s="39">
        <v>729290</v>
      </c>
    </row>
    <row r="136" spans="1:18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0.98490682870857804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230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362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368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369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12</v>
      </c>
      <c r="G545" s="34">
        <f t="shared" si="120"/>
        <v>50.400000000000006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148</v>
      </c>
      <c r="G554" s="36">
        <f>SUM(G542:G553)</f>
        <v>621.6</v>
      </c>
      <c r="H554" s="37"/>
      <c r="I554" s="37"/>
      <c r="J554" s="37"/>
      <c r="K554" s="61"/>
      <c r="L554" s="61"/>
      <c r="M554" s="38">
        <f ca="1">IFERROR(SUM(M542:M553),"")</f>
        <v>6.25E-2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148</v>
      </c>
      <c r="G568" s="40">
        <f>G554+G567</f>
        <v>621.6</v>
      </c>
      <c r="H568" s="41"/>
      <c r="I568" s="41"/>
      <c r="J568" s="41"/>
      <c r="K568" s="63"/>
      <c r="L568" s="63"/>
      <c r="M568" s="42">
        <f ca="1">IFERROR(M554+M567,"")</f>
        <v>6.25E-2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2026-07-21T20:01:29Z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