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45" documentId="13_ncr:1_{A6DBCFB4-28D9-4249-9038-216934055CA6}" xr6:coauthVersionLast="47" xr6:coauthVersionMax="47" xr10:uidLastSave="{78ED04CE-F468-4205-9476-D263E0FE41DA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676" i="5" l="1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<sst xmlns="http://schemas.openxmlformats.org/spreadsheetml/2006/main" count="11065" uniqueCount="448">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</sst>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597370</v>
      </c>
      <c r="G28" s="20">
        <f t="shared" si="0"/>
        <v>1760850</v>
      </c>
      <c r="H28" s="21">
        <f>IFERROR('Linha 1'!T676+'Linha 2'!T676+'Linha 3'!T676,0)</f>
        <v>369.77849999999995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92854610</v>
      </c>
      <c r="D35" s="30">
        <f t="shared" si="1"/>
        <v>28721100</v>
      </c>
      <c r="E35" s="30">
        <f t="shared" si="1"/>
        <v>16255620</v>
      </c>
      <c r="F35" s="30">
        <f t="shared" si="1"/>
        <v>38210940</v>
      </c>
      <c r="G35" s="30">
        <f t="shared" si="1"/>
        <v>83187660</v>
      </c>
      <c r="H35" s="31">
        <f t="shared" si="1"/>
        <v>9048.1930946384145</v>
      </c>
      <c r="I35" s="31">
        <f t="shared" si="1"/>
        <v>9156.869999999999</v>
      </c>
      <c r="J35" s="32">
        <f>IFERROR(IF(H35&gt;I35,MAX(0,2-H35/I35),H35/I35),"")</f>
        <v>0.98813165357140764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O676" sqref="O676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40" activePane="bottomLeft" state="frozen"/>
      <selection pane="bottomLeft" activeCell="S676" sqref="S676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0.16403888888453366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0.30292777777342139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0.3876499999956442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360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/>
      <c r="Q669" s="70">
        <f t="shared" ca="1" si="176"/>
        <v>2.8622222220292315E-2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0.29737222222029214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0.6619555555536254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641" activePane="bottomLeft" state="frozen"/>
      <selection pane="bottomLeft" activeCell="S676" sqref="S676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361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361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361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363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364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365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366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368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369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370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371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372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373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374</v>
      </c>
      <c r="Q222" s="65" t="str">
        <f t="shared" ca="1" si="49"/>
        <v/>
      </c>
      <c r="R222" s="62" t="s">
        <v>375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376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377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378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379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380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381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381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382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383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368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384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385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386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387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388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389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361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384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381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390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390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390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366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391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392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393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35" activePane="bottomLeft" state="frozen"/>
      <selection pane="bottomLeft" activeCell="L666" sqref="L666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394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361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395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396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397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398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399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400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361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361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401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402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361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403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404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405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406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407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408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409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410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411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412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413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414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415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416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417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418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419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420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421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422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423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424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425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426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427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421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428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383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429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430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431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432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433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434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435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436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437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420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421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438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439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440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383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441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383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420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442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437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443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444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445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446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447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/>
      <c r="Q665" s="70">
        <f t="shared" ca="1" si="176"/>
        <v>7.0944444451015443E-3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4"/>
        <v>0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4"/>
        <v>0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0</v>
      </c>
      <c r="I668" s="89">
        <f>IFERROR(IF($D668="","",VLOOKUP($D668,Cadastro!$C$4:$G$7,5,FALSE())),"")</f>
        <v>0.6</v>
      </c>
      <c r="J668" s="90">
        <f t="shared" si="174"/>
        <v>0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0</v>
      </c>
      <c r="I669" s="89">
        <f>IFERROR(IF($D669="","",VLOOKUP($D669,Cadastro!$C$4:$G$7,5,FALSE())),"")</f>
        <v>0.6</v>
      </c>
      <c r="J669" s="90">
        <f t="shared" si="174"/>
        <v>0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0</v>
      </c>
      <c r="I670" s="89">
        <f>IFERROR(IF($D670="","",VLOOKUP($D670,Cadastro!$C$4:$G$7,5,FALSE())),"")</f>
        <v>0.6</v>
      </c>
      <c r="J670" s="90">
        <f t="shared" si="174"/>
        <v>0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0</v>
      </c>
      <c r="I671" s="89">
        <f>IFERROR(IF($D671="","",VLOOKUP($D671,Cadastro!$C$4:$G$7,5,FALSE())),"")</f>
        <v>0.6</v>
      </c>
      <c r="J671" s="90">
        <f t="shared" si="174"/>
        <v>0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0</v>
      </c>
      <c r="I672" s="89">
        <f>IFERROR(IF($D672="","",VLOOKUP($D672,Cadastro!$C$4:$G$7,5,FALSE())),"")</f>
        <v>0.6</v>
      </c>
      <c r="J672" s="90">
        <f t="shared" si="174"/>
        <v>0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0</v>
      </c>
      <c r="I673" s="89">
        <f>IFERROR(IF($D673="","",VLOOKUP($D673,Cadastro!$C$4:$G$7,5,FALSE())),"")</f>
        <v>0.6</v>
      </c>
      <c r="J673" s="90">
        <f t="shared" si="174"/>
        <v>0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0</v>
      </c>
      <c r="I674" s="92">
        <f>IFERROR(IF($D674="","",VLOOKUP($D674,Cadastro!$C$4:$G$7,5,FALSE())),"")</f>
        <v>0.6</v>
      </c>
      <c r="J674" s="93">
        <f t="shared" si="174"/>
        <v>0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217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4.7372222222879373E-2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597.37</v>
      </c>
      <c r="I676" s="109"/>
      <c r="J676" s="110">
        <f>IFERROR(J662+J675,"")</f>
        <v>125.4477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0.31195555555621257</v>
      </c>
      <c r="R676" s="1" t="s">
        <v>268</v>
      </c>
      <c r="S676" s="81">
        <f>IFERROR(S662+S675,"")</f>
        <v>597370</v>
      </c>
      <c r="T676" s="117">
        <f>IFERROR(J676,"")</f>
        <v>125.4477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2026-08-26T10:51:55Z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