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90" documentId="13_ncr:1_{A6DBCFB4-28D9-4249-9038-216934055CA6}" xr6:coauthVersionLast="47" xr6:coauthVersionMax="47" xr10:uidLastSave="{8B9CBDAC-F00A-454E-941B-A99E6EBBE117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<sst xmlns="http://schemas.openxmlformats.org/spreadsheetml/2006/main" count="11046" uniqueCount="447">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</sst>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71" sqref="F67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325</v>
      </c>
      <c r="G675" s="2">
        <f>SUM(G663:G674)</f>
        <v>1625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652</v>
      </c>
      <c r="G676" s="1">
        <f>G662+G675</f>
        <v>3260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71" sqref="G67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8.4651620345539413E-3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0.14735405092344167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0.23207627314566448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100.80000000000001</v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67.2</v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46.2</v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4"/>
        <v>0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99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415.8</v>
      </c>
      <c r="L675" s="71"/>
      <c r="M675" s="71"/>
      <c r="N675" s="71"/>
      <c r="O675" s="71"/>
      <c r="P675" s="71"/>
      <c r="Q675" s="72">
        <f ca="1">IFERROR(SUM(Q663:Q674),"")</f>
        <v>0.15972222222222204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166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697.2</v>
      </c>
      <c r="L676" s="75"/>
      <c r="M676" s="75"/>
      <c r="N676" s="75"/>
      <c r="O676" s="75"/>
      <c r="P676" s="75"/>
      <c r="Q676" s="76">
        <f ca="1">IFERROR(Q662+Q675,"")</f>
        <v>0.52430555555555536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71" sqref="G67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 t="s">
        <v>27</v>
      </c>
      <c r="M666" s="60" t="s">
        <v>56</v>
      </c>
      <c r="N666" s="60" t="s">
        <v>141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1"/>
        <v>0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1"/>
        <v>0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1"/>
        <v>0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0</v>
      </c>
      <c r="I670" s="89">
        <f>IFERROR(IF($D670="","",VLOOKUP($D670,Cadastro!$C$4:$G$7,5,FALSE())),"")</f>
        <v>0.6</v>
      </c>
      <c r="J670" s="90">
        <f t="shared" si="171"/>
        <v>0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40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168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42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176.4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70" sqref="G670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393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394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395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396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397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398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399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400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401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402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403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404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405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406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408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409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410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411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412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413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414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415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416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417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418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419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420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421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422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423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424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425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426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420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427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428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429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430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431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432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433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434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435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436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419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420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437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438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439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440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419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441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436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442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443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444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445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446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174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0</v>
      </c>
      <c r="I667" s="89">
        <f>IFERROR(IF($D667="","",VLOOKUP($D667,Cadastro!$C$4:$G$7,5,FALSE())),"")</f>
        <v>0.6</v>
      </c>
      <c r="J667" s="90">
        <f t="shared" si="174"/>
        <v>0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0</v>
      </c>
      <c r="I668" s="89">
        <f>IFERROR(IF($D668="","",VLOOKUP($D668,Cadastro!$C$4:$G$7,5,FALSE())),"")</f>
        <v>0.6</v>
      </c>
      <c r="J668" s="90">
        <f t="shared" si="174"/>
        <v>0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0</v>
      </c>
      <c r="I669" s="89">
        <f>IFERROR(IF($D669="","",VLOOKUP($D669,Cadastro!$C$4:$G$7,5,FALSE())),"")</f>
        <v>0.6</v>
      </c>
      <c r="J669" s="90">
        <f t="shared" si="174"/>
        <v>0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141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592.20000000000005</v>
      </c>
      <c r="L675" s="71"/>
      <c r="M675" s="71"/>
      <c r="N675" s="71"/>
      <c r="O675" s="133"/>
      <c r="P675" s="133"/>
      <c r="Q675" s="72">
        <f ca="1">IFERROR(SUM(Q663:Q674),"")</f>
        <v>1.8055555555555602E-2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271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1148.5999999999999</v>
      </c>
      <c r="L676" s="75"/>
      <c r="M676" s="75"/>
      <c r="N676" s="75"/>
      <c r="O676" s="134"/>
      <c r="P676" s="134"/>
      <c r="Q676" s="76">
        <f ca="1">IFERROR(Q662+Q675,"")</f>
        <v>0.28263888888888883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2026-08-26T07:07:29Z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