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254" documentId="8_{C51EB6CB-002B-4D6B-B68F-DDEBDB4460C0}" xr6:coauthVersionLast="47" xr6:coauthVersionMax="47" xr10:uidLastSave="{91FE9742-BB5F-47FC-84A3-49738CEC7483}"/>
  <bookViews>
    <workbookView xWindow="-108" yWindow="-108" windowWidth="23256" windowHeight="12456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7" i="5" l="1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<sst xmlns="http://schemas.openxmlformats.org/spreadsheetml/2006/main" count="5208" uniqueCount="326">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</sst>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3274380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33711890</v>
      </c>
      <c r="D35" s="13">
        <f>IFERROR(SUM(D4:D34),"")</f>
        <v>11283420</v>
      </c>
      <c r="E35" s="13">
        <f>IFERROR(SUM(E4:E34),"")</f>
        <v>5437280</v>
      </c>
      <c r="F35" s="13">
        <f>IFERROR(SUM(F4:F34),"")</f>
        <v>13886140</v>
      </c>
      <c r="G35" s="13">
        <f>IFERROR(SUM(G4:G34),"")</f>
        <v>30606840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47" activePane="bottomLeft" state="frozen"/>
      <selection pane="bottomLeft" activeCell="E278" sqref="E27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1124700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3274380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55" activePane="bottomLeft" state="frozen"/>
      <selection pane="bottomLeft" activeCell="N272" sqref="N27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257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258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259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260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261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262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263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264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0.17916018518008059</v>
      </c>
      <c r="N53" s="46" t="s">
        <v>265</v>
      </c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0.31804907406896948</v>
      </c>
      <c r="N54" s="36" t="s">
        <v>236</v>
      </c>
      <c r="O54" s="84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0.40277129629119179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257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266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267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268</v>
      </c>
      <c r="M96" s="30" t="str">
        <f t="shared" ref="M96:M107" ca="1" si="22">IFERROR(IF(K96="","",IF(L96="",MOD(NOW()-K96,1),IF(L96&gt;=K96,L96-K96,L96+1-K96))),"")</f>
        <v/>
      </c>
      <c r="N96" s="46" t="s">
        <v>269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270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271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272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273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274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275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277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274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278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279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272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266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281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282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/>
      <c r="F272" s="27"/>
      <c r="G272" s="28" t="str">
        <f t="shared" ref="G272:G283" si="60">IF(F272="","",IF(E272="PC 17",F272*4.2,IF(E272="PC 19",F272*5,IF(E272="CB",F272*24,""))))</f>
        <v/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/>
      <c r="M272" s="30">
        <f t="shared" ref="M272:M283" ca="1" si="61">IFERROR(IF(K272="","",IF(L272="",MOD(NOW()-K272,1),IF(L272&gt;=K272,L272-K272,L272+1-K272))),"")</f>
        <v>9.0212962968507782E-3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9.0212962968507782E-3</v>
      </c>
      <c r="N284" s="36" t="s">
        <v>236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77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9.0212962968507782E-3</v>
      </c>
      <c r="N298" s="40" t="s">
        <v>240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254" zoomScale="50" zoomScaleNormal="50" workbookViewId="0">
      <selection activeCell="K273" sqref="K27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283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260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284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283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283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285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286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287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288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289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290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291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275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266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292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293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278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294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295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296</v>
      </c>
      <c r="M222" s="30" t="str">
        <f t="shared" ca="1" si="49"/>
        <v/>
      </c>
      <c r="N222" s="27" t="s">
        <v>297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298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235</v>
      </c>
      <c r="B257" s="107"/>
      <c r="C257" s="107"/>
      <c r="D257" s="107"/>
      <c r="E257" s="108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266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0.10624351851583924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0.1680490740713948</v>
      </c>
      <c r="N270" s="36" t="s">
        <v>236</v>
      </c>
      <c r="O270" s="39">
        <v>327900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0.22916018518250597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>
        <v>0.29166666666666669</v>
      </c>
      <c r="L272" s="29"/>
      <c r="M272" s="30">
        <f t="shared" ref="M272:M283" ca="1" si="61">IFERROR(IF(K272="","",IF(L272="",MOD(NOW()-K272,1),IF(L272&gt;=K272,L272-K272,L272+1-K272))),"")</f>
        <v>9.0212962968507782E-3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9.0212962968507782E-3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9.0212962968507782E-3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D29:D256 D258:D294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67" activePane="bottomLeft" state="frozen"/>
      <selection pane="bottomLeft" activeCell="J272" sqref="J27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299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263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283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300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301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235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302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303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304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305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283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283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306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307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266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283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308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309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275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310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312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313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314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315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316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317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318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319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320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321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322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323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290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324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325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/>
      <c r="F272" s="27"/>
      <c r="G272" s="28" t="str">
        <f t="shared" ref="G272:G283" si="60">IF(F272="","",IF(E272="PC 17",F272*4.2,IF(E272="PC 19",F272*5,IF(E272="CB",F272*24,""))))</f>
        <v/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/>
      <c r="M272" s="30">
        <f t="shared" ref="M272:M277" ca="1" si="61">IFERROR(IF(K272="","",IF(L272="",MOD(NOW()-K272,1),IF(L272&gt;=K272,L272-K272,L272+1-K272))),"")</f>
        <v>2.7712962910300121E-3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2.7712962910300121E-3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2.7712962910300121E-3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235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2026-08-11T11:15:02Z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