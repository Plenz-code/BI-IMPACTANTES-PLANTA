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33" documentId="13_ncr:1_{9DFDFEE8-78F7-4C04-B87C-99924EE6CC37}" xr6:coauthVersionLast="47" xr6:coauthVersionMax="47" xr10:uidLastSave="{31184503-DB9F-4B95-A072-02E0495294CD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<sst xmlns="http://schemas.openxmlformats.org/spreadsheetml/2006/main" count="4634" uniqueCount="1313">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</sst>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54" sqref="F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/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30" activePane="bottomLeft" state="frozen"/>
      <selection pane="bottomLeft" activeCell="G53" sqref="G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/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600.60000000000014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/>
      <c r="T54" s="132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173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726.60000000000014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3" sqref="G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394.8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156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655.20000000000005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" activePane="bottomLeft" state="frozen"/>
      <selection pane="bottomLeft" activeCell="O53" sqref="O5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/>
      <c r="Q47" s="86">
        <f t="shared" ca="1" si="14"/>
        <v>3.1274652777938172E-2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>IF(G52="","",IF(E52="PC 17",G52*4.2,IF(E52="PC 19",G52*5,IF(E52="CB",G52*24,""))))</f>
        <v>42</v>
      </c>
      <c r="L52" s="76"/>
      <c r="M52" s="76"/>
      <c r="N52" s="76"/>
      <c r="O52" s="80">
        <v>0.18472222222222223</v>
      </c>
      <c r="P52" s="80"/>
      <c r="Q52" s="86">
        <f t="shared" ca="1" si="14"/>
        <v>8.9607986112241633E-2</v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558.6</v>
      </c>
      <c r="L54" s="87"/>
      <c r="M54" s="87"/>
      <c r="N54" s="87"/>
      <c r="O54" s="154"/>
      <c r="P54" s="154"/>
      <c r="Q54" s="88">
        <f ca="1">IFERROR(SUM(Q42:Q53),"")</f>
        <v>0.27227152777906871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222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932.40000000000009</v>
      </c>
      <c r="L55" s="91"/>
      <c r="M55" s="91"/>
      <c r="N55" s="91"/>
      <c r="O55" s="155"/>
      <c r="P55" s="155"/>
      <c r="Q55" s="92">
        <f ca="1">IFERROR(Q41+Q54,"")</f>
        <v>0.5694937500012911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2026-09-03T10:35:32Z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