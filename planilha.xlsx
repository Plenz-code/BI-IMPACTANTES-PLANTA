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76" documentId="13_ncr:1_{9DFDFEE8-78F7-4C04-B87C-99924EE6CC37}" xr6:coauthVersionLast="47" xr6:coauthVersionMax="47" xr10:uidLastSave="{0ACFCF74-DE00-48F7-8CEE-54BFD7A262D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<sst xmlns="http://schemas.openxmlformats.org/spreadsheetml/2006/main" count="8928" uniqueCount="2877">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</sst>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1640990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4566560</v>
      </c>
      <c r="H6" s="21">
        <f>IFERROR('Linha 1'!T82+'Linha 2'!T82+'Linha 3'!T82,0)</f>
        <v>1735.6858284533937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3157050</v>
      </c>
      <c r="E35" s="31">
        <f t="shared" si="2"/>
        <v>2000930</v>
      </c>
      <c r="F35" s="31">
        <f t="shared" si="2"/>
        <v>4432180</v>
      </c>
      <c r="G35" s="31">
        <f t="shared" si="2"/>
        <v>9590160</v>
      </c>
      <c r="H35" s="32">
        <f>IFERROR(SUM(H4:H34),"")</f>
        <v>3491.5462893229587</v>
      </c>
      <c r="I35" s="32">
        <f>IFERROR(SUM(I4:I34),"")</f>
        <v>1656.9</v>
      </c>
      <c r="J35" s="33">
        <f>IFERROR(IF(OR(H35="",I35="",H35=0,I35=0),"",MIN(H35,I35)/MAX(H35,I35)),"")</f>
        <v>0.47454619320578662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81" sqref="F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S78" sqref="S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85.664930232558135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35.979270697674416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38.938604651162791</v>
      </c>
      <c r="I70" s="109">
        <f>IFERROR(IF($D70="","",VLOOKUP($D70,Cadastro!$C$4:$G$20,5,FALSE())),"")</f>
        <v>0.6</v>
      </c>
      <c r="J70" s="110">
        <f t="shared" si="21"/>
        <v>16.354213953488369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116.81581395348837</v>
      </c>
      <c r="I71" s="109">
        <f>IFERROR(IF($D71="","",VLOOKUP($D71,Cadastro!$C$4:$G$20,5,FALSE())),"")</f>
        <v>0.6</v>
      </c>
      <c r="J71" s="110">
        <f t="shared" si="21"/>
        <v>24.531320930232557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77.877209302325582</v>
      </c>
      <c r="I72" s="109">
        <f>IFERROR(IF($D72="","",VLOOKUP($D72,Cadastro!$C$4:$G$20,5,FALSE())),"")</f>
        <v>0.6</v>
      </c>
      <c r="J72" s="110">
        <f t="shared" si="21"/>
        <v>16.354213953488369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11.681581395348838</v>
      </c>
      <c r="I73" s="109">
        <f>IFERROR(IF($D73="","",VLOOKUP($D73,Cadastro!$C$4:$G$20,5,FALSE())),"")</f>
        <v>0.6</v>
      </c>
      <c r="J73" s="110">
        <f t="shared" si="21"/>
        <v>2.4531320930232559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81.771069767441858</v>
      </c>
      <c r="I74" s="109">
        <f>IFERROR(IF($D74="","",VLOOKUP($D74,Cadastro!$C$4:$G$20,5,FALSE())),"")</f>
        <v>0.6</v>
      </c>
      <c r="J74" s="110">
        <f t="shared" si="21"/>
        <v>34.34384930232558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58.407906976744187</v>
      </c>
      <c r="I75" s="109">
        <f>IFERROR(IF($D75="","",VLOOKUP($D75,Cadastro!$C$4:$G$20,5,FALSE())),"")</f>
        <v>0.6</v>
      </c>
      <c r="J75" s="110">
        <f t="shared" si="21"/>
        <v>12.265660465116278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62.301767441860463</v>
      </c>
      <c r="I76" s="109">
        <f>IFERROR(IF($D76="","",VLOOKUP($D76,Cadastro!$C$4:$G$20,5,FALSE())),"")</f>
        <v>0.6</v>
      </c>
      <c r="J76" s="110">
        <f t="shared" si="21"/>
        <v>13.083371162790696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70.08948837209303</v>
      </c>
      <c r="I77" s="109">
        <f>IFERROR(IF($D77="","",VLOOKUP($D77,Cadastro!$C$4:$G$20,5,FALSE())),"")</f>
        <v>0.6</v>
      </c>
      <c r="J77" s="110">
        <f t="shared" si="21"/>
        <v>14.718792558139535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81.771069767441858</v>
      </c>
      <c r="I78" s="109">
        <f>IFERROR(IF($D78="","",VLOOKUP($D78,Cadastro!$C$4:$G$20,5,FALSE())),"")</f>
        <v>0.6</v>
      </c>
      <c r="J78" s="110">
        <f t="shared" si="21"/>
        <v>17.17192465116279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85.664930232558135</v>
      </c>
      <c r="I79" s="109">
        <f>IFERROR(IF($D79="","",VLOOKUP($D79,Cadastro!$C$4:$G$20,5,FALSE())),"")</f>
        <v>0.6</v>
      </c>
      <c r="J79" s="110">
        <f t="shared" si="21"/>
        <v>17.989635348837208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66.195627906976753</v>
      </c>
      <c r="I80" s="112">
        <f>IFERROR(IF($D80="","",VLOOKUP($D80,Cadastro!$C$4:$G$20,5,FALSE())),"")</f>
        <v>0.6</v>
      </c>
      <c r="J80" s="113">
        <f t="shared" si="21"/>
        <v>13.901081860465117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837.18</v>
      </c>
      <c r="I81" s="125"/>
      <c r="J81" s="126">
        <f>IFERROR(SUM(J69:J80),"")</f>
        <v>219.14646697674416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837180</v>
      </c>
      <c r="T81" s="134">
        <f>IFERROR(J81,"")</f>
        <v>219.14646697674416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1640.9899999999998</v>
      </c>
      <c r="I82" s="129"/>
      <c r="J82" s="130">
        <f>IFERROR(J68+J81,"")</f>
        <v>537.11874837209302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1640990</v>
      </c>
      <c r="T82" s="32">
        <f>IFERROR(J82,"")</f>
        <v>537.11874837209302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S82" sqref="S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0" activePane="bottomLeft" state="frozen"/>
      <selection pane="bottomLeft" activeCell="S82" sqref="S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2026-09-04T10:52:31Z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