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37" documentId="13_ncr:1_{A6DBCFB4-28D9-4249-9038-216934055CA6}" xr6:coauthVersionLast="47" xr6:coauthVersionMax="47" xr10:uidLastSave="{8C0BC9FE-334A-4334-9BB0-D28771A60A54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<sst xmlns="http://schemas.openxmlformats.org/spreadsheetml/2006/main" count="10843" uniqueCount="441">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</sst>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4967.05</v>
      </c>
      <c r="J35" s="32">
        <f>I35/H35</f>
        <v>0.5723453225049514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31" activePane="bottomLeft" state="frozen"/>
      <selection pane="bottomLeft" activeCell="E661" sqref="E661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>
        <v>2128400</v>
      </c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4902940</v>
      </c>
    </row>
    <row r="650" spans="1:15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62" t="s">
        <v>263</v>
      </c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 t="s">
        <v>30</v>
      </c>
      <c r="D651" s="62" t="s">
        <v>31</v>
      </c>
      <c r="E651" s="62" t="s">
        <v>263</v>
      </c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 t="s">
        <v>30</v>
      </c>
      <c r="D652" s="62" t="s">
        <v>31</v>
      </c>
      <c r="E652" s="62" t="s">
        <v>263</v>
      </c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 t="s">
        <v>30</v>
      </c>
      <c r="D653" s="62" t="s">
        <v>31</v>
      </c>
      <c r="E653" s="62" t="s">
        <v>263</v>
      </c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 t="s">
        <v>30</v>
      </c>
      <c r="D654" s="62" t="s">
        <v>31</v>
      </c>
      <c r="E654" s="62" t="s">
        <v>263</v>
      </c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 t="s">
        <v>30</v>
      </c>
      <c r="D655" s="62" t="s">
        <v>31</v>
      </c>
      <c r="E655" s="62" t="s">
        <v>263</v>
      </c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 t="s">
        <v>30</v>
      </c>
      <c r="D656" s="62" t="s">
        <v>31</v>
      </c>
      <c r="E656" s="62" t="s">
        <v>263</v>
      </c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 t="s">
        <v>30</v>
      </c>
      <c r="D657" s="62" t="s">
        <v>31</v>
      </c>
      <c r="E657" s="62" t="s">
        <v>263</v>
      </c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 t="s">
        <v>30</v>
      </c>
      <c r="D658" s="62" t="s">
        <v>31</v>
      </c>
      <c r="E658" s="62" t="s">
        <v>263</v>
      </c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 t="s">
        <v>30</v>
      </c>
      <c r="D659" s="62" t="s">
        <v>31</v>
      </c>
      <c r="E659" s="62" t="s">
        <v>263</v>
      </c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 t="s">
        <v>30</v>
      </c>
      <c r="D660" s="62" t="s">
        <v>31</v>
      </c>
      <c r="E660" s="62" t="s">
        <v>263</v>
      </c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 t="s">
        <v>30</v>
      </c>
      <c r="D661" s="62" t="s">
        <v>31</v>
      </c>
      <c r="E661" s="62" t="s">
        <v>263</v>
      </c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N650" sqref="N65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0.19819479166471865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0.33708368055360638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0.42180590277582919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73.371125827814566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15.407936423841058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50.442649006622517</v>
      </c>
      <c r="I637" s="90">
        <f>IFERROR(IF($D637="","",VLOOKUP($D637,Cadastro!$C$4:$G$7,5,FALSE())),"")</f>
        <v>0.6</v>
      </c>
      <c r="J637" s="91">
        <f t="shared" si="166"/>
        <v>10.592956291390726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45.856953642384106</v>
      </c>
      <c r="I638" s="90">
        <f>IFERROR(IF($D638="","",VLOOKUP($D638,Cadastro!$C$4:$G$7,5,FALSE())),"")</f>
        <v>0.6</v>
      </c>
      <c r="J638" s="91">
        <f t="shared" si="166"/>
        <v>9.6299602649006619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45.856953642384106</v>
      </c>
      <c r="I639" s="90">
        <f>IFERROR(IF($D639="","",VLOOKUP($D639,Cadastro!$C$4:$G$7,5,FALSE())),"")</f>
        <v>0.6</v>
      </c>
      <c r="J639" s="91">
        <f t="shared" si="166"/>
        <v>9.6299602649006619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356</v>
      </c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91.713907284768212</v>
      </c>
      <c r="I640" s="90">
        <f>IFERROR(IF($D640="","",VLOOKUP($D640,Cadastro!$C$4:$G$7,5,FALSE())),"")</f>
        <v>0.6</v>
      </c>
      <c r="J640" s="91">
        <f t="shared" si="166"/>
        <v>19.259920529801324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>
        <v>0.29166666666666669</v>
      </c>
      <c r="Q640" s="66">
        <f t="shared" ca="1" si="168"/>
        <v>4.1666666666666685E-2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68.785430463576162</v>
      </c>
      <c r="I641" s="90">
        <f>IFERROR(IF($D641="","",VLOOKUP($D641,Cadastro!$C$4:$G$7,5,FALSE())),"")</f>
        <v>0.6</v>
      </c>
      <c r="J641" s="91">
        <f t="shared" si="166"/>
        <v>14.444940397350992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59.61403973509934</v>
      </c>
      <c r="I642" s="90">
        <f>IFERROR(IF($D642="","",VLOOKUP($D642,Cadastro!$C$4:$G$7,5,FALSE())),"")</f>
        <v>0.6</v>
      </c>
      <c r="J642" s="91">
        <f t="shared" si="166"/>
        <v>12.518948344370859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77.956821192052985</v>
      </c>
      <c r="I643" s="90">
        <f>IFERROR(IF($D643="","",VLOOKUP($D643,Cadastro!$C$4:$G$7,5,FALSE())),"")</f>
        <v>0.6</v>
      </c>
      <c r="J643" s="91">
        <f t="shared" si="166"/>
        <v>16.370932450331125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68.785430463576162</v>
      </c>
      <c r="I644" s="90">
        <f>IFERROR(IF($D644="","",VLOOKUP($D644,Cadastro!$C$4:$G$7,5,FALSE())),"")</f>
        <v>0.6</v>
      </c>
      <c r="J644" s="91">
        <f t="shared" si="166"/>
        <v>14.444940397350992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87.128211920529807</v>
      </c>
      <c r="I645" s="90">
        <f>IFERROR(IF($D645="","",VLOOKUP($D645,Cadastro!$C$4:$G$7,5,FALSE())),"")</f>
        <v>0.6</v>
      </c>
      <c r="J645" s="91">
        <f t="shared" si="166"/>
        <v>18.296924503311256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22.928476821192053</v>
      </c>
      <c r="I646" s="90">
        <f>IFERROR(IF($D646="","",VLOOKUP($D646,Cadastro!$C$4:$G$7,5,FALSE())),"")</f>
        <v>0.6</v>
      </c>
      <c r="J646" s="91">
        <f t="shared" si="166"/>
        <v>4.814980132450331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692.43999999999994</v>
      </c>
      <c r="I648" s="106"/>
      <c r="J648" s="107">
        <f>IFERROR(SUM(J636:J647),"")</f>
        <v>145.41239999999996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0.10555555555555554</v>
      </c>
      <c r="R648" s="2" t="s">
        <v>265</v>
      </c>
      <c r="S648" s="74">
        <v>692440</v>
      </c>
      <c r="T648" s="99">
        <f>IFERROR(J648,"")</f>
        <v>145.41239999999996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1324.22</v>
      </c>
      <c r="I649" s="110"/>
      <c r="J649" s="111">
        <f>IFERROR(J635+J648,"")</f>
        <v>278.08619999999996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0.17638888888888901</v>
      </c>
      <c r="R649" s="1" t="s">
        <v>268</v>
      </c>
      <c r="S649" s="82">
        <f>S635+S648</f>
        <v>1324220</v>
      </c>
      <c r="T649" s="118">
        <f>IFERROR(J649,"")</f>
        <v>278.08619999999996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72">IFERROR(IF(O650="","",IF(P650="",MOD(NOW()-O650,1),IF(P650&gt;=O650,P650-O650,P650+1-O650))),"")</f>
        <v>2.805590278148884E-2</v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2.805590278148884E-2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2.805590278148884E-2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O651" sqref="O65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360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370</v>
      </c>
      <c r="Q222" s="66" t="str">
        <f t="shared" ca="1" si="49"/>
        <v/>
      </c>
      <c r="R222" s="63" t="s">
        <v>371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380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380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377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386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386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386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362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46.211846153846153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9.7044876923076906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50.412923076923079</v>
      </c>
      <c r="I637" s="90">
        <f>IFERROR(IF($D637="","",VLOOKUP($D637,Cadastro!$C$4:$G$7,5,FALSE())),"")</f>
        <v>0.6</v>
      </c>
      <c r="J637" s="91">
        <f t="shared" si="163"/>
        <v>10.586713846153845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12.60323076923077</v>
      </c>
      <c r="I638" s="90">
        <f>IFERROR(IF($D638="","",VLOOKUP($D638,Cadastro!$C$4:$G$7,5,FALSE())),"")</f>
        <v>0.6</v>
      </c>
      <c r="J638" s="91">
        <f t="shared" si="163"/>
        <v>2.6466784615384613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58.815076923076923</v>
      </c>
      <c r="I639" s="90">
        <f>IFERROR(IF($D639="","",VLOOKUP($D639,Cadastro!$C$4:$G$7,5,FALSE())),"")</f>
        <v>0.6</v>
      </c>
      <c r="J639" s="91">
        <f t="shared" si="163"/>
        <v>12.351166153846153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387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25.206461538461539</v>
      </c>
      <c r="I640" s="90">
        <f>IFERROR(IF($D640="","",VLOOKUP($D640,Cadastro!$C$4:$G$7,5,FALSE())),"")</f>
        <v>0.6</v>
      </c>
      <c r="J640" s="91">
        <f t="shared" si="163"/>
        <v>5.2933569230769226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21.005384615384617</v>
      </c>
      <c r="I641" s="90">
        <f>IFERROR(IF($D641="","",VLOOKUP($D641,Cadastro!$C$4:$G$7,5,FALSE())),"")</f>
        <v>0.6</v>
      </c>
      <c r="J641" s="91">
        <f t="shared" si="163"/>
        <v>4.4111307692307689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21.005384615384617</v>
      </c>
      <c r="I643" s="90">
        <f>IFERROR(IF($D643="","",VLOOKUP($D643,Cadastro!$C$4:$G$7,5,FALSE())),"")</f>
        <v>0.6</v>
      </c>
      <c r="J643" s="91">
        <f t="shared" si="163"/>
        <v>4.4111307692307689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>
        <v>0.29166666666666669</v>
      </c>
      <c r="Q643" s="71">
        <f t="shared" ca="1" si="165"/>
        <v>9.3750000000000028E-2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12.60323076923077</v>
      </c>
      <c r="I644" s="90">
        <f>IFERROR(IF($D644="","",VLOOKUP($D644,Cadastro!$C$4:$G$7,5,FALSE())),"")</f>
        <v>0.6</v>
      </c>
      <c r="J644" s="91">
        <f t="shared" si="163"/>
        <v>2.6466784615384613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>
        <v>0.29166666666666669</v>
      </c>
      <c r="Q644" s="66">
        <f t="shared" ca="1" si="165"/>
        <v>4.1666666666666685E-2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25.206461538461539</v>
      </c>
      <c r="I645" s="90">
        <f>IFERROR(IF($D645="","",VLOOKUP($D645,Cadastro!$C$4:$G$7,5,FALSE())),"")</f>
        <v>0.6</v>
      </c>
      <c r="J645" s="91">
        <f t="shared" si="163"/>
        <v>5.2933569230769226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273.07000000000005</v>
      </c>
      <c r="I648" s="106"/>
      <c r="J648" s="107">
        <f>IFERROR(SUM(J636:J647),"")</f>
        <v>57.344699999999989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0.22986111111111118</v>
      </c>
      <c r="R648" s="2" t="s">
        <v>265</v>
      </c>
      <c r="S648" s="74">
        <v>273070</v>
      </c>
      <c r="T648" s="99">
        <f>IFERROR(J648,"")</f>
        <v>57.344699999999989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563.95000000000005</v>
      </c>
      <c r="I649" s="110"/>
      <c r="J649" s="111">
        <f>IFERROR(J635+J648,"")</f>
        <v>118.42949999999998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0.28333333333333338</v>
      </c>
      <c r="R649" s="1" t="s">
        <v>268</v>
      </c>
      <c r="S649" s="82">
        <f>IFERROR(S635+S648,"")</f>
        <v>563950</v>
      </c>
      <c r="T649" s="118">
        <f>IFERROR(J649,"")</f>
        <v>118.42949999999998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69">IFERROR(IF(O650="","",IF(P650="",MOD(NOW()-O650,1),IF(P650&gt;=O650,P650-O650,P650+1-O650))),"")</f>
        <v>2.805590278148884E-2</v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2.805590278148884E-2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2.805590278148884E-2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1" activePane="bottomLeft" state="frozen"/>
      <selection pane="bottomLeft" activeCell="O651" sqref="O65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390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400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410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420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430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379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435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379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414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436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431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437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60.023797468354431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12.604997468354428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69.258227848101257</v>
      </c>
      <c r="I637" s="90">
        <f>IFERROR(IF($D637="","",VLOOKUP($D637,Cadastro!$C$4:$G$7,5,FALSE())),"")</f>
        <v>0.6</v>
      </c>
      <c r="J637" s="91">
        <f t="shared" si="166"/>
        <v>14.544227848101261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438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83.109873417721516</v>
      </c>
      <c r="I638" s="90">
        <f>IFERROR(IF($D638="","",VLOOKUP($D638,Cadastro!$C$4:$G$7,5,FALSE())),"")</f>
        <v>0.6</v>
      </c>
      <c r="J638" s="91">
        <f t="shared" si="166"/>
        <v>17.453073417721516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439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129.2820253164557</v>
      </c>
      <c r="I639" s="90">
        <f>IFERROR(IF($D639="","",VLOOKUP($D639,Cadastro!$C$4:$G$7,5,FALSE())),"")</f>
        <v>0.6</v>
      </c>
      <c r="J639" s="91">
        <f t="shared" si="166"/>
        <v>27.149225316455695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120.04759493670886</v>
      </c>
      <c r="I640" s="90">
        <f>IFERROR(IF($D640="","",VLOOKUP($D640,Cadastro!$C$4:$G$7,5,FALSE())),"")</f>
        <v>0.6</v>
      </c>
      <c r="J640" s="91">
        <f t="shared" si="166"/>
        <v>25.209994936708856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440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92.344303797468356</v>
      </c>
      <c r="I641" s="90">
        <f>IFERROR(IF($D641="","",VLOOKUP($D641,Cadastro!$C$4:$G$7,5,FALSE())),"")</f>
        <v>0.6</v>
      </c>
      <c r="J641" s="91">
        <f t="shared" si="166"/>
        <v>19.392303797468355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>
        <v>0.29166666666666669</v>
      </c>
      <c r="Q641" s="71">
        <f t="shared" ca="1" si="168"/>
        <v>4.1666666666666685E-2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13.851645569620255</v>
      </c>
      <c r="I642" s="90">
        <f>IFERROR(IF($D642="","",VLOOKUP($D642,Cadastro!$C$4:$G$7,5,FALSE())),"")</f>
        <v>0.6</v>
      </c>
      <c r="J642" s="91">
        <f t="shared" si="166"/>
        <v>2.9088455696202531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23.086075949367089</v>
      </c>
      <c r="I643" s="90">
        <f>IFERROR(IF($D643="","",VLOOKUP($D643,Cadastro!$C$4:$G$7,5,FALSE())),"")</f>
        <v>0.6</v>
      </c>
      <c r="J643" s="91">
        <f t="shared" si="166"/>
        <v>4.8480759493670886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23.086075949367089</v>
      </c>
      <c r="I644" s="90">
        <f>IFERROR(IF($D644="","",VLOOKUP($D644,Cadastro!$C$4:$G$7,5,FALSE())),"")</f>
        <v>0.6</v>
      </c>
      <c r="J644" s="91">
        <f t="shared" si="166"/>
        <v>4.8480759493670886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115.43037974683544</v>
      </c>
      <c r="I646" s="90">
        <f>IFERROR(IF($D646="","",VLOOKUP($D646,Cadastro!$C$4:$G$7,5,FALSE())),"")</f>
        <v>0.6</v>
      </c>
      <c r="J646" s="91">
        <f t="shared" si="166"/>
        <v>24.24037974683544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729.5200000000001</v>
      </c>
      <c r="I648" s="106"/>
      <c r="J648" s="107">
        <f>IFERROR(SUM(J636:J647),"")</f>
        <v>153.19919999999999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0.24305555555555558</v>
      </c>
      <c r="R648" s="2" t="s">
        <v>265</v>
      </c>
      <c r="S648" s="74">
        <v>729520</v>
      </c>
      <c r="T648" s="99">
        <f>IFERROR(J648,"")</f>
        <v>153.19919999999999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1773.62</v>
      </c>
      <c r="I649" s="110"/>
      <c r="J649" s="111">
        <f>IFERROR(J635+J648,"")</f>
        <v>372.46019999999999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0.3125</v>
      </c>
      <c r="R649" s="1" t="s">
        <v>268</v>
      </c>
      <c r="S649" s="82">
        <f>IFERROR(S635+S648,"")</f>
        <v>1773620</v>
      </c>
      <c r="T649" s="118">
        <f>IFERROR(J649,"")</f>
        <v>372.46019999999999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72">IFERROR(IF(O650="","",IF(P650="",MOD(NOW()-O650,1),IF(P650&gt;=O650,P650-O650,P650+1-O650))),"")</f>
        <v>2.805590278148884E-2</v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2.805590278148884E-2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2.805590278148884E-2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2026-08-25T11:41:14Z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