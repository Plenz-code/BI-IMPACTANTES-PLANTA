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10" documentId="8_{C51EB6CB-002B-4D6B-B68F-DDEBDB4460C0}" xr6:coauthVersionLast="47" xr6:coauthVersionMax="47" xr10:uidLastSave="{88CDB8A4-1696-4661-BC37-E4FC0970F01B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<sst xmlns="http://schemas.openxmlformats.org/spreadsheetml/2006/main" count="5294" uniqueCount="331">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</sst>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L275" sqref="L2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/>
      <c r="M275" s="35">
        <f t="shared" ca="1" si="61"/>
        <v>6.9109953765291721E-3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8.9549884265418045E-2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8.9549884265418045E-2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L276" sqref="L2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0.37982766203640494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0.51871655092529378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0.60343877314751615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1"/>
        <v>1.7361111111111105E-2</v>
      </c>
      <c r="N275" s="46" t="s">
        <v>285</v>
      </c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48</v>
      </c>
      <c r="G284" s="36">
        <f>SUM(G272:G283)</f>
        <v>201.60000000000002</v>
      </c>
      <c r="H284" s="37"/>
      <c r="I284" s="37"/>
      <c r="J284" s="37"/>
      <c r="K284" s="37"/>
      <c r="L284" s="37"/>
      <c r="M284" s="38">
        <f ca="1">IFERROR(SUM(M272:M283),"")</f>
        <v>6.2499999999999944E-2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48</v>
      </c>
      <c r="G298" s="40">
        <f>G284+G297</f>
        <v>201.60000000000002</v>
      </c>
      <c r="H298" s="41"/>
      <c r="I298" s="41"/>
      <c r="J298" s="41"/>
      <c r="K298" s="41"/>
      <c r="L298" s="41"/>
      <c r="M298" s="42">
        <f ca="1">IFERROR(M284+M297,"")</f>
        <v>6.2499999999999944E-2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F277" sqref="F2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0.3069109953721636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0.36871655092771916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0.42982766203883033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/>
      <c r="M274" s="30">
        <f t="shared" ca="1" si="61"/>
        <v>4.857766204077052E-2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29</v>
      </c>
      <c r="G284" s="36">
        <f>SUM(G272:G283)</f>
        <v>121.80000000000001</v>
      </c>
      <c r="H284" s="37"/>
      <c r="I284" s="37"/>
      <c r="J284" s="37"/>
      <c r="K284" s="37"/>
      <c r="L284" s="37"/>
      <c r="M284" s="38">
        <f ca="1">IFERROR(SUM(M272:M283),"")</f>
        <v>9.6494328707437127E-2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29</v>
      </c>
      <c r="G298" s="40">
        <f>G284+G297</f>
        <v>121.80000000000001</v>
      </c>
      <c r="H298" s="41"/>
      <c r="I298" s="41"/>
      <c r="J298" s="41"/>
      <c r="K298" s="41"/>
      <c r="L298" s="41"/>
      <c r="M298" s="42">
        <f ca="1">IFERROR(M284+M297,"")</f>
        <v>9.6494328707437127E-2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F277" sqref="F2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57</v>
      </c>
      <c r="J279" s="33" t="s">
        <v>62</v>
      </c>
      <c r="K279" s="29">
        <v>0.48472222222222222</v>
      </c>
      <c r="L279" s="29"/>
      <c r="M279" s="35">
        <f ca="1">IFERROR(IF(K279="","",IF(L279="",MOD(NOW()-K279,1),IF(L279&gt;=K279,L279-K279,L279+1-K279))),"")</f>
        <v>1.6633217594062444E-2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64</v>
      </c>
      <c r="G284" s="36">
        <f>SUM(G272:G283)</f>
        <v>268.8</v>
      </c>
      <c r="H284" s="37"/>
      <c r="I284" s="37"/>
      <c r="J284" s="37"/>
      <c r="K284" s="61"/>
      <c r="L284" s="61"/>
      <c r="M284" s="38">
        <f ca="1">IFERROR(SUM(M272:M283),"")</f>
        <v>6.6633217594062377E-2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64</v>
      </c>
      <c r="G298" s="40">
        <f>G284+G297</f>
        <v>268.8</v>
      </c>
      <c r="H298" s="41"/>
      <c r="I298" s="41"/>
      <c r="J298" s="41"/>
      <c r="K298" s="63"/>
      <c r="L298" s="63"/>
      <c r="M298" s="42">
        <f ca="1">IFERROR(M284+M297,"")</f>
        <v>6.6633217594062377E-2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2026-08-11T16:02:21Z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