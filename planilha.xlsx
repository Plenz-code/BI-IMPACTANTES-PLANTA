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752" documentId="8_{AF585B22-221D-4780-BB9C-493D365A6A02}" xr6:coauthVersionLast="47" xr6:coauthVersionMax="47" xr10:uidLastSave="{0FC6A94A-2EF9-488F-8379-D5D46EF782AE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<sst xmlns="http://schemas.openxmlformats.org/spreadsheetml/2006/main" count="6765" uniqueCount="333">
  <si>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</si>
  <si>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</si>
  <si>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</si>
  <si>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</si>
  <si>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</si>
  <si>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</si>
  <si>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</si>
  <si>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</si>
  <si>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</si>
  <si>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</si>
  <si>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</si>
  <si>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</si>
  <si>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</si>
  <si>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</si>
  <si>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</si>
  <si>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</si>
  <si>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</si>
  <si>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</si>
  <si>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</si>
  <si>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</si>
  <si>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</si>
  <si>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</si>
  <si>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</si>
  <si>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</si>
  <si>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</si>
  <si>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</si>
  <si>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</si>
  <si>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</si>
  <si>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</si>
  <si>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</si>
  <si>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</si>
  <si>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</si>
  <si>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</si>
  <si>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</si>
  <si>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</si>
  <si>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</si>
  <si>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</si>
  <si>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</si>
  <si>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</si>
  <si>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</si>
  <si>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</si>
  <si>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</si>
  <si>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</si>
  <si>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</si>
  <si>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</si>
  <si>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</si>
  <si>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</si>
  <si>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</si>
  <si>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</si>
  <si>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</si>
  <si>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</si>
  <si>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</si>
  <si>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</si>
  <si>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</si>
  <si>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</si>
  <si>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</si>
  <si>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</si>
  <si>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</si>
  <si>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</si>
  <si>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</si>
  <si>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</si>
  <si>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</si>
  <si>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</si>
  <si>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</si>
  <si>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</si>
  <si>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</si>
  <si>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</si>
  <si>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</si>
  <si>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</si>
  <si>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</si>
  <si>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</si>
  <si>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</si>
  <si>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</si>
  <si>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</si>
  <si>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</si>
  <si>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</si>
  <si>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</si>
  <si>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</si>
  <si>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</si>
  <si>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</si>
  <si>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</si>
  <si>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</si>
  <si>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</si>
  <si>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</si>
  <si>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</si>
  <si>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</si>
  <si>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</si>
  <si>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</si>
  <si>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</si>
  <si>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</si>
  <si>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</si>
  <si>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</si>
  <si>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</si>
  <si>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</si>
  <si>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</si>
  <si>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</si>
  <si>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</si>
  <si>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</si>
  <si>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</si>
  <si>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</si>
  <si>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</si>
  <si>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</si>
  <si>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</si>
  <si>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</si>
  <si>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</si>
  <si>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</si>
  <si>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</si>
  <si>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</si>
  <si>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</si>
  <si>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</si>
  <si>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</si>
  <si>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</si>
  <si>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</si>
  <si>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</si>
  <si>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</si>
  <si>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</si>
  <si>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</si>
  <si>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</si>
  <si>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</si>
  <si>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</si>
  <si>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</si>
  <si>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</si>
  <si>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</si>
  <si>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</si>
  <si>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</si>
  <si>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</si>
  <si>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</si>
  <si>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</si>
  <si>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</si>
  <si>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</si>
  <si>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</si>
  <si>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</si>
  <si>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</si>
  <si>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</si>
  <si>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</si>
  <si>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</si>
  <si>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</si>
  <si>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</si>
  <si>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</si>
  <si>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</si>
  <si>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</si>
  <si>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</si>
  <si>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</si>
  <si>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</si>
  <si>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</si>
  <si>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</si>
  <si>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</si>
  <si>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</si>
  <si>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</si>
  <si>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</si>
  <si>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</si>
  <si>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</si>
  <si>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</si>
  <si>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</si>
  <si>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</si>
  <si>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</si>
  <si>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</si>
  <si>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</si>
  <si>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</si>
  <si>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</si>
  <si>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</si>
  <si>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</si>
  <si>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</si>
  <si>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</si>
  <si>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</si>
  <si>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</si>
  <si>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</si>
  <si>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</si>
  <si>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</si>
  <si>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</si>
  <si>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</si>
  <si>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</si>
  <si>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</si>
  <si>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</si>
  <si>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</si>
  <si>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</si>
  <si>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</si>
  <si>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</si>
  <si>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</si>
  <si>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</si>
  <si>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</si>
  <si>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</si>
  <si>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</si>
  <si>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</si>
  <si>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</si>
  <si>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</si>
  <si>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</si>
  <si>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</si>
  <si>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</si>
  <si>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</si>
  <si>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</si>
  <si>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</si>
  <si>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</si>
  <si>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</si>
  <si>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</si>
  <si>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</si>
  <si>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</si>
  <si>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</si>
  <si>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</si>
  <si>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</si>
  <si>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</si>
  <si>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</si>
  <si>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</si>
  <si>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</si>
  <si>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</si>
  <si>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</si>
  <si>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</si>
  <si>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</si>
  <si>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</si>
  <si>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</si>
  <si>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</si>
  <si>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</si>
  <si>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</si>
  <si>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</si>
  <si>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</si>
  <si>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</si>
  <si>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</si>
  <si>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</si>
  <si>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</si>
  <si>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</si>
  <si>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</si>
  <si>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</si>
  <si>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</si>
  <si>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</si>
  <si>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</si>
  <si>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</si>
  <si>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</si>
  <si>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</si>
  <si>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</si>
  <si>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</si>
  <si>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</si>
  <si>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</si>
  <si>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</si>
  <si>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</si>
  <si>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</si>
  <si>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</si>
  <si>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</si>
  <si>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</si>
  <si>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</si>
  <si>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</si>
  <si>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</si>
  <si>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</si>
  <si>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</si>
  <si>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</si>
  <si>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</si>
  <si>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2 caminhões basculantes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</si>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</sst>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23" sqref="K23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44921362</v>
      </c>
      <c r="D35" s="13">
        <f>IFERROR(SUM(D4:D34),"")</f>
        <v>16580590</v>
      </c>
      <c r="E35" s="13">
        <f>IFERROR(SUM(E4:E34),"")</f>
        <v>11207280</v>
      </c>
      <c r="F35" s="13">
        <f>IFERROR(SUM(F4:F34),"")</f>
        <v>20941020</v>
      </c>
      <c r="G35" s="13">
        <f>IFERROR(SUM(G4:G34),"")</f>
        <v>48728890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1" activePane="bottomLeft" state="frozen"/>
      <selection pane="bottomLeft" activeCell="F419" sqref="F41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243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244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245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246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221</v>
      </c>
      <c r="G433" s="40">
        <f>G419+G432</f>
        <v>1105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F419" sqref="F41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273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275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276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277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278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0.52638518518506316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0.68402407407395205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0.79374629629617421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262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279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280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139</v>
      </c>
      <c r="G433" s="40">
        <f>G419+G432</f>
        <v>596.60000000000014</v>
      </c>
      <c r="H433" s="41"/>
      <c r="I433" s="41"/>
      <c r="J433" s="41"/>
      <c r="K433" s="41"/>
      <c r="L433" s="41"/>
      <c r="M433" s="42">
        <f ca="1">IFERROR(M419+M432,"")</f>
        <v>0.14513888888888887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6" zoomScale="50" zoomScaleNormal="50" workbookViewId="0">
      <selection activeCell="F419" sqref="F41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261</v>
      </c>
      <c r="K141" s="29">
        <v>0.71597222222222223</v>
      </c>
      <c r="L141" s="29" t="s">
        <v>288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290</v>
      </c>
      <c r="N166" s="27" t="s">
        <v>291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61</v>
      </c>
      <c r="G433" s="40">
        <f>G419+G432</f>
        <v>260.2</v>
      </c>
      <c r="H433" s="41"/>
      <c r="I433" s="41"/>
      <c r="J433" s="41"/>
      <c r="K433" s="41"/>
      <c r="L433" s="41"/>
      <c r="M433" s="42">
        <f ca="1">IFERROR(M419+M432,"")</f>
        <v>9.1666666666666674E-2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88" activePane="bottomLeft" state="frozen"/>
      <selection pane="bottomLeft" activeCell="E418" sqref="E41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305</v>
      </c>
      <c r="L58" s="29">
        <v>0.54097222222222219</v>
      </c>
      <c r="M58" s="30" t="str">
        <f t="shared" ca="1" si="13"/>
        <v/>
      </c>
      <c r="N58" s="27" t="s">
        <v>306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0.51666296296752989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0.71596851852308552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1.0833296296341965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326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256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285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328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330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317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331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332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114</v>
      </c>
      <c r="G433" s="40">
        <f>G419+G432</f>
        <v>482</v>
      </c>
      <c r="H433" s="41"/>
      <c r="I433" s="41"/>
      <c r="J433" s="41"/>
      <c r="K433" s="63"/>
      <c r="L433" s="63"/>
      <c r="M433" s="42">
        <f ca="1">IFERROR(M419+M432,"")</f>
        <v>0.23402777777777778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2026-07-16T22:23:17Z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