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79" documentId="8_{C51EB6CB-002B-4D6B-B68F-DDEBDB4460C0}" xr6:coauthVersionLast="47" xr6:coauthVersionMax="47" xr10:uidLastSave="{AF8C1726-ECDE-4C4E-8887-B58EA27BBDC6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<sst xmlns="http://schemas.openxmlformats.org/spreadsheetml/2006/main" count="5034" uniqueCount="323">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</sst>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1" activePane="bottomLeft" state="frozen"/>
      <selection pane="bottomLeft" activeCell="F258" sqref="F2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/>
      <c r="G258" s="34" t="str">
        <f t="shared" ref="G258:G269" si="57">IF(F258="","",IF(E258="PC 17",F258*4.2,IF(E258="PC 19",F258*5,IF(E258="CB",F258*35,""))))</f>
        <v/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/>
      <c r="M258" s="30">
        <f t="shared" ref="M258:M269" ca="1" si="58">IFERROR(IF(K258="","",IF(L258="",MOD(NOW()-K258,1),IF(L258&gt;=K258,L258-K258,L258+1-K258))),"")</f>
        <v>2.474305554642342E-3</v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2.474305554642342E-3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5.8029861110197922E-2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42" activePane="bottomLeft" state="frozen"/>
      <selection pane="bottomLeft" activeCell="O258" sqref="O2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0.67747430555027677</v>
      </c>
      <c r="N53" s="46" t="s">
        <v>264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0.81636319443916561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0.90108541666138797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266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267</v>
      </c>
      <c r="M96" s="30" t="str">
        <f t="shared" ref="M96:M107" ca="1" si="22">IFERROR(IF(K96="","",IF(L96="",MOD(NOW()-K96,1),IF(L96&gt;=K96,L96-K96,L96+1-K96))),"")</f>
        <v/>
      </c>
      <c r="N96" s="46" t="s">
        <v>268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276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277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278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271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265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279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280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281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183</v>
      </c>
      <c r="G271" s="40">
        <f>G257+G270</f>
        <v>825.4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35" zoomScale="50" zoomScaleNormal="50" workbookViewId="0">
      <selection activeCell="E263" sqref="E2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277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295</v>
      </c>
      <c r="M222" s="30" t="str">
        <f t="shared" ca="1" si="49"/>
        <v/>
      </c>
      <c r="N222" s="27" t="s">
        <v>296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/>
      <c r="G259" s="28" t="str">
        <f>IF(F259="","",IF(E260="PC 17",F259*4.2,IF(E260="PC 19",F259*5,IF(E260="CB",F259*24,""))))</f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/>
      <c r="G260" s="34" t="str">
        <f>IF(F260="","",IF(#REF!="PC 17",F260*4.2,IF(#REF!="PC 19",F260*5,IF(#REF!="CB",F260*24,""))))</f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113</v>
      </c>
      <c r="G271" s="40">
        <f>G257+G270</f>
        <v>512.20000000000005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58" sqref="F2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289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/>
      <c r="G258" s="34" t="str">
        <f t="shared" ref="G258:G269" si="57">IF(F258="","",IF(E258="PC 17",F258*4.2,IF(E258="PC 19",F258*5,IF(E258="CB",F258*24,""))))</f>
        <v/>
      </c>
      <c r="H258" s="26" t="s">
        <v>20</v>
      </c>
      <c r="I258" s="26" t="s">
        <v>52</v>
      </c>
      <c r="J258" s="26" t="s">
        <v>56</v>
      </c>
      <c r="K258" s="29">
        <v>0.79722222222222228</v>
      </c>
      <c r="L258" s="29"/>
      <c r="M258" s="35">
        <f t="shared" ref="M258:M269" ca="1" si="58">IFERROR(IF(K258="","",IF(L258="",MOD(NOW()-K258,1),IF(L258&gt;=K258,L258-K258,L258+1-K258))),"")</f>
        <v>1.7798611079342663E-3</v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1.7798611079342663E-3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182</v>
      </c>
      <c r="G271" s="40">
        <f>G257+G270</f>
        <v>822.80000000000007</v>
      </c>
      <c r="H271" s="41"/>
      <c r="I271" s="41"/>
      <c r="J271" s="41"/>
      <c r="K271" s="63"/>
      <c r="L271" s="63"/>
      <c r="M271" s="42">
        <f ca="1">IFERROR(M257+M270,"")</f>
        <v>9.3446527774600996E-2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2026-08-10T23:10:35Z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