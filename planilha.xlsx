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11" documentId="8_{AF585B22-221D-4780-BB9C-493D365A6A02}" xr6:coauthVersionLast="47" xr6:coauthVersionMax="47" xr10:uidLastSave="{5BAD9782-1A30-41BB-8C34-C297DED702E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<sst xmlns="http://schemas.openxmlformats.org/spreadsheetml/2006/main" count="6133" uniqueCount="315">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</sst>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46" activePane="bottomLeft" state="frozen"/>
      <selection pane="bottomLeft" activeCell="F374" sqref="F3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106</v>
      </c>
      <c r="G378" s="36">
        <f>SUM(G366:G377)</f>
        <v>530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381</v>
      </c>
      <c r="G379" s="40">
        <f>G365+G378</f>
        <v>1905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J373" sqref="J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79</v>
      </c>
      <c r="G378" s="36">
        <f>SUM(G366:G377)</f>
        <v>331.8</v>
      </c>
      <c r="H378" s="37"/>
      <c r="I378" s="37"/>
      <c r="J378" s="37"/>
      <c r="K378" s="37"/>
      <c r="L378" s="37"/>
      <c r="M378" s="38">
        <f ca="1">IFERROR(SUM(M366:M377),"")</f>
        <v>0.10555555555555556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237</v>
      </c>
      <c r="G379" s="40">
        <f>G365+G378</f>
        <v>995.40000000000009</v>
      </c>
      <c r="H379" s="41"/>
      <c r="I379" s="41"/>
      <c r="J379" s="41"/>
      <c r="K379" s="41"/>
      <c r="L379" s="41"/>
      <c r="M379" s="42">
        <f ca="1">IFERROR(M365+M378,"")</f>
        <v>0.21527777777777773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3" sqref="F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80</v>
      </c>
      <c r="G378" s="36">
        <f>SUM(G366:G377)</f>
        <v>336.00000000000006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89</v>
      </c>
      <c r="G379" s="40">
        <f>G365+G378</f>
        <v>373.80000000000007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I374" sqref="I3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0.87596030093118316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1.0752658564867388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1.4426269675978498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 t="s">
        <v>52</v>
      </c>
      <c r="J374" s="26"/>
      <c r="K374" s="29">
        <v>0.12013888888888889</v>
      </c>
      <c r="L374" s="29"/>
      <c r="M374" s="30">
        <f t="shared" ca="1" si="82"/>
        <v>5.1269675968796946E-3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122</v>
      </c>
      <c r="G378" s="36">
        <f>SUM(G366:G377)</f>
        <v>512.4</v>
      </c>
      <c r="H378" s="37"/>
      <c r="I378" s="37"/>
      <c r="J378" s="37"/>
      <c r="K378" s="61"/>
      <c r="L378" s="61"/>
      <c r="M378" s="38">
        <f ca="1">IFERROR(SUM(M366:M377),"")</f>
        <v>4.7488078707990905E-2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247</v>
      </c>
      <c r="G379" s="40">
        <f>G365+G378</f>
        <v>1037.4000000000001</v>
      </c>
      <c r="H379" s="41"/>
      <c r="I379" s="41"/>
      <c r="J379" s="41"/>
      <c r="K379" s="63"/>
      <c r="L379" s="63"/>
      <c r="M379" s="42">
        <f ca="1">IFERROR(M365+M378,"")</f>
        <v>0.15234918981910209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2026-07-15T07:00:53Z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