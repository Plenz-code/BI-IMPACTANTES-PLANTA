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15" documentId="8_{C51EB6CB-002B-4D6B-B68F-DDEBDB4460C0}" xr6:coauthVersionLast="47" xr6:coauthVersionMax="47" xr10:uidLastSave="{AC17CE26-F5D8-4725-B211-9B6AD1CF26E8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<sst xmlns="http://schemas.openxmlformats.org/spreadsheetml/2006/main" count="2450" uniqueCount="261">
  <si>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</si>
  <si>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</si>
  <si>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</si>
  <si>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</si>
  <si>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</si>
  <si>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</si>
  <si>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</si>
  <si>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</si>
  <si>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</si>
  <si>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</si>
  <si>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</si>
  <si>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</si>
  <si>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</si>
  <si>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</si>
  <si>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</si>
  <si>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</si>
  <si>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</si>
  <si>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</si>
  <si>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</si>
  <si>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</si>
  <si>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</si>
  <si>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</si>
  <si>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</si>
  <si>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</si>
  <si>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</si>
  <si>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</si>
  <si>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</si>
  <si>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</si>
  <si>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</si>
  <si>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</si>
  <si>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</si>
  <si>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</si>
  <si>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</si>
  <si>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</si>
  <si>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</si>
  <si>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</si>
  <si>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</si>
  <si>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</si>
  <si>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</si>
  <si>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</si>
  <si>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</si>
  <si>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</si>
  <si>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</si>
  <si>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</si>
  <si>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</si>
  <si>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</si>
  <si>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</si>
  <si>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</si>
  <si>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</si>
  <si>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</si>
  <si>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</si>
  <si>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</si>
  <si>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</si>
  <si>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</si>
  <si>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</si>
  <si>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</si>
  <si>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</si>
  <si>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</si>
  <si>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</si>
  <si>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</si>
  <si>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</si>
  <si>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</si>
  <si>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</si>
  <si>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</si>
  <si>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</si>
  <si>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</si>
  <si>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</si>
  <si>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</si>
  <si>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</si>
  <si>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</si>
  <si>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</si>
  <si>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</si>
  <si>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</si>
  <si>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</si>
  <si>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</si>
  <si>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</si>
  <si>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</si>
  <si>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</si>
  <si>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</si>
  <si>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</si>
  <si>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</si>
  <si>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</si>
  <si>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</si>
  <si>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</si>
  <si>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</si>
  <si>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</si>
  <si>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</si>
  <si>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</si>
  <si>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</si>
  <si>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</si>
  <si>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</si>
  <si>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</si>
  <si>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</si>
  <si>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</si>
  <si>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</si>
  <si>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</si>
  <si>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</si>
  <si>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</si>
  <si>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</si>
  <si>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</si>
  <si>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</si>
  <si>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</si>
  <si>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</si>
  <si>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</si>
  <si>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</si>
  <si>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</si>
  <si>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</si>
  <si>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</si>
  <si>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</si>
  <si>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</si>
  <si>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</si>
  <si>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</si>
  <si>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</si>
  <si>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</si>
  <si>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</si>
  <si>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</si>
  <si>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</si>
  <si>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</si>
  <si>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</si>
  <si>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</si>
  <si>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</si>
  <si>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</si>
  <si>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</si>
  <si>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</si>
  <si>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</si>
  <si>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</si>
  <si>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</si>
  <si>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</si>
  <si>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</si>
  <si>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</si>
  <si>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</si>
  <si>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</si>
  <si>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</si>
  <si>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</si>
  <si>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</si>
  <si>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</si>
  <si>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</si>
  <si>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</si>
  <si>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</si>
  <si>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</si>
  <si>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</si>
  <si>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</si>
  <si>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</si>
  <si>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</si>
  <si>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</si>
  <si>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</si>
  <si>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</si>
  <si>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</si>
  <si>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</si>
  <si>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</si>
  <si>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</si>
  <si>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</si>
  <si>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</si>
  <si>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</si>
  <si>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</si>
  <si>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</si>
  <si>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</si>
  <si>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</si>
  <si>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</si>
  <si>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</si>
  <si>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</si>
  <si>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</si>
  <si>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</si>
  <si>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</si>
  <si>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</si>
  <si>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</si>
  <si>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</si>
  <si>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</si>
  <si>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</si>
  <si>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</si>
  <si>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</si>
  <si>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</si>
  <si>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</si>
  <si>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</si>
  <si>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</si>
  <si>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</si>
  <si>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</si>
  <si>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</si>
  <si>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</si>
  <si>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</si>
  <si>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</si>
  <si>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</si>
  <si>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</si>
  <si>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</si>
  <si>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</si>
  <si>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</si>
  <si>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</si>
  <si>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</si>
  <si>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</si>
  <si>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</si>
  <si>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</si>
  <si>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</si>
  <si>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</si>
  <si>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</si>
  <si>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</si>
  <si>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</si>
  <si>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</si>
  <si>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</si>
  <si>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</si>
  <si>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</si>
  <si>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</si>
  <si>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</si>
  <si>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</si>
  <si>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</si>
  <si>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</si>
  <si>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</si>
  <si>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</si>
  <si>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</si>
  <si>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</si>
  <si>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</si>
  <si>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</si>
  <si>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</si>
  <si>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</si>
  <si>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</si>
  <si>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</si>
  <si>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</si>
  <si>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</si>
  <si>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</si>
  <si>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</si>
  <si>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</si>
  <si>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</si>
  <si>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</si>
  <si>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</si>
  <si>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</si>
  <si>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</si>
  <si>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</si>
  <si>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</si>
  <si>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</si>
  <si>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</si>
  <si>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</si>
  <si>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</si>
  <si>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</si>
  <si>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</si>
  <si>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</si>
  <si>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</si>
  <si>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</si>
  <si>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</si>
  <si>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</si>
  <si>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</si>
  <si>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</si>
  <si>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</si>
  <si>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</si>
  <si>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</si>
  <si>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</si>
  <si>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</si>
  <si>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</si>
  <si>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</si>
  <si>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</si>
  <si>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</si>
  <si>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</si>
  <si>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solda no queixo</t>
  </si>
  <si>
    <t>sem material no estoque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</si>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</sst>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 t="shared" si="0"/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7779405</v>
      </c>
      <c r="D35" s="13">
        <f>IFERROR(SUM(D4:D34),"")</f>
        <v>2894080</v>
      </c>
      <c r="E35" s="13">
        <f>IFERROR(SUM(E4:E34),"")</f>
        <v>1608880</v>
      </c>
      <c r="F35" s="13">
        <f>IFERROR(SUM(F4:F34),"")</f>
        <v>3261670</v>
      </c>
      <c r="G35" s="13">
        <f>IFERROR(SUM(G4:G34),"")</f>
        <v>7764630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63" activePane="bottomLeft" state="frozen"/>
      <selection pane="bottomLeft" activeCell="F84" sqref="F8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35</v>
      </c>
      <c r="G95" s="36">
        <f>SUM(G83:G94)</f>
        <v>175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35</v>
      </c>
      <c r="G109" s="40">
        <f>G95+G108</f>
        <v>175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L76" sqref="L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238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238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238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238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238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238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238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238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238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238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238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238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238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238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238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238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238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238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238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238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238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238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238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238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238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238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238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238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0.21361678240646143</v>
      </c>
      <c r="N53" s="46" t="s">
        <v>247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0.35250567129535032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0.43722789351757263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238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238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238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238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238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238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239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238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238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238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238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238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238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238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238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238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238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238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249</v>
      </c>
      <c r="E83" s="59" t="s">
        <v>238</v>
      </c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54" zoomScale="50" zoomScaleNormal="50" workbookViewId="0">
      <selection activeCell="J83" sqref="J8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238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238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238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238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238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238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238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238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238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238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238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238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238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238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238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238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238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238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238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238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238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238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238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238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238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238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238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238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238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238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238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238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238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238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238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238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238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238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238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238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238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238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238</v>
      </c>
      <c r="F83" s="27"/>
      <c r="G83" s="28" t="str">
        <f t="shared" ref="G83:G94" si="18">IF(F83="","",IF(E83="PC 17",F83*4.2,IF(E83="PC 19",F83*5,IF(E83="CB",F83*24,""))))</f>
        <v/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/>
      <c r="M83" s="35">
        <f t="shared" ref="M83:M94" ca="1" si="19">IFERROR(IF(K83="","",IF(L83="",MOD(NOW()-K83,1),IF(L83&gt;=K83,L83-K83,L83+1-K83))),"")</f>
        <v>3.8945601845625788E-3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3.8945601845625788E-3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3.8945601845625788E-3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65" activePane="bottomLeft" state="frozen"/>
      <selection pane="bottomLeft" activeCell="F83" sqref="F8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238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238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238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238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238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238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238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238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238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238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238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238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238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238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238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238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238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238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238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238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238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257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238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238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238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238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238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238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238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238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238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258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238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259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238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238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238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238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238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260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238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238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238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238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238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238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238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238</v>
      </c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2026-08-04T12:04:38Z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