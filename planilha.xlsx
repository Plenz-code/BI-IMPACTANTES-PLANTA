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64" documentId="13_ncr:1_{0A10D8D4-8450-4366-8075-B53B08E6B7EA}" xr6:coauthVersionLast="47" xr6:coauthVersionMax="47" xr10:uidLastSave="{E341BF11-C0B3-48AC-9F54-AAC6DAD2D4E6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18" i="5"/>
  <c r="J418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18" i="4"/>
  <c r="J41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H417" i="6" s="1"/>
  <c r="J417" i="6" s="1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H417" i="5" s="1"/>
  <c r="J417" i="5" s="1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H417" i="4" s="1"/>
  <c r="J417" i="4" s="1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15" i="6" l="1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<sst xmlns="http://schemas.openxmlformats.org/spreadsheetml/2006/main" count="7142" uniqueCount="356">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</sst>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sqref="A1:K1"/>
    </sheetView>
  </sheetViews>
  <sheetFormatPr defaultColWidth="8.54296875" defaultRowHeight="14.5" x14ac:dyDescent="0.35"/>
  <cols>
    <col min="1" max="1" width="17.54296875" customWidth="1"/>
    <col min="2" max="2" width="21" style="69" customWidth="1"/>
    <col min="3" max="3" width="19.54296875" customWidth="1"/>
    <col min="4" max="4" width="23.54296875" customWidth="1"/>
    <col min="5" max="5" width="26" customWidth="1"/>
    <col min="6" max="6" width="26.453125" customWidth="1"/>
    <col min="7" max="7" width="8.54296875" customWidth="1"/>
    <col min="8" max="8" width="19" hidden="1" customWidth="1"/>
    <col min="9" max="9" width="18.54296875" hidden="1" customWidth="1"/>
    <col min="10" max="10" width="13.1796875" hidden="1" customWidth="1"/>
    <col min="11" max="11" width="22.1796875" hidden="1" customWidth="1"/>
    <col min="12" max="12" width="8.54296875" customWidth="1"/>
  </cols>
  <sheetData>
    <row r="1" spans="1:11" ht="31.5" customHeight="1" x14ac:dyDescent="0.35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 x14ac:dyDescent="0.35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 x14ac:dyDescent="0.35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 x14ac:dyDescent="0.35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 x14ac:dyDescent="0.35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 x14ac:dyDescent="0.35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 x14ac:dyDescent="0.35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 x14ac:dyDescent="0.35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 x14ac:dyDescent="0.35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 x14ac:dyDescent="0.35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 x14ac:dyDescent="0.35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 x14ac:dyDescent="0.35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 x14ac:dyDescent="0.35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 x14ac:dyDescent="0.35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 x14ac:dyDescent="0.35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 x14ac:dyDescent="0.35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 x14ac:dyDescent="0.35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 x14ac:dyDescent="0.35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 x14ac:dyDescent="0.35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 x14ac:dyDescent="0.35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 x14ac:dyDescent="0.35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 x14ac:dyDescent="0.35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 x14ac:dyDescent="0.35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 x14ac:dyDescent="0.35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 x14ac:dyDescent="0.35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 x14ac:dyDescent="0.35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 x14ac:dyDescent="0.35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 x14ac:dyDescent="0.35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 x14ac:dyDescent="0.35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 x14ac:dyDescent="0.35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 x14ac:dyDescent="0.35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 x14ac:dyDescent="0.35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 x14ac:dyDescent="0.35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 x14ac:dyDescent="0.35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 x14ac:dyDescent="0.35">
      <c r="A35" s="163" t="s">
        <v>14</v>
      </c>
      <c r="B35" s="163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4296875" defaultRowHeight="14.5" x14ac:dyDescent="0.35"/>
  <cols>
    <col min="1" max="1" width="14" customWidth="1"/>
    <col min="2" max="2" width="2" customWidth="1"/>
    <col min="3" max="3" width="26.453125" customWidth="1"/>
    <col min="4" max="4" width="2" customWidth="1"/>
    <col min="5" max="5" width="17.54296875" customWidth="1"/>
    <col min="6" max="6" width="2" customWidth="1"/>
    <col min="7" max="7" width="17.5429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796875" customWidth="1"/>
    <col min="15" max="15" width="45.453125" customWidth="1"/>
    <col min="16" max="16" width="42.1796875" customWidth="1"/>
    <col min="17" max="17" width="36" customWidth="1"/>
    <col min="18" max="18" width="45.81640625" customWidth="1"/>
  </cols>
  <sheetData>
    <row r="1" spans="1:18" ht="27.75" customHeight="1" x14ac:dyDescent="0.35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 x14ac:dyDescent="0.35">
      <c r="M2" s="167"/>
    </row>
    <row r="3" spans="1:18" ht="26.15" customHeight="1" x14ac:dyDescent="0.35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 x14ac:dyDescent="0.35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 x14ac:dyDescent="0.35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 x14ac:dyDescent="0.35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 x14ac:dyDescent="0.35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 x14ac:dyDescent="0.35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 x14ac:dyDescent="0.35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 x14ac:dyDescent="0.35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 x14ac:dyDescent="0.35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 x14ac:dyDescent="0.35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 x14ac:dyDescent="0.35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 x14ac:dyDescent="0.35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 x14ac:dyDescent="0.35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 x14ac:dyDescent="0.35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 x14ac:dyDescent="0.35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 x14ac:dyDescent="0.35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 x14ac:dyDescent="0.35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 x14ac:dyDescent="0.35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 x14ac:dyDescent="0.35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 x14ac:dyDescent="0.35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 x14ac:dyDescent="0.35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 x14ac:dyDescent="0.35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 x14ac:dyDescent="0.35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 x14ac:dyDescent="0.35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 x14ac:dyDescent="0.35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 x14ac:dyDescent="0.35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 x14ac:dyDescent="0.35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 x14ac:dyDescent="0.35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 x14ac:dyDescent="0.35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 x14ac:dyDescent="0.35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 x14ac:dyDescent="0.35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 x14ac:dyDescent="0.35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 x14ac:dyDescent="0.35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 x14ac:dyDescent="0.35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 x14ac:dyDescent="0.35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 x14ac:dyDescent="0.35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 x14ac:dyDescent="0.35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 x14ac:dyDescent="0.35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 x14ac:dyDescent="0.35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 x14ac:dyDescent="0.35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 x14ac:dyDescent="0.35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 x14ac:dyDescent="0.35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 x14ac:dyDescent="0.35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 x14ac:dyDescent="0.35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 x14ac:dyDescent="0.35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 x14ac:dyDescent="0.35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 x14ac:dyDescent="0.35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 x14ac:dyDescent="0.35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 x14ac:dyDescent="0.35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 x14ac:dyDescent="0.35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 x14ac:dyDescent="0.35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 x14ac:dyDescent="0.35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 x14ac:dyDescent="0.35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 x14ac:dyDescent="0.35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 x14ac:dyDescent="0.35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 x14ac:dyDescent="0.35">
      <c r="M58" s="167"/>
      <c r="N58" s="16"/>
      <c r="O58" s="16"/>
      <c r="P58" s="16" t="s">
        <v>216</v>
      </c>
      <c r="Q58" s="16"/>
      <c r="R58" s="16"/>
    </row>
    <row r="59" spans="1:18" ht="15" customHeight="1" x14ac:dyDescent="0.35">
      <c r="M59" s="167"/>
      <c r="N59" s="17"/>
      <c r="O59" s="17"/>
      <c r="P59" s="17" t="s">
        <v>217</v>
      </c>
      <c r="Q59" s="17"/>
      <c r="R59" s="17"/>
    </row>
    <row r="60" spans="1:18" ht="15" customHeight="1" x14ac:dyDescent="0.35">
      <c r="M60" s="167"/>
      <c r="N60" s="16"/>
      <c r="O60" s="16"/>
      <c r="P60" s="77" t="s">
        <v>112</v>
      </c>
      <c r="Q60" s="16"/>
      <c r="R60" s="16"/>
    </row>
    <row r="61" spans="1:18" ht="15" customHeight="1" x14ac:dyDescent="0.35">
      <c r="M61" s="167"/>
      <c r="N61" s="17"/>
      <c r="O61" s="17"/>
      <c r="P61" s="17" t="s">
        <v>218</v>
      </c>
      <c r="Q61" s="17"/>
      <c r="R61" s="17"/>
    </row>
    <row r="62" spans="1:18" ht="15" customHeight="1" x14ac:dyDescent="0.35">
      <c r="M62" s="167"/>
      <c r="N62" s="16"/>
      <c r="O62" s="16"/>
      <c r="P62" s="16" t="s">
        <v>219</v>
      </c>
      <c r="Q62" s="16"/>
      <c r="R62" s="16"/>
    </row>
    <row r="63" spans="1:18" ht="15" customHeight="1" x14ac:dyDescent="0.35">
      <c r="M63" s="167"/>
      <c r="N63" s="17"/>
      <c r="O63" s="17"/>
      <c r="P63" s="17" t="s">
        <v>220</v>
      </c>
      <c r="Q63" s="17"/>
      <c r="R63" s="17"/>
    </row>
    <row r="64" spans="1:18" ht="15" customHeight="1" x14ac:dyDescent="0.35">
      <c r="M64" s="167"/>
      <c r="N64" s="16"/>
      <c r="O64" s="16"/>
      <c r="P64" s="16" t="s">
        <v>221</v>
      </c>
      <c r="Q64" s="16"/>
      <c r="R64" s="16"/>
    </row>
    <row r="65" spans="13:18" ht="15" customHeight="1" x14ac:dyDescent="0.35">
      <c r="M65" s="167"/>
      <c r="N65" s="17"/>
      <c r="O65" s="17"/>
      <c r="P65" s="17" t="s">
        <v>222</v>
      </c>
      <c r="Q65" s="17"/>
      <c r="R65" s="17"/>
    </row>
    <row r="66" spans="13:18" ht="15" customHeight="1" x14ac:dyDescent="0.35">
      <c r="M66" s="167"/>
      <c r="N66" s="16"/>
      <c r="O66" s="16"/>
      <c r="P66" s="16" t="s">
        <v>223</v>
      </c>
      <c r="Q66" s="16"/>
      <c r="R66" s="16"/>
    </row>
    <row r="67" spans="13:18" ht="15" customHeight="1" x14ac:dyDescent="0.35">
      <c r="M67" s="167"/>
      <c r="N67" s="17"/>
      <c r="O67" s="17"/>
      <c r="P67" s="17" t="s">
        <v>224</v>
      </c>
      <c r="Q67" s="17"/>
      <c r="R67" s="17"/>
    </row>
    <row r="68" spans="13:18" ht="15" customHeight="1" x14ac:dyDescent="0.35">
      <c r="M68" s="167"/>
      <c r="N68" s="16"/>
      <c r="O68" s="16"/>
      <c r="P68" s="16" t="s">
        <v>225</v>
      </c>
      <c r="Q68" s="16"/>
      <c r="R68" s="16"/>
    </row>
    <row r="69" spans="13:18" ht="15" customHeight="1" x14ac:dyDescent="0.35">
      <c r="M69" s="167"/>
      <c r="N69" s="17"/>
      <c r="O69" s="17"/>
      <c r="P69" s="17" t="s">
        <v>226</v>
      </c>
      <c r="Q69" s="17"/>
      <c r="R69" s="17"/>
    </row>
    <row r="70" spans="13:18" ht="15" customHeight="1" x14ac:dyDescent="0.35">
      <c r="M70" s="167"/>
      <c r="N70" s="16"/>
      <c r="O70" s="16"/>
      <c r="P70" s="16" t="s">
        <v>227</v>
      </c>
      <c r="Q70" s="16"/>
      <c r="R70" s="16"/>
    </row>
    <row r="71" spans="13:18" ht="15" customHeight="1" x14ac:dyDescent="0.35">
      <c r="M71" s="167"/>
      <c r="N71" s="17"/>
      <c r="O71" s="17"/>
      <c r="P71" s="17" t="s">
        <v>228</v>
      </c>
      <c r="Q71" s="17"/>
      <c r="R71" s="17"/>
    </row>
    <row r="72" spans="13:18" ht="15" customHeight="1" x14ac:dyDescent="0.35">
      <c r="M72" s="167"/>
      <c r="N72" s="16"/>
      <c r="O72" s="16"/>
      <c r="P72" s="16" t="s">
        <v>229</v>
      </c>
      <c r="Q72" s="16"/>
      <c r="R72" s="16"/>
    </row>
    <row r="73" spans="13:18" ht="15" customHeight="1" x14ac:dyDescent="0.35">
      <c r="M73" s="167"/>
      <c r="N73" s="17"/>
      <c r="O73" s="17"/>
      <c r="P73" s="17" t="s">
        <v>230</v>
      </c>
      <c r="Q73" s="17"/>
      <c r="R73" s="17"/>
    </row>
    <row r="74" spans="13:18" ht="15" customHeight="1" x14ac:dyDescent="0.35">
      <c r="M74" s="167"/>
      <c r="N74" s="16"/>
      <c r="O74" s="16"/>
      <c r="P74" s="16" t="s">
        <v>231</v>
      </c>
      <c r="Q74" s="16"/>
      <c r="R74" s="16"/>
    </row>
    <row r="75" spans="13:18" ht="15" customHeight="1" x14ac:dyDescent="0.35">
      <c r="M75" s="167"/>
      <c r="N75" s="17"/>
      <c r="O75" s="17"/>
      <c r="P75" s="17" t="s">
        <v>232</v>
      </c>
      <c r="Q75" s="17"/>
      <c r="R75" s="17"/>
    </row>
    <row r="76" spans="13:18" ht="15" customHeight="1" x14ac:dyDescent="0.35"/>
    <row r="77" spans="13:18" ht="15" customHeight="1" x14ac:dyDescent="0.35"/>
    <row r="78" spans="13:18" ht="15" customHeight="1" x14ac:dyDescent="0.35"/>
    <row r="79" spans="13:18" ht="15" customHeight="1" x14ac:dyDescent="0.35"/>
    <row r="80" spans="13:18" ht="15" customHeight="1" x14ac:dyDescent="0.35"/>
    <row r="81" ht="15" customHeight="1" x14ac:dyDescent="0.35"/>
    <row r="82" ht="15" customHeight="1" x14ac:dyDescent="0.35"/>
    <row r="83" ht="15" customHeight="1" x14ac:dyDescent="0.35"/>
    <row r="84" ht="15" customHeight="1" x14ac:dyDescent="0.35"/>
    <row r="85" ht="15" customHeight="1" x14ac:dyDescent="0.35"/>
    <row r="86" ht="15" customHeight="1" x14ac:dyDescent="0.35"/>
    <row r="87" ht="15" customHeight="1" x14ac:dyDescent="0.35"/>
    <row r="88" ht="15" customHeight="1" x14ac:dyDescent="0.35"/>
    <row r="89" ht="15" customHeight="1" x14ac:dyDescent="0.35"/>
    <row r="90" ht="15" customHeight="1" x14ac:dyDescent="0.35"/>
    <row r="91" ht="15" customHeight="1" x14ac:dyDescent="0.35"/>
    <row r="92" ht="15" customHeight="1" x14ac:dyDescent="0.35"/>
    <row r="93" ht="15" customHeight="1" x14ac:dyDescent="0.35"/>
    <row r="94" ht="15" customHeight="1" x14ac:dyDescent="0.35"/>
    <row r="95" ht="15" customHeight="1" x14ac:dyDescent="0.35"/>
    <row r="96" ht="15" customHeight="1" x14ac:dyDescent="0.35"/>
    <row r="97" ht="15" customHeight="1" x14ac:dyDescent="0.35"/>
    <row r="98" ht="15" customHeight="1" x14ac:dyDescent="0.35"/>
    <row r="99" ht="15" customHeight="1" x14ac:dyDescent="0.35"/>
    <row r="100" ht="15" customHeight="1" x14ac:dyDescent="0.35"/>
    <row r="101" ht="15" customHeight="1" x14ac:dyDescent="0.35"/>
    <row r="102" ht="15" customHeight="1" x14ac:dyDescent="0.35"/>
    <row r="103" ht="15" customHeight="1" x14ac:dyDescent="0.35"/>
    <row r="104" ht="15" customHeight="1" x14ac:dyDescent="0.35"/>
    <row r="105" ht="15" customHeight="1" x14ac:dyDescent="0.35"/>
    <row r="106" ht="15" customHeight="1" x14ac:dyDescent="0.35"/>
    <row r="107" ht="15" customHeight="1" x14ac:dyDescent="0.35"/>
    <row r="108" ht="15" customHeight="1" x14ac:dyDescent="0.35"/>
    <row r="109" ht="15" customHeight="1" x14ac:dyDescent="0.35"/>
    <row r="110" ht="15" customHeight="1" x14ac:dyDescent="0.35"/>
    <row r="111" ht="15" customHeight="1" x14ac:dyDescent="0.35"/>
    <row r="112" ht="15" customHeight="1" x14ac:dyDescent="0.35"/>
    <row r="113" ht="15" customHeight="1" x14ac:dyDescent="0.3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2" activePane="bottomLeft" state="frozen"/>
      <selection sqref="A1:G409"/>
      <selection pane="bottomLeft" activeCell="F418" sqref="F418"/>
    </sheetView>
  </sheetViews>
  <sheetFormatPr defaultColWidth="8.54296875" defaultRowHeight="14.5" x14ac:dyDescent="0.3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1640625" style="20" customWidth="1"/>
    <col min="8" max="8" width="33.1796875" style="20" customWidth="1"/>
    <col min="9" max="9" width="23.453125" style="20" customWidth="1"/>
    <col min="10" max="10" width="43.1796875" style="20" customWidth="1"/>
    <col min="11" max="11" width="14" style="20" customWidth="1"/>
    <col min="12" max="12" width="13.1796875" style="21" customWidth="1"/>
    <col min="13" max="13" width="14" style="20" customWidth="1"/>
    <col min="14" max="14" width="37.26953125" style="20" customWidth="1"/>
    <col min="15" max="15" width="19.81640625" customWidth="1"/>
  </cols>
  <sheetData>
    <row r="1" spans="1:15" ht="37.5" customHeight="1" x14ac:dyDescent="0.3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 x14ac:dyDescent="0.35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35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35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5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5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5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5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5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5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5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5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5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5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 x14ac:dyDescent="0.35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3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35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 x14ac:dyDescent="0.35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5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5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5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5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5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5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5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5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5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 x14ac:dyDescent="0.35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 x14ac:dyDescent="0.35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3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 x14ac:dyDescent="0.35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 x14ac:dyDescent="0.35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5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5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5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5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5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5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5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5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5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 x14ac:dyDescent="0.35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 x14ac:dyDescent="0.3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35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35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35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35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35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5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5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5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5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5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5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 x14ac:dyDescent="0.35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 x14ac:dyDescent="0.35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3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35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5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 x14ac:dyDescent="0.35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3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 x14ac:dyDescent="0.3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5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5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5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 x14ac:dyDescent="0.35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 x14ac:dyDescent="0.35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3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3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 x14ac:dyDescent="0.3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5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 x14ac:dyDescent="0.35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 x14ac:dyDescent="0.3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5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 x14ac:dyDescent="0.35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 x14ac:dyDescent="0.35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3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5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 x14ac:dyDescent="0.35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5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5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5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 x14ac:dyDescent="0.35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 x14ac:dyDescent="0.35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 x14ac:dyDescent="0.3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3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3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3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5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45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 x14ac:dyDescent="0.35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3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 x14ac:dyDescent="0.3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3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3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3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45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 x14ac:dyDescent="0.35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 x14ac:dyDescent="0.35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 x14ac:dyDescent="0.3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3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5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 x14ac:dyDescent="0.35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 x14ac:dyDescent="0.3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5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 x14ac:dyDescent="0.35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 x14ac:dyDescent="0.35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3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3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 x14ac:dyDescent="0.3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5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 x14ac:dyDescent="0.35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5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 x14ac:dyDescent="0.35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 x14ac:dyDescent="0.35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3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3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 x14ac:dyDescent="0.3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3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3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3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3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3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35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 x14ac:dyDescent="0.35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3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3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3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3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3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3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3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3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3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5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 x14ac:dyDescent="0.35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 x14ac:dyDescent="0.35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3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3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 x14ac:dyDescent="0.35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 x14ac:dyDescent="0.3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5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 x14ac:dyDescent="0.35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 x14ac:dyDescent="0.35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 x14ac:dyDescent="0.35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 x14ac:dyDescent="0.35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 x14ac:dyDescent="0.35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 x14ac:dyDescent="0.35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 x14ac:dyDescent="0.35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 x14ac:dyDescent="0.35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 x14ac:dyDescent="0.35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 x14ac:dyDescent="0.35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 x14ac:dyDescent="0.35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 x14ac:dyDescent="0.35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 x14ac:dyDescent="0.35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 x14ac:dyDescent="0.35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 x14ac:dyDescent="0.35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35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 x14ac:dyDescent="0.35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 x14ac:dyDescent="0.35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 x14ac:dyDescent="0.35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 x14ac:dyDescent="0.35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 x14ac:dyDescent="0.35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 x14ac:dyDescent="0.35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 x14ac:dyDescent="0.35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 x14ac:dyDescent="0.35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 x14ac:dyDescent="0.35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 x14ac:dyDescent="0.35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 x14ac:dyDescent="0.35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 x14ac:dyDescent="0.35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 x14ac:dyDescent="0.35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 x14ac:dyDescent="0.35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 x14ac:dyDescent="0.35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 x14ac:dyDescent="0.35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 x14ac:dyDescent="0.35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 x14ac:dyDescent="0.35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 x14ac:dyDescent="0.35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 x14ac:dyDescent="0.35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 x14ac:dyDescent="0.35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 x14ac:dyDescent="0.35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 x14ac:dyDescent="0.35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 x14ac:dyDescent="0.35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 x14ac:dyDescent="0.35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 x14ac:dyDescent="0.35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 x14ac:dyDescent="0.35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 x14ac:dyDescent="0.35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 x14ac:dyDescent="0.35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 x14ac:dyDescent="0.35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 x14ac:dyDescent="0.35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 x14ac:dyDescent="0.35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 x14ac:dyDescent="0.35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 x14ac:dyDescent="0.35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 x14ac:dyDescent="0.35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 x14ac:dyDescent="0.35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 x14ac:dyDescent="0.35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 x14ac:dyDescent="0.35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 x14ac:dyDescent="0.35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 x14ac:dyDescent="0.35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 x14ac:dyDescent="0.35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 x14ac:dyDescent="0.35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 x14ac:dyDescent="0.35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 x14ac:dyDescent="0.35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 x14ac:dyDescent="0.35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 x14ac:dyDescent="0.35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 x14ac:dyDescent="0.35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 x14ac:dyDescent="0.35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 x14ac:dyDescent="0.35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 x14ac:dyDescent="0.35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 x14ac:dyDescent="0.35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 x14ac:dyDescent="0.35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 x14ac:dyDescent="0.35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 x14ac:dyDescent="0.35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 x14ac:dyDescent="0.35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 x14ac:dyDescent="0.35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 x14ac:dyDescent="0.35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 x14ac:dyDescent="0.35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 x14ac:dyDescent="0.35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 x14ac:dyDescent="0.35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 x14ac:dyDescent="0.35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 x14ac:dyDescent="0.35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 x14ac:dyDescent="0.35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 x14ac:dyDescent="0.35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 x14ac:dyDescent="0.35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 x14ac:dyDescent="0.35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 x14ac:dyDescent="0.35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 x14ac:dyDescent="0.35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 x14ac:dyDescent="0.35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 x14ac:dyDescent="0.35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 x14ac:dyDescent="0.35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 x14ac:dyDescent="0.35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 x14ac:dyDescent="0.35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 x14ac:dyDescent="0.35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 x14ac:dyDescent="0.35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 x14ac:dyDescent="0.35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 x14ac:dyDescent="0.35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 x14ac:dyDescent="0.35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 x14ac:dyDescent="0.35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 x14ac:dyDescent="0.35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 x14ac:dyDescent="0.35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 x14ac:dyDescent="0.35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 x14ac:dyDescent="0.35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 x14ac:dyDescent="0.35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 x14ac:dyDescent="0.35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 x14ac:dyDescent="0.35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 x14ac:dyDescent="0.35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 x14ac:dyDescent="0.35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 x14ac:dyDescent="0.35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 x14ac:dyDescent="0.35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 x14ac:dyDescent="0.35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 x14ac:dyDescent="0.35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 x14ac:dyDescent="0.35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 x14ac:dyDescent="0.35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 x14ac:dyDescent="0.35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 x14ac:dyDescent="0.35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 x14ac:dyDescent="0.35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 x14ac:dyDescent="0.35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 x14ac:dyDescent="0.35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 x14ac:dyDescent="0.35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 x14ac:dyDescent="0.35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 x14ac:dyDescent="0.35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 x14ac:dyDescent="0.35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 x14ac:dyDescent="0.35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 x14ac:dyDescent="0.35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 x14ac:dyDescent="0.35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 x14ac:dyDescent="0.35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 x14ac:dyDescent="0.35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 x14ac:dyDescent="0.35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 x14ac:dyDescent="0.35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 x14ac:dyDescent="0.35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 x14ac:dyDescent="0.35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 x14ac:dyDescent="0.35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 x14ac:dyDescent="0.35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 x14ac:dyDescent="0.35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 x14ac:dyDescent="0.35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 x14ac:dyDescent="0.35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 x14ac:dyDescent="0.35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 x14ac:dyDescent="0.35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 x14ac:dyDescent="0.35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 x14ac:dyDescent="0.35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 x14ac:dyDescent="0.35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 x14ac:dyDescent="0.35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 x14ac:dyDescent="0.35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 x14ac:dyDescent="0.35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 x14ac:dyDescent="0.35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 x14ac:dyDescent="0.35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 x14ac:dyDescent="0.35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 x14ac:dyDescent="0.35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 x14ac:dyDescent="0.35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 x14ac:dyDescent="0.35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 x14ac:dyDescent="0.35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 x14ac:dyDescent="0.35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 x14ac:dyDescent="0.35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 x14ac:dyDescent="0.35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 x14ac:dyDescent="0.35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 x14ac:dyDescent="0.35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 x14ac:dyDescent="0.35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 x14ac:dyDescent="0.35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 x14ac:dyDescent="0.35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 x14ac:dyDescent="0.35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 x14ac:dyDescent="0.35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 x14ac:dyDescent="0.35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 x14ac:dyDescent="0.35">
      <c r="A417" s="68">
        <v>46250</v>
      </c>
      <c r="B417" s="32">
        <f t="shared" si="87"/>
        <v>0.74999999999999956</v>
      </c>
      <c r="C417" s="33" t="s">
        <v>52</v>
      </c>
      <c r="D417" s="62" t="s">
        <v>29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 x14ac:dyDescent="0.35">
      <c r="A418" s="67">
        <v>46250</v>
      </c>
      <c r="B418" s="25">
        <f t="shared" si="87"/>
        <v>0.79166666666666619</v>
      </c>
      <c r="C418" s="33" t="s">
        <v>52</v>
      </c>
      <c r="D418" s="62" t="s">
        <v>29</v>
      </c>
      <c r="E418" s="62" t="s">
        <v>243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 x14ac:dyDescent="0.35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185</v>
      </c>
      <c r="G419" s="36">
        <f>SUM(G407:G418)</f>
        <v>925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/>
    </row>
    <row r="420" spans="1:15" ht="15" customHeight="1" x14ac:dyDescent="0.35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 x14ac:dyDescent="0.35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 x14ac:dyDescent="0.35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 x14ac:dyDescent="0.35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 x14ac:dyDescent="0.35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 x14ac:dyDescent="0.35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 x14ac:dyDescent="0.35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 x14ac:dyDescent="0.35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 x14ac:dyDescent="0.35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 x14ac:dyDescent="0.35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 x14ac:dyDescent="0.35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 x14ac:dyDescent="0.35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 x14ac:dyDescent="0.35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 x14ac:dyDescent="0.35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185</v>
      </c>
      <c r="G433" s="40">
        <f>G419+G432</f>
        <v>925</v>
      </c>
      <c r="H433" s="41"/>
      <c r="I433" s="41"/>
      <c r="J433" s="41"/>
      <c r="K433" s="41"/>
      <c r="L433" s="41"/>
      <c r="M433" s="42">
        <f ca="1">IFERROR(M419+M432,"")</f>
        <v>0.2326388888888889</v>
      </c>
      <c r="N433" s="40" t="s">
        <v>249</v>
      </c>
      <c r="O433" s="48">
        <f>IFERROR(O419+O432,"")</f>
        <v>0</v>
      </c>
    </row>
    <row r="434" spans="1:15" ht="15" customHeight="1" x14ac:dyDescent="0.35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 x14ac:dyDescent="0.35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 x14ac:dyDescent="0.35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 x14ac:dyDescent="0.35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 x14ac:dyDescent="0.35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 x14ac:dyDescent="0.35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 x14ac:dyDescent="0.35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 x14ac:dyDescent="0.35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 x14ac:dyDescent="0.35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 x14ac:dyDescent="0.35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 x14ac:dyDescent="0.35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 x14ac:dyDescent="0.35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 x14ac:dyDescent="0.35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 x14ac:dyDescent="0.35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 x14ac:dyDescent="0.35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 x14ac:dyDescent="0.35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 x14ac:dyDescent="0.35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 x14ac:dyDescent="0.35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 x14ac:dyDescent="0.35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 x14ac:dyDescent="0.35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 x14ac:dyDescent="0.35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 x14ac:dyDescent="0.35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 x14ac:dyDescent="0.35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 x14ac:dyDescent="0.35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 x14ac:dyDescent="0.35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 x14ac:dyDescent="0.35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 x14ac:dyDescent="0.35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 x14ac:dyDescent="0.35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 x14ac:dyDescent="0.35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 x14ac:dyDescent="0.35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 x14ac:dyDescent="0.35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 x14ac:dyDescent="0.35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 x14ac:dyDescent="0.35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 x14ac:dyDescent="0.35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 x14ac:dyDescent="0.35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 x14ac:dyDescent="0.35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 x14ac:dyDescent="0.35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 x14ac:dyDescent="0.35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 x14ac:dyDescent="0.35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 x14ac:dyDescent="0.35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 x14ac:dyDescent="0.35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 x14ac:dyDescent="0.35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 x14ac:dyDescent="0.35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 x14ac:dyDescent="0.35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 x14ac:dyDescent="0.35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 x14ac:dyDescent="0.35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 x14ac:dyDescent="0.35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 x14ac:dyDescent="0.35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 x14ac:dyDescent="0.35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 x14ac:dyDescent="0.35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 x14ac:dyDescent="0.35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 x14ac:dyDescent="0.35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 x14ac:dyDescent="0.35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 x14ac:dyDescent="0.35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 x14ac:dyDescent="0.35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 x14ac:dyDescent="0.35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 x14ac:dyDescent="0.35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 x14ac:dyDescent="0.35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 x14ac:dyDescent="0.35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 x14ac:dyDescent="0.35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 x14ac:dyDescent="0.35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 x14ac:dyDescent="0.35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 x14ac:dyDescent="0.35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 x14ac:dyDescent="0.35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 x14ac:dyDescent="0.35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 x14ac:dyDescent="0.35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 x14ac:dyDescent="0.35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 x14ac:dyDescent="0.35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 x14ac:dyDescent="0.35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 x14ac:dyDescent="0.35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 x14ac:dyDescent="0.35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 x14ac:dyDescent="0.35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 x14ac:dyDescent="0.35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 x14ac:dyDescent="0.35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 x14ac:dyDescent="0.35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 x14ac:dyDescent="0.35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 x14ac:dyDescent="0.35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 x14ac:dyDescent="0.35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 x14ac:dyDescent="0.35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 x14ac:dyDescent="0.35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 x14ac:dyDescent="0.35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 x14ac:dyDescent="0.35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 x14ac:dyDescent="0.35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 x14ac:dyDescent="0.35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 x14ac:dyDescent="0.35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 x14ac:dyDescent="0.35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 x14ac:dyDescent="0.35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 x14ac:dyDescent="0.35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 x14ac:dyDescent="0.35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 x14ac:dyDescent="0.35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 x14ac:dyDescent="0.35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 x14ac:dyDescent="0.35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 x14ac:dyDescent="0.35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 x14ac:dyDescent="0.35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 x14ac:dyDescent="0.35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35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 x14ac:dyDescent="0.35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 x14ac:dyDescent="0.35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 x14ac:dyDescent="0.35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 x14ac:dyDescent="0.35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 x14ac:dyDescent="0.35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 x14ac:dyDescent="0.35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 x14ac:dyDescent="0.35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 x14ac:dyDescent="0.35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 x14ac:dyDescent="0.35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 x14ac:dyDescent="0.35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 x14ac:dyDescent="0.35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 x14ac:dyDescent="0.35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 x14ac:dyDescent="0.35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 x14ac:dyDescent="0.35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 x14ac:dyDescent="0.35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 x14ac:dyDescent="0.35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 x14ac:dyDescent="0.35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 x14ac:dyDescent="0.35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 x14ac:dyDescent="0.35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 x14ac:dyDescent="0.35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 x14ac:dyDescent="0.35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 x14ac:dyDescent="0.35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 x14ac:dyDescent="0.35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 x14ac:dyDescent="0.35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 x14ac:dyDescent="0.35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 x14ac:dyDescent="0.35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 x14ac:dyDescent="0.35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 x14ac:dyDescent="0.35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 x14ac:dyDescent="0.35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 x14ac:dyDescent="0.35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 x14ac:dyDescent="0.35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 x14ac:dyDescent="0.35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 x14ac:dyDescent="0.35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 x14ac:dyDescent="0.35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 x14ac:dyDescent="0.35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 x14ac:dyDescent="0.35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 x14ac:dyDescent="0.35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 x14ac:dyDescent="0.35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 x14ac:dyDescent="0.35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 x14ac:dyDescent="0.35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 x14ac:dyDescent="0.35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 x14ac:dyDescent="0.35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 x14ac:dyDescent="0.35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 x14ac:dyDescent="0.35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 x14ac:dyDescent="0.35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 x14ac:dyDescent="0.35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 x14ac:dyDescent="0.35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 x14ac:dyDescent="0.35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 x14ac:dyDescent="0.35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 x14ac:dyDescent="0.35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 x14ac:dyDescent="0.35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 x14ac:dyDescent="0.35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 x14ac:dyDescent="0.35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 x14ac:dyDescent="0.35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 x14ac:dyDescent="0.35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 x14ac:dyDescent="0.35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 x14ac:dyDescent="0.35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 x14ac:dyDescent="0.35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 x14ac:dyDescent="0.35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 x14ac:dyDescent="0.35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 x14ac:dyDescent="0.35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 x14ac:dyDescent="0.35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 x14ac:dyDescent="0.35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 x14ac:dyDescent="0.35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 x14ac:dyDescent="0.35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 x14ac:dyDescent="0.35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 x14ac:dyDescent="0.35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 x14ac:dyDescent="0.35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 x14ac:dyDescent="0.35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 x14ac:dyDescent="0.35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 x14ac:dyDescent="0.35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 x14ac:dyDescent="0.35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 x14ac:dyDescent="0.35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 x14ac:dyDescent="0.35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 x14ac:dyDescent="0.35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 x14ac:dyDescent="0.35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 x14ac:dyDescent="0.35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 x14ac:dyDescent="0.35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 x14ac:dyDescent="0.35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 x14ac:dyDescent="0.35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 x14ac:dyDescent="0.35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 x14ac:dyDescent="0.35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 x14ac:dyDescent="0.35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 x14ac:dyDescent="0.35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 x14ac:dyDescent="0.35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 x14ac:dyDescent="0.35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 x14ac:dyDescent="0.35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 x14ac:dyDescent="0.35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 x14ac:dyDescent="0.35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 x14ac:dyDescent="0.35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 x14ac:dyDescent="0.35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 x14ac:dyDescent="0.35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 x14ac:dyDescent="0.35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 x14ac:dyDescent="0.35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 x14ac:dyDescent="0.35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 x14ac:dyDescent="0.35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 x14ac:dyDescent="0.35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 x14ac:dyDescent="0.35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 x14ac:dyDescent="0.35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 x14ac:dyDescent="0.35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 x14ac:dyDescent="0.35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 x14ac:dyDescent="0.35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 x14ac:dyDescent="0.35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 x14ac:dyDescent="0.35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 x14ac:dyDescent="0.35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 x14ac:dyDescent="0.35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 x14ac:dyDescent="0.35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 x14ac:dyDescent="0.35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 x14ac:dyDescent="0.35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 x14ac:dyDescent="0.35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 x14ac:dyDescent="0.35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 x14ac:dyDescent="0.35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 x14ac:dyDescent="0.35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 x14ac:dyDescent="0.35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 x14ac:dyDescent="0.35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 x14ac:dyDescent="0.35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 x14ac:dyDescent="0.35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 x14ac:dyDescent="0.35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 x14ac:dyDescent="0.35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 x14ac:dyDescent="0.35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 x14ac:dyDescent="0.35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 x14ac:dyDescent="0.35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 x14ac:dyDescent="0.35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 x14ac:dyDescent="0.35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 x14ac:dyDescent="0.35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 x14ac:dyDescent="0.35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 x14ac:dyDescent="0.35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 x14ac:dyDescent="0.35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 x14ac:dyDescent="0.35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 x14ac:dyDescent="0.35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 x14ac:dyDescent="0.35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 x14ac:dyDescent="0.35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 x14ac:dyDescent="0.35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 x14ac:dyDescent="0.35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 x14ac:dyDescent="0.35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 x14ac:dyDescent="0.35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 x14ac:dyDescent="0.35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 x14ac:dyDescent="0.35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 x14ac:dyDescent="0.35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 x14ac:dyDescent="0.35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 x14ac:dyDescent="0.35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 x14ac:dyDescent="0.35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 x14ac:dyDescent="0.35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 x14ac:dyDescent="0.35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 x14ac:dyDescent="0.35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 x14ac:dyDescent="0.35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 x14ac:dyDescent="0.35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 x14ac:dyDescent="0.35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 x14ac:dyDescent="0.35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 x14ac:dyDescent="0.35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 x14ac:dyDescent="0.35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 x14ac:dyDescent="0.35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 x14ac:dyDescent="0.35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 x14ac:dyDescent="0.35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 x14ac:dyDescent="0.35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 x14ac:dyDescent="0.35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 x14ac:dyDescent="0.35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 x14ac:dyDescent="0.35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 x14ac:dyDescent="0.35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 x14ac:dyDescent="0.35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 x14ac:dyDescent="0.35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 x14ac:dyDescent="0.35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 x14ac:dyDescent="0.35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 x14ac:dyDescent="0.35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 x14ac:dyDescent="0.35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 x14ac:dyDescent="0.35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 x14ac:dyDescent="0.35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 x14ac:dyDescent="0.35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 x14ac:dyDescent="0.35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 x14ac:dyDescent="0.35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 x14ac:dyDescent="0.35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 x14ac:dyDescent="0.35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 x14ac:dyDescent="0.35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 x14ac:dyDescent="0.35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 x14ac:dyDescent="0.35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 x14ac:dyDescent="0.35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 x14ac:dyDescent="0.35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 x14ac:dyDescent="0.35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 x14ac:dyDescent="0.35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 x14ac:dyDescent="0.35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 x14ac:dyDescent="0.35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 x14ac:dyDescent="0.35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 x14ac:dyDescent="0.35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 x14ac:dyDescent="0.35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 x14ac:dyDescent="0.35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 x14ac:dyDescent="0.35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 x14ac:dyDescent="0.35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 x14ac:dyDescent="0.35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 x14ac:dyDescent="0.35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 x14ac:dyDescent="0.35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 x14ac:dyDescent="0.35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 x14ac:dyDescent="0.35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 x14ac:dyDescent="0.35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 x14ac:dyDescent="0.35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 x14ac:dyDescent="0.35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 x14ac:dyDescent="0.35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 x14ac:dyDescent="0.35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 x14ac:dyDescent="0.35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 x14ac:dyDescent="0.35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 x14ac:dyDescent="0.35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 x14ac:dyDescent="0.35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 x14ac:dyDescent="0.35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 x14ac:dyDescent="0.35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 x14ac:dyDescent="0.35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 x14ac:dyDescent="0.35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 x14ac:dyDescent="0.35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 x14ac:dyDescent="0.35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 x14ac:dyDescent="0.35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 x14ac:dyDescent="0.35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 x14ac:dyDescent="0.35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 x14ac:dyDescent="0.35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 x14ac:dyDescent="0.35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 x14ac:dyDescent="0.35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 x14ac:dyDescent="0.35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 x14ac:dyDescent="0.35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 x14ac:dyDescent="0.35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 x14ac:dyDescent="0.35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 x14ac:dyDescent="0.35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 x14ac:dyDescent="0.35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 x14ac:dyDescent="0.35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 x14ac:dyDescent="0.35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 x14ac:dyDescent="0.35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 x14ac:dyDescent="0.35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 x14ac:dyDescent="0.35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 x14ac:dyDescent="0.35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 x14ac:dyDescent="0.35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 x14ac:dyDescent="0.35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 x14ac:dyDescent="0.35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 x14ac:dyDescent="0.35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 x14ac:dyDescent="0.35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 x14ac:dyDescent="0.35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 x14ac:dyDescent="0.35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 x14ac:dyDescent="0.35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 x14ac:dyDescent="0.35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 x14ac:dyDescent="0.35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 x14ac:dyDescent="0.35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 x14ac:dyDescent="0.35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 x14ac:dyDescent="0.35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 x14ac:dyDescent="0.35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 x14ac:dyDescent="0.35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 x14ac:dyDescent="0.35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 x14ac:dyDescent="0.35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 x14ac:dyDescent="0.35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 x14ac:dyDescent="0.35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 x14ac:dyDescent="0.35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 x14ac:dyDescent="0.35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 x14ac:dyDescent="0.35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 x14ac:dyDescent="0.35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 x14ac:dyDescent="0.35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 x14ac:dyDescent="0.35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 x14ac:dyDescent="0.35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 x14ac:dyDescent="0.35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 x14ac:dyDescent="0.35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 x14ac:dyDescent="0.35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 x14ac:dyDescent="0.35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 x14ac:dyDescent="0.35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 x14ac:dyDescent="0.35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 x14ac:dyDescent="0.35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 x14ac:dyDescent="0.35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 x14ac:dyDescent="0.35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 x14ac:dyDescent="0.35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 x14ac:dyDescent="0.35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 x14ac:dyDescent="0.35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 x14ac:dyDescent="0.35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 x14ac:dyDescent="0.35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 x14ac:dyDescent="0.35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 x14ac:dyDescent="0.35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 x14ac:dyDescent="0.35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 x14ac:dyDescent="0.35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 x14ac:dyDescent="0.35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 x14ac:dyDescent="0.35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 x14ac:dyDescent="0.35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 x14ac:dyDescent="0.35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 x14ac:dyDescent="0.35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 x14ac:dyDescent="0.35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 x14ac:dyDescent="0.35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 x14ac:dyDescent="0.35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 x14ac:dyDescent="0.35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 x14ac:dyDescent="0.35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 x14ac:dyDescent="0.35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 x14ac:dyDescent="0.35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 x14ac:dyDescent="0.35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 x14ac:dyDescent="0.35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 x14ac:dyDescent="0.35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 x14ac:dyDescent="0.35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 x14ac:dyDescent="0.35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 x14ac:dyDescent="0.35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 x14ac:dyDescent="0.35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 x14ac:dyDescent="0.35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 x14ac:dyDescent="0.35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 x14ac:dyDescent="0.35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 x14ac:dyDescent="0.35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 x14ac:dyDescent="0.35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 x14ac:dyDescent="0.35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 x14ac:dyDescent="0.35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 x14ac:dyDescent="0.35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 x14ac:dyDescent="0.35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 x14ac:dyDescent="0.35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 x14ac:dyDescent="0.35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 x14ac:dyDescent="0.35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 x14ac:dyDescent="0.35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 x14ac:dyDescent="0.35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 x14ac:dyDescent="0.35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 x14ac:dyDescent="0.35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 x14ac:dyDescent="0.35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 x14ac:dyDescent="0.35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 x14ac:dyDescent="0.35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 x14ac:dyDescent="0.35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 x14ac:dyDescent="0.35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81" activePane="bottomLeft" state="frozen"/>
      <selection sqref="A1:G409"/>
      <selection pane="bottomLeft" activeCell="G418" sqref="G418"/>
    </sheetView>
  </sheetViews>
  <sheetFormatPr defaultColWidth="8.54296875" defaultRowHeight="14.5" x14ac:dyDescent="0.35"/>
  <cols>
    <col min="1" max="1" width="13" style="73" customWidth="1"/>
    <col min="2" max="2" width="9" style="20" customWidth="1"/>
    <col min="3" max="3" width="14" style="20" customWidth="1"/>
    <col min="4" max="5" width="16.1796875" style="20" customWidth="1"/>
    <col min="6" max="6" width="13.81640625" style="20" hidden="1" customWidth="1"/>
    <col min="7" max="7" width="13" style="20" customWidth="1"/>
    <col min="8" max="8" width="15.81640625" style="20" hidden="1" customWidth="1"/>
    <col min="9" max="9" width="16.1796875" style="20" hidden="1" customWidth="1"/>
    <col min="10" max="10" width="13.81640625" style="20" hidden="1" customWidth="1"/>
    <col min="11" max="11" width="14" style="20" customWidth="1"/>
    <col min="12" max="12" width="31.1796875" style="20" customWidth="1"/>
    <col min="13" max="13" width="29.1796875" style="20" customWidth="1"/>
    <col min="14" max="14" width="48.54296875" style="20" customWidth="1"/>
    <col min="15" max="15" width="15.453125" style="20" customWidth="1"/>
    <col min="16" max="16" width="12" style="21" customWidth="1"/>
    <col min="17" max="17" width="15.54296875" style="20" customWidth="1"/>
    <col min="18" max="18" width="48.54296875" style="20" customWidth="1"/>
    <col min="19" max="19" width="29.81640625" customWidth="1"/>
    <col min="20" max="20" width="14.81640625" hidden="1" customWidth="1"/>
  </cols>
  <sheetData>
    <row r="1" spans="1:20" ht="37.5" customHeight="1" x14ac:dyDescent="0.3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 x14ac:dyDescent="0.3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 x14ac:dyDescent="0.3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 x14ac:dyDescent="0.3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 x14ac:dyDescent="0.3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 x14ac:dyDescent="0.3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 x14ac:dyDescent="0.3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 x14ac:dyDescent="0.3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 x14ac:dyDescent="0.35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 x14ac:dyDescent="0.3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 x14ac:dyDescent="0.3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 x14ac:dyDescent="0.3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 x14ac:dyDescent="0.4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 x14ac:dyDescent="0.4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 x14ac:dyDescent="0.35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 x14ac:dyDescent="0.3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 x14ac:dyDescent="0.35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 x14ac:dyDescent="0.35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 x14ac:dyDescent="0.35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 x14ac:dyDescent="0.35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 x14ac:dyDescent="0.35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 x14ac:dyDescent="0.35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 x14ac:dyDescent="0.35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 x14ac:dyDescent="0.35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 x14ac:dyDescent="0.35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 x14ac:dyDescent="0.4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 x14ac:dyDescent="0.4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 x14ac:dyDescent="0.35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 x14ac:dyDescent="0.35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 x14ac:dyDescent="0.3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 x14ac:dyDescent="0.35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 x14ac:dyDescent="0.35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 x14ac:dyDescent="0.35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 x14ac:dyDescent="0.35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 x14ac:dyDescent="0.35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 x14ac:dyDescent="0.35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 x14ac:dyDescent="0.35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 x14ac:dyDescent="0.35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 x14ac:dyDescent="0.35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 x14ac:dyDescent="0.4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 x14ac:dyDescent="0.4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 x14ac:dyDescent="0.3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 x14ac:dyDescent="0.35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 x14ac:dyDescent="0.35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 x14ac:dyDescent="0.35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 x14ac:dyDescent="0.35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 x14ac:dyDescent="0.35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 x14ac:dyDescent="0.35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 x14ac:dyDescent="0.35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 x14ac:dyDescent="0.35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 x14ac:dyDescent="0.35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 x14ac:dyDescent="0.35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 x14ac:dyDescent="0.4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0.64075208333088085</v>
      </c>
      <c r="R53" s="46" t="s">
        <v>280</v>
      </c>
      <c r="S53" s="31"/>
    </row>
    <row r="54" spans="1:20" ht="15.75" customHeight="1" thickBot="1" x14ac:dyDescent="0.4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0.77964097221976969</v>
      </c>
      <c r="R54" s="36" t="s">
        <v>245</v>
      </c>
      <c r="S54" s="75">
        <v>352430</v>
      </c>
      <c r="T54" s="117"/>
    </row>
    <row r="55" spans="1:20" ht="18" customHeight="1" x14ac:dyDescent="0.35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0.86436319444199206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 x14ac:dyDescent="0.3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 x14ac:dyDescent="0.3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 x14ac:dyDescent="0.3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 x14ac:dyDescent="0.3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 x14ac:dyDescent="0.3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 x14ac:dyDescent="0.3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 x14ac:dyDescent="0.3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 x14ac:dyDescent="0.3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 x14ac:dyDescent="0.3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 x14ac:dyDescent="0.3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 x14ac:dyDescent="0.3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 x14ac:dyDescent="0.3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 x14ac:dyDescent="0.5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 x14ac:dyDescent="0.3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 x14ac:dyDescent="0.35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 x14ac:dyDescent="0.35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 x14ac:dyDescent="0.35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 x14ac:dyDescent="0.35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 x14ac:dyDescent="0.35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 x14ac:dyDescent="0.35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 x14ac:dyDescent="0.35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 x14ac:dyDescent="0.35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 x14ac:dyDescent="0.35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 x14ac:dyDescent="0.35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 x14ac:dyDescent="0.35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 x14ac:dyDescent="0.5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 x14ac:dyDescent="0.35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 x14ac:dyDescent="0.35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 x14ac:dyDescent="0.3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 x14ac:dyDescent="0.3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 x14ac:dyDescent="0.3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 x14ac:dyDescent="0.3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 x14ac:dyDescent="0.3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 x14ac:dyDescent="0.3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 x14ac:dyDescent="0.3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 x14ac:dyDescent="0.3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 x14ac:dyDescent="0.3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 x14ac:dyDescent="0.3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 x14ac:dyDescent="0.3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 x14ac:dyDescent="0.5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 x14ac:dyDescent="0.3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 x14ac:dyDescent="0.3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 x14ac:dyDescent="0.3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 x14ac:dyDescent="0.3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 x14ac:dyDescent="0.3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 x14ac:dyDescent="0.3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 x14ac:dyDescent="0.3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 x14ac:dyDescent="0.3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 x14ac:dyDescent="0.3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 x14ac:dyDescent="0.3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 x14ac:dyDescent="0.3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 x14ac:dyDescent="0.3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 x14ac:dyDescent="0.5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 x14ac:dyDescent="0.35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 x14ac:dyDescent="0.3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 x14ac:dyDescent="0.3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 x14ac:dyDescent="0.3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 x14ac:dyDescent="0.3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 x14ac:dyDescent="0.3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 x14ac:dyDescent="0.3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 x14ac:dyDescent="0.3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 x14ac:dyDescent="0.3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 x14ac:dyDescent="0.3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 x14ac:dyDescent="0.3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 x14ac:dyDescent="0.3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 x14ac:dyDescent="0.3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 x14ac:dyDescent="0.5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 x14ac:dyDescent="0.3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 x14ac:dyDescent="0.3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 x14ac:dyDescent="0.3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 x14ac:dyDescent="0.3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 x14ac:dyDescent="0.3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 x14ac:dyDescent="0.3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 x14ac:dyDescent="0.3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 x14ac:dyDescent="0.3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 x14ac:dyDescent="0.3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 x14ac:dyDescent="0.3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 x14ac:dyDescent="0.3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 x14ac:dyDescent="0.35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 x14ac:dyDescent="0.5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 x14ac:dyDescent="0.35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 x14ac:dyDescent="0.3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 x14ac:dyDescent="0.35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 x14ac:dyDescent="0.35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 x14ac:dyDescent="0.35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 x14ac:dyDescent="0.35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 x14ac:dyDescent="0.35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 x14ac:dyDescent="0.35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 x14ac:dyDescent="0.35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 x14ac:dyDescent="0.35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 x14ac:dyDescent="0.35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 x14ac:dyDescent="0.35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 x14ac:dyDescent="0.35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 x14ac:dyDescent="0.5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 x14ac:dyDescent="0.3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 x14ac:dyDescent="0.3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 x14ac:dyDescent="0.3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 x14ac:dyDescent="0.3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 x14ac:dyDescent="0.3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 x14ac:dyDescent="0.3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 x14ac:dyDescent="0.3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 x14ac:dyDescent="0.3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 x14ac:dyDescent="0.3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 x14ac:dyDescent="0.3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 x14ac:dyDescent="0.3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 x14ac:dyDescent="0.3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 x14ac:dyDescent="0.5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 x14ac:dyDescent="0.35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 x14ac:dyDescent="0.3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 x14ac:dyDescent="0.3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 x14ac:dyDescent="0.3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 x14ac:dyDescent="0.3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 x14ac:dyDescent="0.3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 x14ac:dyDescent="0.3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 x14ac:dyDescent="0.3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 x14ac:dyDescent="0.3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 x14ac:dyDescent="0.3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 x14ac:dyDescent="0.3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 x14ac:dyDescent="0.3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 x14ac:dyDescent="0.4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 x14ac:dyDescent="0.4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 x14ac:dyDescent="0.3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 x14ac:dyDescent="0.3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 x14ac:dyDescent="0.3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 x14ac:dyDescent="0.3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 x14ac:dyDescent="0.3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 x14ac:dyDescent="0.3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 x14ac:dyDescent="0.3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 x14ac:dyDescent="0.3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 x14ac:dyDescent="0.3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 x14ac:dyDescent="0.3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 x14ac:dyDescent="0.3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 x14ac:dyDescent="0.4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 x14ac:dyDescent="0.4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 x14ac:dyDescent="0.35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 x14ac:dyDescent="0.3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 x14ac:dyDescent="0.3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 x14ac:dyDescent="0.3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 x14ac:dyDescent="0.3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 x14ac:dyDescent="0.3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 x14ac:dyDescent="0.3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 x14ac:dyDescent="0.3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 x14ac:dyDescent="0.3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 x14ac:dyDescent="0.3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 x14ac:dyDescent="0.3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 x14ac:dyDescent="0.3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 x14ac:dyDescent="0.4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 x14ac:dyDescent="0.4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 x14ac:dyDescent="0.3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 x14ac:dyDescent="0.3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 x14ac:dyDescent="0.3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 x14ac:dyDescent="0.3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 x14ac:dyDescent="0.3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 x14ac:dyDescent="0.3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 x14ac:dyDescent="0.3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 x14ac:dyDescent="0.3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 x14ac:dyDescent="0.3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 x14ac:dyDescent="0.3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 x14ac:dyDescent="0.3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 x14ac:dyDescent="0.4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 x14ac:dyDescent="0.4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 x14ac:dyDescent="0.35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 x14ac:dyDescent="0.3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 x14ac:dyDescent="0.3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 x14ac:dyDescent="0.3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 x14ac:dyDescent="0.3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 x14ac:dyDescent="0.3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 x14ac:dyDescent="0.3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 x14ac:dyDescent="0.3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 x14ac:dyDescent="0.3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 x14ac:dyDescent="0.3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 x14ac:dyDescent="0.3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 x14ac:dyDescent="0.3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 x14ac:dyDescent="0.4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 x14ac:dyDescent="0.4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 x14ac:dyDescent="0.3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 x14ac:dyDescent="0.3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 x14ac:dyDescent="0.3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 x14ac:dyDescent="0.3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 x14ac:dyDescent="0.3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 x14ac:dyDescent="0.3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 x14ac:dyDescent="0.3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 x14ac:dyDescent="0.3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 x14ac:dyDescent="0.3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 x14ac:dyDescent="0.3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 x14ac:dyDescent="0.3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 x14ac:dyDescent="0.4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 x14ac:dyDescent="0.4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 x14ac:dyDescent="0.35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 x14ac:dyDescent="0.3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 x14ac:dyDescent="0.3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 x14ac:dyDescent="0.3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 x14ac:dyDescent="0.3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 x14ac:dyDescent="0.3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 x14ac:dyDescent="0.3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 x14ac:dyDescent="0.3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 x14ac:dyDescent="0.3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 x14ac:dyDescent="0.3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 x14ac:dyDescent="0.3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 x14ac:dyDescent="0.3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 x14ac:dyDescent="0.4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 x14ac:dyDescent="0.4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 x14ac:dyDescent="0.35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 x14ac:dyDescent="0.35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 x14ac:dyDescent="0.35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 x14ac:dyDescent="0.35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 x14ac:dyDescent="0.35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 x14ac:dyDescent="0.35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 x14ac:dyDescent="0.35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 x14ac:dyDescent="0.35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 x14ac:dyDescent="0.35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 x14ac:dyDescent="0.35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 x14ac:dyDescent="0.35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 x14ac:dyDescent="0.4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 x14ac:dyDescent="0.4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 x14ac:dyDescent="0.35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 x14ac:dyDescent="0.3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 x14ac:dyDescent="0.35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 x14ac:dyDescent="0.35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 x14ac:dyDescent="0.35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 x14ac:dyDescent="0.35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 x14ac:dyDescent="0.35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 x14ac:dyDescent="0.35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 x14ac:dyDescent="0.35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 x14ac:dyDescent="0.35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 x14ac:dyDescent="0.35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 x14ac:dyDescent="0.35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 x14ac:dyDescent="0.4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 x14ac:dyDescent="0.4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 x14ac:dyDescent="0.35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 x14ac:dyDescent="0.35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 x14ac:dyDescent="0.35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 x14ac:dyDescent="0.35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 x14ac:dyDescent="0.35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 x14ac:dyDescent="0.35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 x14ac:dyDescent="0.35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 x14ac:dyDescent="0.35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 x14ac:dyDescent="0.35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 x14ac:dyDescent="0.35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 x14ac:dyDescent="0.35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 x14ac:dyDescent="0.4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 x14ac:dyDescent="0.4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 x14ac:dyDescent="0.35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 x14ac:dyDescent="0.35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 x14ac:dyDescent="0.35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 x14ac:dyDescent="0.35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 x14ac:dyDescent="0.35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 x14ac:dyDescent="0.35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 x14ac:dyDescent="0.35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 x14ac:dyDescent="0.35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 x14ac:dyDescent="0.35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 x14ac:dyDescent="0.35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 x14ac:dyDescent="0.35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 x14ac:dyDescent="0.35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 x14ac:dyDescent="0.4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 x14ac:dyDescent="0.4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 x14ac:dyDescent="0.35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 x14ac:dyDescent="0.35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 x14ac:dyDescent="0.35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 x14ac:dyDescent="0.35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 x14ac:dyDescent="0.35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 x14ac:dyDescent="0.35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 x14ac:dyDescent="0.35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 x14ac:dyDescent="0.35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 x14ac:dyDescent="0.35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 x14ac:dyDescent="0.35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 x14ac:dyDescent="0.35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 x14ac:dyDescent="0.4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 x14ac:dyDescent="0.4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 x14ac:dyDescent="0.35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 x14ac:dyDescent="0.3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 x14ac:dyDescent="0.35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 x14ac:dyDescent="0.35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 x14ac:dyDescent="0.35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 x14ac:dyDescent="0.35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 x14ac:dyDescent="0.35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 x14ac:dyDescent="0.35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 x14ac:dyDescent="0.35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 x14ac:dyDescent="0.35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 x14ac:dyDescent="0.35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 x14ac:dyDescent="0.35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 x14ac:dyDescent="0.4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 x14ac:dyDescent="0.4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 x14ac:dyDescent="0.3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 x14ac:dyDescent="0.35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 x14ac:dyDescent="0.35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 x14ac:dyDescent="0.35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 x14ac:dyDescent="0.35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 x14ac:dyDescent="0.35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 x14ac:dyDescent="0.35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 x14ac:dyDescent="0.35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 x14ac:dyDescent="0.35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 x14ac:dyDescent="0.35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 x14ac:dyDescent="0.35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 x14ac:dyDescent="0.4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 x14ac:dyDescent="0.4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 x14ac:dyDescent="0.35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 x14ac:dyDescent="0.3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 x14ac:dyDescent="0.35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 x14ac:dyDescent="0.35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 x14ac:dyDescent="0.35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 x14ac:dyDescent="0.35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 x14ac:dyDescent="0.35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 x14ac:dyDescent="0.35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 x14ac:dyDescent="0.35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 x14ac:dyDescent="0.35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 x14ac:dyDescent="0.35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 x14ac:dyDescent="0.35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 x14ac:dyDescent="0.4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 x14ac:dyDescent="0.4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 x14ac:dyDescent="0.3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 x14ac:dyDescent="0.35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 x14ac:dyDescent="0.35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 x14ac:dyDescent="0.35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 x14ac:dyDescent="0.35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 x14ac:dyDescent="0.35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 x14ac:dyDescent="0.35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 x14ac:dyDescent="0.35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 x14ac:dyDescent="0.35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 x14ac:dyDescent="0.35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 x14ac:dyDescent="0.35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 x14ac:dyDescent="0.4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 x14ac:dyDescent="0.4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 x14ac:dyDescent="0.35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 x14ac:dyDescent="0.35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 x14ac:dyDescent="0.35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 x14ac:dyDescent="0.35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 x14ac:dyDescent="0.35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 x14ac:dyDescent="0.35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 x14ac:dyDescent="0.35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 x14ac:dyDescent="0.35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 x14ac:dyDescent="0.35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 x14ac:dyDescent="0.35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 x14ac:dyDescent="0.35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 x14ac:dyDescent="0.35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 x14ac:dyDescent="0.4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 x14ac:dyDescent="0.4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 x14ac:dyDescent="0.3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 x14ac:dyDescent="0.35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 x14ac:dyDescent="0.35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 x14ac:dyDescent="0.35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 x14ac:dyDescent="0.35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 x14ac:dyDescent="0.35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 x14ac:dyDescent="0.35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 x14ac:dyDescent="0.35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 x14ac:dyDescent="0.35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 x14ac:dyDescent="0.35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 x14ac:dyDescent="0.35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 x14ac:dyDescent="0.4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 x14ac:dyDescent="0.4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 x14ac:dyDescent="0.35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 x14ac:dyDescent="0.3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 x14ac:dyDescent="0.35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0</v>
      </c>
      <c r="I408" s="135">
        <f>IFERROR(IF($D408="","",VLOOKUP($D408,Cadastro!$C$4:$G$7,5,FALSE)),"")</f>
        <v>0.6</v>
      </c>
      <c r="J408" s="136">
        <f t="shared" si="98"/>
        <v>0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 x14ac:dyDescent="0.35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0</v>
      </c>
      <c r="I409" s="135">
        <f>IFERROR(IF($D409="","",VLOOKUP($D409,Cadastro!$C$4:$G$7,5,FALSE)),"")</f>
        <v>0.6</v>
      </c>
      <c r="J409" s="136">
        <f t="shared" si="98"/>
        <v>0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 x14ac:dyDescent="0.35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0</v>
      </c>
      <c r="I410" s="135">
        <f>IFERROR(IF($D410="","",VLOOKUP($D410,Cadastro!$C$4:$G$7,5,FALSE)),"")</f>
        <v>0.6</v>
      </c>
      <c r="J410" s="136">
        <f t="shared" si="98"/>
        <v>0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 x14ac:dyDescent="0.35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0</v>
      </c>
      <c r="I411" s="135">
        <f>IFERROR(IF($D411="","",VLOOKUP($D411,Cadastro!$C$4:$G$7,5,FALSE)),"")</f>
        <v>0.6</v>
      </c>
      <c r="J411" s="136">
        <f t="shared" si="98"/>
        <v>0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 x14ac:dyDescent="0.35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0</v>
      </c>
      <c r="I412" s="135">
        <f>IFERROR(IF($D412="","",VLOOKUP($D412,Cadastro!$C$4:$G$7,5,FALSE)),"")</f>
        <v>0.6</v>
      </c>
      <c r="J412" s="136">
        <f t="shared" si="98"/>
        <v>0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 x14ac:dyDescent="0.35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0</v>
      </c>
      <c r="I413" s="135">
        <f>IFERROR(IF($D413="","",VLOOKUP($D413,Cadastro!$C$4:$G$7,5,FALSE)),"")</f>
        <v>0.6</v>
      </c>
      <c r="J413" s="136">
        <f t="shared" si="98"/>
        <v>0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 x14ac:dyDescent="0.35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0</v>
      </c>
      <c r="I414" s="135">
        <f>IFERROR(IF($D414="","",VLOOKUP($D414,Cadastro!$C$4:$G$7,5,FALSE)),"")</f>
        <v>0.6</v>
      </c>
      <c r="J414" s="136">
        <f t="shared" si="98"/>
        <v>0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 x14ac:dyDescent="0.35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0</v>
      </c>
      <c r="I415" s="135">
        <f>IFERROR(IF($D415="","",VLOOKUP($D415,Cadastro!$C$4:$G$7,5,FALSE)),"")</f>
        <v>0.6</v>
      </c>
      <c r="J415" s="136">
        <f t="shared" si="98"/>
        <v>0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 x14ac:dyDescent="0.35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0</v>
      </c>
      <c r="I416" s="135">
        <f>IFERROR(IF($D416="","",VLOOKUP($D416,Cadastro!$C$4:$G$7,5,FALSE)),"")</f>
        <v>0.6</v>
      </c>
      <c r="J416" s="136">
        <f t="shared" si="98"/>
        <v>0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 x14ac:dyDescent="0.35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0</v>
      </c>
      <c r="I417" s="135">
        <f>IFERROR(IF($D417="","",VLOOKUP($D417,Cadastro!$C$4:$G$7,5,FALSE)),"")</f>
        <v>0.6</v>
      </c>
      <c r="J417" s="136">
        <f t="shared" si="98"/>
        <v>0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 x14ac:dyDescent="0.4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 x14ac:dyDescent="0.4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136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571.20000000000005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/>
      <c r="T419" s="122">
        <f>IFERROR(J419,"")</f>
        <v>0</v>
      </c>
    </row>
    <row r="420" spans="1:20" ht="15" customHeight="1" x14ac:dyDescent="0.3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 x14ac:dyDescent="0.35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 x14ac:dyDescent="0.35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 x14ac:dyDescent="0.35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 x14ac:dyDescent="0.35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 x14ac:dyDescent="0.35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 x14ac:dyDescent="0.35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 x14ac:dyDescent="0.35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 x14ac:dyDescent="0.35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 x14ac:dyDescent="0.35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 x14ac:dyDescent="0.35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 x14ac:dyDescent="0.4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 x14ac:dyDescent="0.4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 x14ac:dyDescent="0.35">
      <c r="A433" s="83" t="s">
        <v>248</v>
      </c>
      <c r="B433" s="82"/>
      <c r="C433" s="82"/>
      <c r="D433" s="82"/>
      <c r="E433" s="82"/>
      <c r="F433" s="112"/>
      <c r="G433" s="91">
        <f>G419+G432</f>
        <v>136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571.20000000000005</v>
      </c>
      <c r="L433" s="41"/>
      <c r="M433" s="41"/>
      <c r="N433" s="41"/>
      <c r="O433" s="41"/>
      <c r="P433" s="41"/>
      <c r="Q433" s="42">
        <f ca="1">IFERROR(Q419+Q432,"")</f>
        <v>9.0972222222222232E-2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 x14ac:dyDescent="0.3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 x14ac:dyDescent="0.35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 x14ac:dyDescent="0.35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 x14ac:dyDescent="0.35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 x14ac:dyDescent="0.35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 x14ac:dyDescent="0.35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 x14ac:dyDescent="0.35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 x14ac:dyDescent="0.35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 x14ac:dyDescent="0.35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 x14ac:dyDescent="0.35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 x14ac:dyDescent="0.35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 x14ac:dyDescent="0.4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 x14ac:dyDescent="0.4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 x14ac:dyDescent="0.3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 x14ac:dyDescent="0.3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 x14ac:dyDescent="0.3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 x14ac:dyDescent="0.35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 x14ac:dyDescent="0.3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 x14ac:dyDescent="0.3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 x14ac:dyDescent="0.3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 x14ac:dyDescent="0.3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 x14ac:dyDescent="0.3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 x14ac:dyDescent="0.3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 x14ac:dyDescent="0.3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 x14ac:dyDescent="0.4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 x14ac:dyDescent="0.4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 x14ac:dyDescent="0.35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 x14ac:dyDescent="0.3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 x14ac:dyDescent="0.3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 x14ac:dyDescent="0.3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 x14ac:dyDescent="0.3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 x14ac:dyDescent="0.3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 x14ac:dyDescent="0.3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 x14ac:dyDescent="0.3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 x14ac:dyDescent="0.3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 x14ac:dyDescent="0.3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 x14ac:dyDescent="0.3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 x14ac:dyDescent="0.3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 x14ac:dyDescent="0.4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 x14ac:dyDescent="0.4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 x14ac:dyDescent="0.3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 x14ac:dyDescent="0.3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 x14ac:dyDescent="0.3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 x14ac:dyDescent="0.3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 x14ac:dyDescent="0.3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 x14ac:dyDescent="0.3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 x14ac:dyDescent="0.3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 x14ac:dyDescent="0.3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 x14ac:dyDescent="0.3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 x14ac:dyDescent="0.3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 x14ac:dyDescent="0.3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 x14ac:dyDescent="0.4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 x14ac:dyDescent="0.4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 x14ac:dyDescent="0.35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 x14ac:dyDescent="0.3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 x14ac:dyDescent="0.35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 x14ac:dyDescent="0.35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 x14ac:dyDescent="0.35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 x14ac:dyDescent="0.35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 x14ac:dyDescent="0.35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 x14ac:dyDescent="0.35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 x14ac:dyDescent="0.35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 x14ac:dyDescent="0.35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 x14ac:dyDescent="0.35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 x14ac:dyDescent="0.35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 x14ac:dyDescent="0.4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 x14ac:dyDescent="0.4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 x14ac:dyDescent="0.3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 x14ac:dyDescent="0.3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 x14ac:dyDescent="0.3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 x14ac:dyDescent="0.3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 x14ac:dyDescent="0.3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 x14ac:dyDescent="0.3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 x14ac:dyDescent="0.3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 x14ac:dyDescent="0.3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 x14ac:dyDescent="0.3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 x14ac:dyDescent="0.3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 x14ac:dyDescent="0.3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 x14ac:dyDescent="0.4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 x14ac:dyDescent="0.4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 x14ac:dyDescent="0.35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 x14ac:dyDescent="0.3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 x14ac:dyDescent="0.3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 x14ac:dyDescent="0.3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 x14ac:dyDescent="0.3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 x14ac:dyDescent="0.3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 x14ac:dyDescent="0.3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 x14ac:dyDescent="0.3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 x14ac:dyDescent="0.3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 x14ac:dyDescent="0.3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 x14ac:dyDescent="0.3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 x14ac:dyDescent="0.3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 x14ac:dyDescent="0.4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 x14ac:dyDescent="0.4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 x14ac:dyDescent="0.3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 x14ac:dyDescent="0.3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 x14ac:dyDescent="0.3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 x14ac:dyDescent="0.3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 x14ac:dyDescent="0.3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 x14ac:dyDescent="0.3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 x14ac:dyDescent="0.3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 x14ac:dyDescent="0.3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 x14ac:dyDescent="0.3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 x14ac:dyDescent="0.3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 x14ac:dyDescent="0.3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 x14ac:dyDescent="0.4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 x14ac:dyDescent="0.4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 x14ac:dyDescent="0.35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 x14ac:dyDescent="0.3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 x14ac:dyDescent="0.3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 x14ac:dyDescent="0.3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 x14ac:dyDescent="0.3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 x14ac:dyDescent="0.3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 x14ac:dyDescent="0.3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 x14ac:dyDescent="0.3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 x14ac:dyDescent="0.3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 x14ac:dyDescent="0.3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 x14ac:dyDescent="0.3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 x14ac:dyDescent="0.3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 x14ac:dyDescent="0.4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 x14ac:dyDescent="0.4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 x14ac:dyDescent="0.3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 x14ac:dyDescent="0.35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 x14ac:dyDescent="0.35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 x14ac:dyDescent="0.35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 x14ac:dyDescent="0.35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 x14ac:dyDescent="0.35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 x14ac:dyDescent="0.35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 x14ac:dyDescent="0.35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 x14ac:dyDescent="0.35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 x14ac:dyDescent="0.35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 x14ac:dyDescent="0.35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 x14ac:dyDescent="0.4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 x14ac:dyDescent="0.4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 x14ac:dyDescent="0.35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 x14ac:dyDescent="0.3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 x14ac:dyDescent="0.3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 x14ac:dyDescent="0.3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 x14ac:dyDescent="0.3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 x14ac:dyDescent="0.3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 x14ac:dyDescent="0.3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 x14ac:dyDescent="0.3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 x14ac:dyDescent="0.3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 x14ac:dyDescent="0.3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 x14ac:dyDescent="0.3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 x14ac:dyDescent="0.3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 x14ac:dyDescent="0.4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 x14ac:dyDescent="0.4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 x14ac:dyDescent="0.3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 x14ac:dyDescent="0.3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 x14ac:dyDescent="0.3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 x14ac:dyDescent="0.3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 x14ac:dyDescent="0.3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 x14ac:dyDescent="0.3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 x14ac:dyDescent="0.3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 x14ac:dyDescent="0.3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 x14ac:dyDescent="0.3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 x14ac:dyDescent="0.3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 x14ac:dyDescent="0.3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 x14ac:dyDescent="0.4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 x14ac:dyDescent="0.4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 x14ac:dyDescent="0.35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 x14ac:dyDescent="0.3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 x14ac:dyDescent="0.3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 x14ac:dyDescent="0.3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 x14ac:dyDescent="0.3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 x14ac:dyDescent="0.3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 x14ac:dyDescent="0.3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 x14ac:dyDescent="0.3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 x14ac:dyDescent="0.3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 x14ac:dyDescent="0.3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 x14ac:dyDescent="0.3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 x14ac:dyDescent="0.3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 x14ac:dyDescent="0.4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 x14ac:dyDescent="0.4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 x14ac:dyDescent="0.3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 x14ac:dyDescent="0.3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 x14ac:dyDescent="0.3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 x14ac:dyDescent="0.3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 x14ac:dyDescent="0.3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 x14ac:dyDescent="0.3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 x14ac:dyDescent="0.3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 x14ac:dyDescent="0.3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 x14ac:dyDescent="0.3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 x14ac:dyDescent="0.3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 x14ac:dyDescent="0.3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 x14ac:dyDescent="0.4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 x14ac:dyDescent="0.4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 x14ac:dyDescent="0.35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 x14ac:dyDescent="0.3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 x14ac:dyDescent="0.3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 x14ac:dyDescent="0.3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 x14ac:dyDescent="0.3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 x14ac:dyDescent="0.3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 x14ac:dyDescent="0.3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 x14ac:dyDescent="0.3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 x14ac:dyDescent="0.3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 x14ac:dyDescent="0.3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 x14ac:dyDescent="0.3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 x14ac:dyDescent="0.3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 x14ac:dyDescent="0.4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 x14ac:dyDescent="0.4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 x14ac:dyDescent="0.3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 x14ac:dyDescent="0.3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 x14ac:dyDescent="0.3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 x14ac:dyDescent="0.3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 x14ac:dyDescent="0.3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 x14ac:dyDescent="0.3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 x14ac:dyDescent="0.3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 x14ac:dyDescent="0.3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 x14ac:dyDescent="0.3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 x14ac:dyDescent="0.3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 x14ac:dyDescent="0.3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 x14ac:dyDescent="0.4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 x14ac:dyDescent="0.4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 x14ac:dyDescent="0.35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 x14ac:dyDescent="0.3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 x14ac:dyDescent="0.3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 x14ac:dyDescent="0.3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 x14ac:dyDescent="0.3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 x14ac:dyDescent="0.3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 x14ac:dyDescent="0.3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 x14ac:dyDescent="0.3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 x14ac:dyDescent="0.3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 x14ac:dyDescent="0.3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 x14ac:dyDescent="0.3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 x14ac:dyDescent="0.3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 x14ac:dyDescent="0.4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 x14ac:dyDescent="0.4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 x14ac:dyDescent="0.3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 x14ac:dyDescent="0.3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 x14ac:dyDescent="0.3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 x14ac:dyDescent="0.3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 x14ac:dyDescent="0.3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 x14ac:dyDescent="0.3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 x14ac:dyDescent="0.3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 x14ac:dyDescent="0.3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 x14ac:dyDescent="0.3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 x14ac:dyDescent="0.3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 x14ac:dyDescent="0.3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 x14ac:dyDescent="0.4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 x14ac:dyDescent="0.4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 x14ac:dyDescent="0.35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 x14ac:dyDescent="0.3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 x14ac:dyDescent="0.3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 x14ac:dyDescent="0.3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 x14ac:dyDescent="0.3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 x14ac:dyDescent="0.3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 x14ac:dyDescent="0.3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 x14ac:dyDescent="0.3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 x14ac:dyDescent="0.3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 x14ac:dyDescent="0.3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 x14ac:dyDescent="0.3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 x14ac:dyDescent="0.3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 x14ac:dyDescent="0.4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 x14ac:dyDescent="0.4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 x14ac:dyDescent="0.3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 x14ac:dyDescent="0.3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 x14ac:dyDescent="0.3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 x14ac:dyDescent="0.3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 x14ac:dyDescent="0.3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 x14ac:dyDescent="0.3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 x14ac:dyDescent="0.3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 x14ac:dyDescent="0.3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 x14ac:dyDescent="0.3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 x14ac:dyDescent="0.3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 x14ac:dyDescent="0.3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 x14ac:dyDescent="0.4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 x14ac:dyDescent="0.4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 x14ac:dyDescent="0.35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 x14ac:dyDescent="0.3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 x14ac:dyDescent="0.3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 x14ac:dyDescent="0.3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 x14ac:dyDescent="0.3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 x14ac:dyDescent="0.3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 x14ac:dyDescent="0.3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 x14ac:dyDescent="0.3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 x14ac:dyDescent="0.3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 x14ac:dyDescent="0.3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 x14ac:dyDescent="0.3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 x14ac:dyDescent="0.3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 x14ac:dyDescent="0.4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 x14ac:dyDescent="0.4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 x14ac:dyDescent="0.3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 x14ac:dyDescent="0.3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 x14ac:dyDescent="0.3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 x14ac:dyDescent="0.3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 x14ac:dyDescent="0.3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 x14ac:dyDescent="0.3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 x14ac:dyDescent="0.3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 x14ac:dyDescent="0.3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 x14ac:dyDescent="0.3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 x14ac:dyDescent="0.3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 x14ac:dyDescent="0.3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 x14ac:dyDescent="0.4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 x14ac:dyDescent="0.4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 x14ac:dyDescent="0.35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 x14ac:dyDescent="0.3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 x14ac:dyDescent="0.3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 x14ac:dyDescent="0.3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 x14ac:dyDescent="0.3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 x14ac:dyDescent="0.3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 x14ac:dyDescent="0.3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 x14ac:dyDescent="0.3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 x14ac:dyDescent="0.3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 x14ac:dyDescent="0.3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 x14ac:dyDescent="0.3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 x14ac:dyDescent="0.3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 x14ac:dyDescent="0.4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 x14ac:dyDescent="0.4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 x14ac:dyDescent="0.3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 x14ac:dyDescent="0.3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 x14ac:dyDescent="0.3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 x14ac:dyDescent="0.3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 x14ac:dyDescent="0.3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 x14ac:dyDescent="0.3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 x14ac:dyDescent="0.3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 x14ac:dyDescent="0.3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 x14ac:dyDescent="0.3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 x14ac:dyDescent="0.3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 x14ac:dyDescent="0.3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 x14ac:dyDescent="0.4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 x14ac:dyDescent="0.4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35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 x14ac:dyDescent="0.3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 x14ac:dyDescent="0.3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 x14ac:dyDescent="0.3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 x14ac:dyDescent="0.3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 x14ac:dyDescent="0.3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 x14ac:dyDescent="0.3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 x14ac:dyDescent="0.3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 x14ac:dyDescent="0.3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 x14ac:dyDescent="0.3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 x14ac:dyDescent="0.3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 x14ac:dyDescent="0.3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 x14ac:dyDescent="0.4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 x14ac:dyDescent="0.4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 x14ac:dyDescent="0.3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 x14ac:dyDescent="0.3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 x14ac:dyDescent="0.3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 x14ac:dyDescent="0.3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 x14ac:dyDescent="0.3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 x14ac:dyDescent="0.3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 x14ac:dyDescent="0.3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 x14ac:dyDescent="0.3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 x14ac:dyDescent="0.3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 x14ac:dyDescent="0.3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 x14ac:dyDescent="0.3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 x14ac:dyDescent="0.4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 x14ac:dyDescent="0.4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35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 x14ac:dyDescent="0.3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 x14ac:dyDescent="0.3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 x14ac:dyDescent="0.3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 x14ac:dyDescent="0.3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 x14ac:dyDescent="0.3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 x14ac:dyDescent="0.3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 x14ac:dyDescent="0.3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 x14ac:dyDescent="0.3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 x14ac:dyDescent="0.3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 x14ac:dyDescent="0.3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 x14ac:dyDescent="0.3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 x14ac:dyDescent="0.4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 x14ac:dyDescent="0.4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 x14ac:dyDescent="0.3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 x14ac:dyDescent="0.3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 x14ac:dyDescent="0.3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 x14ac:dyDescent="0.3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 x14ac:dyDescent="0.3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 x14ac:dyDescent="0.3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 x14ac:dyDescent="0.3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 x14ac:dyDescent="0.3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 x14ac:dyDescent="0.3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 x14ac:dyDescent="0.3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 x14ac:dyDescent="0.3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 x14ac:dyDescent="0.4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 x14ac:dyDescent="0.4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35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 x14ac:dyDescent="0.3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 x14ac:dyDescent="0.3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 x14ac:dyDescent="0.3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 x14ac:dyDescent="0.3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 x14ac:dyDescent="0.3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 x14ac:dyDescent="0.3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 x14ac:dyDescent="0.3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 x14ac:dyDescent="0.3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 x14ac:dyDescent="0.3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 x14ac:dyDescent="0.3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 x14ac:dyDescent="0.3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 x14ac:dyDescent="0.4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 x14ac:dyDescent="0.4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 x14ac:dyDescent="0.3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 x14ac:dyDescent="0.3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 x14ac:dyDescent="0.3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 x14ac:dyDescent="0.3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 x14ac:dyDescent="0.3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 x14ac:dyDescent="0.3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 x14ac:dyDescent="0.3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 x14ac:dyDescent="0.3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 x14ac:dyDescent="0.3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 x14ac:dyDescent="0.3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 x14ac:dyDescent="0.3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 x14ac:dyDescent="0.4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 x14ac:dyDescent="0.4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 x14ac:dyDescent="0.35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G418" sqref="G418"/>
    </sheetView>
  </sheetViews>
  <sheetFormatPr defaultColWidth="8.54296875" defaultRowHeight="14.5" x14ac:dyDescent="0.3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1640625" style="20" hidden="1" customWidth="1"/>
    <col min="7" max="7" width="13" style="20" customWidth="1"/>
    <col min="8" max="8" width="15.81640625" style="20" hidden="1" customWidth="1"/>
    <col min="9" max="10" width="13.81640625" style="20" hidden="1" customWidth="1"/>
    <col min="11" max="11" width="14" style="20" customWidth="1"/>
    <col min="12" max="12" width="32.81640625" style="20" customWidth="1"/>
    <col min="13" max="13" width="30.453125" style="20" customWidth="1"/>
    <col min="14" max="14" width="46.453125" style="20" customWidth="1"/>
    <col min="15" max="15" width="12" style="20" customWidth="1"/>
    <col min="16" max="16" width="16.453125" style="21" customWidth="1"/>
    <col min="17" max="17" width="14" style="20" customWidth="1"/>
    <col min="18" max="18" width="56.54296875" style="20" customWidth="1"/>
    <col min="19" max="19" width="31.54296875" customWidth="1"/>
    <col min="20" max="20" width="14.81640625" hidden="1" customWidth="1"/>
  </cols>
  <sheetData>
    <row r="1" spans="1:20" ht="37.5" customHeight="1" x14ac:dyDescent="0.3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 x14ac:dyDescent="0.3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 x14ac:dyDescent="0.3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 x14ac:dyDescent="0.3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 x14ac:dyDescent="0.3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 x14ac:dyDescent="0.3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 x14ac:dyDescent="0.3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 x14ac:dyDescent="0.3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 x14ac:dyDescent="0.35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 x14ac:dyDescent="0.3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 x14ac:dyDescent="0.3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 x14ac:dyDescent="0.3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 x14ac:dyDescent="0.4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 x14ac:dyDescent="0.4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 x14ac:dyDescent="0.35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 x14ac:dyDescent="0.35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 x14ac:dyDescent="0.35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 x14ac:dyDescent="0.35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 x14ac:dyDescent="0.35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 x14ac:dyDescent="0.35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 x14ac:dyDescent="0.35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 x14ac:dyDescent="0.35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 x14ac:dyDescent="0.35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 x14ac:dyDescent="0.35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 x14ac:dyDescent="0.35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 x14ac:dyDescent="0.4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 x14ac:dyDescent="0.4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 x14ac:dyDescent="0.35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 x14ac:dyDescent="0.35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 x14ac:dyDescent="0.3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 x14ac:dyDescent="0.35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 x14ac:dyDescent="0.35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 x14ac:dyDescent="0.35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 x14ac:dyDescent="0.35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 x14ac:dyDescent="0.35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 x14ac:dyDescent="0.35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 x14ac:dyDescent="0.35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 x14ac:dyDescent="0.35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 x14ac:dyDescent="0.35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 x14ac:dyDescent="0.4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 x14ac:dyDescent="0.4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 x14ac:dyDescent="0.3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 x14ac:dyDescent="0.3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 x14ac:dyDescent="0.35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 x14ac:dyDescent="0.35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 x14ac:dyDescent="0.35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 x14ac:dyDescent="0.35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 x14ac:dyDescent="0.35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 x14ac:dyDescent="0.35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 x14ac:dyDescent="0.35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 x14ac:dyDescent="0.35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 x14ac:dyDescent="0.35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 x14ac:dyDescent="0.4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 x14ac:dyDescent="0.4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 x14ac:dyDescent="0.35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 x14ac:dyDescent="0.3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 x14ac:dyDescent="0.3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 x14ac:dyDescent="0.3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 x14ac:dyDescent="0.35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 x14ac:dyDescent="0.35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 x14ac:dyDescent="0.35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 x14ac:dyDescent="0.35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 x14ac:dyDescent="0.35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 x14ac:dyDescent="0.35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 x14ac:dyDescent="0.35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 x14ac:dyDescent="0.35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 x14ac:dyDescent="0.4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 x14ac:dyDescent="0.4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 x14ac:dyDescent="0.3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 x14ac:dyDescent="0.3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 x14ac:dyDescent="0.3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 x14ac:dyDescent="0.3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 x14ac:dyDescent="0.3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 x14ac:dyDescent="0.3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 x14ac:dyDescent="0.3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 x14ac:dyDescent="0.3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 x14ac:dyDescent="0.3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 x14ac:dyDescent="0.35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 x14ac:dyDescent="0.3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 x14ac:dyDescent="0.4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 x14ac:dyDescent="0.4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 x14ac:dyDescent="0.35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 x14ac:dyDescent="0.35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 x14ac:dyDescent="0.3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 x14ac:dyDescent="0.3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 x14ac:dyDescent="0.3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 x14ac:dyDescent="0.3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 x14ac:dyDescent="0.3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 x14ac:dyDescent="0.3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 x14ac:dyDescent="0.3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 x14ac:dyDescent="0.3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 x14ac:dyDescent="0.3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 x14ac:dyDescent="0.3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 x14ac:dyDescent="0.4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 x14ac:dyDescent="0.4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 x14ac:dyDescent="0.3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 x14ac:dyDescent="0.3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 x14ac:dyDescent="0.3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 x14ac:dyDescent="0.3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 x14ac:dyDescent="0.3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 x14ac:dyDescent="0.3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 x14ac:dyDescent="0.3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 x14ac:dyDescent="0.3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 x14ac:dyDescent="0.3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 x14ac:dyDescent="0.3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 x14ac:dyDescent="0.3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 x14ac:dyDescent="0.4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 x14ac:dyDescent="0.4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 x14ac:dyDescent="0.35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 x14ac:dyDescent="0.3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 x14ac:dyDescent="0.3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 x14ac:dyDescent="0.3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 x14ac:dyDescent="0.3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 x14ac:dyDescent="0.3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 x14ac:dyDescent="0.3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 x14ac:dyDescent="0.3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 x14ac:dyDescent="0.3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 x14ac:dyDescent="0.3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 x14ac:dyDescent="0.3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 x14ac:dyDescent="0.3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 x14ac:dyDescent="0.4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 x14ac:dyDescent="0.4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 x14ac:dyDescent="0.3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 x14ac:dyDescent="0.3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 x14ac:dyDescent="0.3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 x14ac:dyDescent="0.3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 x14ac:dyDescent="0.3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 x14ac:dyDescent="0.3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 x14ac:dyDescent="0.3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 x14ac:dyDescent="0.3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 x14ac:dyDescent="0.3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 x14ac:dyDescent="0.3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 x14ac:dyDescent="0.3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 x14ac:dyDescent="0.4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 x14ac:dyDescent="0.4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 x14ac:dyDescent="0.35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 x14ac:dyDescent="0.3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 x14ac:dyDescent="0.3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 x14ac:dyDescent="0.3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 x14ac:dyDescent="0.3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 x14ac:dyDescent="0.3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 x14ac:dyDescent="0.3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 x14ac:dyDescent="0.3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 x14ac:dyDescent="0.3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 x14ac:dyDescent="0.3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3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 x14ac:dyDescent="0.3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4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4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 x14ac:dyDescent="0.3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 x14ac:dyDescent="0.3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 x14ac:dyDescent="0.3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 x14ac:dyDescent="0.3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 x14ac:dyDescent="0.3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3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3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3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3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3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3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4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4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 x14ac:dyDescent="0.35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 x14ac:dyDescent="0.3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 x14ac:dyDescent="0.3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 x14ac:dyDescent="0.3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 x14ac:dyDescent="0.3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 x14ac:dyDescent="0.3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 x14ac:dyDescent="0.3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 x14ac:dyDescent="0.3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 x14ac:dyDescent="0.3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 x14ac:dyDescent="0.3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 x14ac:dyDescent="0.3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 x14ac:dyDescent="0.3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4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4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 x14ac:dyDescent="0.3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 x14ac:dyDescent="0.3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 x14ac:dyDescent="0.3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 x14ac:dyDescent="0.3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 x14ac:dyDescent="0.3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 x14ac:dyDescent="0.3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 x14ac:dyDescent="0.3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 x14ac:dyDescent="0.3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 x14ac:dyDescent="0.3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 x14ac:dyDescent="0.3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3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4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4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 x14ac:dyDescent="0.35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 x14ac:dyDescent="0.3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 x14ac:dyDescent="0.3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 x14ac:dyDescent="0.3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 x14ac:dyDescent="0.3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 x14ac:dyDescent="0.3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 x14ac:dyDescent="0.3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 x14ac:dyDescent="0.3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 x14ac:dyDescent="0.3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 x14ac:dyDescent="0.3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 x14ac:dyDescent="0.3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 x14ac:dyDescent="0.3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 x14ac:dyDescent="0.4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4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 x14ac:dyDescent="0.3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 x14ac:dyDescent="0.3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 x14ac:dyDescent="0.3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 x14ac:dyDescent="0.3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 x14ac:dyDescent="0.3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 x14ac:dyDescent="0.3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 x14ac:dyDescent="0.3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 x14ac:dyDescent="0.3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 x14ac:dyDescent="0.3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 x14ac:dyDescent="0.3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 x14ac:dyDescent="0.3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 x14ac:dyDescent="0.4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 x14ac:dyDescent="0.4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 x14ac:dyDescent="0.35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 x14ac:dyDescent="0.3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 x14ac:dyDescent="0.3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 x14ac:dyDescent="0.3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 x14ac:dyDescent="0.3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 x14ac:dyDescent="0.3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 x14ac:dyDescent="0.3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 x14ac:dyDescent="0.3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 x14ac:dyDescent="0.3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 x14ac:dyDescent="0.3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 x14ac:dyDescent="0.3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 x14ac:dyDescent="0.3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 x14ac:dyDescent="0.4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 x14ac:dyDescent="0.4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 x14ac:dyDescent="0.3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 x14ac:dyDescent="0.3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 x14ac:dyDescent="0.3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 x14ac:dyDescent="0.3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 x14ac:dyDescent="0.3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 x14ac:dyDescent="0.3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 x14ac:dyDescent="0.3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 x14ac:dyDescent="0.3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 x14ac:dyDescent="0.3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 x14ac:dyDescent="0.3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 x14ac:dyDescent="0.3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 x14ac:dyDescent="0.4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 x14ac:dyDescent="0.4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 x14ac:dyDescent="0.35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 x14ac:dyDescent="0.3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 x14ac:dyDescent="0.3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 x14ac:dyDescent="0.3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 x14ac:dyDescent="0.3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 x14ac:dyDescent="0.3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 x14ac:dyDescent="0.3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 x14ac:dyDescent="0.3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 x14ac:dyDescent="0.3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 x14ac:dyDescent="0.3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 x14ac:dyDescent="0.3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 x14ac:dyDescent="0.3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 x14ac:dyDescent="0.4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 x14ac:dyDescent="0.4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 x14ac:dyDescent="0.35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 x14ac:dyDescent="0.35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 x14ac:dyDescent="0.35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 x14ac:dyDescent="0.35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 x14ac:dyDescent="0.35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 x14ac:dyDescent="0.35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 x14ac:dyDescent="0.35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 x14ac:dyDescent="0.35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 x14ac:dyDescent="0.35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 x14ac:dyDescent="0.35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 x14ac:dyDescent="0.35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 x14ac:dyDescent="0.4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 x14ac:dyDescent="0.4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 x14ac:dyDescent="0.35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 x14ac:dyDescent="0.3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 x14ac:dyDescent="0.35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 x14ac:dyDescent="0.35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 x14ac:dyDescent="0.35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 x14ac:dyDescent="0.35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 x14ac:dyDescent="0.35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 x14ac:dyDescent="0.35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 x14ac:dyDescent="0.35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 x14ac:dyDescent="0.35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 x14ac:dyDescent="0.35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 x14ac:dyDescent="0.35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 x14ac:dyDescent="0.4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 x14ac:dyDescent="0.4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 x14ac:dyDescent="0.35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 x14ac:dyDescent="0.35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 x14ac:dyDescent="0.35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 x14ac:dyDescent="0.35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 x14ac:dyDescent="0.35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 x14ac:dyDescent="0.35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 x14ac:dyDescent="0.35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 x14ac:dyDescent="0.35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 x14ac:dyDescent="0.35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 x14ac:dyDescent="0.35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 x14ac:dyDescent="0.35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 x14ac:dyDescent="0.4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 x14ac:dyDescent="0.4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 x14ac:dyDescent="0.35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 x14ac:dyDescent="0.35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 x14ac:dyDescent="0.35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 x14ac:dyDescent="0.35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 x14ac:dyDescent="0.35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 x14ac:dyDescent="0.35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 x14ac:dyDescent="0.35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 x14ac:dyDescent="0.35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 x14ac:dyDescent="0.35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 x14ac:dyDescent="0.35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 x14ac:dyDescent="0.35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 x14ac:dyDescent="0.35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 x14ac:dyDescent="0.4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 x14ac:dyDescent="0.4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 x14ac:dyDescent="0.35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 x14ac:dyDescent="0.35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 x14ac:dyDescent="0.35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 x14ac:dyDescent="0.35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 x14ac:dyDescent="0.35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 x14ac:dyDescent="0.35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 x14ac:dyDescent="0.35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 x14ac:dyDescent="0.35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 x14ac:dyDescent="0.35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 x14ac:dyDescent="0.35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 x14ac:dyDescent="0.35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 x14ac:dyDescent="0.4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 x14ac:dyDescent="0.4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 x14ac:dyDescent="0.35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 x14ac:dyDescent="0.3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 x14ac:dyDescent="0.35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 x14ac:dyDescent="0.35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 x14ac:dyDescent="0.35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 x14ac:dyDescent="0.35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 x14ac:dyDescent="0.35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 x14ac:dyDescent="0.35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 x14ac:dyDescent="0.35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 x14ac:dyDescent="0.35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 x14ac:dyDescent="0.35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 x14ac:dyDescent="0.35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 x14ac:dyDescent="0.4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 x14ac:dyDescent="0.4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 x14ac:dyDescent="0.3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 x14ac:dyDescent="0.35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 x14ac:dyDescent="0.35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 x14ac:dyDescent="0.35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 x14ac:dyDescent="0.35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 x14ac:dyDescent="0.35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 x14ac:dyDescent="0.35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 x14ac:dyDescent="0.35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 x14ac:dyDescent="0.35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 x14ac:dyDescent="0.35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 x14ac:dyDescent="0.35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 x14ac:dyDescent="0.4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 x14ac:dyDescent="0.4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 x14ac:dyDescent="0.35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 x14ac:dyDescent="0.3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 x14ac:dyDescent="0.35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 x14ac:dyDescent="0.35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 x14ac:dyDescent="0.35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 x14ac:dyDescent="0.35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 x14ac:dyDescent="0.35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 x14ac:dyDescent="0.35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 x14ac:dyDescent="0.35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 x14ac:dyDescent="0.35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 x14ac:dyDescent="0.35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 x14ac:dyDescent="0.35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 x14ac:dyDescent="0.4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 x14ac:dyDescent="0.4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 x14ac:dyDescent="0.3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 x14ac:dyDescent="0.35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 x14ac:dyDescent="0.35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 x14ac:dyDescent="0.35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 x14ac:dyDescent="0.35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 x14ac:dyDescent="0.35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 x14ac:dyDescent="0.35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 x14ac:dyDescent="0.35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 x14ac:dyDescent="0.35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 x14ac:dyDescent="0.35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 x14ac:dyDescent="0.35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 x14ac:dyDescent="0.4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 x14ac:dyDescent="0.4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 x14ac:dyDescent="0.35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 x14ac:dyDescent="0.35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 x14ac:dyDescent="0.35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 x14ac:dyDescent="0.35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 x14ac:dyDescent="0.35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 x14ac:dyDescent="0.35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 x14ac:dyDescent="0.35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 x14ac:dyDescent="0.35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 x14ac:dyDescent="0.35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 x14ac:dyDescent="0.35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 x14ac:dyDescent="0.35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 x14ac:dyDescent="0.35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 x14ac:dyDescent="0.4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 x14ac:dyDescent="0.4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 x14ac:dyDescent="0.3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 x14ac:dyDescent="0.35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 x14ac:dyDescent="0.35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 x14ac:dyDescent="0.35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 x14ac:dyDescent="0.35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 x14ac:dyDescent="0.35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 x14ac:dyDescent="0.35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 x14ac:dyDescent="0.35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 x14ac:dyDescent="0.35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 x14ac:dyDescent="0.35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 x14ac:dyDescent="0.35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 x14ac:dyDescent="0.4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 x14ac:dyDescent="0.4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 x14ac:dyDescent="0.35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 x14ac:dyDescent="0.3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0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 x14ac:dyDescent="0.35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0</v>
      </c>
      <c r="I408" s="135">
        <f>IFERROR(IF($D408="","",VLOOKUP($D408,Cadastro!$C$4:$G$7,5,FALSE)),"")</f>
        <v>0.6</v>
      </c>
      <c r="J408" s="136">
        <f t="shared" si="96"/>
        <v>0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/>
      <c r="Q408" s="30">
        <f t="shared" ca="1" si="98"/>
        <v>3.4502083333791234E-2</v>
      </c>
      <c r="R408" s="27" t="s">
        <v>323</v>
      </c>
      <c r="S408" s="47"/>
    </row>
    <row r="409" spans="1:20" ht="15" customHeight="1" x14ac:dyDescent="0.35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0</v>
      </c>
      <c r="I409" s="135">
        <f>IFERROR(IF($D409="","",VLOOKUP($D409,Cadastro!$C$4:$G$7,5,FALSE)),"")</f>
        <v>0.6</v>
      </c>
      <c r="J409" s="136">
        <f t="shared" si="96"/>
        <v>0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 x14ac:dyDescent="0.35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0</v>
      </c>
      <c r="I410" s="135">
        <f>IFERROR(IF($D410="","",VLOOKUP($D410,Cadastro!$C$4:$G$7,5,FALSE)),"")</f>
        <v>0.6</v>
      </c>
      <c r="J410" s="136">
        <f t="shared" si="96"/>
        <v>0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 x14ac:dyDescent="0.35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0</v>
      </c>
      <c r="I411" s="135">
        <f>IFERROR(IF($D411="","",VLOOKUP($D411,Cadastro!$C$4:$G$7,5,FALSE)),"")</f>
        <v>0.6</v>
      </c>
      <c r="J411" s="136">
        <f t="shared" si="96"/>
        <v>0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 x14ac:dyDescent="0.35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0</v>
      </c>
      <c r="I412" s="135">
        <f>IFERROR(IF($D412="","",VLOOKUP($D412,Cadastro!$C$4:$G$7,5,FALSE)),"")</f>
        <v>0.6</v>
      </c>
      <c r="J412" s="136">
        <f t="shared" si="96"/>
        <v>0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 x14ac:dyDescent="0.35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0</v>
      </c>
      <c r="I413" s="135">
        <f>IFERROR(IF($D413="","",VLOOKUP($D413,Cadastro!$C$4:$G$7,5,FALSE)),"")</f>
        <v>0.6</v>
      </c>
      <c r="J413" s="136">
        <f t="shared" si="96"/>
        <v>0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 x14ac:dyDescent="0.35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0</v>
      </c>
      <c r="I414" s="135">
        <f>IFERROR(IF($D414="","",VLOOKUP($D414,Cadastro!$C$4:$G$7,5,FALSE)),"")</f>
        <v>0.6</v>
      </c>
      <c r="J414" s="136">
        <f t="shared" si="96"/>
        <v>0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 x14ac:dyDescent="0.35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0</v>
      </c>
      <c r="I415" s="135">
        <f>IFERROR(IF($D415="","",VLOOKUP($D415,Cadastro!$C$4:$G$7,5,FALSE)),"")</f>
        <v>0.6</v>
      </c>
      <c r="J415" s="136">
        <f t="shared" si="96"/>
        <v>0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 x14ac:dyDescent="0.35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0</v>
      </c>
      <c r="I416" s="135">
        <f>IFERROR(IF($D416="","",VLOOKUP($D416,Cadastro!$C$4:$G$7,5,FALSE)),"")</f>
        <v>0.6</v>
      </c>
      <c r="J416" s="136">
        <f t="shared" si="96"/>
        <v>0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 x14ac:dyDescent="0.35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0</v>
      </c>
      <c r="I417" s="135">
        <f>IFERROR(IF($D417="","",VLOOKUP($D417,Cadastro!$C$4:$G$7,5,FALSE)),"")</f>
        <v>0.6</v>
      </c>
      <c r="J417" s="136">
        <f t="shared" si="96"/>
        <v>0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 x14ac:dyDescent="0.4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 x14ac:dyDescent="0.4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6.9224305556013443E-2</v>
      </c>
      <c r="R419" s="36" t="s">
        <v>245</v>
      </c>
      <c r="S419" s="39"/>
      <c r="T419" s="119">
        <f>IFERROR(J419,"")</f>
        <v>0</v>
      </c>
    </row>
    <row r="420" spans="1:20" ht="15" customHeight="1" x14ac:dyDescent="0.3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 x14ac:dyDescent="0.35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 x14ac:dyDescent="0.35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 x14ac:dyDescent="0.35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 x14ac:dyDescent="0.35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 x14ac:dyDescent="0.35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 x14ac:dyDescent="0.35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 x14ac:dyDescent="0.35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 x14ac:dyDescent="0.35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 x14ac:dyDescent="0.35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 x14ac:dyDescent="0.35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 x14ac:dyDescent="0.4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 x14ac:dyDescent="0.4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 x14ac:dyDescent="0.35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121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508.20000000000005</v>
      </c>
      <c r="L433" s="41"/>
      <c r="M433" s="41"/>
      <c r="N433" s="41"/>
      <c r="O433" s="41"/>
      <c r="P433" s="41"/>
      <c r="Q433" s="42">
        <f ca="1">IFERROR(Q419+Q432,"")</f>
        <v>6.9224305556013443E-2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 x14ac:dyDescent="0.3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 x14ac:dyDescent="0.35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 x14ac:dyDescent="0.35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 x14ac:dyDescent="0.35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 x14ac:dyDescent="0.35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 x14ac:dyDescent="0.35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 x14ac:dyDescent="0.35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 x14ac:dyDescent="0.35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 x14ac:dyDescent="0.35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 x14ac:dyDescent="0.35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 x14ac:dyDescent="0.35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 x14ac:dyDescent="0.4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 x14ac:dyDescent="0.4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 x14ac:dyDescent="0.3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 x14ac:dyDescent="0.35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 x14ac:dyDescent="0.35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 x14ac:dyDescent="0.35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 x14ac:dyDescent="0.35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 x14ac:dyDescent="0.35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 x14ac:dyDescent="0.35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 x14ac:dyDescent="0.35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 x14ac:dyDescent="0.35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 x14ac:dyDescent="0.35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 x14ac:dyDescent="0.35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 x14ac:dyDescent="0.4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 x14ac:dyDescent="0.4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 x14ac:dyDescent="0.35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 x14ac:dyDescent="0.3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 x14ac:dyDescent="0.35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 x14ac:dyDescent="0.35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 x14ac:dyDescent="0.35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 x14ac:dyDescent="0.35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 x14ac:dyDescent="0.35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 x14ac:dyDescent="0.35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 x14ac:dyDescent="0.35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 x14ac:dyDescent="0.35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 x14ac:dyDescent="0.35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 x14ac:dyDescent="0.35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 x14ac:dyDescent="0.4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 x14ac:dyDescent="0.4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 x14ac:dyDescent="0.3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 x14ac:dyDescent="0.35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 x14ac:dyDescent="0.35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 x14ac:dyDescent="0.35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 x14ac:dyDescent="0.35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 x14ac:dyDescent="0.35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 x14ac:dyDescent="0.35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 x14ac:dyDescent="0.35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 x14ac:dyDescent="0.35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 x14ac:dyDescent="0.35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 x14ac:dyDescent="0.35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 x14ac:dyDescent="0.4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 x14ac:dyDescent="0.4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 x14ac:dyDescent="0.35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 x14ac:dyDescent="0.3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 x14ac:dyDescent="0.35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 x14ac:dyDescent="0.35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 x14ac:dyDescent="0.35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 x14ac:dyDescent="0.35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 x14ac:dyDescent="0.35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 x14ac:dyDescent="0.35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 x14ac:dyDescent="0.35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 x14ac:dyDescent="0.35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 x14ac:dyDescent="0.35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 x14ac:dyDescent="0.35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 x14ac:dyDescent="0.4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 x14ac:dyDescent="0.4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 x14ac:dyDescent="0.3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 x14ac:dyDescent="0.35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 x14ac:dyDescent="0.35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 x14ac:dyDescent="0.35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 x14ac:dyDescent="0.35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 x14ac:dyDescent="0.35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 x14ac:dyDescent="0.35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 x14ac:dyDescent="0.35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 x14ac:dyDescent="0.35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 x14ac:dyDescent="0.35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 x14ac:dyDescent="0.35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 x14ac:dyDescent="0.4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 x14ac:dyDescent="0.4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 x14ac:dyDescent="0.35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 x14ac:dyDescent="0.3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 x14ac:dyDescent="0.35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 x14ac:dyDescent="0.35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 x14ac:dyDescent="0.35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 x14ac:dyDescent="0.35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 x14ac:dyDescent="0.35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 x14ac:dyDescent="0.35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 x14ac:dyDescent="0.35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 x14ac:dyDescent="0.35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 x14ac:dyDescent="0.35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 x14ac:dyDescent="0.35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 x14ac:dyDescent="0.4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 x14ac:dyDescent="0.4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 x14ac:dyDescent="0.3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 x14ac:dyDescent="0.35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 x14ac:dyDescent="0.35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 x14ac:dyDescent="0.35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 x14ac:dyDescent="0.35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 x14ac:dyDescent="0.35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 x14ac:dyDescent="0.35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 x14ac:dyDescent="0.35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 x14ac:dyDescent="0.35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 x14ac:dyDescent="0.35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 x14ac:dyDescent="0.35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 x14ac:dyDescent="0.4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 x14ac:dyDescent="0.4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 x14ac:dyDescent="0.35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 x14ac:dyDescent="0.3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 x14ac:dyDescent="0.35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 x14ac:dyDescent="0.35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 x14ac:dyDescent="0.35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 x14ac:dyDescent="0.35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 x14ac:dyDescent="0.35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 x14ac:dyDescent="0.35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 x14ac:dyDescent="0.35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 x14ac:dyDescent="0.35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 x14ac:dyDescent="0.35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 x14ac:dyDescent="0.35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 x14ac:dyDescent="0.4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 x14ac:dyDescent="0.4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 x14ac:dyDescent="0.3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 x14ac:dyDescent="0.35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 x14ac:dyDescent="0.35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 x14ac:dyDescent="0.35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 x14ac:dyDescent="0.35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 x14ac:dyDescent="0.35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 x14ac:dyDescent="0.35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 x14ac:dyDescent="0.35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 x14ac:dyDescent="0.35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 x14ac:dyDescent="0.35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 x14ac:dyDescent="0.35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 x14ac:dyDescent="0.4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 x14ac:dyDescent="0.4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 x14ac:dyDescent="0.35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 x14ac:dyDescent="0.3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 x14ac:dyDescent="0.35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 x14ac:dyDescent="0.35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 x14ac:dyDescent="0.35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 x14ac:dyDescent="0.35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 x14ac:dyDescent="0.35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 x14ac:dyDescent="0.35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 x14ac:dyDescent="0.35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 x14ac:dyDescent="0.35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 x14ac:dyDescent="0.35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 x14ac:dyDescent="0.35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 x14ac:dyDescent="0.4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 x14ac:dyDescent="0.4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 x14ac:dyDescent="0.3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 x14ac:dyDescent="0.35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 x14ac:dyDescent="0.35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 x14ac:dyDescent="0.35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 x14ac:dyDescent="0.35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 x14ac:dyDescent="0.35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 x14ac:dyDescent="0.35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 x14ac:dyDescent="0.35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 x14ac:dyDescent="0.35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 x14ac:dyDescent="0.35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 x14ac:dyDescent="0.35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 x14ac:dyDescent="0.4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 x14ac:dyDescent="0.4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 x14ac:dyDescent="0.35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 x14ac:dyDescent="0.3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 x14ac:dyDescent="0.35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 x14ac:dyDescent="0.35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 x14ac:dyDescent="0.35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 x14ac:dyDescent="0.35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 x14ac:dyDescent="0.35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 x14ac:dyDescent="0.35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 x14ac:dyDescent="0.35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 x14ac:dyDescent="0.35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 x14ac:dyDescent="0.35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 x14ac:dyDescent="0.35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 x14ac:dyDescent="0.4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 x14ac:dyDescent="0.4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 x14ac:dyDescent="0.3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 x14ac:dyDescent="0.35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 x14ac:dyDescent="0.35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 x14ac:dyDescent="0.35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 x14ac:dyDescent="0.35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 x14ac:dyDescent="0.35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 x14ac:dyDescent="0.35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 x14ac:dyDescent="0.35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 x14ac:dyDescent="0.35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 x14ac:dyDescent="0.35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 x14ac:dyDescent="0.35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 x14ac:dyDescent="0.4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 x14ac:dyDescent="0.4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 x14ac:dyDescent="0.35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 x14ac:dyDescent="0.3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 x14ac:dyDescent="0.35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 x14ac:dyDescent="0.35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 x14ac:dyDescent="0.35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 x14ac:dyDescent="0.35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 x14ac:dyDescent="0.35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 x14ac:dyDescent="0.35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 x14ac:dyDescent="0.35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 x14ac:dyDescent="0.35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 x14ac:dyDescent="0.35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 x14ac:dyDescent="0.35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 x14ac:dyDescent="0.4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 x14ac:dyDescent="0.4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 x14ac:dyDescent="0.3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 x14ac:dyDescent="0.35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 x14ac:dyDescent="0.35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 x14ac:dyDescent="0.35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 x14ac:dyDescent="0.35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 x14ac:dyDescent="0.35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 x14ac:dyDescent="0.35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 x14ac:dyDescent="0.35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 x14ac:dyDescent="0.35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 x14ac:dyDescent="0.35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 x14ac:dyDescent="0.35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 x14ac:dyDescent="0.4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 x14ac:dyDescent="0.4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 x14ac:dyDescent="0.35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 x14ac:dyDescent="0.3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 x14ac:dyDescent="0.35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 x14ac:dyDescent="0.35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 x14ac:dyDescent="0.35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 x14ac:dyDescent="0.35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 x14ac:dyDescent="0.35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 x14ac:dyDescent="0.35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 x14ac:dyDescent="0.35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 x14ac:dyDescent="0.35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 x14ac:dyDescent="0.35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 x14ac:dyDescent="0.35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 x14ac:dyDescent="0.4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 x14ac:dyDescent="0.4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 x14ac:dyDescent="0.3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 x14ac:dyDescent="0.35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 x14ac:dyDescent="0.35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 x14ac:dyDescent="0.35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 x14ac:dyDescent="0.35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 x14ac:dyDescent="0.35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 x14ac:dyDescent="0.35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 x14ac:dyDescent="0.35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 x14ac:dyDescent="0.35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 x14ac:dyDescent="0.35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 x14ac:dyDescent="0.35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 x14ac:dyDescent="0.4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 x14ac:dyDescent="0.4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 x14ac:dyDescent="0.35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 x14ac:dyDescent="0.3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 x14ac:dyDescent="0.35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 x14ac:dyDescent="0.35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 x14ac:dyDescent="0.35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 x14ac:dyDescent="0.35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 x14ac:dyDescent="0.35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 x14ac:dyDescent="0.35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 x14ac:dyDescent="0.35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 x14ac:dyDescent="0.35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 x14ac:dyDescent="0.35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 x14ac:dyDescent="0.35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 x14ac:dyDescent="0.4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 x14ac:dyDescent="0.4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 x14ac:dyDescent="0.3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 x14ac:dyDescent="0.35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 x14ac:dyDescent="0.35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 x14ac:dyDescent="0.35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 x14ac:dyDescent="0.35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 x14ac:dyDescent="0.35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 x14ac:dyDescent="0.35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 x14ac:dyDescent="0.35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 x14ac:dyDescent="0.35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 x14ac:dyDescent="0.35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 x14ac:dyDescent="0.35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 x14ac:dyDescent="0.4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 x14ac:dyDescent="0.4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 x14ac:dyDescent="0.35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 x14ac:dyDescent="0.3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 x14ac:dyDescent="0.35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 x14ac:dyDescent="0.35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 x14ac:dyDescent="0.35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 x14ac:dyDescent="0.35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 x14ac:dyDescent="0.35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 x14ac:dyDescent="0.35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 x14ac:dyDescent="0.35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 x14ac:dyDescent="0.35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 x14ac:dyDescent="0.35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 x14ac:dyDescent="0.35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 x14ac:dyDescent="0.4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 x14ac:dyDescent="0.4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 x14ac:dyDescent="0.3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 x14ac:dyDescent="0.35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 x14ac:dyDescent="0.35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 x14ac:dyDescent="0.35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 x14ac:dyDescent="0.35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 x14ac:dyDescent="0.35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 x14ac:dyDescent="0.35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 x14ac:dyDescent="0.35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 x14ac:dyDescent="0.35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 x14ac:dyDescent="0.35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 x14ac:dyDescent="0.35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 x14ac:dyDescent="0.4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 x14ac:dyDescent="0.4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 x14ac:dyDescent="0.35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 x14ac:dyDescent="0.3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 x14ac:dyDescent="0.35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 x14ac:dyDescent="0.35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 x14ac:dyDescent="0.35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 x14ac:dyDescent="0.35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 x14ac:dyDescent="0.35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 x14ac:dyDescent="0.35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 x14ac:dyDescent="0.35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 x14ac:dyDescent="0.35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 x14ac:dyDescent="0.35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 x14ac:dyDescent="0.35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 x14ac:dyDescent="0.4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 x14ac:dyDescent="0.4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 x14ac:dyDescent="0.3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 x14ac:dyDescent="0.35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 x14ac:dyDescent="0.35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 x14ac:dyDescent="0.35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 x14ac:dyDescent="0.35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 x14ac:dyDescent="0.35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 x14ac:dyDescent="0.35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 x14ac:dyDescent="0.35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 x14ac:dyDescent="0.35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 x14ac:dyDescent="0.35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 x14ac:dyDescent="0.35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 x14ac:dyDescent="0.4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 x14ac:dyDescent="0.4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35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 x14ac:dyDescent="0.3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 x14ac:dyDescent="0.35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 x14ac:dyDescent="0.35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 x14ac:dyDescent="0.35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 x14ac:dyDescent="0.35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 x14ac:dyDescent="0.35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 x14ac:dyDescent="0.35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 x14ac:dyDescent="0.35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 x14ac:dyDescent="0.35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 x14ac:dyDescent="0.35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 x14ac:dyDescent="0.35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 x14ac:dyDescent="0.4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 x14ac:dyDescent="0.4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 x14ac:dyDescent="0.3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 x14ac:dyDescent="0.35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 x14ac:dyDescent="0.35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 x14ac:dyDescent="0.35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 x14ac:dyDescent="0.35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 x14ac:dyDescent="0.35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 x14ac:dyDescent="0.35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 x14ac:dyDescent="0.35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 x14ac:dyDescent="0.35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 x14ac:dyDescent="0.35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 x14ac:dyDescent="0.35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 x14ac:dyDescent="0.4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 x14ac:dyDescent="0.4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35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 x14ac:dyDescent="0.3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 x14ac:dyDescent="0.35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 x14ac:dyDescent="0.35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 x14ac:dyDescent="0.35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 x14ac:dyDescent="0.35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 x14ac:dyDescent="0.35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 x14ac:dyDescent="0.35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 x14ac:dyDescent="0.35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 x14ac:dyDescent="0.35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 x14ac:dyDescent="0.35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 x14ac:dyDescent="0.35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 x14ac:dyDescent="0.4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 x14ac:dyDescent="0.4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 x14ac:dyDescent="0.3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 x14ac:dyDescent="0.35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 x14ac:dyDescent="0.35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 x14ac:dyDescent="0.35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 x14ac:dyDescent="0.35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 x14ac:dyDescent="0.35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 x14ac:dyDescent="0.35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 x14ac:dyDescent="0.35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 x14ac:dyDescent="0.35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 x14ac:dyDescent="0.35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 x14ac:dyDescent="0.35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 x14ac:dyDescent="0.4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 x14ac:dyDescent="0.4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35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 x14ac:dyDescent="0.3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 x14ac:dyDescent="0.35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 x14ac:dyDescent="0.35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 x14ac:dyDescent="0.35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 x14ac:dyDescent="0.35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 x14ac:dyDescent="0.35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 x14ac:dyDescent="0.35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 x14ac:dyDescent="0.35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 x14ac:dyDescent="0.35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 x14ac:dyDescent="0.35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 x14ac:dyDescent="0.35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 x14ac:dyDescent="0.4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 x14ac:dyDescent="0.4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 x14ac:dyDescent="0.3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 x14ac:dyDescent="0.35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 x14ac:dyDescent="0.35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 x14ac:dyDescent="0.35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 x14ac:dyDescent="0.35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 x14ac:dyDescent="0.35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 x14ac:dyDescent="0.35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 x14ac:dyDescent="0.35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 x14ac:dyDescent="0.35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 x14ac:dyDescent="0.35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 x14ac:dyDescent="0.35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 x14ac:dyDescent="0.4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 x14ac:dyDescent="0.4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 x14ac:dyDescent="0.35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76" activePane="bottomLeft" state="frozen"/>
      <selection pane="bottomLeft" activeCell="P413" sqref="P413"/>
    </sheetView>
  </sheetViews>
  <sheetFormatPr defaultColWidth="8.54296875" defaultRowHeight="14.5" x14ac:dyDescent="0.3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1640625" style="57" hidden="1" customWidth="1"/>
    <col min="7" max="7" width="13" style="57" customWidth="1"/>
    <col min="8" max="8" width="15.81640625" style="57" hidden="1" customWidth="1"/>
    <col min="9" max="10" width="13.81640625" style="57" hidden="1" customWidth="1"/>
    <col min="11" max="11" width="14" style="57" customWidth="1"/>
    <col min="12" max="12" width="36" style="57" customWidth="1"/>
    <col min="13" max="13" width="25.1796875" style="57" customWidth="1"/>
    <col min="14" max="14" width="42.1796875" style="57" customWidth="1"/>
    <col min="15" max="15" width="18.453125" style="57" customWidth="1"/>
    <col min="16" max="16" width="14" style="58" customWidth="1"/>
    <col min="17" max="17" width="14" style="57" customWidth="1"/>
    <col min="18" max="18" width="64.81640625" style="57" customWidth="1"/>
    <col min="19" max="19" width="25.54296875" customWidth="1"/>
    <col min="20" max="20" width="14.81640625" hidden="1" customWidth="1"/>
  </cols>
  <sheetData>
    <row r="1" spans="1:20" ht="37.5" customHeight="1" x14ac:dyDescent="0.3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 x14ac:dyDescent="0.3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 x14ac:dyDescent="0.3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 x14ac:dyDescent="0.3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 x14ac:dyDescent="0.3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 x14ac:dyDescent="0.3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 x14ac:dyDescent="0.3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 x14ac:dyDescent="0.3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 x14ac:dyDescent="0.35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 x14ac:dyDescent="0.3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 x14ac:dyDescent="0.3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 x14ac:dyDescent="0.3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 x14ac:dyDescent="0.4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 x14ac:dyDescent="0.4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 x14ac:dyDescent="0.35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 x14ac:dyDescent="0.3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324</v>
      </c>
      <c r="S16" s="60"/>
    </row>
    <row r="17" spans="1:20" ht="15" customHeight="1" x14ac:dyDescent="0.35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 x14ac:dyDescent="0.35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 x14ac:dyDescent="0.35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325</v>
      </c>
      <c r="S19" s="60"/>
    </row>
    <row r="20" spans="1:20" ht="15" customHeight="1" x14ac:dyDescent="0.35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 x14ac:dyDescent="0.35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 x14ac:dyDescent="0.35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326</v>
      </c>
      <c r="S22" s="60"/>
    </row>
    <row r="23" spans="1:20" ht="15" customHeight="1" x14ac:dyDescent="0.35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 x14ac:dyDescent="0.35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 x14ac:dyDescent="0.35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 x14ac:dyDescent="0.4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 x14ac:dyDescent="0.4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 x14ac:dyDescent="0.35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 x14ac:dyDescent="0.35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 x14ac:dyDescent="0.3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 x14ac:dyDescent="0.35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 x14ac:dyDescent="0.35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 x14ac:dyDescent="0.35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 x14ac:dyDescent="0.35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 x14ac:dyDescent="0.35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 x14ac:dyDescent="0.35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 x14ac:dyDescent="0.35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 x14ac:dyDescent="0.35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 x14ac:dyDescent="0.35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 x14ac:dyDescent="0.4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 x14ac:dyDescent="0.4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 x14ac:dyDescent="0.3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 x14ac:dyDescent="0.3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 x14ac:dyDescent="0.35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 x14ac:dyDescent="0.35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327</v>
      </c>
      <c r="S45" s="60"/>
    </row>
    <row r="46" spans="1:20" ht="15" customHeight="1" x14ac:dyDescent="0.35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 x14ac:dyDescent="0.35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 x14ac:dyDescent="0.35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 x14ac:dyDescent="0.35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 x14ac:dyDescent="0.35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 x14ac:dyDescent="0.35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 x14ac:dyDescent="0.35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 x14ac:dyDescent="0.4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 x14ac:dyDescent="0.4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 x14ac:dyDescent="0.35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 x14ac:dyDescent="0.3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 x14ac:dyDescent="0.3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 x14ac:dyDescent="0.3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 x14ac:dyDescent="0.3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328</v>
      </c>
      <c r="S59" s="60"/>
    </row>
    <row r="60" spans="1:20" ht="15" customHeight="1" x14ac:dyDescent="0.3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329</v>
      </c>
      <c r="S60" s="60"/>
    </row>
    <row r="61" spans="1:20" ht="15" customHeight="1" x14ac:dyDescent="0.3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 x14ac:dyDescent="0.3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 x14ac:dyDescent="0.3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 x14ac:dyDescent="0.3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 x14ac:dyDescent="0.3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 x14ac:dyDescent="0.3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 x14ac:dyDescent="0.4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 x14ac:dyDescent="0.4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 x14ac:dyDescent="0.3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330</v>
      </c>
      <c r="S69" s="60"/>
    </row>
    <row r="70" spans="1:20" ht="15" customHeight="1" x14ac:dyDescent="0.3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 x14ac:dyDescent="0.3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 x14ac:dyDescent="0.3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 x14ac:dyDescent="0.3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 x14ac:dyDescent="0.3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 x14ac:dyDescent="0.3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 x14ac:dyDescent="0.3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 x14ac:dyDescent="0.3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 x14ac:dyDescent="0.35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 x14ac:dyDescent="0.3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 x14ac:dyDescent="0.4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 x14ac:dyDescent="0.4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 x14ac:dyDescent="0.35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 x14ac:dyDescent="0.35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 x14ac:dyDescent="0.3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 x14ac:dyDescent="0.3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 x14ac:dyDescent="0.3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 x14ac:dyDescent="0.3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 x14ac:dyDescent="0.3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 x14ac:dyDescent="0.3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 x14ac:dyDescent="0.3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 x14ac:dyDescent="0.3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 x14ac:dyDescent="0.3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 x14ac:dyDescent="0.3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 x14ac:dyDescent="0.4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 x14ac:dyDescent="0.4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 x14ac:dyDescent="0.3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 x14ac:dyDescent="0.3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 x14ac:dyDescent="0.3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 x14ac:dyDescent="0.3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 x14ac:dyDescent="0.3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 x14ac:dyDescent="0.3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 x14ac:dyDescent="0.3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 x14ac:dyDescent="0.3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 x14ac:dyDescent="0.3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 x14ac:dyDescent="0.3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 x14ac:dyDescent="0.3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 x14ac:dyDescent="0.4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 x14ac:dyDescent="0.4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 x14ac:dyDescent="0.35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 x14ac:dyDescent="0.3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 x14ac:dyDescent="0.3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 x14ac:dyDescent="0.3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 x14ac:dyDescent="0.3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 x14ac:dyDescent="0.3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331</v>
      </c>
      <c r="S114" s="60"/>
    </row>
    <row r="115" spans="1:20" ht="15" customHeight="1" x14ac:dyDescent="0.3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 x14ac:dyDescent="0.3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 x14ac:dyDescent="0.3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 x14ac:dyDescent="0.3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 x14ac:dyDescent="0.3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 x14ac:dyDescent="0.3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 x14ac:dyDescent="0.4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 x14ac:dyDescent="0.4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 x14ac:dyDescent="0.3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 x14ac:dyDescent="0.3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332</v>
      </c>
      <c r="S124" s="60"/>
    </row>
    <row r="125" spans="1:20" ht="15" customHeight="1" x14ac:dyDescent="0.3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 x14ac:dyDescent="0.3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 x14ac:dyDescent="0.3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 x14ac:dyDescent="0.3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 x14ac:dyDescent="0.3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 x14ac:dyDescent="0.3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 x14ac:dyDescent="0.3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 x14ac:dyDescent="0.3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 x14ac:dyDescent="0.3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 x14ac:dyDescent="0.4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 x14ac:dyDescent="0.4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 x14ac:dyDescent="0.35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 x14ac:dyDescent="0.3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 x14ac:dyDescent="0.3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333</v>
      </c>
      <c r="S138" s="31"/>
    </row>
    <row r="139" spans="1:22" ht="15" customHeight="1" x14ac:dyDescent="0.3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334</v>
      </c>
      <c r="S139" s="31"/>
    </row>
    <row r="140" spans="1:22" ht="15" customHeight="1" x14ac:dyDescent="0.3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 x14ac:dyDescent="0.3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 x14ac:dyDescent="0.3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 x14ac:dyDescent="0.3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 x14ac:dyDescent="0.3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 x14ac:dyDescent="0.3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3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 x14ac:dyDescent="0.3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4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4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 x14ac:dyDescent="0.3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335</v>
      </c>
      <c r="S150" s="31"/>
    </row>
    <row r="151" spans="1:20" ht="15" customHeight="1" x14ac:dyDescent="0.3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336</v>
      </c>
      <c r="S151" s="31"/>
    </row>
    <row r="152" spans="1:20" ht="15" customHeight="1" x14ac:dyDescent="0.3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 x14ac:dyDescent="0.3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 x14ac:dyDescent="0.3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3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3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3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3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3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3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4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4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 x14ac:dyDescent="0.35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 x14ac:dyDescent="0.3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 x14ac:dyDescent="0.3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 x14ac:dyDescent="0.3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 x14ac:dyDescent="0.3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 x14ac:dyDescent="0.3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 x14ac:dyDescent="0.3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 x14ac:dyDescent="0.3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337</v>
      </c>
      <c r="S170" s="31"/>
    </row>
    <row r="171" spans="1:20" ht="15" customHeight="1" x14ac:dyDescent="0.3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 x14ac:dyDescent="0.3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 x14ac:dyDescent="0.3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 x14ac:dyDescent="0.3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4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4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 x14ac:dyDescent="0.3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338</v>
      </c>
      <c r="S177" s="31"/>
    </row>
    <row r="178" spans="1:20" ht="15" customHeight="1" x14ac:dyDescent="0.3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 x14ac:dyDescent="0.3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 x14ac:dyDescent="0.3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 x14ac:dyDescent="0.3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 x14ac:dyDescent="0.3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 x14ac:dyDescent="0.3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 x14ac:dyDescent="0.3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 x14ac:dyDescent="0.3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 x14ac:dyDescent="0.3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3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4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4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 x14ac:dyDescent="0.35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 x14ac:dyDescent="0.3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 x14ac:dyDescent="0.3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339</v>
      </c>
      <c r="S192" s="31"/>
    </row>
    <row r="193" spans="1:20" ht="15" customHeight="1" x14ac:dyDescent="0.3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 x14ac:dyDescent="0.3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 x14ac:dyDescent="0.3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 x14ac:dyDescent="0.3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 x14ac:dyDescent="0.3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 x14ac:dyDescent="0.3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 x14ac:dyDescent="0.3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 x14ac:dyDescent="0.3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 x14ac:dyDescent="0.3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 x14ac:dyDescent="0.4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4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 x14ac:dyDescent="0.3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340</v>
      </c>
      <c r="S204" s="60"/>
    </row>
    <row r="205" spans="1:20" ht="15" customHeight="1" x14ac:dyDescent="0.3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 x14ac:dyDescent="0.3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342</v>
      </c>
      <c r="S206" s="60"/>
    </row>
    <row r="207" spans="1:20" ht="15" customHeight="1" x14ac:dyDescent="0.3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 x14ac:dyDescent="0.3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 x14ac:dyDescent="0.3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 x14ac:dyDescent="0.3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 x14ac:dyDescent="0.3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 x14ac:dyDescent="0.3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 x14ac:dyDescent="0.3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 x14ac:dyDescent="0.3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 x14ac:dyDescent="0.4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 x14ac:dyDescent="0.4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 x14ac:dyDescent="0.35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 x14ac:dyDescent="0.3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 x14ac:dyDescent="0.3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 x14ac:dyDescent="0.3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343</v>
      </c>
      <c r="S220" s="60"/>
    </row>
    <row r="221" spans="1:20" ht="15" customHeight="1" x14ac:dyDescent="0.3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344</v>
      </c>
      <c r="S221" s="60"/>
    </row>
    <row r="222" spans="1:20" ht="15" customHeight="1" x14ac:dyDescent="0.3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 x14ac:dyDescent="0.3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 x14ac:dyDescent="0.3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 x14ac:dyDescent="0.3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 x14ac:dyDescent="0.3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 x14ac:dyDescent="0.3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 x14ac:dyDescent="0.3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 x14ac:dyDescent="0.4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 x14ac:dyDescent="0.4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 x14ac:dyDescent="0.3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345</v>
      </c>
      <c r="S231" s="60"/>
    </row>
    <row r="232" spans="1:20" ht="15" customHeight="1" x14ac:dyDescent="0.3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346</v>
      </c>
      <c r="S232" s="60"/>
    </row>
    <row r="233" spans="1:20" ht="15" customHeight="1" x14ac:dyDescent="0.3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 x14ac:dyDescent="0.3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 x14ac:dyDescent="0.3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 x14ac:dyDescent="0.3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 x14ac:dyDescent="0.3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 x14ac:dyDescent="0.3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 x14ac:dyDescent="0.3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 x14ac:dyDescent="0.3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 x14ac:dyDescent="0.3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 x14ac:dyDescent="0.4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 x14ac:dyDescent="0.4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 x14ac:dyDescent="0.35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 x14ac:dyDescent="0.3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 x14ac:dyDescent="0.3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 x14ac:dyDescent="0.3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 x14ac:dyDescent="0.3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 x14ac:dyDescent="0.3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347</v>
      </c>
      <c r="S249" s="60"/>
    </row>
    <row r="250" spans="1:20" ht="15" customHeight="1" x14ac:dyDescent="0.3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 x14ac:dyDescent="0.3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 x14ac:dyDescent="0.3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 x14ac:dyDescent="0.3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 x14ac:dyDescent="0.3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 x14ac:dyDescent="0.3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 x14ac:dyDescent="0.4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 x14ac:dyDescent="0.4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 x14ac:dyDescent="0.35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 x14ac:dyDescent="0.35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 x14ac:dyDescent="0.35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 x14ac:dyDescent="0.35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 x14ac:dyDescent="0.35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 x14ac:dyDescent="0.35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 x14ac:dyDescent="0.35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 x14ac:dyDescent="0.35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 x14ac:dyDescent="0.35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 x14ac:dyDescent="0.35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 x14ac:dyDescent="0.35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 x14ac:dyDescent="0.4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 x14ac:dyDescent="0.4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 x14ac:dyDescent="0.35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 x14ac:dyDescent="0.3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 x14ac:dyDescent="0.35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 x14ac:dyDescent="0.35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 x14ac:dyDescent="0.35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 x14ac:dyDescent="0.35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 x14ac:dyDescent="0.35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 x14ac:dyDescent="0.35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 x14ac:dyDescent="0.35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 x14ac:dyDescent="0.35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 x14ac:dyDescent="0.35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 x14ac:dyDescent="0.35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 x14ac:dyDescent="0.4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 x14ac:dyDescent="0.4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 x14ac:dyDescent="0.35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 x14ac:dyDescent="0.35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 x14ac:dyDescent="0.35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 x14ac:dyDescent="0.35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 x14ac:dyDescent="0.35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 x14ac:dyDescent="0.35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 x14ac:dyDescent="0.35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 x14ac:dyDescent="0.35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 x14ac:dyDescent="0.35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 x14ac:dyDescent="0.35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 x14ac:dyDescent="0.35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 x14ac:dyDescent="0.4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 x14ac:dyDescent="0.4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 x14ac:dyDescent="0.35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 x14ac:dyDescent="0.35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 x14ac:dyDescent="0.35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 x14ac:dyDescent="0.35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 x14ac:dyDescent="0.35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 x14ac:dyDescent="0.35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 x14ac:dyDescent="0.35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 x14ac:dyDescent="0.35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 x14ac:dyDescent="0.35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 x14ac:dyDescent="0.35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 x14ac:dyDescent="0.35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 x14ac:dyDescent="0.35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 x14ac:dyDescent="0.4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 x14ac:dyDescent="0.4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 x14ac:dyDescent="0.35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 x14ac:dyDescent="0.35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 x14ac:dyDescent="0.35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 x14ac:dyDescent="0.35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 x14ac:dyDescent="0.35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 x14ac:dyDescent="0.35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 x14ac:dyDescent="0.35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 x14ac:dyDescent="0.35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 x14ac:dyDescent="0.35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 x14ac:dyDescent="0.35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 x14ac:dyDescent="0.35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 x14ac:dyDescent="0.4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 x14ac:dyDescent="0.4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 x14ac:dyDescent="0.35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 x14ac:dyDescent="0.3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 x14ac:dyDescent="0.35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 x14ac:dyDescent="0.35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 x14ac:dyDescent="0.35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 x14ac:dyDescent="0.35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 x14ac:dyDescent="0.35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 x14ac:dyDescent="0.35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 x14ac:dyDescent="0.35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 x14ac:dyDescent="0.35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 x14ac:dyDescent="0.35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 x14ac:dyDescent="0.35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 x14ac:dyDescent="0.4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 x14ac:dyDescent="0.4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 x14ac:dyDescent="0.3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 x14ac:dyDescent="0.35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 x14ac:dyDescent="0.35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 x14ac:dyDescent="0.35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 x14ac:dyDescent="0.35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 x14ac:dyDescent="0.35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 x14ac:dyDescent="0.35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 x14ac:dyDescent="0.35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348</v>
      </c>
      <c r="S346" s="60"/>
    </row>
    <row r="347" spans="1:20" ht="15" customHeight="1" x14ac:dyDescent="0.35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349</v>
      </c>
      <c r="S347" s="60"/>
    </row>
    <row r="348" spans="1:20" ht="15" customHeight="1" x14ac:dyDescent="0.35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 x14ac:dyDescent="0.35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 x14ac:dyDescent="0.4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 x14ac:dyDescent="0.4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 x14ac:dyDescent="0.35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 x14ac:dyDescent="0.3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 x14ac:dyDescent="0.35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 x14ac:dyDescent="0.35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 x14ac:dyDescent="0.35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350</v>
      </c>
      <c r="S356" s="60"/>
    </row>
    <row r="357" spans="1:20" ht="15" customHeight="1" x14ac:dyDescent="0.35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 x14ac:dyDescent="0.35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351</v>
      </c>
      <c r="S358" s="60"/>
    </row>
    <row r="359" spans="1:20" ht="15" customHeight="1" x14ac:dyDescent="0.35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 x14ac:dyDescent="0.35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 x14ac:dyDescent="0.35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 x14ac:dyDescent="0.35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 x14ac:dyDescent="0.35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 x14ac:dyDescent="0.4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 x14ac:dyDescent="0.4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 x14ac:dyDescent="0.3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 x14ac:dyDescent="0.35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 x14ac:dyDescent="0.35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 x14ac:dyDescent="0.35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 x14ac:dyDescent="0.35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 x14ac:dyDescent="0.35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 x14ac:dyDescent="0.35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352</v>
      </c>
      <c r="S372" s="60"/>
    </row>
    <row r="373" spans="1:20" ht="15" customHeight="1" x14ac:dyDescent="0.35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 x14ac:dyDescent="0.35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 x14ac:dyDescent="0.35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 x14ac:dyDescent="0.35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 x14ac:dyDescent="0.4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 x14ac:dyDescent="0.4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 x14ac:dyDescent="0.35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 x14ac:dyDescent="0.35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 x14ac:dyDescent="0.35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 x14ac:dyDescent="0.35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 x14ac:dyDescent="0.35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 x14ac:dyDescent="0.35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 x14ac:dyDescent="0.35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353</v>
      </c>
      <c r="S385" s="60"/>
    </row>
    <row r="386" spans="1:20" ht="15" customHeight="1" x14ac:dyDescent="0.35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 x14ac:dyDescent="0.35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 x14ac:dyDescent="0.35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 x14ac:dyDescent="0.35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 x14ac:dyDescent="0.35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 x14ac:dyDescent="0.4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 x14ac:dyDescent="0.4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 x14ac:dyDescent="0.35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 x14ac:dyDescent="0.35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354</v>
      </c>
      <c r="S394" s="60"/>
    </row>
    <row r="395" spans="1:20" ht="15" customHeight="1" x14ac:dyDescent="0.35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 x14ac:dyDescent="0.35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 x14ac:dyDescent="0.35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 x14ac:dyDescent="0.35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 x14ac:dyDescent="0.35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 x14ac:dyDescent="0.35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 x14ac:dyDescent="0.35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 x14ac:dyDescent="0.35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 x14ac:dyDescent="0.35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 x14ac:dyDescent="0.4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 x14ac:dyDescent="0.4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 x14ac:dyDescent="0.35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 x14ac:dyDescent="0.35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355</v>
      </c>
      <c r="S407" s="60"/>
    </row>
    <row r="408" spans="1:20" ht="15" customHeight="1" x14ac:dyDescent="0.35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0</v>
      </c>
      <c r="I408" s="135">
        <f>IFERROR(IF($D408="","",VLOOKUP($D408,Cadastro!$C$4:$G$7,5,FALSE)),"")</f>
        <v>0.6</v>
      </c>
      <c r="J408" s="136">
        <f t="shared" si="98"/>
        <v>0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 x14ac:dyDescent="0.35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0</v>
      </c>
      <c r="I409" s="135">
        <f>IFERROR(IF($D409="","",VLOOKUP($D409,Cadastro!$C$4:$G$7,5,FALSE)),"")</f>
        <v>0.6</v>
      </c>
      <c r="J409" s="136">
        <f t="shared" si="98"/>
        <v>0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 x14ac:dyDescent="0.35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0</v>
      </c>
      <c r="I410" s="135">
        <f>IFERROR(IF($D410="","",VLOOKUP($D410,Cadastro!$C$4:$G$7,5,FALSE)),"")</f>
        <v>0.6</v>
      </c>
      <c r="J410" s="136">
        <f t="shared" si="98"/>
        <v>0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 x14ac:dyDescent="0.35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0</v>
      </c>
      <c r="I411" s="135">
        <f>IFERROR(IF($D411="","",VLOOKUP($D411,Cadastro!$C$4:$G$7,5,FALSE)),"")</f>
        <v>0.6</v>
      </c>
      <c r="J411" s="136">
        <f t="shared" si="98"/>
        <v>0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 x14ac:dyDescent="0.35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0</v>
      </c>
      <c r="I412" s="135">
        <f>IFERROR(IF($D412="","",VLOOKUP($D412,Cadastro!$C$4:$G$7,5,FALSE)),"")</f>
        <v>0.6</v>
      </c>
      <c r="J412" s="136">
        <f t="shared" si="98"/>
        <v>0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 x14ac:dyDescent="0.35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0</v>
      </c>
      <c r="I413" s="135">
        <f>IFERROR(IF($D413="","",VLOOKUP($D413,Cadastro!$C$4:$G$7,5,FALSE)),"")</f>
        <v>0.6</v>
      </c>
      <c r="J413" s="136">
        <f t="shared" si="98"/>
        <v>0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 x14ac:dyDescent="0.35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0</v>
      </c>
      <c r="I414" s="135">
        <f>IFERROR(IF($D414="","",VLOOKUP($D414,Cadastro!$C$4:$G$7,5,FALSE)),"")</f>
        <v>0.6</v>
      </c>
      <c r="J414" s="136">
        <f t="shared" si="98"/>
        <v>0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 x14ac:dyDescent="0.35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0</v>
      </c>
      <c r="I415" s="135">
        <f>IFERROR(IF($D415="","",VLOOKUP($D415,Cadastro!$C$4:$G$7,5,FALSE)),"")</f>
        <v>0.6</v>
      </c>
      <c r="J415" s="136">
        <f t="shared" si="98"/>
        <v>0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 x14ac:dyDescent="0.35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0</v>
      </c>
      <c r="I416" s="135">
        <f>IFERROR(IF($D416="","",VLOOKUP($D416,Cadastro!$C$4:$G$7,5,FALSE)),"")</f>
        <v>0.6</v>
      </c>
      <c r="J416" s="136">
        <f t="shared" si="98"/>
        <v>0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 x14ac:dyDescent="0.35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0</v>
      </c>
      <c r="I417" s="135">
        <f>IFERROR(IF($D417="","",VLOOKUP($D417,Cadastro!$C$4:$G$7,5,FALSE)),"")</f>
        <v>0.6</v>
      </c>
      <c r="J417" s="136">
        <f t="shared" si="98"/>
        <v>0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 x14ac:dyDescent="0.4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 x14ac:dyDescent="0.4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134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562.80000000000007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/>
      <c r="T419" s="119">
        <f>IFERROR(J419,"")</f>
        <v>0</v>
      </c>
    </row>
    <row r="420" spans="1:20" ht="15" customHeight="1" x14ac:dyDescent="0.3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 x14ac:dyDescent="0.35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 x14ac:dyDescent="0.35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 x14ac:dyDescent="0.35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 x14ac:dyDescent="0.35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 x14ac:dyDescent="0.35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 x14ac:dyDescent="0.35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 x14ac:dyDescent="0.35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 x14ac:dyDescent="0.35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 x14ac:dyDescent="0.35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 x14ac:dyDescent="0.35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 x14ac:dyDescent="0.4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 x14ac:dyDescent="0.4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 x14ac:dyDescent="0.35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134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562.80000000000007</v>
      </c>
      <c r="L433" s="41"/>
      <c r="M433" s="41"/>
      <c r="N433" s="41"/>
      <c r="O433" s="63"/>
      <c r="P433" s="63"/>
      <c r="Q433" s="42">
        <f ca="1">IFERROR(Q419+Q432,"")</f>
        <v>0.11527777777777781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 x14ac:dyDescent="0.3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 x14ac:dyDescent="0.35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 x14ac:dyDescent="0.35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 x14ac:dyDescent="0.35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 x14ac:dyDescent="0.35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 x14ac:dyDescent="0.35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 x14ac:dyDescent="0.35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 x14ac:dyDescent="0.35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 x14ac:dyDescent="0.35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 x14ac:dyDescent="0.35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 x14ac:dyDescent="0.35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 x14ac:dyDescent="0.4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 x14ac:dyDescent="0.4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 x14ac:dyDescent="0.3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 x14ac:dyDescent="0.3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 x14ac:dyDescent="0.3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 x14ac:dyDescent="0.35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 x14ac:dyDescent="0.3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 x14ac:dyDescent="0.3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 x14ac:dyDescent="0.3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 x14ac:dyDescent="0.3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 x14ac:dyDescent="0.3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 x14ac:dyDescent="0.3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 x14ac:dyDescent="0.3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 x14ac:dyDescent="0.4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 x14ac:dyDescent="0.4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 x14ac:dyDescent="0.35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 x14ac:dyDescent="0.3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 x14ac:dyDescent="0.3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 x14ac:dyDescent="0.3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 x14ac:dyDescent="0.3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 x14ac:dyDescent="0.3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 x14ac:dyDescent="0.3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 x14ac:dyDescent="0.3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 x14ac:dyDescent="0.3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 x14ac:dyDescent="0.3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 x14ac:dyDescent="0.3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 x14ac:dyDescent="0.3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 x14ac:dyDescent="0.4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 x14ac:dyDescent="0.4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 x14ac:dyDescent="0.3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 x14ac:dyDescent="0.3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 x14ac:dyDescent="0.3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 x14ac:dyDescent="0.3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 x14ac:dyDescent="0.3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 x14ac:dyDescent="0.3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 x14ac:dyDescent="0.3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 x14ac:dyDescent="0.3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 x14ac:dyDescent="0.3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 x14ac:dyDescent="0.3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 x14ac:dyDescent="0.3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 x14ac:dyDescent="0.4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 x14ac:dyDescent="0.4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 x14ac:dyDescent="0.35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 x14ac:dyDescent="0.3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 x14ac:dyDescent="0.35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 x14ac:dyDescent="0.35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 x14ac:dyDescent="0.35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 x14ac:dyDescent="0.35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 x14ac:dyDescent="0.35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 x14ac:dyDescent="0.35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 x14ac:dyDescent="0.35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 x14ac:dyDescent="0.35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 x14ac:dyDescent="0.35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 x14ac:dyDescent="0.35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 x14ac:dyDescent="0.4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 x14ac:dyDescent="0.4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 x14ac:dyDescent="0.3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 x14ac:dyDescent="0.3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 x14ac:dyDescent="0.3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 x14ac:dyDescent="0.3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 x14ac:dyDescent="0.3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 x14ac:dyDescent="0.3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 x14ac:dyDescent="0.3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 x14ac:dyDescent="0.3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 x14ac:dyDescent="0.3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 x14ac:dyDescent="0.3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 x14ac:dyDescent="0.3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 x14ac:dyDescent="0.4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 x14ac:dyDescent="0.4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 x14ac:dyDescent="0.35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 x14ac:dyDescent="0.3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 x14ac:dyDescent="0.3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 x14ac:dyDescent="0.3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 x14ac:dyDescent="0.3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 x14ac:dyDescent="0.3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 x14ac:dyDescent="0.3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 x14ac:dyDescent="0.3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 x14ac:dyDescent="0.3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 x14ac:dyDescent="0.3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 x14ac:dyDescent="0.3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 x14ac:dyDescent="0.3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 x14ac:dyDescent="0.4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 x14ac:dyDescent="0.4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 x14ac:dyDescent="0.3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 x14ac:dyDescent="0.3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 x14ac:dyDescent="0.3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 x14ac:dyDescent="0.3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 x14ac:dyDescent="0.3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 x14ac:dyDescent="0.3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 x14ac:dyDescent="0.3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 x14ac:dyDescent="0.3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 x14ac:dyDescent="0.3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 x14ac:dyDescent="0.3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 x14ac:dyDescent="0.3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 x14ac:dyDescent="0.4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 x14ac:dyDescent="0.4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 x14ac:dyDescent="0.35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 x14ac:dyDescent="0.3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 x14ac:dyDescent="0.3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 x14ac:dyDescent="0.3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 x14ac:dyDescent="0.3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 x14ac:dyDescent="0.3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 x14ac:dyDescent="0.3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 x14ac:dyDescent="0.3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 x14ac:dyDescent="0.3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 x14ac:dyDescent="0.3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 x14ac:dyDescent="0.3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 x14ac:dyDescent="0.3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 x14ac:dyDescent="0.4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 x14ac:dyDescent="0.4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 x14ac:dyDescent="0.3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 x14ac:dyDescent="0.35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 x14ac:dyDescent="0.35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 x14ac:dyDescent="0.35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 x14ac:dyDescent="0.35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 x14ac:dyDescent="0.35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 x14ac:dyDescent="0.35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 x14ac:dyDescent="0.35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 x14ac:dyDescent="0.35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 x14ac:dyDescent="0.35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 x14ac:dyDescent="0.35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 x14ac:dyDescent="0.4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 x14ac:dyDescent="0.4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 x14ac:dyDescent="0.35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 x14ac:dyDescent="0.3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 x14ac:dyDescent="0.3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 x14ac:dyDescent="0.3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 x14ac:dyDescent="0.3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 x14ac:dyDescent="0.3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 x14ac:dyDescent="0.3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 x14ac:dyDescent="0.3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 x14ac:dyDescent="0.3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 x14ac:dyDescent="0.3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 x14ac:dyDescent="0.3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 x14ac:dyDescent="0.3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 x14ac:dyDescent="0.4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 x14ac:dyDescent="0.4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 x14ac:dyDescent="0.3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 x14ac:dyDescent="0.3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 x14ac:dyDescent="0.3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 x14ac:dyDescent="0.3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 x14ac:dyDescent="0.3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 x14ac:dyDescent="0.3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 x14ac:dyDescent="0.3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 x14ac:dyDescent="0.3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 x14ac:dyDescent="0.3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 x14ac:dyDescent="0.3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 x14ac:dyDescent="0.3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 x14ac:dyDescent="0.4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 x14ac:dyDescent="0.4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 x14ac:dyDescent="0.35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 x14ac:dyDescent="0.3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 x14ac:dyDescent="0.3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 x14ac:dyDescent="0.3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 x14ac:dyDescent="0.3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 x14ac:dyDescent="0.3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 x14ac:dyDescent="0.3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 x14ac:dyDescent="0.3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 x14ac:dyDescent="0.3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 x14ac:dyDescent="0.3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 x14ac:dyDescent="0.3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 x14ac:dyDescent="0.3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 x14ac:dyDescent="0.4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 x14ac:dyDescent="0.4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 x14ac:dyDescent="0.3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 x14ac:dyDescent="0.3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 x14ac:dyDescent="0.3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 x14ac:dyDescent="0.3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 x14ac:dyDescent="0.3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 x14ac:dyDescent="0.3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 x14ac:dyDescent="0.3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 x14ac:dyDescent="0.3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 x14ac:dyDescent="0.3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 x14ac:dyDescent="0.3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 x14ac:dyDescent="0.3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 x14ac:dyDescent="0.4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 x14ac:dyDescent="0.4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 x14ac:dyDescent="0.35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 x14ac:dyDescent="0.3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 x14ac:dyDescent="0.3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 x14ac:dyDescent="0.3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 x14ac:dyDescent="0.3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 x14ac:dyDescent="0.3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 x14ac:dyDescent="0.3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 x14ac:dyDescent="0.3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 x14ac:dyDescent="0.3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 x14ac:dyDescent="0.3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 x14ac:dyDescent="0.3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 x14ac:dyDescent="0.3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 x14ac:dyDescent="0.4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 x14ac:dyDescent="0.4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 x14ac:dyDescent="0.3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 x14ac:dyDescent="0.3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 x14ac:dyDescent="0.3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 x14ac:dyDescent="0.3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 x14ac:dyDescent="0.3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 x14ac:dyDescent="0.3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 x14ac:dyDescent="0.3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 x14ac:dyDescent="0.3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 x14ac:dyDescent="0.3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 x14ac:dyDescent="0.3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 x14ac:dyDescent="0.3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 x14ac:dyDescent="0.4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 x14ac:dyDescent="0.4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 x14ac:dyDescent="0.35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 x14ac:dyDescent="0.3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 x14ac:dyDescent="0.3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 x14ac:dyDescent="0.3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 x14ac:dyDescent="0.3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 x14ac:dyDescent="0.3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 x14ac:dyDescent="0.3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 x14ac:dyDescent="0.3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 x14ac:dyDescent="0.3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 x14ac:dyDescent="0.3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 x14ac:dyDescent="0.3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 x14ac:dyDescent="0.3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 x14ac:dyDescent="0.4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 x14ac:dyDescent="0.4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 x14ac:dyDescent="0.3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 x14ac:dyDescent="0.3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 x14ac:dyDescent="0.3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 x14ac:dyDescent="0.3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 x14ac:dyDescent="0.3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 x14ac:dyDescent="0.3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 x14ac:dyDescent="0.3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 x14ac:dyDescent="0.3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 x14ac:dyDescent="0.3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 x14ac:dyDescent="0.3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 x14ac:dyDescent="0.3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 x14ac:dyDescent="0.4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 x14ac:dyDescent="0.4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 x14ac:dyDescent="0.35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 x14ac:dyDescent="0.3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 x14ac:dyDescent="0.3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 x14ac:dyDescent="0.3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 x14ac:dyDescent="0.3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 x14ac:dyDescent="0.3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 x14ac:dyDescent="0.3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 x14ac:dyDescent="0.3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 x14ac:dyDescent="0.3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 x14ac:dyDescent="0.3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 x14ac:dyDescent="0.3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 x14ac:dyDescent="0.3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 x14ac:dyDescent="0.4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 x14ac:dyDescent="0.4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 x14ac:dyDescent="0.3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 x14ac:dyDescent="0.3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 x14ac:dyDescent="0.3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 x14ac:dyDescent="0.3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 x14ac:dyDescent="0.3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 x14ac:dyDescent="0.3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 x14ac:dyDescent="0.3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 x14ac:dyDescent="0.3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 x14ac:dyDescent="0.3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 x14ac:dyDescent="0.3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 x14ac:dyDescent="0.3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 x14ac:dyDescent="0.4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 x14ac:dyDescent="0.4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 x14ac:dyDescent="0.35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 x14ac:dyDescent="0.3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 x14ac:dyDescent="0.3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 x14ac:dyDescent="0.3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 x14ac:dyDescent="0.3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 x14ac:dyDescent="0.3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 x14ac:dyDescent="0.3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 x14ac:dyDescent="0.3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 x14ac:dyDescent="0.3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 x14ac:dyDescent="0.3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 x14ac:dyDescent="0.3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 x14ac:dyDescent="0.3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 x14ac:dyDescent="0.4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 x14ac:dyDescent="0.4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 x14ac:dyDescent="0.3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 x14ac:dyDescent="0.3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 x14ac:dyDescent="0.3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 x14ac:dyDescent="0.3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 x14ac:dyDescent="0.3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 x14ac:dyDescent="0.3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 x14ac:dyDescent="0.3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 x14ac:dyDescent="0.3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 x14ac:dyDescent="0.3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 x14ac:dyDescent="0.3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 x14ac:dyDescent="0.3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 x14ac:dyDescent="0.4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 x14ac:dyDescent="0.4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 x14ac:dyDescent="0.35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 x14ac:dyDescent="0.3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 x14ac:dyDescent="0.3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 x14ac:dyDescent="0.3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 x14ac:dyDescent="0.3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 x14ac:dyDescent="0.3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 x14ac:dyDescent="0.3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 x14ac:dyDescent="0.3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 x14ac:dyDescent="0.3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 x14ac:dyDescent="0.3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 x14ac:dyDescent="0.3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 x14ac:dyDescent="0.3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 x14ac:dyDescent="0.4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 x14ac:dyDescent="0.4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 x14ac:dyDescent="0.3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 x14ac:dyDescent="0.3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 x14ac:dyDescent="0.3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 x14ac:dyDescent="0.3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 x14ac:dyDescent="0.3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 x14ac:dyDescent="0.3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 x14ac:dyDescent="0.3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 x14ac:dyDescent="0.3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 x14ac:dyDescent="0.3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 x14ac:dyDescent="0.3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 x14ac:dyDescent="0.3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 x14ac:dyDescent="0.4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 x14ac:dyDescent="0.4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35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 x14ac:dyDescent="0.3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 x14ac:dyDescent="0.3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 x14ac:dyDescent="0.3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 x14ac:dyDescent="0.3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 x14ac:dyDescent="0.3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 x14ac:dyDescent="0.3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 x14ac:dyDescent="0.3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 x14ac:dyDescent="0.3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 x14ac:dyDescent="0.3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 x14ac:dyDescent="0.3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 x14ac:dyDescent="0.3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 x14ac:dyDescent="0.4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 x14ac:dyDescent="0.4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 x14ac:dyDescent="0.3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 x14ac:dyDescent="0.3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 x14ac:dyDescent="0.3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 x14ac:dyDescent="0.3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 x14ac:dyDescent="0.3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 x14ac:dyDescent="0.3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 x14ac:dyDescent="0.3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 x14ac:dyDescent="0.3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 x14ac:dyDescent="0.3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 x14ac:dyDescent="0.3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 x14ac:dyDescent="0.3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 x14ac:dyDescent="0.4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 x14ac:dyDescent="0.4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35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 x14ac:dyDescent="0.3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 x14ac:dyDescent="0.3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 x14ac:dyDescent="0.3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 x14ac:dyDescent="0.3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 x14ac:dyDescent="0.3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 x14ac:dyDescent="0.3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 x14ac:dyDescent="0.3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 x14ac:dyDescent="0.3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 x14ac:dyDescent="0.3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 x14ac:dyDescent="0.3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 x14ac:dyDescent="0.3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 x14ac:dyDescent="0.4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 x14ac:dyDescent="0.4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 x14ac:dyDescent="0.3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 x14ac:dyDescent="0.3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 x14ac:dyDescent="0.3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 x14ac:dyDescent="0.3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 x14ac:dyDescent="0.3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 x14ac:dyDescent="0.3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 x14ac:dyDescent="0.3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 x14ac:dyDescent="0.3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 x14ac:dyDescent="0.3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 x14ac:dyDescent="0.3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 x14ac:dyDescent="0.3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 x14ac:dyDescent="0.4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 x14ac:dyDescent="0.4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35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 x14ac:dyDescent="0.3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 x14ac:dyDescent="0.3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 x14ac:dyDescent="0.3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 x14ac:dyDescent="0.3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 x14ac:dyDescent="0.3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 x14ac:dyDescent="0.3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 x14ac:dyDescent="0.3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 x14ac:dyDescent="0.3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 x14ac:dyDescent="0.3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 x14ac:dyDescent="0.3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 x14ac:dyDescent="0.3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 x14ac:dyDescent="0.4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 x14ac:dyDescent="0.4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 x14ac:dyDescent="0.3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 x14ac:dyDescent="0.3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 x14ac:dyDescent="0.3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 x14ac:dyDescent="0.3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 x14ac:dyDescent="0.3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 x14ac:dyDescent="0.3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 x14ac:dyDescent="0.3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 x14ac:dyDescent="0.3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 x14ac:dyDescent="0.3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 x14ac:dyDescent="0.3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 x14ac:dyDescent="0.3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 x14ac:dyDescent="0.4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 x14ac:dyDescent="0.4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 x14ac:dyDescent="0.35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2026-08-16T22:17:42Z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