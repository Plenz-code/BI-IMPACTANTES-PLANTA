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142" documentId="8_{AF585B22-221D-4780-BB9C-493D365A6A02}" xr6:coauthVersionLast="47" xr6:coauthVersionMax="47" xr10:uidLastSave="{7C9A1C3E-28C4-4F9B-B54E-32B3EAE374D7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<sst xmlns="http://schemas.openxmlformats.org/spreadsheetml/2006/main" count="3940" uniqueCount="273">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</sst>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97" activePane="bottomLeft" state="frozen"/>
      <selection pane="bottomLeft" activeCell="F222" sqref="F22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58</v>
      </c>
      <c r="G230" s="36">
        <f>SUM(G218:G229)</f>
        <v>290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58</v>
      </c>
      <c r="G244" s="40">
        <f>G230+G243</f>
        <v>290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0" activePane="bottomLeft" state="frozen"/>
      <selection pane="bottomLeft" activeCell="F223" sqref="F22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58</v>
      </c>
      <c r="G230" s="36">
        <f>SUM(G218:G229)</f>
        <v>243.60000000000002</v>
      </c>
      <c r="H230" s="37"/>
      <c r="I230" s="37"/>
      <c r="J230" s="37"/>
      <c r="K230" s="37"/>
      <c r="L230" s="37"/>
      <c r="M230" s="38">
        <f ca="1">IFERROR(SUM(M218:M229),"")</f>
        <v>0.16388888888888886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58</v>
      </c>
      <c r="G244" s="40">
        <f>G230+G243</f>
        <v>243.60000000000002</v>
      </c>
      <c r="H244" s="41"/>
      <c r="I244" s="41"/>
      <c r="J244" s="41"/>
      <c r="K244" s="41"/>
      <c r="L244" s="41"/>
      <c r="M244" s="42">
        <f ca="1">IFERROR(M230+M243,"")</f>
        <v>0.16388888888888886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195" zoomScale="50" zoomScaleNormal="50" workbookViewId="0">
      <selection activeCell="F223" sqref="F22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249</v>
      </c>
      <c r="N166" s="27" t="s">
        <v>250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/>
      <c r="F218" s="27">
        <v>14</v>
      </c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/>
      <c r="F219" s="27">
        <v>11</v>
      </c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/>
      <c r="F220" s="27">
        <v>4</v>
      </c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/>
      <c r="F221" s="27">
        <v>10</v>
      </c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/>
      <c r="F222" s="27">
        <v>5</v>
      </c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44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44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89" activePane="bottomLeft" state="frozen"/>
      <selection pane="bottomLeft" activeCell="F223" sqref="F22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256</v>
      </c>
      <c r="L58" s="29">
        <v>0.54097222222222219</v>
      </c>
      <c r="M58" s="30" t="str">
        <f t="shared" ca="1" si="13"/>
        <v/>
      </c>
      <c r="N58" s="27" t="s">
        <v>257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0.24782453703664942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0.44713009259220504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0.81449120370331607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38</v>
      </c>
      <c r="G230" s="36">
        <f>SUM(G218:G229)</f>
        <v>159.60000000000002</v>
      </c>
      <c r="H230" s="37"/>
      <c r="I230" s="37"/>
      <c r="J230" s="37"/>
      <c r="K230" s="61"/>
      <c r="L230" s="61"/>
      <c r="M230" s="38">
        <f ca="1">IFERROR(SUM(M218:M229),"")</f>
        <v>0.12361111111111117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38</v>
      </c>
      <c r="G244" s="40">
        <f>G230+G243</f>
        <v>159.60000000000002</v>
      </c>
      <c r="H244" s="41"/>
      <c r="I244" s="41"/>
      <c r="J244" s="41"/>
      <c r="K244" s="63"/>
      <c r="L244" s="63"/>
      <c r="M244" s="42">
        <f ca="1">IFERROR(M230+M243,"")</f>
        <v>0.12361111111111117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2026-07-09T15:55:52Z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