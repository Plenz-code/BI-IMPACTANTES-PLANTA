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73" documentId="13_ncr:1_{0A10D8D4-8450-4366-8075-B53B08E6B7EA}" xr6:coauthVersionLast="47" xr6:coauthVersionMax="47" xr10:uidLastSave="{301B0546-6DA6-4905-9E53-0792BC8F8AE3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<sst xmlns="http://schemas.openxmlformats.org/spreadsheetml/2006/main" count="7708" uniqueCount="368">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</sst>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26" activePane="bottomLeft" state="frozen"/>
      <selection pane="bottomLeft" activeCell="H453" sqref="H453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>IF(F451="","",IF(E451="PC 17",F451*4.2,IF(E451="PC 19",F451*5,IF(E451="CB",F451*35,""))))</f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273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274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275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">
        <v>270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152</v>
      </c>
      <c r="G459" s="36">
        <f>SUM(G447:G458)</f>
        <v>760</v>
      </c>
      <c r="H459" s="37"/>
      <c r="I459" s="37"/>
      <c r="J459" s="37"/>
      <c r="K459" s="37"/>
      <c r="L459" s="37"/>
      <c r="M459" s="38">
        <f ca="1">IFERROR(SUM(M447:M458),"")</f>
        <v>3.8194444444444531E-2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320</v>
      </c>
      <c r="G460" s="40">
        <f>G446+G459</f>
        <v>1600</v>
      </c>
      <c r="H460" s="41"/>
      <c r="I460" s="41"/>
      <c r="J460" s="41"/>
      <c r="K460" s="41"/>
      <c r="L460" s="41"/>
      <c r="M460" s="42">
        <f ca="1">IFERROR(M446+M459,"")</f>
        <v>0.16666666666666685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0" sqref="G45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276</v>
      </c>
      <c r="I1" s="133" t="s">
        <v>20</v>
      </c>
      <c r="J1" s="133" t="s">
        <v>277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277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0.83874201388243819</v>
      </c>
      <c r="R53" s="46" t="s">
        <v>286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0.97763090277132703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1.0623531249935494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288</v>
      </c>
      <c r="Q96" s="30" t="str">
        <f t="shared" ref="Q96:Q107" ca="1" si="22">IFERROR(IF(O96="","",IF(P96="",MOD(NOW()-O96,1),IF(P96&gt;=O96,P96-O96,P96+1-O96))),"")</f>
        <v/>
      </c>
      <c r="R96" s="46" t="s">
        <v>289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308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309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310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311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312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313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244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54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237.2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166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707.6</v>
      </c>
      <c r="L460" s="41"/>
      <c r="M460" s="41"/>
      <c r="N460" s="41"/>
      <c r="O460" s="41"/>
      <c r="P460" s="41"/>
      <c r="Q460" s="42">
        <f ca="1">IFERROR(Q446+Q459,"")</f>
        <v>7.4305555555555625E-2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1" sqref="G45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276</v>
      </c>
      <c r="I1" s="133" t="s">
        <v>20</v>
      </c>
      <c r="J1" s="133" t="s">
        <v>277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277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327</v>
      </c>
      <c r="Q222" s="30" t="str">
        <f t="shared" ca="1" si="49"/>
        <v/>
      </c>
      <c r="R222" s="27" t="s">
        <v>328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287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309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201.59999999999997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133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558.6</v>
      </c>
      <c r="L460" s="41"/>
      <c r="M460" s="41"/>
      <c r="N460" s="41"/>
      <c r="O460" s="41"/>
      <c r="P460" s="41"/>
      <c r="Q460" s="42">
        <f ca="1">IFERROR(Q446+Q459,"")</f>
        <v>5.2083333333333315E-2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G451" sqref="G45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276</v>
      </c>
      <c r="I1" s="133" t="s">
        <v>20</v>
      </c>
      <c r="J1" s="133" t="s">
        <v>277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277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309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117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491.4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300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1260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2026-08-18T03:03:03Z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