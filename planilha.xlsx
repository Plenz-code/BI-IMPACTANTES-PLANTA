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479" documentId="8_{AF585B22-221D-4780-BB9C-493D365A6A02}" xr6:coauthVersionLast="47" xr6:coauthVersionMax="47" xr10:uidLastSave="{B2CB8E79-2D87-4C53-AC07-437239E2F9B8}"/>
  <bookViews>
    <workbookView xWindow="-108" yWindow="-108" windowWidth="23256" windowHeight="12456" tabRatio="500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838" i="3" l="1"/>
  <c r="F837" i="3"/>
  <c r="F838" i="3" s="1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E824" i="3"/>
  <c r="M823" i="3"/>
  <c r="M822" i="3"/>
  <c r="M821" i="3"/>
  <c r="M820" i="3"/>
  <c r="M819" i="3"/>
  <c r="M818" i="3"/>
  <c r="M817" i="3"/>
  <c r="M816" i="3"/>
  <c r="M815" i="3"/>
  <c r="M814" i="3"/>
  <c r="M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O811" i="3"/>
  <c r="G811" i="3"/>
  <c r="F811" i="3"/>
  <c r="E811" i="3"/>
  <c r="G799" i="6"/>
  <c r="G800" i="6"/>
  <c r="G798" i="6"/>
  <c r="G799" i="5"/>
  <c r="G800" i="5"/>
  <c r="G798" i="5"/>
  <c r="G799" i="4"/>
  <c r="G810" i="4" s="1"/>
  <c r="G800" i="4"/>
  <c r="G798" i="4"/>
  <c r="G801" i="4"/>
  <c r="G802" i="4"/>
  <c r="G803" i="4"/>
  <c r="G804" i="4"/>
  <c r="G805" i="4"/>
  <c r="G806" i="4"/>
  <c r="G807" i="4"/>
  <c r="G808" i="4"/>
  <c r="G809" i="4"/>
  <c r="G796" i="4"/>
  <c r="G798" i="3"/>
  <c r="G799" i="3"/>
  <c r="G800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7" i="4" s="1"/>
  <c r="G811" i="4" s="1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F797" i="3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797" i="5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C33" i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837" i="3" l="1"/>
  <c r="G838" i="3" s="1"/>
  <c r="E838" i="3"/>
  <c r="M824" i="3"/>
  <c r="M837" i="3"/>
  <c r="G810" i="5"/>
  <c r="G811" i="5"/>
  <c r="G32" i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M811" i="3" l="1"/>
  <c r="M838" i="3"/>
  <c r="G541" i="6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<sst xmlns="http://schemas.openxmlformats.org/spreadsheetml/2006/main" count="12152" uniqueCount="437">
  <si>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</si>
  <si>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</si>
  <si>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</si>
  <si>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</si>
  <si>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</si>
  <si>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</si>
  <si>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</si>
  <si>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</si>
  <si>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</si>
  <si>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</si>
  <si>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</si>
  <si>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</si>
  <si>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</si>
  <si>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</si>
  <si>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</si>
  <si>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</si>
  <si>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</si>
  <si>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</si>
  <si>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</si>
  <si>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</si>
  <si>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</si>
  <si>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</si>
  <si>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</si>
  <si>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</si>
  <si>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</si>
  <si>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</si>
  <si>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</si>
  <si>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</si>
  <si>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</si>
  <si>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</si>
  <si>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</si>
  <si>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</si>
  <si>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</si>
  <si>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</si>
  <si>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</si>
  <si>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</si>
  <si>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</si>
  <si>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</si>
  <si>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</si>
  <si>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</si>
  <si>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</si>
  <si>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</si>
  <si>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</si>
  <si>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</si>
  <si>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</si>
  <si>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</si>
  <si>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</si>
  <si>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</si>
  <si>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</si>
  <si>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</si>
  <si>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</si>
  <si>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</si>
  <si>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</si>
  <si>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</si>
  <si>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</si>
  <si>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</si>
  <si>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</si>
  <si>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</si>
  <si>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</si>
  <si>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</si>
  <si>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</si>
  <si>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</si>
  <si>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</si>
  <si>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</si>
  <si>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</si>
  <si>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</si>
  <si>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</si>
  <si>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</si>
  <si>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</si>
  <si>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</si>
  <si>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</si>
  <si>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</si>
  <si>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</si>
  <si>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</si>
  <si>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</si>
  <si>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</si>
  <si>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</si>
  <si>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</si>
  <si>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</si>
  <si>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</si>
  <si>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</si>
  <si>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</si>
  <si>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</si>
  <si>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</si>
  <si>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</si>
  <si>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</si>
  <si>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</si>
  <si>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</si>
  <si>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</si>
  <si>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</si>
  <si>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</si>
  <si>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</si>
  <si>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</si>
  <si>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</si>
  <si>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</si>
  <si>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</si>
  <si>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</si>
  <si>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</si>
  <si>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</si>
  <si>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</si>
  <si>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</si>
  <si>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</si>
  <si>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</si>
  <si>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</si>
  <si>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</si>
  <si>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</si>
  <si>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</si>
  <si>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</si>
  <si>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</si>
  <si>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</si>
  <si>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</si>
  <si>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</si>
  <si>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</si>
  <si>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</si>
  <si>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</si>
  <si>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</si>
  <si>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</si>
  <si>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</si>
  <si>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</si>
  <si>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</si>
  <si>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</si>
  <si>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</si>
  <si>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</si>
  <si>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</si>
  <si>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</si>
  <si>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</si>
  <si>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</si>
  <si>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</si>
  <si>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</si>
  <si>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</si>
  <si>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</si>
  <si>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</si>
  <si>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</si>
  <si>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</si>
  <si>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</si>
  <si>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</si>
  <si>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</si>
  <si>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</si>
  <si>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</si>
  <si>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</si>
  <si>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</si>
  <si>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</si>
  <si>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</si>
  <si>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</si>
  <si>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</si>
  <si>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</si>
  <si>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</si>
  <si>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</si>
  <si>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</si>
  <si>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</si>
  <si>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</si>
  <si>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</si>
  <si>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</si>
  <si>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</si>
  <si>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</si>
  <si>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</si>
  <si>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</si>
  <si>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</si>
  <si>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</si>
  <si>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</si>
  <si>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</si>
  <si>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</si>
  <si>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</si>
  <si>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</si>
  <si>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</si>
  <si>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</si>
  <si>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</si>
  <si>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</si>
  <si>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</si>
  <si>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</si>
  <si>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</si>
  <si>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</si>
  <si>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</si>
  <si>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</si>
  <si>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</si>
  <si>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</si>
  <si>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</si>
  <si>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</si>
  <si>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</si>
  <si>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</si>
  <si>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</si>
  <si>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</si>
  <si>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</si>
  <si>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</si>
  <si>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</si>
  <si>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</si>
  <si>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</si>
  <si>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</si>
  <si>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</si>
  <si>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</si>
  <si>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</si>
  <si>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</si>
  <si>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</si>
  <si>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</si>
  <si>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</si>
  <si>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</si>
  <si>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</si>
  <si>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</si>
  <si>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</si>
  <si>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</si>
  <si>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</si>
  <si>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</si>
  <si>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</si>
  <si>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</si>
  <si>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</si>
  <si>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</si>
  <si>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</si>
  <si>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</si>
  <si>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</si>
  <si>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</si>
  <si>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</si>
  <si>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</si>
  <si>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</si>
  <si>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</si>
  <si>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</si>
  <si>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</si>
  <si>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</si>
  <si>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</si>
  <si>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</si>
  <si>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</si>
  <si>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</si>
  <si>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</si>
  <si>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</si>
  <si>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</si>
  <si>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</si>
  <si>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</si>
  <si>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</si>
  <si>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</si>
  <si>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</si>
  <si>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</si>
  <si>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</si>
  <si>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</si>
  <si>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</si>
  <si>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</si>
  <si>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</si>
  <si>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</si>
  <si>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</si>
  <si>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</si>
  <si>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</si>
  <si>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</si>
  <si>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</si>
  <si>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</si>
  <si>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</si>
  <si>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</si>
  <si>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</si>
  <si>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</si>
  <si>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</si>
  <si>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</si>
  <si>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</si>
  <si>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</si>
  <si>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</si>
  <si>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</si>
  <si>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</si>
  <si>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</si>
  <si>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</si>
  <si>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</si>
  <si>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</si>
  <si>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</si>
  <si>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</si>
  <si>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</si>
  <si>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</si>
  <si>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</si>
  <si>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</si>
  <si>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</si>
  <si>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</si>
  <si>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</si>
  <si>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</si>
  <si>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</si>
  <si>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</si>
  <si>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</si>
  <si>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</si>
  <si>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</si>
  <si>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</si>
  <si>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</si>
  <si>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</si>
  <si>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</si>
  <si>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</si>
  <si>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</si>
  <si>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</si>
  <si>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</si>
  <si>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</si>
  <si>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</si>
  <si>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</si>
  <si>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</si>
  <si>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</si>
  <si>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</si>
  <si>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</si>
  <si>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</si>
  <si>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</si>
  <si>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</si>
  <si>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</si>
  <si>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</si>
  <si>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</si>
  <si>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</si>
  <si>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</si>
  <si>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</si>
  <si>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</si>
  <si>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</si>
  <si>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</si>
  <si>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</si>
  <si>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</si>
  <si>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</si>
  <si>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</si>
  <si>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</si>
  <si>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</si>
  <si>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</si>
  <si>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</si>
  <si>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</si>
  <si>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</si>
  <si>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</si>
  <si>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</si>
  <si>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</si>
  <si>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</si>
  <si>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</si>
  <si>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</si>
  <si>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</si>
  <si>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</si>
  <si>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</si>
  <si>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</si>
  <si>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</si>
  <si>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</si>
  <si>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</si>
  <si>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</si>
  <si>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</si>
  <si>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</si>
  <si>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</si>
  <si>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</si>
  <si>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</si>
  <si>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</si>
  <si>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</si>
  <si>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</si>
  <si>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</si>
  <si>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</si>
  <si>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</si>
  <si>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</si>
  <si>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</si>
  <si>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</si>
  <si>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</si>
  <si>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</si>
  <si>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</si>
  <si>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</si>
  <si>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</si>
  <si>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</si>
  <si>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</si>
  <si>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</si>
  <si>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</si>
  <si>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</si>
  <si>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</si>
  <si>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</si>
  <si>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</si>
  <si>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</si>
  <si>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</si>
  <si>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</si>
  <si>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</si>
  <si>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</si>
  <si>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</si>
  <si>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</si>
  <si>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</si>
  <si>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</si>
  <si>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</si>
  <si>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</si>
  <si>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</si>
  <si>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</si>
  <si>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</si>
  <si>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</si>
  <si>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</si>
  <si>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</si>
  <si>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</si>
  <si>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</si>
  <si>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</si>
  <si>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</si>
  <si>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</si>
  <si>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</si>
  <si>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</si>
  <si>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</si>
  <si>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</si>
  <si>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</si>
  <si>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</si>
  <si>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</si>
  <si>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</si>
  <si>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</si>
  <si>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</si>
  <si>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</si>
  <si>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</si>
  <si>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</si>
  <si>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</si>
  <si>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</si>
  <si>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</si>
  <si>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</si>
  <si>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</si>
  <si>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</si>
  <si>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</si>
  <si>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</si>
  <si>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</si>
  <si>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</si>
  <si>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</si>
  <si>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</si>
  <si>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</si>
  <si>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</si>
  <si>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</si>
  <si>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</si>
  <si>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</si>
  <si>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</si>
  <si>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</si>
  <si>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</si>
  <si>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</si>
  <si>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</si>
  <si>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</si>
  <si>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</si>
  <si>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</si>
  <si>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</si>
  <si>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</si>
  <si>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</si>
  <si>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</si>
  <si>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</si>
  <si>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</si>
  <si>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</si>
  <si>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</si>
  <si>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</si>
  <si>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</si>
  <si>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</si>
  <si>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</si>
  <si>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</si>
  <si>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</si>
  <si>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</si>
  <si>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</si>
  <si>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</si>
  <si>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</si>
  <si>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</si>
  <si>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</si>
  <si>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</si>
  <si>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</si>
  <si>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</si>
  <si>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foram feitas 8 viagens com caminhão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</si>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</sst>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3" fontId="20" fillId="8" borderId="2" xfId="0" applyNumberFormat="1" applyFont="1" applyFill="1" applyBorder="1" applyAlignment="1">
      <alignment horizontal="center" vertical="center"/>
    </xf>
    <xf numFmtId="0" fontId="24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546875" defaultRowHeight="14.4" x14ac:dyDescent="0.3"/>
  <cols>
    <col min="1" max="1" width="17.5546875" customWidth="1"/>
    <col min="2" max="2" width="21" style="70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32" customWidth="1"/>
  </cols>
  <sheetData>
    <row r="1" spans="1:7" ht="31.5" customHeight="1" x14ac:dyDescent="0.3">
      <c r="A1" s="111" t="s">
        <v>0</v>
      </c>
      <c r="B1" s="111"/>
      <c r="C1" s="111"/>
      <c r="D1" s="111"/>
      <c r="E1" s="111"/>
      <c r="F1" s="111"/>
      <c r="G1" s="111"/>
    </row>
    <row r="2" spans="1:7" ht="24.75" customHeight="1" x14ac:dyDescent="0.3">
      <c r="A2" s="112"/>
      <c r="B2" s="11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3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3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3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3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3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3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3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3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 x14ac:dyDescent="0.3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 x14ac:dyDescent="0.3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 x14ac:dyDescent="0.3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 x14ac:dyDescent="0.3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 x14ac:dyDescent="0.3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 x14ac:dyDescent="0.3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 x14ac:dyDescent="0.3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 x14ac:dyDescent="0.3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 x14ac:dyDescent="0.3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 x14ac:dyDescent="0.3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 x14ac:dyDescent="0.3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 x14ac:dyDescent="0.3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 x14ac:dyDescent="0.3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 x14ac:dyDescent="0.3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 x14ac:dyDescent="0.3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 x14ac:dyDescent="0.3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 x14ac:dyDescent="0.3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113" t="s">
        <v>9</v>
      </c>
      <c r="B35" s="113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14" t="s">
        <v>10</v>
      </c>
      <c r="B1" s="114"/>
      <c r="C1" s="114"/>
      <c r="D1" s="114"/>
      <c r="E1" s="114"/>
      <c r="F1" s="114"/>
      <c r="G1" s="114"/>
      <c r="H1" s="115"/>
      <c r="I1" s="116" t="s">
        <v>11</v>
      </c>
      <c r="J1" s="116"/>
      <c r="K1" s="116"/>
      <c r="L1" s="116"/>
      <c r="M1" s="116"/>
    </row>
    <row r="2" spans="1:13" ht="4.5" customHeight="1" x14ac:dyDescent="0.3">
      <c r="H2" s="115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15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15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15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15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15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15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15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15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15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15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15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115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3">
      <c r="A15" s="17"/>
      <c r="C15" s="17"/>
      <c r="E15" s="17"/>
      <c r="G15" s="17" t="s">
        <v>91</v>
      </c>
      <c r="H15" s="115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3">
      <c r="A16" s="16"/>
      <c r="C16" s="16"/>
      <c r="E16" s="16"/>
      <c r="G16" s="16" t="s">
        <v>97</v>
      </c>
      <c r="H16" s="115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3">
      <c r="A17" s="17"/>
      <c r="C17" s="17"/>
      <c r="E17" s="17"/>
      <c r="G17" s="17" t="s">
        <v>103</v>
      </c>
      <c r="H17" s="115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15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3">
      <c r="A19" s="17"/>
      <c r="C19" s="17"/>
      <c r="E19" s="17"/>
      <c r="G19" s="17" t="s">
        <v>114</v>
      </c>
      <c r="H19" s="115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 x14ac:dyDescent="0.3">
      <c r="A20" s="16"/>
      <c r="C20" s="16"/>
      <c r="E20" s="16"/>
      <c r="G20" s="16" t="s">
        <v>118</v>
      </c>
      <c r="H20" s="115"/>
      <c r="I20" s="16"/>
      <c r="J20" s="16"/>
      <c r="K20" s="16" t="s">
        <v>119</v>
      </c>
      <c r="L20" s="16"/>
      <c r="M20" s="16" t="s">
        <v>120</v>
      </c>
    </row>
    <row r="21" spans="1:13" ht="15.75" customHeight="1" x14ac:dyDescent="0.3">
      <c r="A21" s="17"/>
      <c r="C21" s="17"/>
      <c r="E21" s="17"/>
      <c r="G21" s="17" t="s">
        <v>121</v>
      </c>
      <c r="H21" s="115"/>
      <c r="I21" s="17"/>
      <c r="J21" s="17"/>
      <c r="K21" s="17" t="s">
        <v>122</v>
      </c>
      <c r="L21" s="17"/>
      <c r="M21" s="17" t="s">
        <v>123</v>
      </c>
    </row>
    <row r="22" spans="1:13" ht="15.75" customHeight="1" x14ac:dyDescent="0.3">
      <c r="A22" s="16"/>
      <c r="C22" s="16"/>
      <c r="E22" s="16"/>
      <c r="G22" s="16" t="s">
        <v>124</v>
      </c>
      <c r="H22" s="115"/>
      <c r="I22" s="16"/>
      <c r="J22" s="16"/>
      <c r="K22" s="16" t="s">
        <v>125</v>
      </c>
      <c r="L22" s="16"/>
      <c r="M22" s="16" t="s">
        <v>126</v>
      </c>
    </row>
    <row r="23" spans="1:13" ht="15.75" customHeight="1" x14ac:dyDescent="0.3">
      <c r="A23" s="17"/>
      <c r="C23" s="17"/>
      <c r="E23" s="17"/>
      <c r="G23" s="17" t="s">
        <v>127</v>
      </c>
      <c r="H23" s="115"/>
      <c r="I23" s="17"/>
      <c r="J23" s="17"/>
      <c r="K23" s="17" t="s">
        <v>128</v>
      </c>
      <c r="L23" s="17"/>
      <c r="M23" s="17" t="s">
        <v>129</v>
      </c>
    </row>
    <row r="24" spans="1:13" ht="15.75" customHeight="1" x14ac:dyDescent="0.3">
      <c r="A24" s="16"/>
      <c r="C24" s="16"/>
      <c r="E24" s="16"/>
      <c r="G24" s="16" t="s">
        <v>130</v>
      </c>
      <c r="H24" s="115"/>
      <c r="I24" s="16"/>
      <c r="J24" s="16"/>
      <c r="K24" s="16" t="s">
        <v>131</v>
      </c>
      <c r="L24" s="16"/>
      <c r="M24" s="16" t="s">
        <v>132</v>
      </c>
    </row>
    <row r="25" spans="1:13" ht="15.75" customHeight="1" x14ac:dyDescent="0.3">
      <c r="A25" s="17"/>
      <c r="C25" s="17"/>
      <c r="E25" s="17"/>
      <c r="G25" s="17" t="s">
        <v>133</v>
      </c>
      <c r="H25" s="115"/>
      <c r="I25" s="17"/>
      <c r="J25" s="17"/>
      <c r="K25" s="17" t="s">
        <v>134</v>
      </c>
      <c r="L25" s="17"/>
      <c r="M25" s="17" t="s">
        <v>135</v>
      </c>
    </row>
    <row r="26" spans="1:13" ht="15.75" customHeight="1" x14ac:dyDescent="0.3">
      <c r="A26" s="16"/>
      <c r="C26" s="16"/>
      <c r="E26" s="16"/>
      <c r="G26" s="16" t="s">
        <v>136</v>
      </c>
      <c r="H26" s="115"/>
      <c r="I26" s="16"/>
      <c r="J26" s="16"/>
      <c r="K26" s="16" t="s">
        <v>137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138</v>
      </c>
      <c r="H27" s="115"/>
      <c r="I27" s="17"/>
      <c r="J27" s="17"/>
      <c r="K27" s="17" t="s">
        <v>129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139</v>
      </c>
      <c r="H28" s="115"/>
      <c r="I28" s="16"/>
      <c r="J28" s="16"/>
      <c r="K28" s="16" t="s">
        <v>132</v>
      </c>
      <c r="L28" s="16"/>
      <c r="M28" s="16" t="s">
        <v>140</v>
      </c>
    </row>
    <row r="29" spans="1:13" ht="15.75" customHeight="1" x14ac:dyDescent="0.3">
      <c r="A29" s="17"/>
      <c r="C29" s="17"/>
      <c r="E29" s="17"/>
      <c r="G29" s="17" t="s">
        <v>141</v>
      </c>
      <c r="H29" s="115"/>
      <c r="I29" s="17"/>
      <c r="J29" s="17"/>
      <c r="K29" s="17" t="s">
        <v>142</v>
      </c>
      <c r="L29" s="17"/>
      <c r="M29" s="17" t="s">
        <v>143</v>
      </c>
    </row>
    <row r="30" spans="1:13" ht="15.75" customHeight="1" x14ac:dyDescent="0.3">
      <c r="A30" s="16"/>
      <c r="C30" s="16"/>
      <c r="E30" s="16"/>
      <c r="G30" s="16" t="s">
        <v>144</v>
      </c>
      <c r="H30" s="115"/>
      <c r="I30" s="16"/>
      <c r="J30" s="16"/>
      <c r="K30" s="16" t="s">
        <v>145</v>
      </c>
      <c r="L30" s="16"/>
      <c r="M30" s="16" t="s">
        <v>146</v>
      </c>
    </row>
    <row r="31" spans="1:13" ht="15.75" customHeight="1" x14ac:dyDescent="0.3">
      <c r="A31" s="17"/>
      <c r="C31" s="17"/>
      <c r="E31" s="17"/>
      <c r="G31" s="17" t="s">
        <v>147</v>
      </c>
      <c r="H31" s="115"/>
      <c r="I31" s="17"/>
      <c r="J31" s="17"/>
      <c r="K31" s="18" t="s">
        <v>148</v>
      </c>
      <c r="L31" s="17"/>
      <c r="M31" s="17" t="s">
        <v>149</v>
      </c>
    </row>
    <row r="32" spans="1:13" ht="15.75" customHeight="1" x14ac:dyDescent="0.3">
      <c r="A32" s="16"/>
      <c r="C32" s="16"/>
      <c r="E32" s="16"/>
      <c r="G32" s="16" t="s">
        <v>150</v>
      </c>
      <c r="H32" s="115"/>
      <c r="I32" s="16"/>
      <c r="J32" s="16"/>
      <c r="K32" s="16" t="s">
        <v>151</v>
      </c>
      <c r="L32" s="16"/>
      <c r="M32" t="s">
        <v>152</v>
      </c>
    </row>
    <row r="33" spans="1:13" ht="15.75" customHeight="1" x14ac:dyDescent="0.3">
      <c r="A33" s="17"/>
      <c r="C33" s="17"/>
      <c r="E33" s="17"/>
      <c r="G33" s="17" t="s">
        <v>153</v>
      </c>
      <c r="H33" s="115"/>
      <c r="I33" s="17"/>
      <c r="J33" s="17"/>
      <c r="K33" s="18" t="s">
        <v>154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155</v>
      </c>
      <c r="H34" s="115"/>
      <c r="I34" s="16"/>
      <c r="J34" s="16"/>
      <c r="K34" s="16" t="s">
        <v>79</v>
      </c>
      <c r="L34" s="16"/>
      <c r="M34" s="16" t="s">
        <v>156</v>
      </c>
    </row>
    <row r="35" spans="1:13" ht="15.75" customHeight="1" x14ac:dyDescent="0.3">
      <c r="A35" s="17"/>
      <c r="C35" s="17"/>
      <c r="E35" s="17"/>
      <c r="G35" s="17" t="s">
        <v>157</v>
      </c>
      <c r="H35" s="115"/>
      <c r="I35" s="17"/>
      <c r="J35" s="17"/>
      <c r="K35" s="17" t="s">
        <v>158</v>
      </c>
      <c r="L35" s="17"/>
      <c r="M35" s="17" t="s">
        <v>159</v>
      </c>
    </row>
    <row r="36" spans="1:13" ht="15.75" customHeight="1" x14ac:dyDescent="0.3">
      <c r="A36" s="16"/>
      <c r="C36" s="16"/>
      <c r="E36" s="16"/>
      <c r="G36" s="16" t="s">
        <v>160</v>
      </c>
      <c r="H36" s="115"/>
      <c r="I36" s="16"/>
      <c r="J36" s="16"/>
      <c r="K36" s="16" t="s">
        <v>161</v>
      </c>
      <c r="L36" s="16"/>
      <c r="M36" s="16" t="s">
        <v>162</v>
      </c>
    </row>
    <row r="37" spans="1:13" ht="15.75" customHeight="1" x14ac:dyDescent="0.3">
      <c r="A37" s="17"/>
      <c r="C37" s="17"/>
      <c r="E37" s="17"/>
      <c r="G37" s="17" t="s">
        <v>163</v>
      </c>
      <c r="H37" s="115"/>
      <c r="I37" s="17"/>
      <c r="J37" s="17"/>
      <c r="K37" s="17" t="s">
        <v>164</v>
      </c>
      <c r="L37" s="17"/>
      <c r="M37" s="17" t="s">
        <v>165</v>
      </c>
    </row>
    <row r="38" spans="1:13" ht="15.75" customHeight="1" x14ac:dyDescent="0.3">
      <c r="A38" s="16"/>
      <c r="C38" s="16"/>
      <c r="E38" s="16"/>
      <c r="G38" s="16" t="s">
        <v>166</v>
      </c>
      <c r="H38" s="115"/>
      <c r="I38" s="16"/>
      <c r="J38" s="16"/>
      <c r="K38" s="16" t="s">
        <v>167</v>
      </c>
      <c r="L38" s="16"/>
      <c r="M38" s="16" t="s">
        <v>168</v>
      </c>
    </row>
    <row r="39" spans="1:13" ht="15.75" customHeight="1" x14ac:dyDescent="0.3">
      <c r="A39" s="17"/>
      <c r="C39" s="17"/>
      <c r="E39" s="17"/>
      <c r="G39" s="17"/>
      <c r="H39" s="115"/>
      <c r="I39" s="17"/>
      <c r="J39" s="17"/>
      <c r="K39" s="17" t="s">
        <v>169</v>
      </c>
      <c r="L39" s="17"/>
      <c r="M39" s="17" t="s">
        <v>170</v>
      </c>
    </row>
    <row r="40" spans="1:13" ht="15.75" customHeight="1" x14ac:dyDescent="0.3">
      <c r="A40" s="16"/>
      <c r="C40" s="16"/>
      <c r="E40" s="16"/>
      <c r="G40" s="16"/>
      <c r="H40" s="115"/>
      <c r="I40" s="16"/>
      <c r="J40" s="16"/>
      <c r="K40" s="16" t="s">
        <v>171</v>
      </c>
      <c r="L40" s="16"/>
      <c r="M40" s="16" t="s">
        <v>172</v>
      </c>
    </row>
    <row r="41" spans="1:13" ht="15.75" customHeight="1" x14ac:dyDescent="0.3">
      <c r="A41" s="17"/>
      <c r="C41" s="17"/>
      <c r="E41" s="17"/>
      <c r="G41" s="17"/>
      <c r="H41" s="115"/>
      <c r="I41" s="17"/>
      <c r="J41" s="17"/>
      <c r="K41" s="17" t="s">
        <v>173</v>
      </c>
      <c r="L41" s="17"/>
      <c r="M41" s="17" t="s">
        <v>174</v>
      </c>
    </row>
    <row r="42" spans="1:13" ht="15.75" customHeight="1" x14ac:dyDescent="0.3">
      <c r="A42" s="16"/>
      <c r="C42" s="16"/>
      <c r="E42" s="16"/>
      <c r="G42" s="16"/>
      <c r="H42" s="115"/>
      <c r="I42" s="16"/>
      <c r="J42" s="16"/>
      <c r="K42" s="16" t="s">
        <v>175</v>
      </c>
      <c r="L42" s="16"/>
      <c r="M42" s="16" t="s">
        <v>176</v>
      </c>
    </row>
    <row r="43" spans="1:13" ht="15.75" customHeight="1" x14ac:dyDescent="0.3">
      <c r="A43" s="17"/>
      <c r="C43" s="17"/>
      <c r="E43" s="17"/>
      <c r="G43" s="17"/>
      <c r="H43" s="115"/>
      <c r="I43" s="17"/>
      <c r="J43" s="17"/>
      <c r="K43" s="17" t="s">
        <v>177</v>
      </c>
      <c r="L43" s="17"/>
      <c r="M43" s="17" t="s">
        <v>178</v>
      </c>
    </row>
    <row r="44" spans="1:13" ht="15.75" customHeight="1" x14ac:dyDescent="0.3">
      <c r="A44" s="16"/>
      <c r="C44" s="16"/>
      <c r="E44" s="16"/>
      <c r="G44" s="16"/>
      <c r="H44" s="115"/>
      <c r="I44" s="16"/>
      <c r="J44" s="16"/>
      <c r="K44" s="16" t="s">
        <v>179</v>
      </c>
      <c r="L44" s="16"/>
      <c r="M44" s="16" t="s">
        <v>180</v>
      </c>
    </row>
    <row r="45" spans="1:13" ht="15.75" customHeight="1" x14ac:dyDescent="0.3">
      <c r="A45" s="17"/>
      <c r="C45" s="17"/>
      <c r="E45" s="17"/>
      <c r="G45" s="17"/>
      <c r="H45" s="115"/>
      <c r="I45" s="17"/>
      <c r="J45" s="17"/>
      <c r="K45" s="17"/>
      <c r="L45" s="17"/>
      <c r="M45" s="17" t="s">
        <v>181</v>
      </c>
    </row>
    <row r="46" spans="1:13" ht="15.75" customHeight="1" x14ac:dyDescent="0.3">
      <c r="A46" s="16"/>
      <c r="C46" s="16"/>
      <c r="E46" s="16"/>
      <c r="G46" s="16"/>
      <c r="H46" s="115"/>
      <c r="I46" s="16"/>
      <c r="J46" s="16"/>
      <c r="K46" s="16" t="s">
        <v>182</v>
      </c>
      <c r="L46" s="16"/>
      <c r="M46" s="16" t="s">
        <v>183</v>
      </c>
    </row>
    <row r="47" spans="1:13" ht="15.75" customHeight="1" x14ac:dyDescent="0.3">
      <c r="A47" s="17"/>
      <c r="C47" s="17"/>
      <c r="E47" s="17"/>
      <c r="G47" s="17"/>
      <c r="H47" s="115"/>
      <c r="I47" s="17"/>
      <c r="J47" s="17"/>
      <c r="K47" s="17" t="s">
        <v>184</v>
      </c>
      <c r="L47" s="17"/>
      <c r="M47" s="17" t="s">
        <v>185</v>
      </c>
    </row>
    <row r="48" spans="1:13" ht="15.75" customHeight="1" x14ac:dyDescent="0.3">
      <c r="A48" s="16"/>
      <c r="C48" s="16"/>
      <c r="E48" s="16"/>
      <c r="G48" s="16"/>
      <c r="H48" s="115"/>
      <c r="I48" s="16"/>
      <c r="J48" s="16"/>
      <c r="K48" s="16" t="s">
        <v>186</v>
      </c>
      <c r="L48" s="16"/>
      <c r="M48" s="16" t="s">
        <v>187</v>
      </c>
    </row>
    <row r="49" spans="1:13" ht="18" customHeight="1" x14ac:dyDescent="0.3">
      <c r="H49" s="115"/>
      <c r="I49" s="17"/>
      <c r="J49" s="17"/>
      <c r="K49" s="17" t="s">
        <v>188</v>
      </c>
      <c r="L49" s="17"/>
      <c r="M49" s="17" t="s">
        <v>189</v>
      </c>
    </row>
    <row r="50" spans="1:13" ht="21" customHeight="1" x14ac:dyDescent="0.3">
      <c r="A50" s="19" t="s">
        <v>190</v>
      </c>
      <c r="B50" s="19"/>
      <c r="C50" s="19"/>
      <c r="D50" s="19"/>
      <c r="E50" s="19"/>
      <c r="F50" s="19"/>
      <c r="G50" s="19"/>
      <c r="H50" s="115"/>
      <c r="I50" s="16"/>
      <c r="J50" s="16"/>
      <c r="K50" s="16" t="s">
        <v>191</v>
      </c>
      <c r="L50" s="16"/>
      <c r="M50" s="16" t="s">
        <v>192</v>
      </c>
    </row>
    <row r="51" spans="1:13" ht="24" customHeight="1" x14ac:dyDescent="0.3">
      <c r="H51" s="115"/>
      <c r="I51" s="17"/>
      <c r="J51" s="17"/>
      <c r="K51" s="17" t="s">
        <v>193</v>
      </c>
      <c r="L51" s="17"/>
      <c r="M51" s="17" t="s">
        <v>194</v>
      </c>
    </row>
    <row r="52" spans="1:13" ht="24" customHeight="1" x14ac:dyDescent="0.3">
      <c r="H52" s="115"/>
      <c r="I52" s="16"/>
      <c r="J52" s="16"/>
      <c r="K52" s="16" t="s">
        <v>195</v>
      </c>
      <c r="L52" s="16"/>
      <c r="M52" s="16" t="s">
        <v>196</v>
      </c>
    </row>
    <row r="53" spans="1:13" ht="36" customHeight="1" x14ac:dyDescent="0.3">
      <c r="H53" s="115"/>
      <c r="I53" s="17"/>
      <c r="J53" s="17"/>
      <c r="K53" s="17" t="s">
        <v>197</v>
      </c>
      <c r="L53" s="17"/>
      <c r="M53" s="17" t="s">
        <v>198</v>
      </c>
    </row>
    <row r="54" spans="1:13" ht="15" customHeight="1" x14ac:dyDescent="0.3">
      <c r="H54" s="115"/>
      <c r="I54" s="16"/>
      <c r="J54" s="16"/>
      <c r="K54" s="16" t="s">
        <v>199</v>
      </c>
      <c r="L54" s="16"/>
      <c r="M54" s="16" t="s">
        <v>200</v>
      </c>
    </row>
    <row r="55" spans="1:13" ht="15" customHeight="1" x14ac:dyDescent="0.3">
      <c r="H55" s="115"/>
      <c r="I55" s="17"/>
      <c r="J55" s="17"/>
      <c r="K55" s="17" t="s">
        <v>201</v>
      </c>
      <c r="L55" s="17"/>
      <c r="M55" s="17" t="s">
        <v>202</v>
      </c>
    </row>
    <row r="56" spans="1:13" ht="15" customHeight="1" x14ac:dyDescent="0.3">
      <c r="H56" s="115"/>
      <c r="I56" s="16"/>
      <c r="J56" s="16"/>
      <c r="K56" s="16" t="s">
        <v>203</v>
      </c>
      <c r="L56" s="16"/>
      <c r="M56" s="16" t="s">
        <v>204</v>
      </c>
    </row>
    <row r="57" spans="1:13" ht="15" customHeight="1" x14ac:dyDescent="0.3">
      <c r="H57" s="115"/>
      <c r="I57" s="17"/>
      <c r="J57" s="17"/>
      <c r="K57" s="17" t="s">
        <v>50</v>
      </c>
      <c r="L57" s="17"/>
      <c r="M57" s="17" t="s">
        <v>205</v>
      </c>
    </row>
    <row r="58" spans="1:13" ht="15" customHeight="1" x14ac:dyDescent="0.3">
      <c r="H58" s="115"/>
      <c r="I58" s="16"/>
      <c r="J58" s="16"/>
      <c r="K58" s="16" t="s">
        <v>206</v>
      </c>
      <c r="L58" s="16"/>
      <c r="M58" s="16" t="s">
        <v>207</v>
      </c>
    </row>
    <row r="59" spans="1:13" ht="15" customHeight="1" x14ac:dyDescent="0.3">
      <c r="H59" s="115"/>
      <c r="I59" s="17"/>
      <c r="J59" s="17"/>
      <c r="K59" s="17" t="s">
        <v>208</v>
      </c>
      <c r="L59" s="17"/>
      <c r="M59" s="17"/>
    </row>
    <row r="60" spans="1:13" ht="15" customHeight="1" x14ac:dyDescent="0.3">
      <c r="H60" s="115"/>
      <c r="I60" s="16"/>
      <c r="J60" s="16"/>
      <c r="K60" s="86" t="s">
        <v>105</v>
      </c>
      <c r="L60" s="16"/>
      <c r="M60" s="16"/>
    </row>
    <row r="61" spans="1:13" ht="15" customHeight="1" x14ac:dyDescent="0.3">
      <c r="H61" s="115"/>
      <c r="I61" s="17"/>
      <c r="J61" s="17"/>
      <c r="K61" s="17" t="s">
        <v>209</v>
      </c>
      <c r="L61" s="17"/>
      <c r="M61" s="17"/>
    </row>
    <row r="62" spans="1:13" ht="15" customHeight="1" x14ac:dyDescent="0.3">
      <c r="H62" s="115"/>
      <c r="I62" s="16"/>
      <c r="J62" s="16"/>
      <c r="K62" s="16" t="s">
        <v>210</v>
      </c>
      <c r="L62" s="16"/>
      <c r="M62" s="16"/>
    </row>
    <row r="63" spans="1:13" ht="15" customHeight="1" x14ac:dyDescent="0.3">
      <c r="H63" s="115"/>
      <c r="I63" s="17"/>
      <c r="J63" s="17"/>
      <c r="K63" s="17" t="s">
        <v>211</v>
      </c>
      <c r="L63" s="17"/>
      <c r="M63" s="17"/>
    </row>
    <row r="64" spans="1:13" ht="15" customHeight="1" x14ac:dyDescent="0.3">
      <c r="H64" s="115"/>
      <c r="I64" s="16"/>
      <c r="J64" s="16"/>
      <c r="K64" s="16" t="s">
        <v>212</v>
      </c>
      <c r="L64" s="16"/>
      <c r="M64" s="16"/>
    </row>
    <row r="65" spans="8:13" ht="15" customHeight="1" x14ac:dyDescent="0.3">
      <c r="H65" s="115"/>
      <c r="I65" s="17"/>
      <c r="J65" s="17"/>
      <c r="K65" s="17" t="s">
        <v>213</v>
      </c>
      <c r="L65" s="17"/>
      <c r="M65" s="17"/>
    </row>
    <row r="66" spans="8:13" ht="15" customHeight="1" x14ac:dyDescent="0.3">
      <c r="H66" s="115"/>
      <c r="I66" s="16"/>
      <c r="J66" s="16"/>
      <c r="K66" s="16" t="s">
        <v>214</v>
      </c>
      <c r="L66" s="16"/>
      <c r="M66" s="16"/>
    </row>
    <row r="67" spans="8:13" ht="15" customHeight="1" x14ac:dyDescent="0.3">
      <c r="H67" s="115"/>
      <c r="I67" s="17"/>
      <c r="J67" s="17"/>
      <c r="K67" s="17" t="s">
        <v>215</v>
      </c>
      <c r="L67" s="17"/>
      <c r="M67" s="17"/>
    </row>
    <row r="68" spans="8:13" ht="15" customHeight="1" x14ac:dyDescent="0.3">
      <c r="H68" s="115"/>
      <c r="I68" s="16"/>
      <c r="J68" s="16"/>
      <c r="K68" s="16" t="s">
        <v>216</v>
      </c>
      <c r="L68" s="16"/>
      <c r="M68" s="16"/>
    </row>
    <row r="69" spans="8:13" ht="15" customHeight="1" x14ac:dyDescent="0.3">
      <c r="H69" s="115"/>
      <c r="I69" s="17"/>
      <c r="J69" s="17"/>
      <c r="K69" s="17" t="s">
        <v>217</v>
      </c>
      <c r="L69" s="17"/>
      <c r="M69" s="17"/>
    </row>
    <row r="70" spans="8:13" ht="15" customHeight="1" x14ac:dyDescent="0.3">
      <c r="H70" s="115"/>
      <c r="I70" s="16"/>
      <c r="J70" s="16"/>
      <c r="K70" s="16" t="s">
        <v>218</v>
      </c>
      <c r="L70" s="16"/>
      <c r="M70" s="16"/>
    </row>
    <row r="71" spans="8:13" ht="15" customHeight="1" x14ac:dyDescent="0.3">
      <c r="H71" s="115"/>
      <c r="I71" s="17"/>
      <c r="J71" s="17"/>
      <c r="K71" s="17" t="s">
        <v>219</v>
      </c>
      <c r="L71" s="17"/>
      <c r="M71" s="17"/>
    </row>
    <row r="72" spans="8:13" ht="15" customHeight="1" x14ac:dyDescent="0.3">
      <c r="H72" s="115"/>
      <c r="I72" s="16"/>
      <c r="J72" s="16"/>
      <c r="K72" s="16" t="s">
        <v>220</v>
      </c>
      <c r="L72" s="16"/>
      <c r="M72" s="16"/>
    </row>
    <row r="73" spans="8:13" ht="15" customHeight="1" x14ac:dyDescent="0.3">
      <c r="H73" s="115"/>
      <c r="I73" s="17"/>
      <c r="J73" s="17"/>
      <c r="K73" s="17" t="s">
        <v>221</v>
      </c>
      <c r="L73" s="17"/>
      <c r="M73" s="17"/>
    </row>
    <row r="74" spans="8:13" ht="15" customHeight="1" x14ac:dyDescent="0.3">
      <c r="H74" s="115"/>
      <c r="I74" s="16"/>
      <c r="J74" s="16"/>
      <c r="K74" s="16"/>
      <c r="L74" s="16"/>
      <c r="M74" s="16"/>
    </row>
    <row r="75" spans="8:13" ht="15" customHeight="1" x14ac:dyDescent="0.3">
      <c r="H75" s="115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84" activePane="bottomLeft" state="frozen"/>
      <selection pane="bottomLeft" activeCell="N817" sqref="N817"/>
    </sheetView>
  </sheetViews>
  <sheetFormatPr defaultColWidth="8.5546875" defaultRowHeight="14.4" x14ac:dyDescent="0.3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79.4414062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 x14ac:dyDescent="0.3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 x14ac:dyDescent="0.3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 x14ac:dyDescent="0.3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 x14ac:dyDescent="0.3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 x14ac:dyDescent="0.3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 x14ac:dyDescent="0.3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 x14ac:dyDescent="0.3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 x14ac:dyDescent="0.3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 x14ac:dyDescent="0.3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 x14ac:dyDescent="0.3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 x14ac:dyDescent="0.3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 x14ac:dyDescent="0.3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 x14ac:dyDescent="0.3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 x14ac:dyDescent="0.3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 x14ac:dyDescent="0.3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 x14ac:dyDescent="0.3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 x14ac:dyDescent="0.3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 x14ac:dyDescent="0.3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 x14ac:dyDescent="0.3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 x14ac:dyDescent="0.3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 x14ac:dyDescent="0.3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3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3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3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3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 x14ac:dyDescent="0.3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3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3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 x14ac:dyDescent="0.3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 x14ac:dyDescent="0.3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3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 x14ac:dyDescent="0.3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 x14ac:dyDescent="0.3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 x14ac:dyDescent="0.3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3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3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 x14ac:dyDescent="0.3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3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3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 x14ac:dyDescent="0.3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 x14ac:dyDescent="0.3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 x14ac:dyDescent="0.3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 x14ac:dyDescent="0.3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3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 x14ac:dyDescent="0.3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 x14ac:dyDescent="0.3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 x14ac:dyDescent="0.3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 x14ac:dyDescent="0.3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 x14ac:dyDescent="0.3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 x14ac:dyDescent="0.3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3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 x14ac:dyDescent="0.3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 x14ac:dyDescent="0.3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3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 x14ac:dyDescent="0.3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 x14ac:dyDescent="0.3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 x14ac:dyDescent="0.3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 x14ac:dyDescent="0.3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 x14ac:dyDescent="0.3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 x14ac:dyDescent="0.3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 x14ac:dyDescent="0.3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 x14ac:dyDescent="0.3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 x14ac:dyDescent="0.3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 x14ac:dyDescent="0.3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 x14ac:dyDescent="0.3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3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 x14ac:dyDescent="0.3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 x14ac:dyDescent="0.3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 x14ac:dyDescent="0.3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 x14ac:dyDescent="0.3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 x14ac:dyDescent="0.3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 x14ac:dyDescent="0.3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 x14ac:dyDescent="0.3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 x14ac:dyDescent="0.3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 x14ac:dyDescent="0.3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 x14ac:dyDescent="0.3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 x14ac:dyDescent="0.3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3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 x14ac:dyDescent="0.3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3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3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3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3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 x14ac:dyDescent="0.3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 x14ac:dyDescent="0.3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 x14ac:dyDescent="0.3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 x14ac:dyDescent="0.3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 x14ac:dyDescent="0.3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 x14ac:dyDescent="0.3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 x14ac:dyDescent="0.3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 x14ac:dyDescent="0.3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 x14ac:dyDescent="0.3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 x14ac:dyDescent="0.3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 x14ac:dyDescent="0.3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 x14ac:dyDescent="0.3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 x14ac:dyDescent="0.3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 x14ac:dyDescent="0.3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 x14ac:dyDescent="0.3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 x14ac:dyDescent="0.3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 x14ac:dyDescent="0.3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 x14ac:dyDescent="0.3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 x14ac:dyDescent="0.3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 x14ac:dyDescent="0.3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 x14ac:dyDescent="0.3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 x14ac:dyDescent="0.3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 x14ac:dyDescent="0.3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 x14ac:dyDescent="0.3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 x14ac:dyDescent="0.3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 x14ac:dyDescent="0.3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 x14ac:dyDescent="0.3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 x14ac:dyDescent="0.3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 x14ac:dyDescent="0.3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 x14ac:dyDescent="0.3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 x14ac:dyDescent="0.3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 x14ac:dyDescent="0.3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 x14ac:dyDescent="0.3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 x14ac:dyDescent="0.3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 x14ac:dyDescent="0.3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 x14ac:dyDescent="0.3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 x14ac:dyDescent="0.3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 x14ac:dyDescent="0.3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 x14ac:dyDescent="0.3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 x14ac:dyDescent="0.3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 x14ac:dyDescent="0.3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 x14ac:dyDescent="0.3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 x14ac:dyDescent="0.3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 x14ac:dyDescent="0.3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 x14ac:dyDescent="0.3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 x14ac:dyDescent="0.3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9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 x14ac:dyDescent="0.3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3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3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3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3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3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3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3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3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3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3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 x14ac:dyDescent="0.3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 x14ac:dyDescent="0.3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 x14ac:dyDescent="0.3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 x14ac:dyDescent="0.3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 x14ac:dyDescent="0.3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 x14ac:dyDescent="0.3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 x14ac:dyDescent="0.3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 x14ac:dyDescent="0.3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 x14ac:dyDescent="0.3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 x14ac:dyDescent="0.3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 x14ac:dyDescent="0.3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 x14ac:dyDescent="0.3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 x14ac:dyDescent="0.3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 x14ac:dyDescent="0.3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 x14ac:dyDescent="0.3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 x14ac:dyDescent="0.3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 x14ac:dyDescent="0.3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 x14ac:dyDescent="0.3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 x14ac:dyDescent="0.3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 x14ac:dyDescent="0.3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 x14ac:dyDescent="0.3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 x14ac:dyDescent="0.3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 x14ac:dyDescent="0.3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 x14ac:dyDescent="0.3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 x14ac:dyDescent="0.3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 x14ac:dyDescent="0.3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 x14ac:dyDescent="0.3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 x14ac:dyDescent="0.3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 x14ac:dyDescent="0.3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 x14ac:dyDescent="0.3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 x14ac:dyDescent="0.3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 x14ac:dyDescent="0.3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 x14ac:dyDescent="0.3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 x14ac:dyDescent="0.3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 x14ac:dyDescent="0.3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 x14ac:dyDescent="0.3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 x14ac:dyDescent="0.3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 x14ac:dyDescent="0.3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 x14ac:dyDescent="0.3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 x14ac:dyDescent="0.3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 x14ac:dyDescent="0.3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 x14ac:dyDescent="0.3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 x14ac:dyDescent="0.3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 x14ac:dyDescent="0.3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 x14ac:dyDescent="0.3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 x14ac:dyDescent="0.3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 x14ac:dyDescent="0.3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 x14ac:dyDescent="0.3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 x14ac:dyDescent="0.3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 x14ac:dyDescent="0.3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 x14ac:dyDescent="0.3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 x14ac:dyDescent="0.3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 x14ac:dyDescent="0.3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 x14ac:dyDescent="0.3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 x14ac:dyDescent="0.3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 x14ac:dyDescent="0.3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 x14ac:dyDescent="0.3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0.20647013889538357</v>
      </c>
      <c r="N787" s="46"/>
      <c r="O787" s="47"/>
    </row>
    <row r="788" spans="1:15" ht="15" customHeight="1" x14ac:dyDescent="0.3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433</v>
      </c>
      <c r="O790" s="47"/>
    </row>
    <row r="791" spans="1:15" ht="15" customHeight="1" x14ac:dyDescent="0.3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0.24952569445093908</v>
      </c>
      <c r="N797" s="36" t="s">
        <v>236</v>
      </c>
      <c r="O797" s="39">
        <v>2191180</v>
      </c>
    </row>
    <row r="798" spans="1:15" ht="15" customHeight="1" x14ac:dyDescent="0.3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>IF(F798="","",IF(E798="PC 17",F798*4.2,IF(E798="PC 19",F798*5,"")))</f>
        <v>175</v>
      </c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46233</v>
      </c>
      <c r="B799" s="32">
        <f t="shared" ref="B799:B809" si="177">B798+TIME(0,60,0)</f>
        <v>0.87499999999999967</v>
      </c>
      <c r="C799" s="81" t="s">
        <v>21</v>
      </c>
      <c r="D799" s="117" t="s">
        <v>22</v>
      </c>
      <c r="E799" s="117" t="s">
        <v>260</v>
      </c>
      <c r="F799" s="27">
        <v>26</v>
      </c>
      <c r="G799" s="101">
        <f>IF(F799="","",IF(E799="PC 17",F799*4.2,IF(E799="PC 19",F799*5,"")))</f>
        <v>109.2</v>
      </c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46233</v>
      </c>
      <c r="B800" s="25">
        <f t="shared" si="177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>IF(F800="","",IF(E800="PC 17",F800*4.2,IF(E800="PC 19",F800*5,"")))</f>
        <v>195</v>
      </c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46233</v>
      </c>
      <c r="B801" s="32">
        <f t="shared" si="177"/>
        <v>0.95833333333333293</v>
      </c>
      <c r="C801" s="81" t="s">
        <v>21</v>
      </c>
      <c r="D801" s="117" t="s">
        <v>22</v>
      </c>
      <c r="E801" s="117" t="s">
        <v>233</v>
      </c>
      <c r="F801" s="27"/>
      <c r="G801" s="101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46233</v>
      </c>
      <c r="B802" s="25">
        <f t="shared" si="177"/>
        <v>0.99999999999999956</v>
      </c>
      <c r="C802" s="26" t="s">
        <v>21</v>
      </c>
      <c r="D802" s="59" t="s">
        <v>22</v>
      </c>
      <c r="E802" s="59" t="s">
        <v>233</v>
      </c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46233</v>
      </c>
      <c r="B803" s="32">
        <f t="shared" si="177"/>
        <v>1.0416666666666663</v>
      </c>
      <c r="C803" s="81" t="s">
        <v>21</v>
      </c>
      <c r="D803" s="117" t="s">
        <v>22</v>
      </c>
      <c r="E803" s="117" t="s">
        <v>233</v>
      </c>
      <c r="F803" s="27"/>
      <c r="G803" s="101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46233</v>
      </c>
      <c r="B804" s="25">
        <f t="shared" si="177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46233</v>
      </c>
      <c r="B805" s="32">
        <f t="shared" si="177"/>
        <v>1.1249999999999998</v>
      </c>
      <c r="C805" s="81" t="s">
        <v>21</v>
      </c>
      <c r="D805" s="117" t="s">
        <v>22</v>
      </c>
      <c r="E805" s="117" t="s">
        <v>233</v>
      </c>
      <c r="F805" s="27"/>
      <c r="G805" s="101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46233</v>
      </c>
      <c r="B806" s="25">
        <f t="shared" si="177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46233</v>
      </c>
      <c r="B807" s="32">
        <f t="shared" si="177"/>
        <v>1.2083333333333333</v>
      </c>
      <c r="C807" s="81" t="s">
        <v>21</v>
      </c>
      <c r="D807" s="117" t="s">
        <v>22</v>
      </c>
      <c r="E807" s="117" t="s">
        <v>233</v>
      </c>
      <c r="F807" s="27"/>
      <c r="G807" s="101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46233</v>
      </c>
      <c r="B808" s="25">
        <f t="shared" si="177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46233</v>
      </c>
      <c r="B809" s="32">
        <f t="shared" si="177"/>
        <v>1.2916666666666667</v>
      </c>
      <c r="C809" s="81" t="s">
        <v>21</v>
      </c>
      <c r="D809" s="117" t="s">
        <v>22</v>
      </c>
      <c r="E809" s="117" t="s">
        <v>233</v>
      </c>
      <c r="F809" s="27"/>
      <c r="G809" s="101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100</v>
      </c>
      <c r="G810" s="36">
        <f>SUM(G798:G809)</f>
        <v>479.2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3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391</v>
      </c>
      <c r="G811" s="40">
        <f>G797+G810</f>
        <v>479.2</v>
      </c>
      <c r="H811" s="41"/>
      <c r="I811" s="41"/>
      <c r="J811" s="41"/>
      <c r="K811" s="41"/>
      <c r="L811" s="41"/>
      <c r="M811" s="42">
        <f ca="1">IFERROR(M797+M810,"")</f>
        <v>0.24952569445093908</v>
      </c>
      <c r="N811" s="40" t="s">
        <v>239</v>
      </c>
      <c r="O811" s="48">
        <f>IFERROR(O797+O810,"")</f>
        <v>2191180</v>
      </c>
    </row>
    <row r="812" spans="1:15" x14ac:dyDescent="0.3">
      <c r="A812" s="68">
        <v>46234</v>
      </c>
      <c r="B812" s="32">
        <v>0.33333333333333298</v>
      </c>
      <c r="C812" s="33"/>
      <c r="D812" s="62"/>
      <c r="E812" s="62"/>
      <c r="F812" s="27"/>
      <c r="G812" s="34"/>
      <c r="H812" s="33"/>
      <c r="I812" s="33"/>
      <c r="J812" s="33"/>
      <c r="K812" s="29"/>
      <c r="L812" s="29"/>
      <c r="M812" s="35" t="str">
        <f t="shared" ref="M812:M823" ca="1" si="179">IFERROR(IF(K812="","",IF(L812="",MOD(NOW()-K812,1),IF(L812&gt;=K812,L812-K812,L812+1-K812))),"")</f>
        <v/>
      </c>
      <c r="N812" s="46"/>
      <c r="O812" s="47"/>
    </row>
    <row r="813" spans="1:15" x14ac:dyDescent="0.3">
      <c r="A813" s="69">
        <v>46234</v>
      </c>
      <c r="B813" s="25">
        <f t="shared" ref="B813:B823" si="180">B812+TIME(0,60,0)</f>
        <v>0.37499999999999967</v>
      </c>
      <c r="C813" s="33"/>
      <c r="D813" s="62"/>
      <c r="E813" s="59"/>
      <c r="F813" s="27"/>
      <c r="G813" s="28"/>
      <c r="H813" s="26"/>
      <c r="I813" s="26"/>
      <c r="J813" s="26"/>
      <c r="K813" s="29"/>
      <c r="L813" s="29"/>
      <c r="M813" s="30" t="str">
        <f t="shared" ca="1" si="179"/>
        <v/>
      </c>
      <c r="N813" s="46"/>
      <c r="O813" s="47"/>
    </row>
    <row r="814" spans="1:15" x14ac:dyDescent="0.3">
      <c r="A814" s="68">
        <v>46234</v>
      </c>
      <c r="B814" s="32">
        <f t="shared" si="180"/>
        <v>0.41666666666666635</v>
      </c>
      <c r="C814" s="33"/>
      <c r="D814" s="62"/>
      <c r="E814" s="62"/>
      <c r="F814" s="27"/>
      <c r="G814" s="34"/>
      <c r="H814" s="33"/>
      <c r="I814" s="33"/>
      <c r="J814" s="33"/>
      <c r="K814" s="29"/>
      <c r="L814" s="29"/>
      <c r="M814" s="35" t="str">
        <f t="shared" ca="1" si="179"/>
        <v/>
      </c>
      <c r="N814" s="46"/>
      <c r="O814" s="47"/>
    </row>
    <row r="815" spans="1:15" x14ac:dyDescent="0.3">
      <c r="A815" s="69">
        <v>46234</v>
      </c>
      <c r="B815" s="25">
        <f t="shared" si="180"/>
        <v>0.45833333333333304</v>
      </c>
      <c r="C815" s="33"/>
      <c r="D815" s="62"/>
      <c r="E815" s="59"/>
      <c r="F815" s="27"/>
      <c r="G815" s="28"/>
      <c r="H815" s="26"/>
      <c r="I815" s="26"/>
      <c r="J815" s="26"/>
      <c r="K815" s="29"/>
      <c r="L815" s="29"/>
      <c r="M815" s="30" t="str">
        <f t="shared" ca="1" si="179"/>
        <v/>
      </c>
      <c r="N815" s="46"/>
      <c r="O815" s="47"/>
    </row>
    <row r="816" spans="1:15" x14ac:dyDescent="0.3">
      <c r="A816" s="68">
        <v>46234</v>
      </c>
      <c r="B816" s="32">
        <f t="shared" si="180"/>
        <v>0.49999999999999972</v>
      </c>
      <c r="C816" s="33"/>
      <c r="D816" s="62"/>
      <c r="E816" s="62"/>
      <c r="F816" s="27"/>
      <c r="G816" s="34"/>
      <c r="H816" s="33"/>
      <c r="I816" s="33"/>
      <c r="J816" s="33"/>
      <c r="K816" s="29"/>
      <c r="L816" s="29"/>
      <c r="M816" s="35" t="str">
        <f t="shared" ca="1" si="179"/>
        <v/>
      </c>
      <c r="N816" s="46"/>
      <c r="O816" s="47"/>
    </row>
    <row r="817" spans="1:15" x14ac:dyDescent="0.3">
      <c r="A817" s="69">
        <v>46234</v>
      </c>
      <c r="B817" s="25">
        <f t="shared" si="180"/>
        <v>0.54166666666666641</v>
      </c>
      <c r="C817" s="33"/>
      <c r="D817" s="62"/>
      <c r="E817" s="59"/>
      <c r="F817" s="27"/>
      <c r="G817" s="28"/>
      <c r="H817" s="26"/>
      <c r="I817" s="26"/>
      <c r="J817" s="26"/>
      <c r="K817" s="29"/>
      <c r="L817" s="29"/>
      <c r="M817" s="30" t="str">
        <f t="shared" ca="1" si="179"/>
        <v/>
      </c>
      <c r="N817" s="46"/>
      <c r="O817" s="47"/>
    </row>
    <row r="818" spans="1:15" x14ac:dyDescent="0.3">
      <c r="A818" s="68">
        <v>46234</v>
      </c>
      <c r="B818" s="32">
        <f t="shared" si="180"/>
        <v>0.58333333333333304</v>
      </c>
      <c r="C818" s="33"/>
      <c r="D818" s="62"/>
      <c r="E818" s="62"/>
      <c r="F818" s="27"/>
      <c r="G818" s="34"/>
      <c r="H818" s="33"/>
      <c r="I818" s="33"/>
      <c r="J818" s="33"/>
      <c r="K818" s="29"/>
      <c r="L818" s="29"/>
      <c r="M818" s="35" t="str">
        <f t="shared" ca="1" si="179"/>
        <v/>
      </c>
      <c r="N818" s="46"/>
      <c r="O818" s="47"/>
    </row>
    <row r="819" spans="1:15" x14ac:dyDescent="0.3">
      <c r="A819" s="69">
        <v>46234</v>
      </c>
      <c r="B819" s="25">
        <f t="shared" si="180"/>
        <v>0.62499999999999967</v>
      </c>
      <c r="C819" s="33"/>
      <c r="D819" s="62"/>
      <c r="E819" s="59"/>
      <c r="F819" s="27"/>
      <c r="G819" s="28"/>
      <c r="H819" s="26"/>
      <c r="I819" s="26"/>
      <c r="J819" s="26"/>
      <c r="K819" s="29"/>
      <c r="L819" s="29"/>
      <c r="M819" s="30" t="str">
        <f t="shared" ca="1" si="179"/>
        <v/>
      </c>
      <c r="N819" s="46"/>
      <c r="O819" s="47"/>
    </row>
    <row r="820" spans="1:15" x14ac:dyDescent="0.3">
      <c r="A820" s="68">
        <v>46234</v>
      </c>
      <c r="B820" s="32">
        <f t="shared" si="180"/>
        <v>0.6666666666666663</v>
      </c>
      <c r="C820" s="33"/>
      <c r="D820" s="62"/>
      <c r="E820" s="62"/>
      <c r="F820" s="27"/>
      <c r="G820" s="34"/>
      <c r="H820" s="33"/>
      <c r="I820" s="33"/>
      <c r="J820" s="33"/>
      <c r="K820" s="29"/>
      <c r="L820" s="29"/>
      <c r="M820" s="35" t="str">
        <f t="shared" ca="1" si="179"/>
        <v/>
      </c>
      <c r="N820" s="46"/>
      <c r="O820" s="47"/>
    </row>
    <row r="821" spans="1:15" x14ac:dyDescent="0.3">
      <c r="A821" s="69">
        <v>46234</v>
      </c>
      <c r="B821" s="25">
        <f t="shared" si="180"/>
        <v>0.70833333333333293</v>
      </c>
      <c r="C821" s="33"/>
      <c r="D821" s="62"/>
      <c r="E821" s="59"/>
      <c r="F821" s="27"/>
      <c r="G821" s="28"/>
      <c r="H821" s="26"/>
      <c r="I821" s="26"/>
      <c r="J821" s="26"/>
      <c r="K821" s="29"/>
      <c r="L821" s="29"/>
      <c r="M821" s="30" t="str">
        <f t="shared" ca="1" si="179"/>
        <v/>
      </c>
      <c r="N821" s="46"/>
      <c r="O821" s="47"/>
    </row>
    <row r="822" spans="1:15" x14ac:dyDescent="0.3">
      <c r="A822" s="68">
        <v>46234</v>
      </c>
      <c r="B822" s="32">
        <f t="shared" si="180"/>
        <v>0.74999999999999956</v>
      </c>
      <c r="C822" s="33"/>
      <c r="D822" s="62"/>
      <c r="E822" s="62"/>
      <c r="F822" s="27"/>
      <c r="G822" s="34"/>
      <c r="H822" s="33"/>
      <c r="I822" s="33"/>
      <c r="J822" s="33"/>
      <c r="K822" s="29"/>
      <c r="L822" s="29"/>
      <c r="M822" s="35" t="str">
        <f t="shared" ca="1" si="179"/>
        <v/>
      </c>
      <c r="N822" s="46"/>
      <c r="O822" s="47"/>
    </row>
    <row r="823" spans="1:15" ht="15" thickBot="1" x14ac:dyDescent="0.35">
      <c r="A823" s="69">
        <v>46234</v>
      </c>
      <c r="B823" s="25">
        <f t="shared" si="180"/>
        <v>0.79166666666666619</v>
      </c>
      <c r="C823" s="33"/>
      <c r="D823" s="62"/>
      <c r="E823" s="59"/>
      <c r="F823" s="27"/>
      <c r="G823" s="28"/>
      <c r="H823" s="26"/>
      <c r="I823" s="26"/>
      <c r="J823" s="26"/>
      <c r="K823" s="29"/>
      <c r="L823" s="29"/>
      <c r="M823" s="30" t="str">
        <f t="shared" ca="1" si="179"/>
        <v/>
      </c>
      <c r="N823" s="46"/>
      <c r="O823" s="47"/>
    </row>
    <row r="824" spans="1:15" ht="15" thickBot="1" x14ac:dyDescent="0.35">
      <c r="A824" s="102" t="s">
        <v>235</v>
      </c>
      <c r="B824" s="103"/>
      <c r="C824" s="103"/>
      <c r="D824" s="103"/>
      <c r="E824" s="104">
        <f>SUM(E812:E823)</f>
        <v>0</v>
      </c>
      <c r="F824" s="36">
        <f>SUM(F812:F823)</f>
        <v>0</v>
      </c>
      <c r="G824" s="37"/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x14ac:dyDescent="0.3">
      <c r="A825" s="68">
        <v>46234</v>
      </c>
      <c r="B825" s="25">
        <v>0.83333333333333304</v>
      </c>
      <c r="C825" s="26"/>
      <c r="D825" s="59"/>
      <c r="E825" s="59"/>
      <c r="F825" s="27"/>
      <c r="G825" s="28" t="str">
        <f>IF(F825="","",IF(E825="PC 17",F825*4.2,IF(E825="PC 19",F825*5,"")))</f>
        <v/>
      </c>
      <c r="H825" s="26"/>
      <c r="I825" s="26"/>
      <c r="J825" s="26"/>
      <c r="K825" s="29"/>
      <c r="L825" s="29"/>
      <c r="M825" s="30" t="str">
        <f t="shared" ref="M825:M836" ca="1" si="181">IFERROR(IF(K825="","",IF(L825="",MOD(NOW()-K825,1),IF(L825&gt;=K825,L825-K825,L825+1-K825))),"")</f>
        <v/>
      </c>
      <c r="N825" s="46"/>
      <c r="O825" s="47"/>
    </row>
    <row r="826" spans="1:15" x14ac:dyDescent="0.3">
      <c r="A826" s="69">
        <v>46234</v>
      </c>
      <c r="B826" s="32">
        <f t="shared" ref="B826:B836" si="182">B825+TIME(0,60,0)</f>
        <v>0.87499999999999967</v>
      </c>
      <c r="C826" s="81"/>
      <c r="D826" s="117"/>
      <c r="E826" s="117"/>
      <c r="F826" s="27"/>
      <c r="G826" s="101" t="str">
        <f>IF(F826="","",IF(E826="PC 17",F826*4.2,IF(E826="PC 19",F826*5,"")))</f>
        <v/>
      </c>
      <c r="H826" s="33"/>
      <c r="I826" s="33"/>
      <c r="J826" s="33"/>
      <c r="K826" s="29"/>
      <c r="L826" s="29"/>
      <c r="M826" s="35" t="str">
        <f t="shared" ca="1" si="181"/>
        <v/>
      </c>
      <c r="N826" s="46"/>
      <c r="O826" s="47"/>
    </row>
    <row r="827" spans="1:15" x14ac:dyDescent="0.3">
      <c r="A827" s="68">
        <v>46234</v>
      </c>
      <c r="B827" s="25">
        <f t="shared" si="182"/>
        <v>0.9166666666666663</v>
      </c>
      <c r="C827" s="26"/>
      <c r="D827" s="59"/>
      <c r="E827" s="59"/>
      <c r="F827" s="27"/>
      <c r="G827" s="28" t="str">
        <f>IF(F827="","",IF(E827="PC 17",F827*4.2,IF(E827="PC 19",F827*5,"")))</f>
        <v/>
      </c>
      <c r="H827" s="26"/>
      <c r="I827" s="26"/>
      <c r="J827" s="26"/>
      <c r="K827" s="29"/>
      <c r="L827" s="29"/>
      <c r="M827" s="30" t="str">
        <f t="shared" ca="1" si="181"/>
        <v/>
      </c>
      <c r="N827" s="46"/>
      <c r="O827" s="47"/>
    </row>
    <row r="828" spans="1:15" x14ac:dyDescent="0.3">
      <c r="A828" s="69">
        <v>46234</v>
      </c>
      <c r="B828" s="32">
        <f t="shared" si="182"/>
        <v>0.95833333333333293</v>
      </c>
      <c r="C828" s="81"/>
      <c r="D828" s="117"/>
      <c r="E828" s="117"/>
      <c r="F828" s="27"/>
      <c r="G828" s="101" t="str">
        <f t="shared" ref="G828:G836" si="183">IF(F828="","",IF(E828="PC 17",F828*4.2,IF(E828="PC 19",F828*5,"")))</f>
        <v/>
      </c>
      <c r="H828" s="33"/>
      <c r="I828" s="33"/>
      <c r="J828" s="33"/>
      <c r="K828" s="29"/>
      <c r="L828" s="29"/>
      <c r="M828" s="35" t="str">
        <f t="shared" ca="1" si="181"/>
        <v/>
      </c>
      <c r="N828" s="46"/>
      <c r="O828" s="47"/>
    </row>
    <row r="829" spans="1:15" x14ac:dyDescent="0.3">
      <c r="A829" s="68">
        <v>46234</v>
      </c>
      <c r="B829" s="25">
        <f t="shared" si="182"/>
        <v>0.99999999999999956</v>
      </c>
      <c r="C829" s="26"/>
      <c r="D829" s="59"/>
      <c r="E829" s="59"/>
      <c r="F829" s="27"/>
      <c r="G829" s="28" t="str">
        <f t="shared" si="183"/>
        <v/>
      </c>
      <c r="H829" s="26"/>
      <c r="I829" s="26"/>
      <c r="J829" s="26"/>
      <c r="K829" s="29"/>
      <c r="L829" s="29"/>
      <c r="M829" s="30" t="str">
        <f t="shared" ca="1" si="181"/>
        <v/>
      </c>
      <c r="N829" s="46"/>
      <c r="O829" s="47"/>
    </row>
    <row r="830" spans="1:15" x14ac:dyDescent="0.3">
      <c r="A830" s="69">
        <v>46234</v>
      </c>
      <c r="B830" s="32">
        <f t="shared" si="182"/>
        <v>1.0416666666666663</v>
      </c>
      <c r="C830" s="81"/>
      <c r="D830" s="117"/>
      <c r="E830" s="117"/>
      <c r="F830" s="27"/>
      <c r="G830" s="101" t="str">
        <f t="shared" si="183"/>
        <v/>
      </c>
      <c r="H830" s="33"/>
      <c r="I830" s="33"/>
      <c r="J830" s="33"/>
      <c r="K830" s="29"/>
      <c r="L830" s="29"/>
      <c r="M830" s="35" t="str">
        <f t="shared" ca="1" si="181"/>
        <v/>
      </c>
      <c r="N830" s="46"/>
      <c r="O830" s="47"/>
    </row>
    <row r="831" spans="1:15" x14ac:dyDescent="0.3">
      <c r="A831" s="68">
        <v>46234</v>
      </c>
      <c r="B831" s="25">
        <f t="shared" si="182"/>
        <v>1.083333333333333</v>
      </c>
      <c r="C831" s="26"/>
      <c r="D831" s="59"/>
      <c r="E831" s="59"/>
      <c r="F831" s="27"/>
      <c r="G831" s="28" t="str">
        <f t="shared" si="183"/>
        <v/>
      </c>
      <c r="H831" s="26"/>
      <c r="I831" s="26"/>
      <c r="J831" s="26"/>
      <c r="K831" s="29"/>
      <c r="L831" s="29"/>
      <c r="M831" s="30" t="str">
        <f t="shared" ca="1" si="181"/>
        <v/>
      </c>
      <c r="N831" s="46"/>
      <c r="O831" s="47"/>
    </row>
    <row r="832" spans="1:15" x14ac:dyDescent="0.3">
      <c r="A832" s="69">
        <v>46234</v>
      </c>
      <c r="B832" s="32">
        <f t="shared" si="182"/>
        <v>1.1249999999999998</v>
      </c>
      <c r="C832" s="81"/>
      <c r="D832" s="117"/>
      <c r="E832" s="117"/>
      <c r="F832" s="27"/>
      <c r="G832" s="101" t="str">
        <f t="shared" si="183"/>
        <v/>
      </c>
      <c r="H832" s="33"/>
      <c r="I832" s="33"/>
      <c r="J832" s="33"/>
      <c r="K832" s="29"/>
      <c r="L832" s="29"/>
      <c r="M832" s="35" t="str">
        <f t="shared" ca="1" si="181"/>
        <v/>
      </c>
      <c r="N832" s="46"/>
      <c r="O832" s="47"/>
    </row>
    <row r="833" spans="1:15" x14ac:dyDescent="0.3">
      <c r="A833" s="68">
        <v>46234</v>
      </c>
      <c r="B833" s="25">
        <f t="shared" si="182"/>
        <v>1.1666666666666665</v>
      </c>
      <c r="C833" s="26"/>
      <c r="D833" s="59"/>
      <c r="E833" s="59"/>
      <c r="F833" s="27"/>
      <c r="G833" s="28" t="str">
        <f t="shared" si="183"/>
        <v/>
      </c>
      <c r="H833" s="26"/>
      <c r="I833" s="26"/>
      <c r="J833" s="26"/>
      <c r="K833" s="29"/>
      <c r="L833" s="29"/>
      <c r="M833" s="30" t="str">
        <f t="shared" ca="1" si="181"/>
        <v/>
      </c>
      <c r="N833" s="46"/>
      <c r="O833" s="47"/>
    </row>
    <row r="834" spans="1:15" x14ac:dyDescent="0.3">
      <c r="A834" s="69">
        <v>46234</v>
      </c>
      <c r="B834" s="32">
        <f t="shared" si="182"/>
        <v>1.2083333333333333</v>
      </c>
      <c r="C834" s="81"/>
      <c r="D834" s="117"/>
      <c r="E834" s="117"/>
      <c r="F834" s="27"/>
      <c r="G834" s="101" t="str">
        <f t="shared" si="183"/>
        <v/>
      </c>
      <c r="H834" s="33"/>
      <c r="I834" s="33"/>
      <c r="J834" s="33"/>
      <c r="K834" s="29"/>
      <c r="L834" s="29"/>
      <c r="M834" s="35" t="str">
        <f t="shared" ca="1" si="181"/>
        <v/>
      </c>
      <c r="N834" s="46"/>
      <c r="O834" s="47"/>
    </row>
    <row r="835" spans="1:15" x14ac:dyDescent="0.3">
      <c r="A835" s="68">
        <v>46234</v>
      </c>
      <c r="B835" s="25">
        <f t="shared" si="182"/>
        <v>1.25</v>
      </c>
      <c r="C835" s="26"/>
      <c r="D835" s="59"/>
      <c r="E835" s="59"/>
      <c r="F835" s="27"/>
      <c r="G835" s="28" t="str">
        <f t="shared" si="183"/>
        <v/>
      </c>
      <c r="H835" s="26"/>
      <c r="I835" s="26"/>
      <c r="J835" s="26"/>
      <c r="K835" s="29"/>
      <c r="L835" s="29"/>
      <c r="M835" s="30" t="str">
        <f t="shared" ca="1" si="181"/>
        <v/>
      </c>
      <c r="N835" s="46"/>
      <c r="O835" s="47"/>
    </row>
    <row r="836" spans="1:15" ht="15" thickBot="1" x14ac:dyDescent="0.35">
      <c r="A836" s="69">
        <v>46234</v>
      </c>
      <c r="B836" s="32">
        <f t="shared" si="182"/>
        <v>1.2916666666666667</v>
      </c>
      <c r="C836" s="81"/>
      <c r="D836" s="117"/>
      <c r="E836" s="117"/>
      <c r="F836" s="27"/>
      <c r="G836" s="101" t="str">
        <f t="shared" si="183"/>
        <v/>
      </c>
      <c r="H836" s="33"/>
      <c r="I836" s="33"/>
      <c r="J836" s="33"/>
      <c r="K836" s="29"/>
      <c r="L836" s="29"/>
      <c r="M836" s="35" t="str">
        <f t="shared" ca="1" si="181"/>
        <v/>
      </c>
      <c r="N836" s="46"/>
      <c r="O836" s="47"/>
    </row>
    <row r="837" spans="1:15" ht="15" thickBot="1" x14ac:dyDescent="0.35">
      <c r="A837" s="102" t="s">
        <v>237</v>
      </c>
      <c r="B837" s="103"/>
      <c r="C837" s="103"/>
      <c r="D837" s="103"/>
      <c r="E837" s="10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x14ac:dyDescent="0.3">
      <c r="A838" s="105" t="s">
        <v>238</v>
      </c>
      <c r="B838" s="106"/>
      <c r="C838" s="106"/>
      <c r="D838" s="106"/>
      <c r="E838" s="10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3">
    <mergeCell ref="A811:E8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H2:H900 G824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85" activePane="bottomLeft" state="frozen"/>
      <selection pane="bottomLeft" activeCell="H789" sqref="H789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9.33203125" style="20" customWidth="1"/>
    <col min="10" max="10" width="46.1093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53.5546875" style="20" customWidth="1"/>
    <col min="15" max="15" width="20" customWidth="1"/>
    <col min="16" max="16" width="20.109375" customWidth="1"/>
  </cols>
  <sheetData>
    <row r="1" spans="1:15" ht="37.5" customHeight="1" x14ac:dyDescent="0.3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 x14ac:dyDescent="0.3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 x14ac:dyDescent="0.3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 x14ac:dyDescent="0.3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 x14ac:dyDescent="0.3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276</v>
      </c>
      <c r="O29" s="31"/>
    </row>
    <row r="30" spans="1:15" ht="15" customHeight="1" x14ac:dyDescent="0.3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 x14ac:dyDescent="0.3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277</v>
      </c>
      <c r="O44" s="31"/>
    </row>
    <row r="45" spans="1:15" ht="15" customHeight="1" x14ac:dyDescent="0.3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 x14ac:dyDescent="0.3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 x14ac:dyDescent="0.3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278</v>
      </c>
      <c r="O57" s="31"/>
    </row>
    <row r="58" spans="1:15" ht="15" customHeight="1" x14ac:dyDescent="0.3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279</v>
      </c>
      <c r="O58" s="31"/>
    </row>
    <row r="59" spans="1:15" ht="15" customHeight="1" x14ac:dyDescent="0.3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 x14ac:dyDescent="0.3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 x14ac:dyDescent="0.3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 x14ac:dyDescent="0.3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280</v>
      </c>
      <c r="O83" s="31"/>
    </row>
    <row r="84" spans="1:15" ht="15" customHeight="1" x14ac:dyDescent="0.3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 x14ac:dyDescent="0.3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281</v>
      </c>
      <c r="O96" s="31"/>
    </row>
    <row r="97" spans="1:15" ht="15" customHeight="1" x14ac:dyDescent="0.3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282</v>
      </c>
      <c r="O97" s="31"/>
    </row>
    <row r="98" spans="1:15" ht="15" customHeight="1" x14ac:dyDescent="0.3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283</v>
      </c>
      <c r="O98" s="31"/>
    </row>
    <row r="99" spans="1:15" ht="15" customHeight="1" x14ac:dyDescent="0.3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 x14ac:dyDescent="0.3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 x14ac:dyDescent="0.3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284</v>
      </c>
      <c r="O111" s="31"/>
    </row>
    <row r="112" spans="1:15" ht="15" customHeight="1" x14ac:dyDescent="0.3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 x14ac:dyDescent="0.3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285</v>
      </c>
      <c r="O123" s="31"/>
    </row>
    <row r="124" spans="1:15" ht="15" customHeight="1" x14ac:dyDescent="0.3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 x14ac:dyDescent="0.3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286</v>
      </c>
      <c r="O126" s="31"/>
    </row>
    <row r="127" spans="1:15" ht="15" customHeight="1" x14ac:dyDescent="0.3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 x14ac:dyDescent="0.3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287</v>
      </c>
      <c r="O129" s="31"/>
    </row>
    <row r="130" spans="1:15" ht="15" customHeight="1" x14ac:dyDescent="0.3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 x14ac:dyDescent="0.3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 x14ac:dyDescent="0.3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3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3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288</v>
      </c>
      <c r="O139" s="31"/>
    </row>
    <row r="140" spans="1:15" ht="15" customHeight="1" x14ac:dyDescent="0.3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3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 x14ac:dyDescent="0.3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290</v>
      </c>
      <c r="O150" s="31"/>
    </row>
    <row r="151" spans="1:15" ht="15" customHeight="1" x14ac:dyDescent="0.3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3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 x14ac:dyDescent="0.3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 x14ac:dyDescent="0.3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 x14ac:dyDescent="0.3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3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 x14ac:dyDescent="0.3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3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 x14ac:dyDescent="0.3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 x14ac:dyDescent="0.3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3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 x14ac:dyDescent="0.3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3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3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292</v>
      </c>
      <c r="O206" s="47"/>
    </row>
    <row r="207" spans="1:15" ht="15" customHeight="1" x14ac:dyDescent="0.3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293</v>
      </c>
      <c r="O207" s="47"/>
    </row>
    <row r="208" spans="1:15" ht="15" customHeight="1" x14ac:dyDescent="0.3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 x14ac:dyDescent="0.3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 x14ac:dyDescent="0.3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294</v>
      </c>
      <c r="O218" s="47"/>
    </row>
    <row r="219" spans="1:15" ht="15" customHeight="1" x14ac:dyDescent="0.3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295</v>
      </c>
      <c r="O219" s="47"/>
    </row>
    <row r="220" spans="1:15" ht="15" customHeight="1" x14ac:dyDescent="0.3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3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 x14ac:dyDescent="0.3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3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3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3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290</v>
      </c>
      <c r="O234" s="47"/>
    </row>
    <row r="235" spans="1:15" ht="15" customHeight="1" x14ac:dyDescent="0.3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3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 x14ac:dyDescent="0.3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 x14ac:dyDescent="0.3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297</v>
      </c>
      <c r="O245" s="47"/>
    </row>
    <row r="246" spans="1:15" ht="15" customHeight="1" x14ac:dyDescent="0.3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 x14ac:dyDescent="0.3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3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3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3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3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3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 x14ac:dyDescent="0.3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 x14ac:dyDescent="0.3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298</v>
      </c>
      <c r="O272" s="47"/>
    </row>
    <row r="273" spans="1:15" ht="15" customHeight="1" x14ac:dyDescent="0.3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299</v>
      </c>
      <c r="O273" s="47"/>
    </row>
    <row r="274" spans="1:15" ht="15" customHeight="1" x14ac:dyDescent="0.3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3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 x14ac:dyDescent="0.3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3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300</v>
      </c>
      <c r="O286" s="47"/>
    </row>
    <row r="287" spans="1:15" ht="15" customHeight="1" x14ac:dyDescent="0.3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3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3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3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3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 x14ac:dyDescent="0.3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 x14ac:dyDescent="0.3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3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3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3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301</v>
      </c>
      <c r="O302" s="47"/>
    </row>
    <row r="303" spans="1:15" ht="15" customHeight="1" x14ac:dyDescent="0.3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301</v>
      </c>
      <c r="O303" s="47"/>
    </row>
    <row r="304" spans="1:15" ht="15" customHeight="1" x14ac:dyDescent="0.3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3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 x14ac:dyDescent="0.3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3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302</v>
      </c>
      <c r="O313" s="47"/>
    </row>
    <row r="314" spans="1:15" ht="15" customHeight="1" x14ac:dyDescent="0.3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303</v>
      </c>
      <c r="O314" s="47"/>
    </row>
    <row r="315" spans="1:15" ht="15" customHeight="1" x14ac:dyDescent="0.3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 x14ac:dyDescent="0.3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 x14ac:dyDescent="0.3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3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3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3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304</v>
      </c>
      <c r="O329" s="47"/>
    </row>
    <row r="330" spans="1:15" ht="15" customHeight="1" x14ac:dyDescent="0.3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 x14ac:dyDescent="0.3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3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305</v>
      </c>
      <c r="O340" s="47"/>
    </row>
    <row r="341" spans="1:15" ht="15" customHeight="1" x14ac:dyDescent="0.3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3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306</v>
      </c>
      <c r="O342" s="47"/>
    </row>
    <row r="343" spans="1:15" ht="15" customHeight="1" x14ac:dyDescent="0.3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 x14ac:dyDescent="0.3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 x14ac:dyDescent="0.3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 x14ac:dyDescent="0.3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 x14ac:dyDescent="0.3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 x14ac:dyDescent="0.3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 x14ac:dyDescent="0.3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 x14ac:dyDescent="0.3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 x14ac:dyDescent="0.3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 x14ac:dyDescent="0.3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 x14ac:dyDescent="0.3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 x14ac:dyDescent="0.3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 x14ac:dyDescent="0.3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 x14ac:dyDescent="0.3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 x14ac:dyDescent="0.3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 x14ac:dyDescent="0.3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 x14ac:dyDescent="0.3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 x14ac:dyDescent="0.3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 x14ac:dyDescent="0.3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 x14ac:dyDescent="0.3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0.72035925925592892</v>
      </c>
      <c r="N377" s="46"/>
      <c r="O377" s="47"/>
    </row>
    <row r="378" spans="1:15" ht="15.75" customHeight="1" x14ac:dyDescent="0.3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0.8779981481448178</v>
      </c>
      <c r="N378" s="36" t="s">
        <v>236</v>
      </c>
      <c r="O378" s="77">
        <v>511980</v>
      </c>
    </row>
    <row r="379" spans="1:15" ht="18" customHeight="1" x14ac:dyDescent="0.3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0.98772037036703997</v>
      </c>
      <c r="N379" s="40" t="s">
        <v>239</v>
      </c>
      <c r="O379" s="83">
        <f>IFERROR(O365+O378,"")</f>
        <v>1320530</v>
      </c>
    </row>
    <row r="380" spans="1:15" ht="15" customHeight="1" x14ac:dyDescent="0.3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 x14ac:dyDescent="0.3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 x14ac:dyDescent="0.3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 x14ac:dyDescent="0.3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290</v>
      </c>
      <c r="O383" s="47"/>
    </row>
    <row r="384" spans="1:15" ht="15" customHeight="1" x14ac:dyDescent="0.3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307</v>
      </c>
      <c r="O384" s="47"/>
    </row>
    <row r="385" spans="1:15" ht="15" customHeight="1" x14ac:dyDescent="0.3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 x14ac:dyDescent="0.3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308</v>
      </c>
      <c r="O393" s="47"/>
    </row>
    <row r="394" spans="1:15" ht="15" customHeight="1" x14ac:dyDescent="0.3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 x14ac:dyDescent="0.3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 x14ac:dyDescent="0.3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 x14ac:dyDescent="0.3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 x14ac:dyDescent="0.3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 x14ac:dyDescent="0.3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 x14ac:dyDescent="0.3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 x14ac:dyDescent="0.3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 x14ac:dyDescent="0.3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 x14ac:dyDescent="0.3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 x14ac:dyDescent="0.3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 x14ac:dyDescent="0.3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 x14ac:dyDescent="0.3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 x14ac:dyDescent="0.3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 x14ac:dyDescent="0.3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 x14ac:dyDescent="0.3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309</v>
      </c>
      <c r="O421" s="47"/>
    </row>
    <row r="422" spans="1:15" ht="15" customHeight="1" x14ac:dyDescent="0.3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 x14ac:dyDescent="0.3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0.69883148148073815</v>
      </c>
      <c r="N423" s="46"/>
      <c r="O423" s="47"/>
    </row>
    <row r="424" spans="1:15" ht="15" customHeight="1" x14ac:dyDescent="0.3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0.86966481481407154</v>
      </c>
      <c r="N432" s="36" t="s">
        <v>236</v>
      </c>
      <c r="O432" s="77">
        <v>484540</v>
      </c>
    </row>
    <row r="433" spans="1:15" ht="18" customHeight="1" x14ac:dyDescent="0.3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1.0148037037029605</v>
      </c>
      <c r="N433" s="40" t="s">
        <v>239</v>
      </c>
      <c r="O433" s="83">
        <f>IFERROR(O419+O432,"")</f>
        <v>1184540</v>
      </c>
    </row>
    <row r="434" spans="1:15" ht="15" customHeight="1" x14ac:dyDescent="0.3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310</v>
      </c>
      <c r="O434" s="47"/>
    </row>
    <row r="435" spans="1:15" ht="15" customHeight="1" x14ac:dyDescent="0.3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 x14ac:dyDescent="0.3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311</v>
      </c>
      <c r="O436" s="47"/>
    </row>
    <row r="437" spans="1:15" ht="15" customHeight="1" x14ac:dyDescent="0.3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 x14ac:dyDescent="0.3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 x14ac:dyDescent="0.3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 x14ac:dyDescent="0.3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312</v>
      </c>
      <c r="O448" s="47"/>
    </row>
    <row r="449" spans="1:15" ht="15" customHeight="1" x14ac:dyDescent="0.3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 x14ac:dyDescent="0.3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 x14ac:dyDescent="0.3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 x14ac:dyDescent="0.3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313</v>
      </c>
      <c r="O461" s="47"/>
    </row>
    <row r="462" spans="1:15" ht="15" customHeight="1" x14ac:dyDescent="0.3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 x14ac:dyDescent="0.3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 x14ac:dyDescent="0.3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314</v>
      </c>
      <c r="O464" s="47"/>
    </row>
    <row r="465" spans="1:15" ht="15" customHeight="1" x14ac:dyDescent="0.3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315</v>
      </c>
      <c r="O465" s="47"/>
    </row>
    <row r="466" spans="1:15" ht="15" customHeight="1" x14ac:dyDescent="0.3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 x14ac:dyDescent="0.3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 x14ac:dyDescent="0.3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316</v>
      </c>
      <c r="O475" s="47"/>
    </row>
    <row r="476" spans="1:15" ht="15" customHeight="1" x14ac:dyDescent="0.3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 x14ac:dyDescent="0.3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 x14ac:dyDescent="0.3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 x14ac:dyDescent="0.3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 x14ac:dyDescent="0.3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 x14ac:dyDescent="0.3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 x14ac:dyDescent="0.3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317</v>
      </c>
      <c r="O491" s="47"/>
    </row>
    <row r="492" spans="1:15" ht="15" customHeight="1" x14ac:dyDescent="0.3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 x14ac:dyDescent="0.3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 x14ac:dyDescent="0.3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 x14ac:dyDescent="0.3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 x14ac:dyDescent="0.3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 x14ac:dyDescent="0.3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 x14ac:dyDescent="0.3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 x14ac:dyDescent="0.3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 x14ac:dyDescent="0.3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 x14ac:dyDescent="0.3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 x14ac:dyDescent="0.3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 x14ac:dyDescent="0.3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318</v>
      </c>
      <c r="O522" s="47"/>
    </row>
    <row r="523" spans="1:15" ht="15" customHeight="1" x14ac:dyDescent="0.3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 x14ac:dyDescent="0.3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 x14ac:dyDescent="0.3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 x14ac:dyDescent="0.3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 x14ac:dyDescent="0.3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 x14ac:dyDescent="0.3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 x14ac:dyDescent="0.3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 x14ac:dyDescent="0.3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 x14ac:dyDescent="0.3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 x14ac:dyDescent="0.3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 x14ac:dyDescent="0.3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 x14ac:dyDescent="0.3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 x14ac:dyDescent="0.3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 x14ac:dyDescent="0.3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319</v>
      </c>
      <c r="O543" s="47"/>
    </row>
    <row r="544" spans="1:15" ht="15" customHeight="1" x14ac:dyDescent="0.3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 x14ac:dyDescent="0.3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 x14ac:dyDescent="0.3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 x14ac:dyDescent="0.3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 x14ac:dyDescent="0.3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 x14ac:dyDescent="0.3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 x14ac:dyDescent="0.3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 x14ac:dyDescent="0.3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 x14ac:dyDescent="0.3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320</v>
      </c>
      <c r="O559" s="47"/>
    </row>
    <row r="560" spans="1:15" ht="15" customHeight="1" x14ac:dyDescent="0.3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 x14ac:dyDescent="0.3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 x14ac:dyDescent="0.3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 x14ac:dyDescent="0.3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 x14ac:dyDescent="0.3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 x14ac:dyDescent="0.3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321</v>
      </c>
      <c r="O578" s="47"/>
    </row>
    <row r="579" spans="1:15" ht="15" customHeight="1" x14ac:dyDescent="0.3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 x14ac:dyDescent="0.3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 x14ac:dyDescent="0.3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 x14ac:dyDescent="0.3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 x14ac:dyDescent="0.3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 x14ac:dyDescent="0.3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 x14ac:dyDescent="0.3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 x14ac:dyDescent="0.3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322</v>
      </c>
      <c r="O598" s="47"/>
    </row>
    <row r="599" spans="1:15" ht="15" customHeight="1" x14ac:dyDescent="0.3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 x14ac:dyDescent="0.3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 x14ac:dyDescent="0.3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 x14ac:dyDescent="0.3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 x14ac:dyDescent="0.3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 x14ac:dyDescent="0.3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 x14ac:dyDescent="0.3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 x14ac:dyDescent="0.3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 x14ac:dyDescent="0.3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 x14ac:dyDescent="0.3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 x14ac:dyDescent="0.3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 x14ac:dyDescent="0.3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 x14ac:dyDescent="0.3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 x14ac:dyDescent="0.3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 x14ac:dyDescent="0.3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 x14ac:dyDescent="0.3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 x14ac:dyDescent="0.3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 x14ac:dyDescent="0.3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 x14ac:dyDescent="0.3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 x14ac:dyDescent="0.3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 x14ac:dyDescent="0.3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 x14ac:dyDescent="0.3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 x14ac:dyDescent="0.3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 x14ac:dyDescent="0.3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 x14ac:dyDescent="0.3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324</v>
      </c>
      <c r="O650" s="47"/>
    </row>
    <row r="651" spans="1:15" ht="15" customHeight="1" x14ac:dyDescent="0.3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 x14ac:dyDescent="0.3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325</v>
      </c>
      <c r="O652" s="47"/>
    </row>
    <row r="653" spans="1:15" ht="15" customHeight="1" x14ac:dyDescent="0.3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326</v>
      </c>
      <c r="O653" s="47"/>
    </row>
    <row r="654" spans="1:15" ht="15" customHeight="1" x14ac:dyDescent="0.3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327</v>
      </c>
      <c r="O654" s="47"/>
    </row>
    <row r="655" spans="1:15" ht="15" customHeight="1" x14ac:dyDescent="0.3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 x14ac:dyDescent="0.3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 x14ac:dyDescent="0.3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 x14ac:dyDescent="0.3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 x14ac:dyDescent="0.3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 x14ac:dyDescent="0.3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 x14ac:dyDescent="0.3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 x14ac:dyDescent="0.3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 x14ac:dyDescent="0.3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 x14ac:dyDescent="0.3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 x14ac:dyDescent="0.3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328</v>
      </c>
      <c r="O678" s="47"/>
    </row>
    <row r="679" spans="1:15" ht="15" customHeight="1" x14ac:dyDescent="0.3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 x14ac:dyDescent="0.3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 x14ac:dyDescent="0.3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329</v>
      </c>
      <c r="L682" s="29">
        <v>0.64513888888888893</v>
      </c>
      <c r="M682" s="35">
        <v>10</v>
      </c>
      <c r="N682" s="46"/>
      <c r="O682" s="47"/>
    </row>
    <row r="683" spans="1:15" ht="15" customHeight="1" x14ac:dyDescent="0.3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 x14ac:dyDescent="0.3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 x14ac:dyDescent="0.3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8" t="s">
        <v>235</v>
      </c>
      <c r="B689" s="109"/>
      <c r="C689" s="109"/>
      <c r="D689" s="109"/>
      <c r="E689" s="110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 x14ac:dyDescent="0.3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 x14ac:dyDescent="0.3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 x14ac:dyDescent="0.3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 x14ac:dyDescent="0.3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330</v>
      </c>
      <c r="O693" s="47"/>
    </row>
    <row r="694" spans="1:15" ht="15" customHeight="1" x14ac:dyDescent="0.3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 x14ac:dyDescent="0.3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331</v>
      </c>
      <c r="O695" s="47"/>
    </row>
    <row r="696" spans="1:15" ht="15" customHeight="1" x14ac:dyDescent="0.3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 x14ac:dyDescent="0.3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 x14ac:dyDescent="0.3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 x14ac:dyDescent="0.3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332</v>
      </c>
      <c r="O705" s="47"/>
    </row>
    <row r="706" spans="1:15" ht="15" customHeight="1" x14ac:dyDescent="0.3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 x14ac:dyDescent="0.3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333</v>
      </c>
      <c r="O707" s="47"/>
    </row>
    <row r="708" spans="1:15" ht="15" customHeight="1" x14ac:dyDescent="0.3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334</v>
      </c>
      <c r="O708" s="47"/>
    </row>
    <row r="709" spans="1:15" ht="15" customHeight="1" x14ac:dyDescent="0.3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 x14ac:dyDescent="0.3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 x14ac:dyDescent="0.3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 x14ac:dyDescent="0.3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335</v>
      </c>
      <c r="O717" s="47"/>
    </row>
    <row r="718" spans="1:15" ht="15" customHeight="1" x14ac:dyDescent="0.3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 x14ac:dyDescent="0.3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 x14ac:dyDescent="0.3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 x14ac:dyDescent="0.3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336</v>
      </c>
      <c r="O721" s="47"/>
    </row>
    <row r="722" spans="1:15" ht="15" customHeight="1" x14ac:dyDescent="0.3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 x14ac:dyDescent="0.3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 x14ac:dyDescent="0.3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 x14ac:dyDescent="0.3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 x14ac:dyDescent="0.3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337</v>
      </c>
      <c r="O732" s="47"/>
    </row>
    <row r="733" spans="1:15" ht="15" customHeight="1" x14ac:dyDescent="0.3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 x14ac:dyDescent="0.3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 x14ac:dyDescent="0.3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 x14ac:dyDescent="0.3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 x14ac:dyDescent="0.3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338</v>
      </c>
      <c r="O737" s="47"/>
    </row>
    <row r="738" spans="1:15" ht="15" customHeight="1" x14ac:dyDescent="0.3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 x14ac:dyDescent="0.3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 x14ac:dyDescent="0.3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 x14ac:dyDescent="0.3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 x14ac:dyDescent="0.3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 x14ac:dyDescent="0.3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 x14ac:dyDescent="0.3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 x14ac:dyDescent="0.3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 x14ac:dyDescent="0.3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339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 x14ac:dyDescent="0.3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 x14ac:dyDescent="0.3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340</v>
      </c>
      <c r="O761" s="47"/>
    </row>
    <row r="762" spans="1:15" ht="15" customHeight="1" x14ac:dyDescent="0.3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 x14ac:dyDescent="0.3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341</v>
      </c>
      <c r="O763" s="47"/>
    </row>
    <row r="764" spans="1:15" ht="15" customHeight="1" x14ac:dyDescent="0.3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 x14ac:dyDescent="0.3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 x14ac:dyDescent="0.3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 x14ac:dyDescent="0.3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 x14ac:dyDescent="0.3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 x14ac:dyDescent="0.3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 x14ac:dyDescent="0.3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342</v>
      </c>
      <c r="O775" s="47"/>
    </row>
    <row r="776" spans="1:15" ht="15" customHeight="1" x14ac:dyDescent="0.3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 x14ac:dyDescent="0.3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 x14ac:dyDescent="0.3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 x14ac:dyDescent="0.3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343</v>
      </c>
      <c r="O785" s="47"/>
    </row>
    <row r="786" spans="1:15" ht="15" customHeight="1" x14ac:dyDescent="0.3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 x14ac:dyDescent="0.3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 x14ac:dyDescent="0.3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344</v>
      </c>
      <c r="O788" s="47"/>
    </row>
    <row r="789" spans="1:15" ht="15" customHeight="1" x14ac:dyDescent="0.3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 x14ac:dyDescent="0.3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 x14ac:dyDescent="0.3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>IF(F796="","",IF(E796="PC 17",F796*4.2,IF(E796="PC 19",F796*5,"")))</f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119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 x14ac:dyDescent="0.3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118">
        <f>IF(F798="","",IF(E798="PC 17",F798*4.2,IF(E798="PC 19",F798*5,"")))</f>
        <v>96.600000000000009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46233</v>
      </c>
      <c r="B799" s="32">
        <f t="shared" ref="B799:B809" si="178">B798+TIME(0,60,0)</f>
        <v>0.87499999999999967</v>
      </c>
      <c r="C799" s="81" t="s">
        <v>21</v>
      </c>
      <c r="D799" s="117" t="s">
        <v>22</v>
      </c>
      <c r="E799" s="117" t="s">
        <v>260</v>
      </c>
      <c r="F799" s="27">
        <v>8</v>
      </c>
      <c r="G799" s="34">
        <f>IF(F799="","",IF(E799="PC 17",F799*4.2,IF(E799="PC 19",F799*5,"")))</f>
        <v>33.6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 x14ac:dyDescent="0.3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118">
        <f>IF(F800="","",IF(E800="PC 17",F800*4.2,IF(E800="PC 19",F800*5,"")))</f>
        <v>126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 x14ac:dyDescent="0.3">
      <c r="A801" s="69">
        <v>46233</v>
      </c>
      <c r="B801" s="32">
        <f t="shared" si="178"/>
        <v>0.95833333333333293</v>
      </c>
      <c r="C801" s="81" t="s">
        <v>21</v>
      </c>
      <c r="D801" s="117" t="s">
        <v>22</v>
      </c>
      <c r="E801" s="117" t="s">
        <v>260</v>
      </c>
      <c r="F801" s="27"/>
      <c r="G801" s="34" t="str">
        <f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 x14ac:dyDescent="0.3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118" t="str">
        <f>IF(F802="","",IF(E802="PC 17",F802*4.2,IF(E802="PC 19",F802*5,"")))</f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 x14ac:dyDescent="0.3">
      <c r="A803" s="69">
        <v>46233</v>
      </c>
      <c r="B803" s="32">
        <f t="shared" si="178"/>
        <v>1.0416666666666663</v>
      </c>
      <c r="C803" s="81" t="s">
        <v>21</v>
      </c>
      <c r="D803" s="117" t="s">
        <v>22</v>
      </c>
      <c r="E803" s="117" t="s">
        <v>260</v>
      </c>
      <c r="F803" s="27"/>
      <c r="G803" s="34" t="str">
        <f>IF(F803="","",IF(E803="PC 17",F803*4.2,IF(E803="PC 19",F803*5,"")))</f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 x14ac:dyDescent="0.3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118" t="str">
        <f>IF(F804="","",IF(E804="PC 17",F804*4.2,IF(E804="PC 19",F804*5,"")))</f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 x14ac:dyDescent="0.3">
      <c r="A805" s="69">
        <v>46233</v>
      </c>
      <c r="B805" s="32">
        <f t="shared" si="178"/>
        <v>1.1249999999999998</v>
      </c>
      <c r="C805" s="81" t="s">
        <v>21</v>
      </c>
      <c r="D805" s="117" t="s">
        <v>22</v>
      </c>
      <c r="E805" s="117" t="s">
        <v>260</v>
      </c>
      <c r="F805" s="27"/>
      <c r="G805" s="34" t="str">
        <f>IF(F805="","",IF(E805="PC 17",F805*4.2,IF(E805="PC 19",F805*5,"")))</f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 x14ac:dyDescent="0.3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118" t="str">
        <f>IF(F806="","",IF(E806="PC 17",F806*4.2,IF(E806="PC 19",F806*5,"")))</f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 x14ac:dyDescent="0.3">
      <c r="A807" s="69">
        <v>46233</v>
      </c>
      <c r="B807" s="32">
        <f t="shared" si="178"/>
        <v>1.2083333333333333</v>
      </c>
      <c r="C807" s="81" t="s">
        <v>21</v>
      </c>
      <c r="D807" s="117" t="s">
        <v>22</v>
      </c>
      <c r="E807" s="117" t="s">
        <v>260</v>
      </c>
      <c r="F807" s="27"/>
      <c r="G807" s="34" t="str">
        <f>IF(F807="","",IF(E807="PC 17",F807*4.2,IF(E807="PC 19",F807*5,"")))</f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 x14ac:dyDescent="0.3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118" t="str">
        <f>IF(F808="","",IF(E808="PC 17",F808*4.2,IF(E808="PC 19",F808*5,"")))</f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 x14ac:dyDescent="0.3">
      <c r="A809" s="69">
        <v>46233</v>
      </c>
      <c r="B809" s="32">
        <f t="shared" si="178"/>
        <v>1.2916666666666667</v>
      </c>
      <c r="C809" s="81" t="s">
        <v>21</v>
      </c>
      <c r="D809" s="117" t="s">
        <v>22</v>
      </c>
      <c r="E809" s="117" t="s">
        <v>260</v>
      </c>
      <c r="F809" s="27"/>
      <c r="G809" s="34" t="str">
        <f>IF(F809="","",IF(E809="PC 17",F809*4.2,IF(E809="PC 19",F809*5,"")))</f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 x14ac:dyDescent="0.3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61</v>
      </c>
      <c r="G810" s="36">
        <f>SUM(G798:G809)</f>
        <v>256.20000000000005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3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215</v>
      </c>
      <c r="G811" s="40">
        <f>G797+G810</f>
        <v>908.6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71" zoomScale="50" zoomScaleNormal="50" workbookViewId="0">
      <selection activeCell="H791" sqref="H791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 x14ac:dyDescent="0.3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326</v>
      </c>
      <c r="O4" s="31"/>
    </row>
    <row r="5" spans="1:15" ht="15" customHeight="1" x14ac:dyDescent="0.3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345</v>
      </c>
      <c r="O6" s="31"/>
    </row>
    <row r="7" spans="1:15" ht="15" customHeight="1" x14ac:dyDescent="0.3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 x14ac:dyDescent="0.3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 x14ac:dyDescent="0.3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 x14ac:dyDescent="0.3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346</v>
      </c>
      <c r="O29" s="31"/>
    </row>
    <row r="30" spans="1:15" ht="15" customHeight="1" x14ac:dyDescent="0.3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 x14ac:dyDescent="0.3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 x14ac:dyDescent="0.3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 x14ac:dyDescent="0.3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347</v>
      </c>
      <c r="O59" s="31"/>
    </row>
    <row r="60" spans="1:15" ht="15" customHeight="1" x14ac:dyDescent="0.3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 x14ac:dyDescent="0.3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312</v>
      </c>
      <c r="O69" s="31"/>
    </row>
    <row r="70" spans="1:15" ht="15" customHeight="1" x14ac:dyDescent="0.3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 x14ac:dyDescent="0.3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 x14ac:dyDescent="0.3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348</v>
      </c>
      <c r="O88" s="31"/>
    </row>
    <row r="89" spans="1:15" ht="15" customHeight="1" x14ac:dyDescent="0.3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 x14ac:dyDescent="0.3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 x14ac:dyDescent="0.3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 x14ac:dyDescent="0.3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 x14ac:dyDescent="0.3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31"/>
    </row>
    <row r="130" spans="1:15" ht="15" customHeight="1" x14ac:dyDescent="0.3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 x14ac:dyDescent="0.3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 x14ac:dyDescent="0.3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3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3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3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3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289</v>
      </c>
      <c r="K141" s="29">
        <v>0.71597222222222223</v>
      </c>
      <c r="L141" s="29" t="s">
        <v>350</v>
      </c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 x14ac:dyDescent="0.3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351</v>
      </c>
      <c r="O150" s="31"/>
    </row>
    <row r="151" spans="1:15" ht="15" customHeight="1" x14ac:dyDescent="0.3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 x14ac:dyDescent="0.3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 x14ac:dyDescent="0.3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 x14ac:dyDescent="0.3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3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3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352</v>
      </c>
      <c r="N166" s="27" t="s">
        <v>353</v>
      </c>
      <c r="O166" s="31"/>
    </row>
    <row r="167" spans="1:15" ht="15" customHeight="1" x14ac:dyDescent="0.3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3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3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3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3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 x14ac:dyDescent="0.3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3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3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 x14ac:dyDescent="0.3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 x14ac:dyDescent="0.3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3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354</v>
      </c>
      <c r="O192" s="31"/>
    </row>
    <row r="193" spans="1:15" ht="15" customHeight="1" x14ac:dyDescent="0.3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3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3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 x14ac:dyDescent="0.3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3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3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3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 x14ac:dyDescent="0.3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 x14ac:dyDescent="0.3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3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3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3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3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 x14ac:dyDescent="0.3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3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3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3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3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 x14ac:dyDescent="0.3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 x14ac:dyDescent="0.3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3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3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3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3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 x14ac:dyDescent="0.3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3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355</v>
      </c>
      <c r="O259" s="47"/>
    </row>
    <row r="260" spans="1:15" ht="15" customHeight="1" x14ac:dyDescent="0.3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3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3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3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356</v>
      </c>
      <c r="O263" s="47"/>
    </row>
    <row r="264" spans="1:15" ht="15" customHeight="1" x14ac:dyDescent="0.3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3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 x14ac:dyDescent="0.3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 x14ac:dyDescent="0.3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3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3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3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3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3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3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3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 x14ac:dyDescent="0.3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3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357</v>
      </c>
      <c r="O286" s="47"/>
    </row>
    <row r="287" spans="1:15" ht="15" customHeight="1" x14ac:dyDescent="0.3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3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3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358</v>
      </c>
      <c r="O289" s="47"/>
    </row>
    <row r="290" spans="1:15" ht="15" customHeight="1" x14ac:dyDescent="0.3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3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3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 x14ac:dyDescent="0.3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 x14ac:dyDescent="0.3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3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3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3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359</v>
      </c>
      <c r="O302" s="47"/>
    </row>
    <row r="303" spans="1:15" ht="15" customHeight="1" x14ac:dyDescent="0.3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3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 x14ac:dyDescent="0.3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360</v>
      </c>
      <c r="O312" s="47"/>
    </row>
    <row r="313" spans="1:15" ht="15" customHeight="1" x14ac:dyDescent="0.3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3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3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3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 x14ac:dyDescent="0.3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 x14ac:dyDescent="0.3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362</v>
      </c>
      <c r="O326" s="47"/>
    </row>
    <row r="327" spans="1:15" ht="15" customHeight="1" x14ac:dyDescent="0.3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3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3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312</v>
      </c>
      <c r="O329" s="47"/>
    </row>
    <row r="330" spans="1:15" ht="15" customHeight="1" x14ac:dyDescent="0.3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3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3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3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 x14ac:dyDescent="0.3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3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3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3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 x14ac:dyDescent="0.3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 x14ac:dyDescent="0.3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 x14ac:dyDescent="0.3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 x14ac:dyDescent="0.3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 x14ac:dyDescent="0.3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 x14ac:dyDescent="0.3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 x14ac:dyDescent="0.3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 x14ac:dyDescent="0.3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 x14ac:dyDescent="0.3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 x14ac:dyDescent="0.3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 x14ac:dyDescent="0.3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 x14ac:dyDescent="0.3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 x14ac:dyDescent="0.3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 x14ac:dyDescent="0.3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 x14ac:dyDescent="0.3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 x14ac:dyDescent="0.3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 x14ac:dyDescent="0.3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 x14ac:dyDescent="0.3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 x14ac:dyDescent="0.3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 x14ac:dyDescent="0.3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3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 x14ac:dyDescent="0.3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 x14ac:dyDescent="0.3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309</v>
      </c>
      <c r="O421" s="47"/>
    </row>
    <row r="422" spans="1:15" ht="15" customHeight="1" x14ac:dyDescent="0.3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3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 x14ac:dyDescent="0.3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 x14ac:dyDescent="0.3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363</v>
      </c>
      <c r="O434" s="47"/>
    </row>
    <row r="435" spans="1:15" ht="15" customHeight="1" x14ac:dyDescent="0.3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 x14ac:dyDescent="0.3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 x14ac:dyDescent="0.3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 x14ac:dyDescent="0.3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 x14ac:dyDescent="0.3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 x14ac:dyDescent="0.3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 x14ac:dyDescent="0.3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 x14ac:dyDescent="0.3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 x14ac:dyDescent="0.3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 x14ac:dyDescent="0.3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 x14ac:dyDescent="0.3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 x14ac:dyDescent="0.3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 x14ac:dyDescent="0.3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 x14ac:dyDescent="0.3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 x14ac:dyDescent="0.3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 x14ac:dyDescent="0.3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 x14ac:dyDescent="0.3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 x14ac:dyDescent="0.3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 x14ac:dyDescent="0.3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 x14ac:dyDescent="0.3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 x14ac:dyDescent="0.3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 x14ac:dyDescent="0.3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364</v>
      </c>
      <c r="O488" s="47"/>
    </row>
    <row r="489" spans="1:15" ht="15" customHeight="1" x14ac:dyDescent="0.3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 x14ac:dyDescent="0.3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 x14ac:dyDescent="0.3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 x14ac:dyDescent="0.3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 x14ac:dyDescent="0.3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 x14ac:dyDescent="0.3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 x14ac:dyDescent="0.3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 x14ac:dyDescent="0.3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 x14ac:dyDescent="0.3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 x14ac:dyDescent="0.3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 x14ac:dyDescent="0.3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 x14ac:dyDescent="0.3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365</v>
      </c>
      <c r="O529" s="47"/>
    </row>
    <row r="530" spans="1:15" ht="15" customHeight="1" x14ac:dyDescent="0.3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 x14ac:dyDescent="0.3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 x14ac:dyDescent="0.3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366</v>
      </c>
      <c r="O532" s="47"/>
    </row>
    <row r="533" spans="1:15" ht="15" customHeight="1" x14ac:dyDescent="0.3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367</v>
      </c>
      <c r="O533" s="47"/>
    </row>
    <row r="534" spans="1:15" ht="15" customHeight="1" x14ac:dyDescent="0.3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 x14ac:dyDescent="0.3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 x14ac:dyDescent="0.3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368</v>
      </c>
      <c r="O542" s="47"/>
    </row>
    <row r="543" spans="1:15" ht="15" customHeight="1" x14ac:dyDescent="0.3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 x14ac:dyDescent="0.3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 x14ac:dyDescent="0.3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 x14ac:dyDescent="0.3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 x14ac:dyDescent="0.3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 x14ac:dyDescent="0.3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369</v>
      </c>
      <c r="O557" s="47"/>
    </row>
    <row r="558" spans="1:15" ht="15" customHeight="1" x14ac:dyDescent="0.3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 x14ac:dyDescent="0.3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 x14ac:dyDescent="0.3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 x14ac:dyDescent="0.3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370</v>
      </c>
      <c r="O570" s="47"/>
    </row>
    <row r="571" spans="1:15" ht="15" customHeight="1" x14ac:dyDescent="0.3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 x14ac:dyDescent="0.3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 x14ac:dyDescent="0.3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 x14ac:dyDescent="0.3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 x14ac:dyDescent="0.3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 x14ac:dyDescent="0.3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 x14ac:dyDescent="0.3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371</v>
      </c>
      <c r="O598" s="47"/>
    </row>
    <row r="599" spans="1:15" ht="15" customHeight="1" x14ac:dyDescent="0.3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 x14ac:dyDescent="0.3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 x14ac:dyDescent="0.3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328</v>
      </c>
      <c r="O601" s="47"/>
    </row>
    <row r="602" spans="1:15" ht="15" customHeight="1" x14ac:dyDescent="0.3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 x14ac:dyDescent="0.3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 x14ac:dyDescent="0.3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 x14ac:dyDescent="0.3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 x14ac:dyDescent="0.3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 x14ac:dyDescent="0.3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 x14ac:dyDescent="0.3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 x14ac:dyDescent="0.3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 x14ac:dyDescent="0.3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 x14ac:dyDescent="0.3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 x14ac:dyDescent="0.3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372</v>
      </c>
      <c r="O650" s="47"/>
    </row>
    <row r="651" spans="1:15" ht="15" customHeight="1" x14ac:dyDescent="0.3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 x14ac:dyDescent="0.3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328</v>
      </c>
      <c r="O652" s="47"/>
    </row>
    <row r="653" spans="1:15" ht="15" customHeight="1" x14ac:dyDescent="0.3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 x14ac:dyDescent="0.3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 x14ac:dyDescent="0.3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 x14ac:dyDescent="0.3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373</v>
      </c>
      <c r="O664" s="47"/>
    </row>
    <row r="665" spans="1:15" ht="15" customHeight="1" x14ac:dyDescent="0.3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 x14ac:dyDescent="0.3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 x14ac:dyDescent="0.3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 x14ac:dyDescent="0.3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 x14ac:dyDescent="0.3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 x14ac:dyDescent="0.3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 x14ac:dyDescent="0.3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 x14ac:dyDescent="0.3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 x14ac:dyDescent="0.3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 x14ac:dyDescent="0.3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312</v>
      </c>
      <c r="O705" s="47"/>
    </row>
    <row r="706" spans="1:15" ht="15" customHeight="1" x14ac:dyDescent="0.3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 x14ac:dyDescent="0.3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 x14ac:dyDescent="0.3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 x14ac:dyDescent="0.3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 x14ac:dyDescent="0.3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 x14ac:dyDescent="0.3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 x14ac:dyDescent="0.3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 x14ac:dyDescent="0.3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326</v>
      </c>
      <c r="O732" s="47"/>
    </row>
    <row r="733" spans="1:15" ht="15" customHeight="1" x14ac:dyDescent="0.3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 x14ac:dyDescent="0.3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 x14ac:dyDescent="0.3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326</v>
      </c>
      <c r="O735" s="47"/>
    </row>
    <row r="736" spans="1:15" ht="15" customHeight="1" x14ac:dyDescent="0.3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 x14ac:dyDescent="0.3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 x14ac:dyDescent="0.3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374</v>
      </c>
      <c r="O745" s="47"/>
    </row>
    <row r="746" spans="1:15" ht="15" customHeight="1" x14ac:dyDescent="0.3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 x14ac:dyDescent="0.3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375</v>
      </c>
      <c r="O747" s="47"/>
    </row>
    <row r="748" spans="1:15" ht="15" customHeight="1" x14ac:dyDescent="0.3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 x14ac:dyDescent="0.3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 x14ac:dyDescent="0.3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 x14ac:dyDescent="0.3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 x14ac:dyDescent="0.3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 x14ac:dyDescent="0.3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376</v>
      </c>
      <c r="O758" s="47"/>
    </row>
    <row r="759" spans="1:15" ht="15" customHeight="1" x14ac:dyDescent="0.3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 x14ac:dyDescent="0.3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 x14ac:dyDescent="0.3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326</v>
      </c>
      <c r="O761" s="47"/>
    </row>
    <row r="762" spans="1:15" ht="15" customHeight="1" x14ac:dyDescent="0.3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 x14ac:dyDescent="0.3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 x14ac:dyDescent="0.3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 x14ac:dyDescent="0.3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 x14ac:dyDescent="0.3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 x14ac:dyDescent="0.3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377</v>
      </c>
      <c r="O767" s="47"/>
    </row>
    <row r="768" spans="1:15" ht="15" customHeight="1" x14ac:dyDescent="0.3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 x14ac:dyDescent="0.3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 x14ac:dyDescent="0.3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1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 x14ac:dyDescent="0.3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 x14ac:dyDescent="0.3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 x14ac:dyDescent="0.3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 x14ac:dyDescent="0.3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342</v>
      </c>
      <c r="O775" s="47"/>
    </row>
    <row r="776" spans="1:15" ht="15" customHeight="1" x14ac:dyDescent="0.3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 x14ac:dyDescent="0.3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 x14ac:dyDescent="0.3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 x14ac:dyDescent="0.3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343</v>
      </c>
      <c r="O785" s="47"/>
    </row>
    <row r="786" spans="1:15" ht="15" customHeight="1" x14ac:dyDescent="0.3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344</v>
      </c>
      <c r="O786" s="47"/>
    </row>
    <row r="787" spans="1:15" ht="15" customHeight="1" x14ac:dyDescent="0.3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 x14ac:dyDescent="0.3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 x14ac:dyDescent="0.3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378</v>
      </c>
      <c r="O789" s="47"/>
    </row>
    <row r="790" spans="1:15" ht="15" customHeight="1" x14ac:dyDescent="0.3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 x14ac:dyDescent="0.3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 x14ac:dyDescent="0.3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326</v>
      </c>
      <c r="O792" s="47"/>
    </row>
    <row r="793" spans="1:15" ht="15" customHeight="1" x14ac:dyDescent="0.3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 x14ac:dyDescent="0.3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118">
        <f>IF(F798="","",IF(E798="PC 17",F798*4.2,IF(E798="PC 19",F798*5,"")))</f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 x14ac:dyDescent="0.3">
      <c r="A799" s="69">
        <v>46233</v>
      </c>
      <c r="B799" s="32">
        <f t="shared" ref="B799:B809" si="178">B798+TIME(0,60,0)</f>
        <v>0.87499999999999967</v>
      </c>
      <c r="C799" s="81" t="s">
        <v>21</v>
      </c>
      <c r="D799" s="117" t="s">
        <v>22</v>
      </c>
      <c r="E799" s="117" t="s">
        <v>260</v>
      </c>
      <c r="F799" s="27">
        <v>2</v>
      </c>
      <c r="G799" s="34">
        <f>IF(F799="","",IF(E799="PC 17",F799*4.2,IF(E799="PC 19",F799*5,"")))</f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 x14ac:dyDescent="0.3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118">
        <f>IF(F800="","",IF(E800="PC 17",F800*4.2,IF(E800="PC 19",F800*5,"")))</f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 x14ac:dyDescent="0.3">
      <c r="A801" s="69">
        <v>46233</v>
      </c>
      <c r="B801" s="32">
        <f t="shared" si="178"/>
        <v>0.95833333333333293</v>
      </c>
      <c r="C801" s="81" t="s">
        <v>21</v>
      </c>
      <c r="D801" s="117" t="s">
        <v>22</v>
      </c>
      <c r="E801" s="117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 x14ac:dyDescent="0.3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11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 x14ac:dyDescent="0.3">
      <c r="A803" s="69">
        <v>46233</v>
      </c>
      <c r="B803" s="32">
        <f t="shared" si="178"/>
        <v>1.0416666666666663</v>
      </c>
      <c r="C803" s="81" t="s">
        <v>21</v>
      </c>
      <c r="D803" s="117" t="s">
        <v>22</v>
      </c>
      <c r="E803" s="117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 x14ac:dyDescent="0.3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11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 x14ac:dyDescent="0.3">
      <c r="A805" s="69">
        <v>46233</v>
      </c>
      <c r="B805" s="32">
        <f t="shared" si="178"/>
        <v>1.1249999999999998</v>
      </c>
      <c r="C805" s="81" t="s">
        <v>21</v>
      </c>
      <c r="D805" s="117" t="s">
        <v>22</v>
      </c>
      <c r="E805" s="117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 x14ac:dyDescent="0.3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11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 x14ac:dyDescent="0.3">
      <c r="A807" s="69">
        <v>46233</v>
      </c>
      <c r="B807" s="32">
        <f t="shared" si="178"/>
        <v>1.2083333333333333</v>
      </c>
      <c r="C807" s="81" t="s">
        <v>21</v>
      </c>
      <c r="D807" s="117" t="s">
        <v>22</v>
      </c>
      <c r="E807" s="117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 x14ac:dyDescent="0.3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11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 x14ac:dyDescent="0.3">
      <c r="A809" s="69">
        <v>46233</v>
      </c>
      <c r="B809" s="32">
        <f t="shared" si="178"/>
        <v>1.2916666666666667</v>
      </c>
      <c r="C809" s="81" t="s">
        <v>21</v>
      </c>
      <c r="D809" s="117" t="s">
        <v>22</v>
      </c>
      <c r="E809" s="117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 x14ac:dyDescent="0.3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11</v>
      </c>
      <c r="G810" s="36">
        <f>SUM(G798:G809)</f>
        <v>46.2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 x14ac:dyDescent="0.3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105</v>
      </c>
      <c r="G811" s="40">
        <f>G797+G810</f>
        <v>446.59999999999997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I793" sqref="I793"/>
    </sheetView>
  </sheetViews>
  <sheetFormatPr defaultColWidth="8.5546875" defaultRowHeight="14.4" x14ac:dyDescent="0.3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48.44140625" style="57" customWidth="1"/>
    <col min="11" max="11" width="18.44140625" style="57" customWidth="1"/>
    <col min="12" max="12" width="14" style="58" customWidth="1"/>
    <col min="13" max="13" width="14" style="57" customWidth="1"/>
    <col min="14" max="14" width="52.5546875" style="57" customWidth="1"/>
    <col min="15" max="15" width="14" customWidth="1"/>
    <col min="16" max="16" width="9.44140625" bestFit="1" customWidth="1"/>
  </cols>
  <sheetData>
    <row r="1" spans="1:15" ht="37.5" customHeight="1" x14ac:dyDescent="0.3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 x14ac:dyDescent="0.3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379</v>
      </c>
      <c r="O2" s="60"/>
    </row>
    <row r="3" spans="1:15" ht="15" customHeight="1" x14ac:dyDescent="0.3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312</v>
      </c>
      <c r="O3" s="60"/>
    </row>
    <row r="4" spans="1:15" ht="15" customHeight="1" x14ac:dyDescent="0.3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 x14ac:dyDescent="0.3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380</v>
      </c>
      <c r="O16" s="60"/>
    </row>
    <row r="17" spans="1:15" ht="15" customHeight="1" x14ac:dyDescent="0.3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 x14ac:dyDescent="0.3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 x14ac:dyDescent="0.3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381</v>
      </c>
      <c r="O29" s="60"/>
    </row>
    <row r="30" spans="1:15" ht="15" customHeight="1" x14ac:dyDescent="0.3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382</v>
      </c>
      <c r="O34" s="60"/>
    </row>
    <row r="35" spans="1:15" ht="15" customHeight="1" x14ac:dyDescent="0.3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 x14ac:dyDescent="0.3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 x14ac:dyDescent="0.3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 x14ac:dyDescent="0.3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383</v>
      </c>
      <c r="L58" s="29">
        <v>0.54097222222222219</v>
      </c>
      <c r="M58" s="30" t="str">
        <f t="shared" ca="1" si="13"/>
        <v/>
      </c>
      <c r="N58" s="27" t="s">
        <v>384</v>
      </c>
      <c r="O58" s="60"/>
    </row>
    <row r="59" spans="1:15" ht="15" customHeight="1" x14ac:dyDescent="0.3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 x14ac:dyDescent="0.3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326</v>
      </c>
      <c r="O70" s="60"/>
    </row>
    <row r="71" spans="1:15" ht="15" customHeight="1" x14ac:dyDescent="0.3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385</v>
      </c>
      <c r="O72" s="60"/>
    </row>
    <row r="73" spans="1:15" ht="15" customHeight="1" x14ac:dyDescent="0.3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386</v>
      </c>
      <c r="O73" s="60"/>
    </row>
    <row r="74" spans="1:15" ht="15" customHeight="1" x14ac:dyDescent="0.3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387</v>
      </c>
      <c r="O74" s="60"/>
    </row>
    <row r="75" spans="1:15" ht="15" customHeight="1" x14ac:dyDescent="0.3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388</v>
      </c>
      <c r="O75" s="60"/>
    </row>
    <row r="76" spans="1:15" ht="15" customHeight="1" x14ac:dyDescent="0.3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 x14ac:dyDescent="0.3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 x14ac:dyDescent="0.3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389</v>
      </c>
      <c r="O83" s="60"/>
    </row>
    <row r="84" spans="1:15" ht="15" customHeight="1" x14ac:dyDescent="0.3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 x14ac:dyDescent="0.3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 x14ac:dyDescent="0.3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 x14ac:dyDescent="0.3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390</v>
      </c>
      <c r="O110" s="60"/>
    </row>
    <row r="111" spans="1:15" ht="15" customHeight="1" x14ac:dyDescent="0.3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 x14ac:dyDescent="0.3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391</v>
      </c>
      <c r="O124" s="60"/>
    </row>
    <row r="125" spans="1:15" ht="15" customHeight="1" x14ac:dyDescent="0.3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392</v>
      </c>
      <c r="O125" s="60"/>
    </row>
    <row r="126" spans="1:15" ht="15" customHeight="1" x14ac:dyDescent="0.3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0.71063680556108011</v>
      </c>
      <c r="N128" s="27"/>
      <c r="O128" s="60"/>
    </row>
    <row r="129" spans="1:18" ht="15" customHeight="1" x14ac:dyDescent="0.3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60"/>
    </row>
    <row r="130" spans="1:18" ht="15" customHeight="1" x14ac:dyDescent="0.3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0.90994236111663573</v>
      </c>
      <c r="N135" s="36" t="s">
        <v>236</v>
      </c>
      <c r="O135" s="39">
        <v>729290</v>
      </c>
    </row>
    <row r="136" spans="1:18" ht="18" customHeight="1" x14ac:dyDescent="0.3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1.2773034722277468</v>
      </c>
      <c r="N136" s="40" t="s">
        <v>239</v>
      </c>
      <c r="O136" s="48">
        <f>IFERROR(O122+O135,"")</f>
        <v>1003740</v>
      </c>
    </row>
    <row r="137" spans="1:18" ht="15" customHeight="1" x14ac:dyDescent="0.3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3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3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393</v>
      </c>
      <c r="O139" s="31"/>
    </row>
    <row r="140" spans="1:18" ht="15" customHeight="1" x14ac:dyDescent="0.3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3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 x14ac:dyDescent="0.3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3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3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394</v>
      </c>
      <c r="O152" s="31"/>
    </row>
    <row r="153" spans="1:15" ht="15" customHeight="1" x14ac:dyDescent="0.3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3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 x14ac:dyDescent="0.3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 x14ac:dyDescent="0.3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3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3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3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3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395</v>
      </c>
      <c r="O168" s="31"/>
    </row>
    <row r="169" spans="1:15" ht="15" customHeight="1" x14ac:dyDescent="0.3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 x14ac:dyDescent="0.3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3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3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3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 x14ac:dyDescent="0.3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 x14ac:dyDescent="0.3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3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3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396</v>
      </c>
      <c r="O193" s="31"/>
    </row>
    <row r="194" spans="1:15" ht="15" customHeight="1" x14ac:dyDescent="0.3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397</v>
      </c>
      <c r="O194" s="31"/>
    </row>
    <row r="195" spans="1:15" ht="15" customHeight="1" x14ac:dyDescent="0.3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 x14ac:dyDescent="0.3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3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3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398</v>
      </c>
      <c r="O206" s="60"/>
    </row>
    <row r="207" spans="1:15" ht="15" customHeight="1" x14ac:dyDescent="0.3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3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3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3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 x14ac:dyDescent="0.3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 x14ac:dyDescent="0.3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399</v>
      </c>
      <c r="O218" s="60"/>
    </row>
    <row r="219" spans="1:15" ht="15" customHeight="1" x14ac:dyDescent="0.3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3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400</v>
      </c>
      <c r="O220" s="60"/>
    </row>
    <row r="221" spans="1:15" ht="15" customHeight="1" x14ac:dyDescent="0.3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3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3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3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3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3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 x14ac:dyDescent="0.3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3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402</v>
      </c>
      <c r="O232" s="60"/>
    </row>
    <row r="233" spans="1:15" ht="15" customHeight="1" x14ac:dyDescent="0.3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3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3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3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3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 x14ac:dyDescent="0.3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 x14ac:dyDescent="0.3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403</v>
      </c>
      <c r="O245" s="60"/>
    </row>
    <row r="246" spans="1:15" ht="15" customHeight="1" x14ac:dyDescent="0.3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3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3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3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 x14ac:dyDescent="0.3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3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3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 x14ac:dyDescent="0.3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 x14ac:dyDescent="0.3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3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3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3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 x14ac:dyDescent="0.3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3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3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3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3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3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3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3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 x14ac:dyDescent="0.3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 x14ac:dyDescent="0.3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404</v>
      </c>
      <c r="O299" s="60"/>
    </row>
    <row r="300" spans="1:15" ht="15" customHeight="1" x14ac:dyDescent="0.3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3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3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3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3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 x14ac:dyDescent="0.3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3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3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3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3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3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3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284</v>
      </c>
      <c r="O318" s="60"/>
    </row>
    <row r="319" spans="1:15" ht="15" customHeight="1" x14ac:dyDescent="0.3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3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3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 x14ac:dyDescent="0.3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 x14ac:dyDescent="0.3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3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312</v>
      </c>
      <c r="O327" s="60"/>
    </row>
    <row r="328" spans="1:15" ht="15" customHeight="1" x14ac:dyDescent="0.3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3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3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3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3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3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3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3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3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3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3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 x14ac:dyDescent="0.3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3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3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3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3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3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3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3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3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406</v>
      </c>
      <c r="O347" s="60"/>
    </row>
    <row r="348" spans="1:15" ht="15" customHeight="1" x14ac:dyDescent="0.3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 x14ac:dyDescent="0.3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 x14ac:dyDescent="0.3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 x14ac:dyDescent="0.3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 x14ac:dyDescent="0.3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 x14ac:dyDescent="0.3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 x14ac:dyDescent="0.3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 x14ac:dyDescent="0.3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 x14ac:dyDescent="0.3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 x14ac:dyDescent="0.3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 x14ac:dyDescent="0.3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 x14ac:dyDescent="0.3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 x14ac:dyDescent="0.3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 x14ac:dyDescent="0.3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 x14ac:dyDescent="0.3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 x14ac:dyDescent="0.3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 x14ac:dyDescent="0.3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 x14ac:dyDescent="0.3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 x14ac:dyDescent="0.3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 x14ac:dyDescent="0.3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 x14ac:dyDescent="0.3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 x14ac:dyDescent="0.3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 x14ac:dyDescent="0.3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 x14ac:dyDescent="0.3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408</v>
      </c>
      <c r="O380" s="60"/>
    </row>
    <row r="381" spans="1:15" ht="15" customHeight="1" x14ac:dyDescent="0.3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 x14ac:dyDescent="0.3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395</v>
      </c>
      <c r="O382" s="60"/>
    </row>
    <row r="383" spans="1:15" ht="15" customHeight="1" x14ac:dyDescent="0.3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 x14ac:dyDescent="0.3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 x14ac:dyDescent="0.3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 x14ac:dyDescent="0.3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409</v>
      </c>
      <c r="O394" s="60"/>
    </row>
    <row r="395" spans="1:15" ht="15" customHeight="1" x14ac:dyDescent="0.3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 x14ac:dyDescent="0.3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 x14ac:dyDescent="0.3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 x14ac:dyDescent="0.3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410</v>
      </c>
      <c r="O398" s="60"/>
    </row>
    <row r="399" spans="1:15" ht="15" customHeight="1" x14ac:dyDescent="0.3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 x14ac:dyDescent="0.3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 x14ac:dyDescent="0.3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 x14ac:dyDescent="0.3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 x14ac:dyDescent="0.3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 x14ac:dyDescent="0.3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 x14ac:dyDescent="0.3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 x14ac:dyDescent="0.3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 x14ac:dyDescent="0.3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 x14ac:dyDescent="0.3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 x14ac:dyDescent="0.3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 x14ac:dyDescent="0.3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 x14ac:dyDescent="0.3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 x14ac:dyDescent="0.3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 x14ac:dyDescent="0.3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 x14ac:dyDescent="0.3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411</v>
      </c>
      <c r="O425" s="60"/>
    </row>
    <row r="426" spans="1:15" ht="15" customHeight="1" x14ac:dyDescent="0.3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 x14ac:dyDescent="0.3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 x14ac:dyDescent="0.3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 x14ac:dyDescent="0.3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 x14ac:dyDescent="0.3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 x14ac:dyDescent="0.3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 x14ac:dyDescent="0.3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 x14ac:dyDescent="0.3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 x14ac:dyDescent="0.3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 x14ac:dyDescent="0.3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 x14ac:dyDescent="0.3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 x14ac:dyDescent="0.3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 x14ac:dyDescent="0.3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 x14ac:dyDescent="0.3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 x14ac:dyDescent="0.3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 x14ac:dyDescent="0.3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 x14ac:dyDescent="0.3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 x14ac:dyDescent="0.3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 x14ac:dyDescent="0.3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 x14ac:dyDescent="0.3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412</v>
      </c>
      <c r="O461" s="60"/>
    </row>
    <row r="462" spans="1:15" ht="15" customHeight="1" x14ac:dyDescent="0.3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413</v>
      </c>
      <c r="O462" s="60"/>
    </row>
    <row r="463" spans="1:15" ht="15" customHeight="1" x14ac:dyDescent="0.3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 x14ac:dyDescent="0.3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 x14ac:dyDescent="0.3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388</v>
      </c>
      <c r="O465" s="60"/>
    </row>
    <row r="466" spans="1:15" ht="15" customHeight="1" x14ac:dyDescent="0.3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 x14ac:dyDescent="0.3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 x14ac:dyDescent="0.3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 x14ac:dyDescent="0.3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 x14ac:dyDescent="0.3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 x14ac:dyDescent="0.3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388</v>
      </c>
      <c r="O489" s="60"/>
    </row>
    <row r="490" spans="1:15" ht="15" customHeight="1" x14ac:dyDescent="0.3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 x14ac:dyDescent="0.3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 x14ac:dyDescent="0.3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 x14ac:dyDescent="0.3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 x14ac:dyDescent="0.3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 x14ac:dyDescent="0.3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414</v>
      </c>
      <c r="O503" s="60"/>
    </row>
    <row r="504" spans="1:15" ht="15" customHeight="1" x14ac:dyDescent="0.3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 x14ac:dyDescent="0.3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 x14ac:dyDescent="0.3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415</v>
      </c>
      <c r="O515" s="60"/>
    </row>
    <row r="516" spans="1:15" ht="15" customHeight="1" x14ac:dyDescent="0.3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 x14ac:dyDescent="0.3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416</v>
      </c>
      <c r="O517" s="60"/>
    </row>
    <row r="518" spans="1:15" ht="15" customHeight="1" x14ac:dyDescent="0.3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 x14ac:dyDescent="0.3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 x14ac:dyDescent="0.3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 x14ac:dyDescent="0.3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 x14ac:dyDescent="0.3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 x14ac:dyDescent="0.3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 x14ac:dyDescent="0.3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 x14ac:dyDescent="0.3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 x14ac:dyDescent="0.3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 x14ac:dyDescent="0.3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 x14ac:dyDescent="0.3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417</v>
      </c>
      <c r="O542" s="60"/>
    </row>
    <row r="543" spans="1:15" ht="15" customHeight="1" x14ac:dyDescent="0.3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418</v>
      </c>
      <c r="O543" s="60"/>
    </row>
    <row r="544" spans="1:15" ht="15" customHeight="1" x14ac:dyDescent="0.3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419</v>
      </c>
      <c r="O544" s="60"/>
    </row>
    <row r="545" spans="1:15" ht="15" customHeight="1" x14ac:dyDescent="0.3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 x14ac:dyDescent="0.3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 x14ac:dyDescent="0.3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 x14ac:dyDescent="0.3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6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 x14ac:dyDescent="0.3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420</v>
      </c>
      <c r="O557" s="60"/>
    </row>
    <row r="558" spans="1:15" ht="15" customHeight="1" x14ac:dyDescent="0.3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3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3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3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3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3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3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3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3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3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 x14ac:dyDescent="0.3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 x14ac:dyDescent="0.3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421</v>
      </c>
      <c r="O569" s="60"/>
    </row>
    <row r="570" spans="1:15" ht="15" customHeight="1" x14ac:dyDescent="0.3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 x14ac:dyDescent="0.3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 x14ac:dyDescent="0.3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3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 x14ac:dyDescent="0.3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 x14ac:dyDescent="0.3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 x14ac:dyDescent="0.3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 x14ac:dyDescent="0.3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 x14ac:dyDescent="0.3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 x14ac:dyDescent="0.3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 x14ac:dyDescent="0.3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 x14ac:dyDescent="0.3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 x14ac:dyDescent="0.3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 x14ac:dyDescent="0.3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 x14ac:dyDescent="0.3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 x14ac:dyDescent="0.3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 x14ac:dyDescent="0.3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 x14ac:dyDescent="0.3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 x14ac:dyDescent="0.3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 x14ac:dyDescent="0.3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 x14ac:dyDescent="0.3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 x14ac:dyDescent="0.3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422</v>
      </c>
      <c r="O601" s="60"/>
    </row>
    <row r="602" spans="1:15" ht="15" customHeight="1" x14ac:dyDescent="0.3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 x14ac:dyDescent="0.3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 x14ac:dyDescent="0.3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 x14ac:dyDescent="0.3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 x14ac:dyDescent="0.3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 x14ac:dyDescent="0.3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 x14ac:dyDescent="0.3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 x14ac:dyDescent="0.3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 x14ac:dyDescent="0.3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 x14ac:dyDescent="0.3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 x14ac:dyDescent="0.3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 x14ac:dyDescent="0.3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423</v>
      </c>
      <c r="O627" s="60"/>
    </row>
    <row r="628" spans="1:15" ht="15" customHeight="1" x14ac:dyDescent="0.3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 x14ac:dyDescent="0.3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 x14ac:dyDescent="0.3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424</v>
      </c>
      <c r="O636" s="60"/>
    </row>
    <row r="637" spans="1:15" ht="15" customHeight="1" x14ac:dyDescent="0.3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 x14ac:dyDescent="0.3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 x14ac:dyDescent="0.3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 x14ac:dyDescent="0.3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 x14ac:dyDescent="0.3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425</v>
      </c>
      <c r="O650" s="60"/>
    </row>
    <row r="651" spans="1:15" ht="15" customHeight="1" x14ac:dyDescent="0.3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 x14ac:dyDescent="0.3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 x14ac:dyDescent="0.3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 x14ac:dyDescent="0.3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426</v>
      </c>
      <c r="O666" s="60"/>
    </row>
    <row r="667" spans="1:15" ht="15" customHeight="1" x14ac:dyDescent="0.3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 x14ac:dyDescent="0.3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 x14ac:dyDescent="0.3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 x14ac:dyDescent="0.3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 x14ac:dyDescent="0.3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 x14ac:dyDescent="0.3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 x14ac:dyDescent="0.3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 x14ac:dyDescent="0.3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 x14ac:dyDescent="0.3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 x14ac:dyDescent="0.3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 x14ac:dyDescent="0.3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427</v>
      </c>
      <c r="O691" s="60"/>
    </row>
    <row r="692" spans="1:15" ht="15" customHeight="1" x14ac:dyDescent="0.3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428</v>
      </c>
      <c r="O692" s="60"/>
    </row>
    <row r="693" spans="1:15" ht="15" customHeight="1" x14ac:dyDescent="0.3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 x14ac:dyDescent="0.3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 x14ac:dyDescent="0.3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284</v>
      </c>
      <c r="O704" s="60"/>
    </row>
    <row r="705" spans="1:15" ht="15" customHeight="1" x14ac:dyDescent="0.3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 x14ac:dyDescent="0.3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326</v>
      </c>
      <c r="O706" s="60"/>
    </row>
    <row r="707" spans="1:15" ht="15" customHeight="1" x14ac:dyDescent="0.3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 x14ac:dyDescent="0.3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 x14ac:dyDescent="0.3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 x14ac:dyDescent="0.3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 x14ac:dyDescent="0.3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 x14ac:dyDescent="0.3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 x14ac:dyDescent="0.3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 x14ac:dyDescent="0.3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 x14ac:dyDescent="0.3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 x14ac:dyDescent="0.3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 x14ac:dyDescent="0.3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429</v>
      </c>
      <c r="O723" s="60"/>
    </row>
    <row r="724" spans="1:15" ht="15" customHeight="1" x14ac:dyDescent="0.3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 x14ac:dyDescent="0.3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 x14ac:dyDescent="0.3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 x14ac:dyDescent="0.3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430</v>
      </c>
      <c r="O732" s="60"/>
    </row>
    <row r="733" spans="1:15" ht="15" customHeight="1" x14ac:dyDescent="0.3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 x14ac:dyDescent="0.3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431</v>
      </c>
      <c r="O734" s="60"/>
    </row>
    <row r="735" spans="1:15" ht="15" customHeight="1" x14ac:dyDescent="0.3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 x14ac:dyDescent="0.3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 x14ac:dyDescent="0.3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 x14ac:dyDescent="0.3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 x14ac:dyDescent="0.3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 x14ac:dyDescent="0.3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 x14ac:dyDescent="0.3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 x14ac:dyDescent="0.3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 x14ac:dyDescent="0.3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 x14ac:dyDescent="0.3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 x14ac:dyDescent="0.3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 x14ac:dyDescent="0.3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 x14ac:dyDescent="0.3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 x14ac:dyDescent="0.3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 x14ac:dyDescent="0.3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 x14ac:dyDescent="0.3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341</v>
      </c>
      <c r="O759" s="60"/>
    </row>
    <row r="760" spans="1:15" ht="15" customHeight="1" x14ac:dyDescent="0.3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 x14ac:dyDescent="0.3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 x14ac:dyDescent="0.3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428</v>
      </c>
      <c r="O771" s="60"/>
    </row>
    <row r="772" spans="1:15" ht="15" customHeight="1" x14ac:dyDescent="0.3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 x14ac:dyDescent="0.3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 x14ac:dyDescent="0.3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432</v>
      </c>
      <c r="O774" s="60"/>
    </row>
    <row r="775" spans="1:15" ht="15" customHeight="1" x14ac:dyDescent="0.3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 x14ac:dyDescent="0.3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 x14ac:dyDescent="0.3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 x14ac:dyDescent="0.3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 x14ac:dyDescent="0.3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 x14ac:dyDescent="0.3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 x14ac:dyDescent="0.3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436</v>
      </c>
      <c r="O790" s="60"/>
    </row>
    <row r="791" spans="1:15" ht="15" customHeight="1" x14ac:dyDescent="0.3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 x14ac:dyDescent="0.3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118">
        <f>IF(F798="","",IF(E798="PC 17",F798*4.2,IF(E798="PC 19",F798*5,"")))</f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 x14ac:dyDescent="0.3">
      <c r="A799" s="69">
        <v>46233</v>
      </c>
      <c r="B799" s="32">
        <f t="shared" ref="B799:B809" si="178">B798+TIME(0,60,0)</f>
        <v>0.87499999999999967</v>
      </c>
      <c r="C799" s="81" t="s">
        <v>21</v>
      </c>
      <c r="D799" s="117" t="s">
        <v>22</v>
      </c>
      <c r="E799" s="117" t="s">
        <v>260</v>
      </c>
      <c r="F799" s="27">
        <v>0</v>
      </c>
      <c r="G799" s="34">
        <f>IF(F799="","",IF(E799="PC 17",F799*4.2,IF(E799="PC 19",F799*5,"")))</f>
        <v>0</v>
      </c>
      <c r="H799" s="33" t="s">
        <v>20</v>
      </c>
      <c r="I799" s="80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 x14ac:dyDescent="0.3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118">
        <f>IF(F800="","",IF(E800="PC 17",F800*4.2,IF(E800="PC 19",F800*5,"")))</f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 x14ac:dyDescent="0.3">
      <c r="A801" s="69">
        <v>46233</v>
      </c>
      <c r="B801" s="32">
        <f t="shared" si="178"/>
        <v>0.95833333333333293</v>
      </c>
      <c r="C801" s="81" t="s">
        <v>21</v>
      </c>
      <c r="D801" s="117" t="s">
        <v>22</v>
      </c>
      <c r="E801" s="117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 x14ac:dyDescent="0.3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11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 x14ac:dyDescent="0.3">
      <c r="A803" s="69">
        <v>46233</v>
      </c>
      <c r="B803" s="32">
        <f t="shared" si="178"/>
        <v>1.0416666666666663</v>
      </c>
      <c r="C803" s="81" t="s">
        <v>21</v>
      </c>
      <c r="D803" s="117" t="s">
        <v>22</v>
      </c>
      <c r="E803" s="117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 x14ac:dyDescent="0.3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11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 x14ac:dyDescent="0.3">
      <c r="A805" s="69">
        <v>46233</v>
      </c>
      <c r="B805" s="32">
        <f t="shared" si="178"/>
        <v>1.1249999999999998</v>
      </c>
      <c r="C805" s="81" t="s">
        <v>21</v>
      </c>
      <c r="D805" s="117" t="s">
        <v>22</v>
      </c>
      <c r="E805" s="117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 x14ac:dyDescent="0.3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11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 x14ac:dyDescent="0.3">
      <c r="A807" s="69">
        <v>46233</v>
      </c>
      <c r="B807" s="32">
        <f t="shared" si="178"/>
        <v>1.2083333333333333</v>
      </c>
      <c r="C807" s="81" t="s">
        <v>21</v>
      </c>
      <c r="D807" s="117" t="s">
        <v>22</v>
      </c>
      <c r="E807" s="117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 x14ac:dyDescent="0.3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11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 x14ac:dyDescent="0.3">
      <c r="A809" s="69">
        <v>46233</v>
      </c>
      <c r="B809" s="32">
        <f t="shared" si="178"/>
        <v>1.2916666666666667</v>
      </c>
      <c r="C809" s="81" t="s">
        <v>21</v>
      </c>
      <c r="D809" s="117" t="s">
        <v>22</v>
      </c>
      <c r="E809" s="117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 x14ac:dyDescent="0.3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14</v>
      </c>
      <c r="G810" s="36">
        <f>SUM(G798:G809)</f>
        <v>58.800000000000004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 x14ac:dyDescent="0.3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36</v>
      </c>
      <c r="G811" s="40">
        <f>G797+G810</f>
        <v>151.20000000000002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2026-07-31T03:02:28Z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