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91" documentId="8_{1D11E9C4-FEA4-4128-910F-91CB6BBF9255}" xr6:coauthVersionLast="47" xr6:coauthVersionMax="47" xr10:uidLastSave="{15FAA84C-04DA-498F-9B4A-56AD2365B61E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<sst xmlns="http://schemas.openxmlformats.org/spreadsheetml/2006/main" count="8547" uniqueCount="382">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</sst>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7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178</v>
      </c>
      <c r="L48" s="3"/>
      <c r="M48" s="3"/>
    </row>
    <row r="49" spans="1:13" ht="18" customHeight="1">
      <c r="H49" s="103"/>
      <c r="I49" s="4"/>
      <c r="J49" s="4"/>
      <c r="K49" s="4" t="s">
        <v>179</v>
      </c>
      <c r="L49" s="4"/>
      <c r="M49" s="4"/>
    </row>
    <row r="50" spans="1:13" ht="21" customHeight="1">
      <c r="A50" s="6" t="s">
        <v>180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181</v>
      </c>
      <c r="L50" s="3"/>
      <c r="M50" s="3"/>
    </row>
    <row r="51" spans="1:13" ht="24" customHeight="1">
      <c r="H51" s="103"/>
      <c r="I51" s="4"/>
      <c r="J51" s="4"/>
      <c r="K51" s="4" t="s">
        <v>182</v>
      </c>
      <c r="L51" s="4"/>
      <c r="M51" s="4"/>
    </row>
    <row r="52" spans="1:13" ht="24" customHeight="1">
      <c r="H52" s="103"/>
      <c r="I52" s="3"/>
      <c r="J52" s="3"/>
      <c r="K52" s="3" t="s">
        <v>183</v>
      </c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0" sqref="E79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184</v>
      </c>
      <c r="C1" s="8" t="s">
        <v>12</v>
      </c>
      <c r="D1" s="8" t="s">
        <v>13</v>
      </c>
      <c r="E1" s="8" t="s">
        <v>185</v>
      </c>
      <c r="F1" s="8" t="s">
        <v>186</v>
      </c>
      <c r="G1" s="8" t="s">
        <v>14</v>
      </c>
      <c r="H1" s="8" t="s">
        <v>15</v>
      </c>
      <c r="I1" s="8" t="s">
        <v>187</v>
      </c>
      <c r="J1" s="8" t="s">
        <v>188</v>
      </c>
      <c r="K1" s="8" t="s">
        <v>189</v>
      </c>
      <c r="L1" s="69" t="s">
        <v>190</v>
      </c>
      <c r="M1" s="8" t="s">
        <v>191</v>
      </c>
      <c r="N1" s="8" t="s">
        <v>192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193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194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195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196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195</v>
      </c>
      <c r="N27" s="20">
        <v>0</v>
      </c>
    </row>
    <row r="28" spans="1:14" ht="18" customHeight="1">
      <c r="A28" s="98" t="s">
        <v>197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198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199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194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195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196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195</v>
      </c>
      <c r="N54" s="20">
        <v>125660</v>
      </c>
    </row>
    <row r="55" spans="1:14" ht="18" customHeight="1">
      <c r="A55" s="98" t="s">
        <v>197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198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194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195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196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195</v>
      </c>
      <c r="N81" s="20">
        <v>580300</v>
      </c>
    </row>
    <row r="82" spans="1:14" ht="18" customHeight="1">
      <c r="A82" s="98" t="s">
        <v>197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198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193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194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195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200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199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196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195</v>
      </c>
      <c r="N108" s="20">
        <v>652520</v>
      </c>
    </row>
    <row r="109" spans="1:14" ht="18" customHeight="1">
      <c r="A109" s="98" t="s">
        <v>197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198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201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194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195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196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195</v>
      </c>
      <c r="N135" s="20">
        <v>909050</v>
      </c>
    </row>
    <row r="136" spans="1:14" ht="18" customHeight="1">
      <c r="A136" s="98" t="s">
        <v>197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198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193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194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195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196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195</v>
      </c>
      <c r="N162" s="27">
        <v>1048880</v>
      </c>
    </row>
    <row r="163" spans="1:14" ht="18" customHeight="1">
      <c r="A163" s="98" t="s">
        <v>197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198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201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202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194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195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196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195</v>
      </c>
      <c r="N189" s="20">
        <v>797540</v>
      </c>
    </row>
    <row r="190" spans="1:14" ht="18" customHeight="1">
      <c r="A190" s="98" t="s">
        <v>197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198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201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203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194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195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196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195</v>
      </c>
      <c r="N216" s="28">
        <v>203080</v>
      </c>
    </row>
    <row r="217" spans="1:14" ht="18" customHeight="1">
      <c r="A217" s="98" t="s">
        <v>197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198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194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195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196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195</v>
      </c>
      <c r="N243" s="20">
        <v>0</v>
      </c>
    </row>
    <row r="244" spans="1:14" ht="18" customHeight="1">
      <c r="A244" s="98" t="s">
        <v>197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198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194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195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196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195</v>
      </c>
      <c r="N270" s="20">
        <f>346400+269080</f>
        <v>615480</v>
      </c>
    </row>
    <row r="271" spans="1:14" ht="18" customHeight="1">
      <c r="A271" s="98" t="s">
        <v>197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198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204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194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195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196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195</v>
      </c>
      <c r="N297" s="20">
        <f>35160+383610</f>
        <v>418770</v>
      </c>
    </row>
    <row r="298" spans="1:14" ht="18" customHeight="1">
      <c r="A298" s="98" t="s">
        <v>197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198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205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194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195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206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196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195</v>
      </c>
      <c r="N324" s="20">
        <f>411220+466620</f>
        <v>877840</v>
      </c>
    </row>
    <row r="325" spans="1:14" ht="18" customHeight="1">
      <c r="A325" s="98" t="s">
        <v>197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198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207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194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195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196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195</v>
      </c>
      <c r="N351" s="20"/>
    </row>
    <row r="352" spans="1:14" ht="18" customHeight="1">
      <c r="A352" s="98" t="s">
        <v>197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198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208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194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195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209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210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196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195</v>
      </c>
      <c r="N378" s="20">
        <v>1299920</v>
      </c>
    </row>
    <row r="379" spans="1:14" ht="18" customHeight="1">
      <c r="A379" s="98" t="s">
        <v>197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198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194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195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196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195</v>
      </c>
      <c r="N405" s="20">
        <v>1342790</v>
      </c>
    </row>
    <row r="406" spans="1:14" ht="18" customHeight="1">
      <c r="A406" s="98" t="s">
        <v>197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198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211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194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195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212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196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195</v>
      </c>
      <c r="N432" s="20">
        <v>963120</v>
      </c>
    </row>
    <row r="433" spans="1:14" ht="18" customHeight="1">
      <c r="A433" s="98" t="s">
        <v>197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198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194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195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196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195</v>
      </c>
      <c r="N459" s="20">
        <v>534910</v>
      </c>
    </row>
    <row r="460" spans="1:14" ht="18" customHeight="1">
      <c r="A460" s="98" t="s">
        <v>197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198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213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214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194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195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196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195</v>
      </c>
      <c r="N486" s="20">
        <v>557170</v>
      </c>
    </row>
    <row r="487" spans="1:14" ht="18" customHeight="1">
      <c r="A487" s="98" t="s">
        <v>197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198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194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195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215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196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195</v>
      </c>
      <c r="N513" s="20">
        <v>701090</v>
      </c>
    </row>
    <row r="514" spans="1:14" ht="18" customHeight="1">
      <c r="A514" s="98" t="s">
        <v>197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198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216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216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217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194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195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196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195</v>
      </c>
      <c r="N540" s="20">
        <v>915770</v>
      </c>
    </row>
    <row r="541" spans="1:14" ht="18" customHeight="1">
      <c r="A541" s="98" t="s">
        <v>197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198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218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219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220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194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195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196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195</v>
      </c>
      <c r="N567" s="20">
        <v>636740</v>
      </c>
    </row>
    <row r="568" spans="1:14" ht="18" customHeight="1">
      <c r="A568" s="98" t="s">
        <v>197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198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221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222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194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195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223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196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195</v>
      </c>
      <c r="N594" s="20">
        <v>394820</v>
      </c>
    </row>
    <row r="595" spans="1:14" ht="18" customHeight="1">
      <c r="A595" s="98" t="s">
        <v>197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198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224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225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225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226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194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195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227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196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195</v>
      </c>
      <c r="N621" s="20">
        <v>587370</v>
      </c>
    </row>
    <row r="622" spans="1:14" ht="18" customHeight="1">
      <c r="A622" s="98" t="s">
        <v>197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198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194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195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228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196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195</v>
      </c>
      <c r="N648" s="20">
        <v>635110</v>
      </c>
    </row>
    <row r="649" spans="1:14" ht="18" customHeight="1">
      <c r="A649" s="98" t="s">
        <v>197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198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194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195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196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195</v>
      </c>
      <c r="N675" s="20">
        <v>1608610</v>
      </c>
    </row>
    <row r="676" spans="1:14" ht="18" customHeight="1">
      <c r="A676" s="98" t="s">
        <v>197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198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179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229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230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194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195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196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195</v>
      </c>
      <c r="N702" s="20">
        <f>316300+609860</f>
        <v>926160</v>
      </c>
    </row>
    <row r="703" spans="1:14" ht="18" customHeight="1">
      <c r="A703" s="98" t="s">
        <v>197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198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231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232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194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195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196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195</v>
      </c>
      <c r="N729" s="20">
        <v>706600</v>
      </c>
    </row>
    <row r="730" spans="1:14" ht="18" customHeight="1">
      <c r="A730" s="98" t="s">
        <v>197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198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194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195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196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195</v>
      </c>
      <c r="N756" s="20">
        <v>1646670</v>
      </c>
    </row>
    <row r="757" spans="1:14" ht="18" customHeight="1">
      <c r="A757" s="22" t="s">
        <v>197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198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181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233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234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194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195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196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195</v>
      </c>
      <c r="N783" s="20">
        <v>1736080</v>
      </c>
    </row>
    <row r="784" spans="1:14" ht="18" customHeight="1">
      <c r="A784" s="98" t="s">
        <v>197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198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235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232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19</v>
      </c>
      <c r="F789" s="17">
        <f t="shared" si="177"/>
        <v>95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194</v>
      </c>
      <c r="B797" s="97"/>
      <c r="C797" s="97"/>
      <c r="D797" s="97"/>
      <c r="E797" s="19">
        <f>SUM(E785:E796)</f>
        <v>19</v>
      </c>
      <c r="F797" s="19">
        <f>SUM(F785:F796)</f>
        <v>95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195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196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195</v>
      </c>
      <c r="N810" s="20"/>
    </row>
    <row r="811" spans="1:14" ht="18" customHeight="1">
      <c r="A811" s="98" t="s">
        <v>197</v>
      </c>
      <c r="B811" s="98"/>
      <c r="C811" s="98"/>
      <c r="D811" s="98"/>
      <c r="E811" s="22">
        <f>E797+E810</f>
        <v>19</v>
      </c>
      <c r="F811" s="22">
        <f>F797+F810</f>
        <v>95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198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E792" sqref="E79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184</v>
      </c>
      <c r="C1" s="8" t="s">
        <v>12</v>
      </c>
      <c r="D1" s="8" t="s">
        <v>13</v>
      </c>
      <c r="E1" s="8" t="s">
        <v>185</v>
      </c>
      <c r="F1" s="8" t="s">
        <v>236</v>
      </c>
      <c r="G1" s="8" t="s">
        <v>14</v>
      </c>
      <c r="H1" s="8" t="s">
        <v>15</v>
      </c>
      <c r="I1" s="8" t="s">
        <v>187</v>
      </c>
      <c r="J1" s="8" t="s">
        <v>188</v>
      </c>
      <c r="K1" s="8" t="s">
        <v>189</v>
      </c>
      <c r="L1" s="69" t="s">
        <v>190</v>
      </c>
      <c r="M1" s="8" t="s">
        <v>191</v>
      </c>
      <c r="N1" s="8" t="s">
        <v>192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194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195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196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195</v>
      </c>
      <c r="N27" s="20">
        <v>1035240</v>
      </c>
    </row>
    <row r="28" spans="1:14" ht="18" customHeight="1">
      <c r="A28" s="98" t="s">
        <v>197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198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237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194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195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196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195</v>
      </c>
      <c r="N54" s="20">
        <v>871960</v>
      </c>
    </row>
    <row r="55" spans="1:14" ht="18" customHeight="1">
      <c r="A55" s="98" t="s">
        <v>197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198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238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194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195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239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196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195</v>
      </c>
      <c r="N81" s="20">
        <v>482250</v>
      </c>
    </row>
    <row r="82" spans="1:14" ht="18" customHeight="1">
      <c r="A82" s="98" t="s">
        <v>197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198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240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194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195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241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196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195</v>
      </c>
      <c r="N108" s="20">
        <v>529500</v>
      </c>
    </row>
    <row r="109" spans="1:14" ht="18" customHeight="1">
      <c r="A109" s="98" t="s">
        <v>197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198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241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241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194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195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241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242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196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195</v>
      </c>
      <c r="N135" s="20">
        <v>666150</v>
      </c>
    </row>
    <row r="136" spans="1:14" ht="18" customHeight="1">
      <c r="A136" s="98" t="s">
        <v>197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198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240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243</v>
      </c>
      <c r="I139" s="16" t="s">
        <v>244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241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194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195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196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195</v>
      </c>
      <c r="N162" s="35">
        <v>183240</v>
      </c>
    </row>
    <row r="163" spans="1:14" ht="18" customHeight="1">
      <c r="A163" s="98" t="s">
        <v>197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198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194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195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245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245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245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245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245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245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245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245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196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195</v>
      </c>
      <c r="N189" s="20">
        <v>0</v>
      </c>
    </row>
    <row r="190" spans="1:14" ht="18" customHeight="1">
      <c r="A190" s="98" t="s">
        <v>197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198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245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246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194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195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196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195</v>
      </c>
      <c r="N216" s="28">
        <v>525070</v>
      </c>
    </row>
    <row r="217" spans="1:14" ht="18" customHeight="1">
      <c r="A217" s="98" t="s">
        <v>197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198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247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194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195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196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195</v>
      </c>
      <c r="N243" s="20">
        <v>244000</v>
      </c>
    </row>
    <row r="244" spans="1:14" ht="18" customHeight="1">
      <c r="A244" s="98" t="s">
        <v>197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198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249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194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195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250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196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195</v>
      </c>
      <c r="N270" s="20">
        <v>8130</v>
      </c>
    </row>
    <row r="271" spans="1:14" ht="18" customHeight="1">
      <c r="A271" s="98" t="s">
        <v>197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198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251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194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195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196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195</v>
      </c>
      <c r="N297" s="20">
        <f>229280+228660</f>
        <v>457940</v>
      </c>
    </row>
    <row r="298" spans="1:14" ht="18" customHeight="1">
      <c r="A298" s="98" t="s">
        <v>197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198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252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253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253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254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194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195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256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257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258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196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195</v>
      </c>
      <c r="N324" s="20">
        <f>217310+197670</f>
        <v>414980</v>
      </c>
    </row>
    <row r="325" spans="1:14" ht="18" customHeight="1">
      <c r="A325" s="98" t="s">
        <v>197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198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259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260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194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195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261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262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196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195</v>
      </c>
      <c r="N351" s="20">
        <f>135270+304860</f>
        <v>440130</v>
      </c>
    </row>
    <row r="352" spans="1:14" ht="18" customHeight="1">
      <c r="A352" s="98" t="s">
        <v>197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198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263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265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194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195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196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195</v>
      </c>
      <c r="N378" s="20">
        <f>291750+291000</f>
        <v>582750</v>
      </c>
    </row>
    <row r="379" spans="1:14" ht="18" customHeight="1">
      <c r="A379" s="98" t="s">
        <v>197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198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194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195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266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267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196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195</v>
      </c>
      <c r="N405" s="20">
        <v>305810</v>
      </c>
    </row>
    <row r="406" spans="1:14" ht="18" customHeight="1">
      <c r="A406" s="98" t="s">
        <v>197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198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268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269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270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194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195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271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272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196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195</v>
      </c>
      <c r="N432" s="20">
        <v>522180</v>
      </c>
    </row>
    <row r="433" spans="1:14" ht="18" customHeight="1">
      <c r="A433" s="98" t="s">
        <v>197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198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273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274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275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194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195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196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195</v>
      </c>
      <c r="N459" s="20">
        <v>560220</v>
      </c>
    </row>
    <row r="460" spans="1:14" ht="18" customHeight="1">
      <c r="A460" s="98" t="s">
        <v>197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198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277</v>
      </c>
      <c r="J465" s="13">
        <v>0.70833333333333337</v>
      </c>
      <c r="K465" s="13" t="s">
        <v>278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279</v>
      </c>
      <c r="N472" s="30"/>
    </row>
    <row r="473" spans="1:14" ht="15.75" customHeight="1">
      <c r="A473" s="105" t="s">
        <v>194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195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280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281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196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195</v>
      </c>
      <c r="N486" s="20">
        <v>400000</v>
      </c>
    </row>
    <row r="487" spans="1:14" ht="18" customHeight="1">
      <c r="A487" s="98" t="s">
        <v>197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198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194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195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282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196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195</v>
      </c>
      <c r="N513" s="20">
        <f>1031250+71560</f>
        <v>1102810</v>
      </c>
    </row>
    <row r="514" spans="1:14" ht="18" customHeight="1">
      <c r="A514" s="98" t="s">
        <v>197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198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216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216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216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194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195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285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286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287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287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196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195</v>
      </c>
      <c r="N540" s="20">
        <v>504470</v>
      </c>
    </row>
    <row r="541" spans="1:14" ht="18" customHeight="1">
      <c r="A541" s="98" t="s">
        <v>197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198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288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194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195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196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195</v>
      </c>
      <c r="N567" s="20">
        <v>0</v>
      </c>
    </row>
    <row r="568" spans="1:14" ht="18" customHeight="1">
      <c r="A568" s="98" t="s">
        <v>197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198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194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195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289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196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195</v>
      </c>
      <c r="N594" s="20">
        <v>258960</v>
      </c>
    </row>
    <row r="595" spans="1:14" ht="18" customHeight="1">
      <c r="A595" s="98" t="s">
        <v>197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198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290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291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292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194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195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293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294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196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195</v>
      </c>
      <c r="N621" s="20">
        <v>687740</v>
      </c>
    </row>
    <row r="622" spans="1:14" ht="18" customHeight="1">
      <c r="A622" s="98" t="s">
        <v>197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198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295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194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195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296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297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298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196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195</v>
      </c>
      <c r="N648" s="20">
        <f>47050+58630</f>
        <v>105680</v>
      </c>
    </row>
    <row r="649" spans="1:14" ht="18" customHeight="1">
      <c r="A649" s="98" t="s">
        <v>197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198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194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195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299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300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301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196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195</v>
      </c>
      <c r="N675" s="20">
        <v>546550</v>
      </c>
    </row>
    <row r="676" spans="1:14" ht="18" customHeight="1">
      <c r="A676" s="98" t="s">
        <v>197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198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302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194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195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303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304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196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195</v>
      </c>
      <c r="N702" s="20">
        <f>430070+116100</f>
        <v>546170</v>
      </c>
    </row>
    <row r="703" spans="1:14" ht="18" customHeight="1">
      <c r="A703" s="98" t="s">
        <v>197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198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305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194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195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196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195</v>
      </c>
      <c r="N729" s="20">
        <v>477920</v>
      </c>
    </row>
    <row r="730" spans="1:14" ht="18" customHeight="1">
      <c r="A730" s="98" t="s">
        <v>197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198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306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194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195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307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196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195</v>
      </c>
      <c r="N756" s="20">
        <v>379890</v>
      </c>
    </row>
    <row r="757" spans="1:14" ht="18" customHeight="1">
      <c r="A757" s="98" t="s">
        <v>197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198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308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309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194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195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196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195</v>
      </c>
      <c r="N783" s="20">
        <v>602090</v>
      </c>
    </row>
    <row r="784" spans="1:14" ht="18" customHeight="1">
      <c r="A784" s="98" t="s">
        <v>197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198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182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>
        <v>0.55347222222222225</v>
      </c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194</v>
      </c>
      <c r="B797" s="105"/>
      <c r="C797" s="105"/>
      <c r="D797" s="105"/>
      <c r="E797" s="19">
        <f>SUM(E785:E796)</f>
        <v>53</v>
      </c>
      <c r="F797" s="19">
        <f>SUM(F785:F796)</f>
        <v>212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195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196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195</v>
      </c>
      <c r="N810" s="20"/>
    </row>
    <row r="811" spans="1:14" ht="18" customHeight="1">
      <c r="A811" s="98" t="s">
        <v>197</v>
      </c>
      <c r="B811" s="98"/>
      <c r="C811" s="98"/>
      <c r="D811" s="98"/>
      <c r="E811" s="22">
        <f>E797+E810</f>
        <v>53</v>
      </c>
      <c r="F811" s="22">
        <f>F797+F810</f>
        <v>212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198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74" activePane="bottomLeft" state="frozen"/>
      <selection pane="bottomLeft" activeCell="E792" sqref="E79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184</v>
      </c>
      <c r="C1" s="8" t="s">
        <v>12</v>
      </c>
      <c r="D1" s="8" t="s">
        <v>13</v>
      </c>
      <c r="E1" s="8" t="s">
        <v>185</v>
      </c>
      <c r="F1" s="8" t="s">
        <v>310</v>
      </c>
      <c r="G1" s="8" t="s">
        <v>14</v>
      </c>
      <c r="H1" s="8" t="s">
        <v>15</v>
      </c>
      <c r="I1" s="8" t="s">
        <v>187</v>
      </c>
      <c r="J1" s="8" t="s">
        <v>188</v>
      </c>
      <c r="K1" s="8" t="s">
        <v>189</v>
      </c>
      <c r="L1" s="69" t="s">
        <v>190</v>
      </c>
      <c r="M1" s="8" t="s">
        <v>191</v>
      </c>
      <c r="N1" s="8" t="s">
        <v>192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194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195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196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195</v>
      </c>
      <c r="N27" s="20"/>
    </row>
    <row r="28" spans="1:14" ht="18" customHeight="1">
      <c r="A28" s="98" t="s">
        <v>197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198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194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195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196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195</v>
      </c>
      <c r="N54" s="20"/>
    </row>
    <row r="55" spans="1:14" ht="18" customHeight="1">
      <c r="A55" s="98" t="s">
        <v>197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198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194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195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311</v>
      </c>
      <c r="I80" s="10" t="s">
        <v>239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196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195</v>
      </c>
      <c r="N81" s="20">
        <v>206440</v>
      </c>
    </row>
    <row r="82" spans="1:14" ht="18" customHeight="1">
      <c r="A82" s="98" t="s">
        <v>197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198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194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195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196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195</v>
      </c>
      <c r="N108" s="20"/>
    </row>
    <row r="109" spans="1:14" ht="18" customHeight="1">
      <c r="A109" s="98" t="s">
        <v>197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198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194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195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196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195</v>
      </c>
      <c r="N135" s="20"/>
    </row>
    <row r="136" spans="1:14" ht="18" customHeight="1">
      <c r="A136" s="98" t="s">
        <v>197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198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194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195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196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195</v>
      </c>
      <c r="N162" s="20">
        <v>0</v>
      </c>
    </row>
    <row r="163" spans="1:14" ht="18" customHeight="1">
      <c r="A163" s="98" t="s">
        <v>197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198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194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195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196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195</v>
      </c>
      <c r="N189" s="20">
        <v>0</v>
      </c>
    </row>
    <row r="190" spans="1:14" ht="18" customHeight="1">
      <c r="A190" s="98" t="s">
        <v>197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198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194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195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196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195</v>
      </c>
      <c r="N216" s="20"/>
    </row>
    <row r="217" spans="1:14" ht="18" customHeight="1">
      <c r="A217" s="98" t="s">
        <v>197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198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194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195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196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195</v>
      </c>
      <c r="N243" s="20">
        <v>180000</v>
      </c>
    </row>
    <row r="244" spans="1:14" ht="18" customHeight="1">
      <c r="A244" s="98" t="s">
        <v>197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198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312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194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195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250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196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195</v>
      </c>
      <c r="N270" s="20">
        <f>103170+137770</f>
        <v>240940</v>
      </c>
    </row>
    <row r="271" spans="1:14" ht="18" customHeight="1">
      <c r="A271" s="98" t="s">
        <v>197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198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194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195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313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196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195</v>
      </c>
      <c r="N297" s="20">
        <f>110740+118380</f>
        <v>229120</v>
      </c>
    </row>
    <row r="298" spans="1:14" ht="18" customHeight="1">
      <c r="A298" s="98" t="s">
        <v>197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198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314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194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195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257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196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195</v>
      </c>
      <c r="N324" s="20">
        <f>119730+227060</f>
        <v>346790</v>
      </c>
    </row>
    <row r="325" spans="1:14" ht="18" customHeight="1">
      <c r="A325" s="98" t="s">
        <v>197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198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194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195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262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196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195</v>
      </c>
      <c r="N351" s="20">
        <f>50730+24450</f>
        <v>75180</v>
      </c>
    </row>
    <row r="352" spans="1:14" ht="18" customHeight="1">
      <c r="A352" s="98" t="s">
        <v>197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198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194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195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196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195</v>
      </c>
      <c r="N378" s="20">
        <f>151130+160740</f>
        <v>311870</v>
      </c>
    </row>
    <row r="379" spans="1:14" ht="18" customHeight="1">
      <c r="A379" s="98" t="s">
        <v>197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198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194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195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196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195</v>
      </c>
      <c r="N405" s="20">
        <v>340530</v>
      </c>
    </row>
    <row r="406" spans="1:14" ht="18" customHeight="1">
      <c r="A406" s="98" t="s">
        <v>197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198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194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195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196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195</v>
      </c>
      <c r="N432" s="20">
        <v>169230</v>
      </c>
    </row>
    <row r="433" spans="1:14" ht="18" customHeight="1">
      <c r="A433" s="98" t="s">
        <v>197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198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317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275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194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195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196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195</v>
      </c>
      <c r="N459" s="20">
        <v>221750</v>
      </c>
    </row>
    <row r="460" spans="1:14" ht="18" customHeight="1">
      <c r="A460" s="98" t="s">
        <v>197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198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277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279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279</v>
      </c>
      <c r="N472" s="30"/>
    </row>
    <row r="473" spans="1:14" ht="15.75" customHeight="1">
      <c r="A473" s="105" t="s">
        <v>194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195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196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195</v>
      </c>
      <c r="N486" s="20">
        <v>240000</v>
      </c>
    </row>
    <row r="487" spans="1:14" ht="18" customHeight="1">
      <c r="A487" s="98" t="s">
        <v>197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198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194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195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196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195</v>
      </c>
      <c r="N513" s="20">
        <v>3930</v>
      </c>
    </row>
    <row r="514" spans="1:14" ht="18" customHeight="1">
      <c r="A514" s="98" t="s">
        <v>197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198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194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195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196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195</v>
      </c>
      <c r="N540" s="20">
        <v>304230</v>
      </c>
    </row>
    <row r="541" spans="1:14" ht="18" customHeight="1">
      <c r="A541" s="98" t="s">
        <v>197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198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273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194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195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196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195</v>
      </c>
      <c r="N567" s="20">
        <v>437260</v>
      </c>
    </row>
    <row r="568" spans="1:14" ht="18" customHeight="1">
      <c r="A568" s="98" t="s">
        <v>197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198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320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194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195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321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257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196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195</v>
      </c>
      <c r="N594" s="20">
        <v>269570</v>
      </c>
    </row>
    <row r="595" spans="1:14" ht="18" customHeight="1">
      <c r="A595" s="98" t="s">
        <v>197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198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194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195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322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196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195</v>
      </c>
      <c r="N621" s="20">
        <v>176650</v>
      </c>
    </row>
    <row r="622" spans="1:14" ht="18" customHeight="1">
      <c r="A622" s="98" t="s">
        <v>197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198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323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194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195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324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196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195</v>
      </c>
      <c r="N648" s="20">
        <f>154590+56700</f>
        <v>211290</v>
      </c>
    </row>
    <row r="649" spans="1:14" ht="18" customHeight="1">
      <c r="A649" s="98" t="s">
        <v>197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198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194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195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196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195</v>
      </c>
      <c r="N675" s="20">
        <v>234010</v>
      </c>
    </row>
    <row r="676" spans="1:14" ht="18" customHeight="1">
      <c r="A676" s="98" t="s">
        <v>197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198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325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194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195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196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195</v>
      </c>
      <c r="N702" s="20">
        <f>151740+85690</f>
        <v>237430</v>
      </c>
    </row>
    <row r="703" spans="1:14" ht="18" customHeight="1">
      <c r="A703" s="98" t="s">
        <v>197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198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226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194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195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196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195</v>
      </c>
      <c r="N729" s="20">
        <v>377030</v>
      </c>
    </row>
    <row r="730" spans="1:14" ht="18" customHeight="1">
      <c r="A730" s="98" t="s">
        <v>197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198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306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326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194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195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307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196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195</v>
      </c>
      <c r="N756" s="20">
        <v>265090</v>
      </c>
    </row>
    <row r="757" spans="1:14" ht="18" customHeight="1">
      <c r="A757" s="98" t="s">
        <v>197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198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327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328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194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195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196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195</v>
      </c>
      <c r="N783" s="20">
        <v>357910</v>
      </c>
    </row>
    <row r="784" spans="1:14" ht="18" customHeight="1">
      <c r="A784" s="98" t="s">
        <v>197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198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/>
      <c r="H787" s="67"/>
      <c r="I787" s="67"/>
      <c r="J787" s="13">
        <v>0.58819444444444446</v>
      </c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194</v>
      </c>
      <c r="B797" s="105"/>
      <c r="C797" s="105"/>
      <c r="D797" s="105"/>
      <c r="E797" s="19">
        <f>SUM(E785:E796)</f>
        <v>34</v>
      </c>
      <c r="F797" s="19">
        <f>SUM(F785:F796)</f>
        <v>136</v>
      </c>
      <c r="G797" s="18"/>
      <c r="H797" s="18"/>
      <c r="I797" s="18"/>
      <c r="J797" s="18"/>
      <c r="K797" s="18"/>
      <c r="L797" s="72">
        <f>IFERROR(SUM(L785:L796),"")</f>
        <v>4.3749999999999956E-2</v>
      </c>
      <c r="M797" s="19" t="s">
        <v>195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196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195</v>
      </c>
      <c r="N810" s="20"/>
    </row>
    <row r="811" spans="1:14" ht="18" customHeight="1">
      <c r="A811" s="98" t="s">
        <v>197</v>
      </c>
      <c r="B811" s="98"/>
      <c r="C811" s="98"/>
      <c r="D811" s="98"/>
      <c r="E811" s="22">
        <f>E797+E810</f>
        <v>34</v>
      </c>
      <c r="F811" s="22">
        <f>F797+F810</f>
        <v>136</v>
      </c>
      <c r="G811" s="21"/>
      <c r="H811" s="21"/>
      <c r="I811" s="21"/>
      <c r="J811" s="21"/>
      <c r="K811" s="21"/>
      <c r="L811" s="73">
        <f>IFERROR(L797+L810,"")</f>
        <v>4.3749999999999956E-2</v>
      </c>
      <c r="M811" s="22" t="s">
        <v>198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69" activePane="bottomLeft" state="frozen"/>
      <selection pane="bottomLeft" activeCell="E792" sqref="E79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184</v>
      </c>
      <c r="C1" s="8" t="s">
        <v>12</v>
      </c>
      <c r="D1" s="57" t="s">
        <v>13</v>
      </c>
      <c r="E1" s="8" t="s">
        <v>185</v>
      </c>
      <c r="F1" s="8" t="s">
        <v>329</v>
      </c>
      <c r="G1" s="8" t="s">
        <v>14</v>
      </c>
      <c r="H1" s="8" t="s">
        <v>15</v>
      </c>
      <c r="I1" s="8" t="s">
        <v>187</v>
      </c>
      <c r="J1" s="8" t="s">
        <v>188</v>
      </c>
      <c r="K1" s="8" t="s">
        <v>189</v>
      </c>
      <c r="L1" s="69" t="s">
        <v>190</v>
      </c>
      <c r="M1" s="8" t="s">
        <v>191</v>
      </c>
      <c r="N1" s="8" t="s">
        <v>192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330</v>
      </c>
      <c r="I2" s="10" t="s">
        <v>331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330</v>
      </c>
      <c r="I3" s="16" t="s">
        <v>331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330</v>
      </c>
      <c r="I4" s="10" t="s">
        <v>331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330</v>
      </c>
      <c r="I5" s="16" t="s">
        <v>331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330</v>
      </c>
      <c r="I6" s="10" t="s">
        <v>331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330</v>
      </c>
      <c r="I7" s="16" t="s">
        <v>331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330</v>
      </c>
      <c r="I8" s="10" t="s">
        <v>331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330</v>
      </c>
      <c r="I9" s="16" t="s">
        <v>331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330</v>
      </c>
      <c r="I10" s="10" t="s">
        <v>331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330</v>
      </c>
      <c r="I11" s="16" t="s">
        <v>331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330</v>
      </c>
      <c r="I12" s="10" t="s">
        <v>331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330</v>
      </c>
      <c r="I13" s="16" t="s">
        <v>331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194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195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332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196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195</v>
      </c>
      <c r="N27" s="20">
        <v>537710</v>
      </c>
    </row>
    <row r="28" spans="1:14" ht="18" customHeight="1">
      <c r="A28" s="98" t="s">
        <v>197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198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333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334</v>
      </c>
      <c r="I33" s="16" t="s">
        <v>335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193</v>
      </c>
      <c r="H36" s="10" t="s">
        <v>336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194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195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239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196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195</v>
      </c>
      <c r="N54" s="20">
        <v>800250</v>
      </c>
    </row>
    <row r="55" spans="1:14" ht="18" customHeight="1">
      <c r="A55" s="98" t="s">
        <v>197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198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194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195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336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196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195</v>
      </c>
      <c r="N81" s="20">
        <v>423590</v>
      </c>
    </row>
    <row r="82" spans="1:14" ht="18" customHeight="1">
      <c r="A82" s="98" t="s">
        <v>197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198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194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195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337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196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195</v>
      </c>
      <c r="N108" s="20">
        <v>784300</v>
      </c>
    </row>
    <row r="109" spans="1:14" ht="18" customHeight="1">
      <c r="A109" s="98" t="s">
        <v>197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198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194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195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193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196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195</v>
      </c>
      <c r="N135" s="20">
        <v>527600</v>
      </c>
    </row>
    <row r="136" spans="1:14" ht="18" customHeight="1">
      <c r="A136" s="98" t="s">
        <v>197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198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193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194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195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196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195</v>
      </c>
      <c r="N162" s="20">
        <v>215370</v>
      </c>
    </row>
    <row r="163" spans="1:14" ht="18" customHeight="1">
      <c r="A163" s="98" t="s">
        <v>197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198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194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195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196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195</v>
      </c>
      <c r="N189" s="20">
        <v>400530</v>
      </c>
    </row>
    <row r="190" spans="1:14" ht="18" customHeight="1">
      <c r="A190" s="98" t="s">
        <v>197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198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338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194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195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242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196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195</v>
      </c>
      <c r="N216" s="28">
        <v>704110</v>
      </c>
    </row>
    <row r="217" spans="1:14" ht="18" customHeight="1">
      <c r="A217" s="98" t="s">
        <v>197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198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339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257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194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195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196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195</v>
      </c>
      <c r="N243" s="20">
        <v>0</v>
      </c>
    </row>
    <row r="244" spans="1:14" ht="18" customHeight="1">
      <c r="A244" s="98" t="s">
        <v>197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198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340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194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195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196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195</v>
      </c>
      <c r="N270" s="20">
        <f>214250+252630</f>
        <v>466880</v>
      </c>
    </row>
    <row r="271" spans="1:14" ht="18" customHeight="1">
      <c r="A271" s="98" t="s">
        <v>197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198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341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194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195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342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343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344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196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195</v>
      </c>
      <c r="N297" s="20">
        <f>124260+105220</f>
        <v>229480</v>
      </c>
    </row>
    <row r="298" spans="1:14" ht="18" customHeight="1">
      <c r="A298" s="98" t="s">
        <v>197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198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343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345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314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194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195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346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346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346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347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196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195</v>
      </c>
      <c r="N324" s="20">
        <f>311920+165290</f>
        <v>477210</v>
      </c>
    </row>
    <row r="325" spans="1:14" ht="18" customHeight="1">
      <c r="A325" s="98" t="s">
        <v>197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198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194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195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348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262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196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195</v>
      </c>
      <c r="N351" s="20">
        <f>117790+390790</f>
        <v>508580</v>
      </c>
    </row>
    <row r="352" spans="1:14" ht="18" customHeight="1">
      <c r="A352" s="98" t="s">
        <v>197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198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349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350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316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194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195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196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195</v>
      </c>
      <c r="N378" s="20">
        <f>490380+390690</f>
        <v>881070</v>
      </c>
    </row>
    <row r="379" spans="1:14" ht="18" customHeight="1">
      <c r="A379" s="98" t="s">
        <v>197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198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194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195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196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195</v>
      </c>
      <c r="N405" s="20">
        <v>745910</v>
      </c>
    </row>
    <row r="406" spans="1:14" ht="18" customHeight="1">
      <c r="A406" s="98" t="s">
        <v>197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198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351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352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353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194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195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196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195</v>
      </c>
      <c r="N432" s="20">
        <v>669300</v>
      </c>
    </row>
    <row r="433" spans="1:16" ht="18" customHeight="1">
      <c r="A433" s="98" t="s">
        <v>197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198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194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195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343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343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196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195</v>
      </c>
      <c r="N459" s="20">
        <v>561580</v>
      </c>
    </row>
    <row r="460" spans="1:14" ht="18" customHeight="1">
      <c r="A460" s="98" t="s">
        <v>197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198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279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279</v>
      </c>
      <c r="N472" s="41"/>
    </row>
    <row r="473" spans="1:14" ht="15.75" customHeight="1">
      <c r="A473" s="105" t="s">
        <v>194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195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354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328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355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196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195</v>
      </c>
      <c r="N486" s="20">
        <v>508000</v>
      </c>
    </row>
    <row r="487" spans="1:14" ht="18" customHeight="1">
      <c r="A487" s="98" t="s">
        <v>197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198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194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195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356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357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196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195</v>
      </c>
      <c r="N513" s="20">
        <v>745760</v>
      </c>
    </row>
    <row r="514" spans="1:14" ht="18" customHeight="1">
      <c r="A514" s="98" t="s">
        <v>197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198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194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195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358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359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257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196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195</v>
      </c>
      <c r="N540" s="20">
        <v>426450</v>
      </c>
    </row>
    <row r="541" spans="1:14" ht="18" customHeight="1">
      <c r="A541" s="98" t="s">
        <v>197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198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360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361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194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195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362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196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195</v>
      </c>
      <c r="N567" s="20">
        <v>652080</v>
      </c>
    </row>
    <row r="568" spans="1:14" ht="18" customHeight="1">
      <c r="A568" s="98" t="s">
        <v>197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198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363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364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194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195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365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283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257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196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195</v>
      </c>
      <c r="N594" s="20">
        <v>800310</v>
      </c>
    </row>
    <row r="595" spans="1:14" ht="18" customHeight="1">
      <c r="A595" s="98" t="s">
        <v>197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198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366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194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195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367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196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195</v>
      </c>
      <c r="N621" s="20">
        <v>141320</v>
      </c>
    </row>
    <row r="622" spans="1:14" ht="18" customHeight="1">
      <c r="A622" s="98" t="s">
        <v>197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198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328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194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195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368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178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369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196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195</v>
      </c>
      <c r="N648" s="20">
        <f>89640+153770</f>
        <v>243410</v>
      </c>
    </row>
    <row r="649" spans="1:14" ht="18" customHeight="1">
      <c r="A649" s="98" t="s">
        <v>197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198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194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195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370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196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195</v>
      </c>
      <c r="N675" s="20">
        <v>425320</v>
      </c>
    </row>
    <row r="676" spans="1:14" ht="18" customHeight="1">
      <c r="A676" s="98" t="s">
        <v>197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198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194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195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371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372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196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195</v>
      </c>
      <c r="N702" s="20">
        <f>626540+94190</f>
        <v>720730</v>
      </c>
    </row>
    <row r="703" spans="1:14" ht="18" customHeight="1">
      <c r="A703" s="98" t="s">
        <v>197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198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373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374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375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194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195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376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377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196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195</v>
      </c>
      <c r="N729" s="20">
        <v>874110</v>
      </c>
    </row>
    <row r="730" spans="1:14" ht="18" customHeight="1">
      <c r="A730" s="98" t="s">
        <v>197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198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378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306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326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194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195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307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196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195</v>
      </c>
      <c r="N756" s="20">
        <v>1001690</v>
      </c>
    </row>
    <row r="757" spans="1:14" ht="18" customHeight="1">
      <c r="A757" s="98" t="s">
        <v>197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198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379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327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194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195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196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195</v>
      </c>
      <c r="N783" s="20">
        <v>1318280</v>
      </c>
    </row>
    <row r="784" spans="1:14" ht="18" customHeight="1">
      <c r="A784" s="98" t="s">
        <v>197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198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380</v>
      </c>
      <c r="K786" s="13">
        <v>0.5395833333333333</v>
      </c>
      <c r="L786" s="77" t="str">
        <f t="shared" si="175"/>
        <v/>
      </c>
      <c r="M786" s="11" t="s">
        <v>381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18</v>
      </c>
      <c r="H787" s="67" t="s">
        <v>132</v>
      </c>
      <c r="I787" s="67" t="s">
        <v>109</v>
      </c>
      <c r="J787" s="13">
        <v>0.5854166666666667</v>
      </c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194</v>
      </c>
      <c r="B797" s="109"/>
      <c r="C797" s="109"/>
      <c r="D797" s="109"/>
      <c r="E797" s="19">
        <f>SUM(E785:E796)</f>
        <v>80</v>
      </c>
      <c r="F797" s="19">
        <f>SUM(F785:F796)</f>
        <v>320</v>
      </c>
      <c r="G797" s="38"/>
      <c r="H797" s="38"/>
      <c r="I797" s="38"/>
      <c r="J797" s="38"/>
      <c r="K797" s="38"/>
      <c r="L797" s="72">
        <f>IFERROR(SUM(L785:L796),"")</f>
        <v>1.9444444444444431E-2</v>
      </c>
      <c r="M797" s="19" t="s">
        <v>195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196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195</v>
      </c>
      <c r="N810" s="20"/>
    </row>
    <row r="811" spans="1:14" ht="18" customHeight="1">
      <c r="A811" s="110" t="s">
        <v>197</v>
      </c>
      <c r="B811" s="110"/>
      <c r="C811" s="110"/>
      <c r="D811" s="110"/>
      <c r="E811" s="22">
        <f>E797+E810</f>
        <v>80</v>
      </c>
      <c r="F811" s="22">
        <f>F797+F810</f>
        <v>320</v>
      </c>
      <c r="G811" s="39"/>
      <c r="H811" s="39"/>
      <c r="I811" s="39"/>
      <c r="J811" s="39"/>
      <c r="K811" s="39"/>
      <c r="L811" s="73">
        <f>IFERROR(L797+L810,"")</f>
        <v>1.9444444444444431E-2</v>
      </c>
      <c r="M811" s="22" t="s">
        <v>198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2026-06-30T18:11:45Z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