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741" documentId="8_{AF585B22-221D-4780-BB9C-493D365A6A02}" xr6:coauthVersionLast="47" xr6:coauthVersionMax="47" xr10:uidLastSave="{7A800662-A006-49EE-965E-583A616A372C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<sst xmlns="http://schemas.openxmlformats.org/spreadsheetml/2006/main" count="5255" uniqueCount="301">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</sst>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11" activePane="bottomLeft" state="frozen"/>
      <selection pane="bottomLeft" activeCell="D312" sqref="D31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217.5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90" activePane="bottomLeft" state="frozen"/>
      <selection pane="bottomLeft" activeCell="D312" sqref="D312:D3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153</v>
      </c>
      <c r="J312" s="26"/>
      <c r="K312" s="29">
        <v>0.79097222222222219</v>
      </c>
      <c r="L312" s="29"/>
      <c r="M312" s="30">
        <f t="shared" ref="M312:M323" ca="1" si="70">IFERROR(IF(K312="","",IF(L312="",MOD(NOW()-K312,1),IF(L312&gt;=K312,L312-K312,L312+1-K312))),"")</f>
        <v>4.2427083317306824E-3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4.2427083317306824E-3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91</v>
      </c>
      <c r="G325" s="40">
        <f>G311+G324</f>
        <v>382.2</v>
      </c>
      <c r="H325" s="41"/>
      <c r="I325" s="41"/>
      <c r="J325" s="41"/>
      <c r="K325" s="41"/>
      <c r="L325" s="41"/>
      <c r="M325" s="42">
        <f ca="1">IFERROR(M311+M324,"")</f>
        <v>0.15493715277617509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6" zoomScale="50" zoomScaleNormal="50" workbookViewId="0">
      <selection activeCell="E316" sqref="E3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267</v>
      </c>
      <c r="N166" s="27" t="s">
        <v>268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69</v>
      </c>
      <c r="G325" s="40">
        <f>G311+G324</f>
        <v>294.60000000000002</v>
      </c>
      <c r="H325" s="41"/>
      <c r="I325" s="41"/>
      <c r="J325" s="41"/>
      <c r="K325" s="41"/>
      <c r="L325" s="41"/>
      <c r="M325" s="42">
        <f ca="1">IFERROR(M311+M324,"")</f>
        <v>9.9305555555555439E-2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5" activePane="bottomLeft" state="frozen"/>
      <selection pane="bottomLeft" activeCell="F319" sqref="F31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279</v>
      </c>
      <c r="L58" s="29">
        <v>0.54097222222222219</v>
      </c>
      <c r="M58" s="30" t="str">
        <f t="shared" ca="1" si="13"/>
        <v/>
      </c>
      <c r="N58" s="27" t="s">
        <v>280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0.54590937500324799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0.74521493055880361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1.1125760416699146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/>
      <c r="G313" s="34" t="str">
        <f t="shared" si="69"/>
        <v/>
      </c>
      <c r="H313" s="33"/>
      <c r="I313" s="33"/>
      <c r="J313" s="33"/>
      <c r="K313" s="29">
        <v>0.78819444444444442</v>
      </c>
      <c r="L313" s="29"/>
      <c r="M313" s="35">
        <f t="shared" ca="1" si="70"/>
        <v>7.0204861112870276E-3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2.4381597222398077E-2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30</v>
      </c>
      <c r="G325" s="40">
        <f>G311+G324</f>
        <v>126</v>
      </c>
      <c r="H325" s="41"/>
      <c r="I325" s="41"/>
      <c r="J325" s="41"/>
      <c r="K325" s="63"/>
      <c r="L325" s="63"/>
      <c r="M325" s="42">
        <f ca="1">IFERROR(M311+M324,"")</f>
        <v>0.43757604166684261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2026-07-12T23:05:33Z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