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" documentId="13_ncr:1_{A6DBCFB4-28D9-4249-9038-216934055CA6}" xr6:coauthVersionLast="47" xr6:coauthVersionMax="47" xr10:uidLastSave="{A9E22333-5D5B-4CA1-B851-7ADF1DB76D2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<sst xmlns="http://schemas.openxmlformats.org/spreadsheetml/2006/main" count="8428" uniqueCount="394">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</sst>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4" sqref="F49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87</v>
      </c>
      <c r="G500" s="2">
        <f>SUM(G488:G499)</f>
        <v>435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87</v>
      </c>
      <c r="G514" s="1">
        <f>G500+G513</f>
        <v>435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5" sqref="G49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0.46516307869751472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0.60405196758640245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0.68877418980862526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344.8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80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344.8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G495" sqref="G49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/>
      <c r="Q489" s="71">
        <f t="shared" ca="1" si="121"/>
        <v>2.2801967592386063E-2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0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0"/>
        <v>0</v>
      </c>
      <c r="K494" s="64" t="e">
        <f>IF(G494="","",IF(#REF!="PC 17",G494*4.2,IF(#REF!="PC 19",G494*5,IF(#REF!="CB",G494*24,""))))</f>
        <v>#REF!</v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 t="e">
        <f>SUM(K488:K499)</f>
        <v>#REF!</v>
      </c>
      <c r="L500" s="72"/>
      <c r="M500" s="72"/>
      <c r="N500" s="72"/>
      <c r="O500" s="72"/>
      <c r="P500" s="72"/>
      <c r="Q500" s="73">
        <f ca="1">IFERROR(SUM(Q488:Q499),"")</f>
        <v>5.8218634259052715E-2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 t="e">
        <f>K500+K513</f>
        <v>#REF!</v>
      </c>
      <c r="L514" s="76"/>
      <c r="M514" s="76"/>
      <c r="N514" s="76"/>
      <c r="O514" s="76"/>
      <c r="P514" s="76"/>
      <c r="Q514" s="77">
        <f ca="1">IFERROR(Q500+Q513,"")</f>
        <v>5.8218634259052715E-2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5" sqref="G49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114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484.4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114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484.4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2026-08-19T18:04:54Z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