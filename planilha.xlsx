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96" documentId="8_{C51EB6CB-002B-4D6B-B68F-DDEBDB4460C0}" xr6:coauthVersionLast="47" xr6:coauthVersionMax="47" xr10:uidLastSave="{6A4A5086-DABF-4F7B-B74D-7DBCCA413BA8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325" i="6" l="1"/>
  <c r="G325" i="3"/>
  <c r="G325" i="4"/>
  <c r="M838" i="4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<sst xmlns="http://schemas.openxmlformats.org/spreadsheetml/2006/main" count="5914" uniqueCount="344">
  <si>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</si>
  <si>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</si>
  <si>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</si>
  <si>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</si>
  <si>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</si>
  <si>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</si>
  <si>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</si>
  <si>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</si>
  <si>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</si>
  <si>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</si>
  <si>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</si>
  <si>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</si>
  <si>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</si>
  <si>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</si>
  <si>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</si>
  <si>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</si>
  <si>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</si>
  <si>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</si>
  <si>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</si>
  <si>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</si>
  <si>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</si>
  <si>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</si>
  <si>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</si>
  <si>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</si>
  <si>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</si>
  <si>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</si>
  <si>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</si>
  <si>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</si>
  <si>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</si>
  <si>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</si>
  <si>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</si>
  <si>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</si>
  <si>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</si>
  <si>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</si>
  <si>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</si>
  <si>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</si>
  <si>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</si>
  <si>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</si>
  <si>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</si>
  <si>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</si>
  <si>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</si>
  <si>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</si>
  <si>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</si>
  <si>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</si>
  <si>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</si>
  <si>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</si>
  <si>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</si>
  <si>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</si>
  <si>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</si>
  <si>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</si>
  <si>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</si>
  <si>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</si>
  <si>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</si>
  <si>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</si>
  <si>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</si>
  <si>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</si>
  <si>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</si>
  <si>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</si>
  <si>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</si>
  <si>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</si>
  <si>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</si>
  <si>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</si>
  <si>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</si>
  <si>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</si>
  <si>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</si>
  <si>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</si>
  <si>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</si>
  <si>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</si>
  <si>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</si>
  <si>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</si>
  <si>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</si>
  <si>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</si>
  <si>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</si>
  <si>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</si>
  <si>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</si>
  <si>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</si>
  <si>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</si>
  <si>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</si>
  <si>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</si>
  <si>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</si>
  <si>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</si>
  <si>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</si>
  <si>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</si>
  <si>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</si>
  <si>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</si>
  <si>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</si>
  <si>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</si>
  <si>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</si>
  <si>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</si>
  <si>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</si>
  <si>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</si>
  <si>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</si>
  <si>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</si>
  <si>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</si>
  <si>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</si>
  <si>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</si>
  <si>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</si>
  <si>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</si>
  <si>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</si>
  <si>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</si>
  <si>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</si>
  <si>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</si>
  <si>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</si>
  <si>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</si>
  <si>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</si>
  <si>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</si>
  <si>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</si>
  <si>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</si>
  <si>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</si>
  <si>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</si>
  <si>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</si>
  <si>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</si>
  <si>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</si>
  <si>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</si>
  <si>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</si>
  <si>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</si>
  <si>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</si>
  <si>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</si>
  <si>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</si>
  <si>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</si>
  <si>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</si>
  <si>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</si>
  <si>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</si>
  <si>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</si>
  <si>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</si>
  <si>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</si>
  <si>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</si>
  <si>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</si>
  <si>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</si>
  <si>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</si>
  <si>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</si>
  <si>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</si>
  <si>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</si>
  <si>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</si>
  <si>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</si>
  <si>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</si>
  <si>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</si>
  <si>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</si>
  <si>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</si>
  <si>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</si>
  <si>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</si>
  <si>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</si>
  <si>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</si>
  <si>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</si>
  <si>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</si>
  <si>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</si>
  <si>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</si>
  <si>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</si>
  <si>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</si>
  <si>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</si>
  <si>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</si>
  <si>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</si>
  <si>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</si>
  <si>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</si>
  <si>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</si>
  <si>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</si>
  <si>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</si>
  <si>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</si>
  <si>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</si>
  <si>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</si>
  <si>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</si>
  <si>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</si>
  <si>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</si>
  <si>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</si>
  <si>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</si>
  <si>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</si>
  <si>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</si>
  <si>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</si>
  <si>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</si>
  <si>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</si>
  <si>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</si>
  <si>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</si>
  <si>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</si>
  <si>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</si>
  <si>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</si>
  <si>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</si>
  <si>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</si>
  <si>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</si>
  <si>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</si>
  <si>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</si>
  <si>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</si>
  <si>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</si>
  <si>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</si>
  <si>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</si>
  <si>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</si>
  <si>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</si>
  <si>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</si>
  <si>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</si>
  <si>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</si>
  <si>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</si>
  <si>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</si>
  <si>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</si>
  <si>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</si>
  <si>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</si>
  <si>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</si>
  <si>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</si>
  <si>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</si>
  <si>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</si>
  <si>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</si>
  <si>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</si>
  <si>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</si>
  <si>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</si>
  <si>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</si>
  <si>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</si>
  <si>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</si>
  <si>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</si>
  <si>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</si>
  <si>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</si>
  <si>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</si>
  <si>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</si>
  <si>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</si>
  <si>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</si>
  <si>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</si>
  <si>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</si>
  <si>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</si>
  <si>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</si>
  <si>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</si>
  <si>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</si>
  <si>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</si>
  <si>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</si>
  <si>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</si>
  <si>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</si>
  <si>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</si>
  <si>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</si>
  <si>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</si>
  <si>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</si>
  <si>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</si>
  <si>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</si>
  <si>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</si>
  <si>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</si>
  <si>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</si>
  <si>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</si>
  <si>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</si>
  <si>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</si>
  <si>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</si>
  <si>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</si>
  <si>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</si>
  <si>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</si>
  <si>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</si>
  <si>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</si>
  <si>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</si>
  <si>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</si>
  <si>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</si>
  <si>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</si>
  <si>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</si>
  <si>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</si>
  <si>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</si>
  <si>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</si>
  <si>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</si>
  <si>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</si>
  <si>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</si>
  <si>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</si>
  <si>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</si>
  <si>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</si>
  <si>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</si>
  <si>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</si>
  <si>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</si>
  <si>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</si>
  <si>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</si>
  <si>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</si>
  <si>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</si>
  <si>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</si>
  <si>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</si>
  <si>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</si>
  <si>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</si>
  <si>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</si>
  <si>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</si>
  <si>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</si>
  <si>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</si>
  <si>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</si>
  <si>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</si>
  <si>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</si>
  <si>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</si>
  <si>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</si>
  <si>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</si>
  <si>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</si>
  <si>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</si>
  <si>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</si>
  <si>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</si>
  <si>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</si>
  <si>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</si>
  <si>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</si>
  <si>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</si>
  <si>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</si>
  <si>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</si>
  <si>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</si>
  <si>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</si>
  <si>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</si>
  <si>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</si>
  <si>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</si>
  <si>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</si>
  <si>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</si>
  <si>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</si>
  <si>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</si>
  <si>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</si>
  <si>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</si>
  <si>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</si>
  <si>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</si>
  <si>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</si>
  <si>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</si>
  <si>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</si>
  <si>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</si>
  <si>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</si>
  <si>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</si>
  <si>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</si>
  <si>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</si>
  <si>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</si>
  <si>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</si>
  <si>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</si>
  <si>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</si>
  <si>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</si>
  <si>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</si>
  <si>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</si>
  <si>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</si>
  <si>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</si>
  <si>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</si>
  <si>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</si>
  <si>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</si>
  <si>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</si>
  <si>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</si>
  <si>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</si>
  <si>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</si>
  <si>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</si>
  <si>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</si>
  <si>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</si>
  <si>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</si>
  <si>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</si>
  <si>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</si>
  <si>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</si>
  <si>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</si>
  <si>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</si>
  <si>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</si>
  <si>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</si>
  <si>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</si>
  <si>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</si>
  <si>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</si>
  <si>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</si>
  <si>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</si>
  <si>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</si>
  <si>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</si>
  <si>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</si>
  <si>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forramento</t>
  </si>
  <si>
    <t>serviço nos mancais</t>
  </si>
  <si>
    <t>lubrificação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</si>
</sst>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23" sqref="G23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3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4847870</v>
      </c>
      <c r="D15" s="11">
        <f>IFERROR('Linha 1'!O325,"")</f>
        <v>1479900</v>
      </c>
      <c r="E15" s="11">
        <f>IFERROR('Linha 2'!O325,"")</f>
        <v>856930</v>
      </c>
      <c r="F15" s="11">
        <f>IFERROR('Linha 3'!O325,"")</f>
        <v>1998670</v>
      </c>
      <c r="G15" s="12">
        <f t="shared" si="0"/>
        <v>4335500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1" t="s">
        <v>9</v>
      </c>
      <c r="B35" s="111"/>
      <c r="C35" s="13">
        <f>IFERROR(SUM(C4:C34),"")</f>
        <v>42278010</v>
      </c>
      <c r="D35" s="13">
        <f>IFERROR(SUM(D4:D34),"")</f>
        <v>14325530</v>
      </c>
      <c r="E35" s="13">
        <f>IFERROR(SUM(E4:E34),"")</f>
        <v>7129520</v>
      </c>
      <c r="F35" s="13">
        <f>IFERROR(SUM(F4:F34),"")</f>
        <v>17552120</v>
      </c>
      <c r="G35" s="13">
        <f>IFERROR(SUM(G4:G34),"")</f>
        <v>39007170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3">
      <c r="H2" s="113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3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3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3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3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3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3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3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3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3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3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3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3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3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3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3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3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3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3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3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3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3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3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3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3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3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3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3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3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3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3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3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3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3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3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3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3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3">
      <c r="H58" s="113"/>
      <c r="I58" s="16"/>
      <c r="J58" s="16"/>
      <c r="K58" s="16" t="s">
        <v>208</v>
      </c>
      <c r="L58" s="16"/>
      <c r="M58" s="16"/>
    </row>
    <row r="59" spans="1:13" ht="15" customHeight="1" x14ac:dyDescent="0.3">
      <c r="H59" s="113"/>
      <c r="I59" s="17"/>
      <c r="J59" s="17"/>
      <c r="K59" s="17" t="s">
        <v>209</v>
      </c>
      <c r="L59" s="17"/>
      <c r="M59" s="17"/>
    </row>
    <row r="60" spans="1:13" ht="15" customHeight="1" x14ac:dyDescent="0.3">
      <c r="H60" s="113"/>
      <c r="I60" s="16"/>
      <c r="J60" s="16"/>
      <c r="K60" s="86" t="s">
        <v>105</v>
      </c>
      <c r="L60" s="16"/>
      <c r="M60" s="16"/>
    </row>
    <row r="61" spans="1:13" ht="15" customHeight="1" x14ac:dyDescent="0.3">
      <c r="H61" s="113"/>
      <c r="I61" s="17"/>
      <c r="J61" s="17"/>
      <c r="K61" s="17" t="s">
        <v>210</v>
      </c>
      <c r="L61" s="17"/>
      <c r="M61" s="17"/>
    </row>
    <row r="62" spans="1:13" ht="15" customHeight="1" x14ac:dyDescent="0.3">
      <c r="H62" s="113"/>
      <c r="I62" s="16"/>
      <c r="J62" s="16"/>
      <c r="K62" s="16" t="s">
        <v>211</v>
      </c>
      <c r="L62" s="16"/>
      <c r="M62" s="16"/>
    </row>
    <row r="63" spans="1:13" ht="15" customHeight="1" x14ac:dyDescent="0.3">
      <c r="H63" s="113"/>
      <c r="I63" s="17"/>
      <c r="J63" s="17"/>
      <c r="K63" s="17" t="s">
        <v>212</v>
      </c>
      <c r="L63" s="17"/>
      <c r="M63" s="17"/>
    </row>
    <row r="64" spans="1:13" ht="15" customHeight="1" x14ac:dyDescent="0.3">
      <c r="H64" s="113"/>
      <c r="I64" s="16"/>
      <c r="J64" s="16"/>
      <c r="K64" s="16" t="s">
        <v>213</v>
      </c>
      <c r="L64" s="16"/>
      <c r="M64" s="16"/>
    </row>
    <row r="65" spans="8:13" ht="15" customHeight="1" x14ac:dyDescent="0.3">
      <c r="H65" s="113"/>
      <c r="I65" s="17"/>
      <c r="J65" s="17"/>
      <c r="K65" s="17" t="s">
        <v>214</v>
      </c>
      <c r="L65" s="17"/>
      <c r="M65" s="17"/>
    </row>
    <row r="66" spans="8:13" ht="15" customHeight="1" x14ac:dyDescent="0.3">
      <c r="H66" s="113"/>
      <c r="I66" s="16"/>
      <c r="J66" s="16"/>
      <c r="K66" s="16" t="s">
        <v>215</v>
      </c>
      <c r="L66" s="16"/>
      <c r="M66" s="16"/>
    </row>
    <row r="67" spans="8:13" ht="15" customHeight="1" x14ac:dyDescent="0.3">
      <c r="H67" s="113"/>
      <c r="I67" s="17"/>
      <c r="J67" s="17"/>
      <c r="K67" s="17" t="s">
        <v>216</v>
      </c>
      <c r="L67" s="17"/>
      <c r="M67" s="17"/>
    </row>
    <row r="68" spans="8:13" ht="15" customHeight="1" x14ac:dyDescent="0.3">
      <c r="H68" s="113"/>
      <c r="I68" s="16"/>
      <c r="J68" s="16"/>
      <c r="K68" s="16" t="s">
        <v>217</v>
      </c>
      <c r="L68" s="16"/>
      <c r="M68" s="16"/>
    </row>
    <row r="69" spans="8:13" ht="15" customHeight="1" x14ac:dyDescent="0.3">
      <c r="H69" s="113"/>
      <c r="I69" s="17"/>
      <c r="J69" s="17"/>
      <c r="K69" s="17" t="s">
        <v>218</v>
      </c>
      <c r="L69" s="17"/>
      <c r="M69" s="17"/>
    </row>
    <row r="70" spans="8:13" ht="15" customHeight="1" x14ac:dyDescent="0.3">
      <c r="H70" s="113"/>
      <c r="I70" s="16"/>
      <c r="J70" s="16"/>
      <c r="K70" s="16" t="s">
        <v>219</v>
      </c>
      <c r="L70" s="16"/>
      <c r="M70" s="16"/>
    </row>
    <row r="71" spans="8:13" ht="15" customHeight="1" x14ac:dyDescent="0.3">
      <c r="H71" s="113"/>
      <c r="I71" s="17"/>
      <c r="J71" s="17"/>
      <c r="K71" s="17" t="s">
        <v>220</v>
      </c>
      <c r="L71" s="17"/>
      <c r="M71" s="17"/>
    </row>
    <row r="72" spans="8:13" ht="15" customHeight="1" x14ac:dyDescent="0.3">
      <c r="H72" s="113"/>
      <c r="I72" s="16"/>
      <c r="J72" s="16"/>
      <c r="K72" s="16" t="s">
        <v>221</v>
      </c>
      <c r="L72" s="16"/>
      <c r="M72" s="16"/>
    </row>
    <row r="73" spans="8:13" ht="15" customHeight="1" x14ac:dyDescent="0.3">
      <c r="H73" s="113"/>
      <c r="I73" s="17"/>
      <c r="J73" s="17"/>
      <c r="K73" s="17" t="s">
        <v>222</v>
      </c>
      <c r="L73" s="17"/>
      <c r="M73" s="17"/>
    </row>
    <row r="74" spans="8:13" ht="15" customHeight="1" x14ac:dyDescent="0.3">
      <c r="H74" s="113"/>
      <c r="I74" s="16"/>
      <c r="J74" s="16"/>
      <c r="K74" s="16" t="s">
        <v>223</v>
      </c>
      <c r="L74" s="16"/>
      <c r="M74" s="16"/>
    </row>
    <row r="75" spans="8:13" ht="15" customHeight="1" x14ac:dyDescent="0.3">
      <c r="H75" s="113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0" sqref="F310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339</v>
      </c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340</v>
      </c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259</v>
      </c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 x14ac:dyDescent="0.3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>
        <v>0.25</v>
      </c>
      <c r="M313" s="35">
        <f t="shared" ca="1" si="70"/>
        <v>3.125E-2</v>
      </c>
      <c r="N313" s="46" t="s">
        <v>342</v>
      </c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>
        <v>0</v>
      </c>
      <c r="G322" s="28">
        <f t="shared" si="69"/>
        <v>0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>
        <v>35</v>
      </c>
      <c r="G323" s="28">
        <f t="shared" si="69"/>
        <v>175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236</v>
      </c>
      <c r="O324" s="39">
        <v>2216340</v>
      </c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240</v>
      </c>
      <c r="O325" s="48">
        <f>IFERROR(O311+O324,"")</f>
        <v>4847870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opLeftCell="C1" zoomScale="70" zoomScaleNormal="70" workbookViewId="0">
      <pane ySplit="1" topLeftCell="A296" activePane="bottomLeft" state="frozen"/>
      <selection pane="bottomLeft" activeCell="F310" sqref="F310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48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260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261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262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263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264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265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266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267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0.17967986111034406</v>
      </c>
      <c r="N53" s="46" t="s">
        <v>268</v>
      </c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0.31856874999923296</v>
      </c>
      <c r="N54" s="36" t="s">
        <v>236</v>
      </c>
      <c r="O54" s="84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0.40329097222145527</v>
      </c>
      <c r="N55" s="40" t="s">
        <v>240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260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269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270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271</v>
      </c>
      <c r="M96" s="30" t="str">
        <f t="shared" ref="M96:M107" ca="1" si="22">IFERROR(IF(K96="","",IF(L96="",MOD(NOW()-K96,1),IF(L96&gt;=K96,L96-K96,L96+1-K96))),"")</f>
        <v/>
      </c>
      <c r="N96" s="46" t="s">
        <v>272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273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274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275</v>
      </c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276</v>
      </c>
      <c r="O139" s="31"/>
    </row>
    <row r="140" spans="1:15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277</v>
      </c>
      <c r="O141" s="31"/>
    </row>
    <row r="142" spans="1:15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278</v>
      </c>
      <c r="O145" s="31"/>
    </row>
    <row r="146" spans="1:15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4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279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280</v>
      </c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277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281</v>
      </c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282</v>
      </c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275</v>
      </c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269</v>
      </c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283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284</v>
      </c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285</v>
      </c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286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287</v>
      </c>
      <c r="O272" s="47"/>
    </row>
    <row r="273" spans="1:15" ht="15" customHeight="1" x14ac:dyDescent="0.3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3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288</v>
      </c>
      <c r="O273" s="47"/>
    </row>
    <row r="274" spans="1:15" ht="15" customHeight="1" x14ac:dyDescent="0.3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 x14ac:dyDescent="0.3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289</v>
      </c>
      <c r="O275" s="47"/>
    </row>
    <row r="276" spans="1:15" ht="15" customHeight="1" x14ac:dyDescent="0.3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 x14ac:dyDescent="0.3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 x14ac:dyDescent="0.3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 x14ac:dyDescent="0.3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 x14ac:dyDescent="0.3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 x14ac:dyDescent="0.3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 x14ac:dyDescent="0.3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 x14ac:dyDescent="0.3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121">
        <f>IF(F316="","",IF(E316="PC 17",F316*4.2,IF(E316="PC 19",F316*5,IF(E316="CB",F316*24,""))))</f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121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121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343</v>
      </c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121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4</v>
      </c>
      <c r="G323" s="34">
        <f t="shared" si="69"/>
        <v>16.8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168</v>
      </c>
      <c r="G324" s="36">
        <f>SUM(G312:G323)</f>
        <v>716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>
        <v>725030</v>
      </c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337</v>
      </c>
      <c r="G325" s="40">
        <f>G311+G324</f>
        <v>1425.8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1479900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3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3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5" zoomScale="68" zoomScaleNormal="68" workbookViewId="0">
      <selection activeCell="I289" sqref="I289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57.1093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263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269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278</v>
      </c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269</v>
      </c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281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281</v>
      </c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269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0.10676319444610272</v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0.16856875000165827</v>
      </c>
      <c r="N270" s="36" t="s">
        <v>236</v>
      </c>
      <c r="O270" s="39">
        <v>327900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0.22967986111276945</v>
      </c>
      <c r="N271" s="40" t="s">
        <v>240</v>
      </c>
      <c r="O271" s="48">
        <f>IFERROR(O257+O270,"")</f>
        <v>877340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306</v>
      </c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269</v>
      </c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 x14ac:dyDescent="0.3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341</v>
      </c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343</v>
      </c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0</v>
      </c>
      <c r="G323" s="34">
        <f t="shared" si="69"/>
        <v>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>
        <v>289490</v>
      </c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856930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opLeftCell="F1" zoomScale="85" zoomScaleNormal="85" workbookViewId="0">
      <pane ySplit="1" topLeftCell="A302" activePane="bottomLeft" state="frozen"/>
      <selection pane="bottomLeft" activeCell="J302" sqref="J302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2.33203125" style="57" customWidth="1"/>
    <col min="11" max="11" width="18.44140625" style="57" customWidth="1"/>
    <col min="12" max="12" width="14" style="58" customWidth="1"/>
    <col min="13" max="13" width="14" style="57" customWidth="1"/>
    <col min="14" max="14" width="51.4414062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307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266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308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309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310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311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312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313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314</v>
      </c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315</v>
      </c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316</v>
      </c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317</v>
      </c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278</v>
      </c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318</v>
      </c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319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320</v>
      </c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321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322</v>
      </c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323</v>
      </c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325</v>
      </c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326</v>
      </c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327</v>
      </c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328</v>
      </c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329</v>
      </c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330</v>
      </c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331</v>
      </c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297</v>
      </c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332</v>
      </c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333</v>
      </c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334</v>
      </c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335</v>
      </c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336</v>
      </c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337</v>
      </c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338</v>
      </c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 x14ac:dyDescent="0.3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18</v>
      </c>
      <c r="G323" s="34">
        <f t="shared" si="69"/>
        <v>75.600000000000009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231</v>
      </c>
      <c r="G324" s="36">
        <f>SUM(G312:G323)</f>
        <v>983.8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>
        <v>1049720</v>
      </c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423</v>
      </c>
      <c r="G325" s="40">
        <f>G311+G324</f>
        <v>1790.1999999999998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1998670</v>
      </c>
    </row>
    <row r="326" spans="1:15" ht="15" customHeight="1" x14ac:dyDescent="0.3">
      <c r="A326" s="68">
        <v>46247</v>
      </c>
      <c r="B326" s="25">
        <v>0.33333333333333298</v>
      </c>
      <c r="C326" s="26" t="s">
        <v>29</v>
      </c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 t="s">
        <v>29</v>
      </c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 t="s">
        <v>29</v>
      </c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 t="s">
        <v>29</v>
      </c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 t="s">
        <v>29</v>
      </c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 t="s">
        <v>29</v>
      </c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 t="s">
        <v>29</v>
      </c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 t="s">
        <v>29</v>
      </c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 t="s">
        <v>29</v>
      </c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 t="s">
        <v>29</v>
      </c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 t="s">
        <v>29</v>
      </c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 t="s">
        <v>29</v>
      </c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2026-08-13T11:15:21Z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