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74" documentId="13_ncr:1_{A6DBCFB4-28D9-4249-9038-216934055CA6}" xr6:coauthVersionLast="47" xr6:coauthVersionMax="47" xr10:uidLastSave="{6B7A9DB9-AEAC-45AE-9E12-DE4FA7DEF5ED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<sst xmlns="http://schemas.openxmlformats.org/spreadsheetml/2006/main" count="10632" uniqueCount="434">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</sst>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2" activePane="bottomLeft" state="frozen"/>
      <selection pane="bottomLeft" activeCell="F639" sqref="F63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111</v>
      </c>
      <c r="G648" s="2">
        <f>SUM(G636:G647)</f>
        <v>555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517</v>
      </c>
      <c r="G649" s="1">
        <f>G635+G648</f>
        <v>2585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9" sqref="G63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0.79342430554970633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0.93231319443859406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1.0170354166608169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37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164.2</v>
      </c>
      <c r="L648" s="72"/>
      <c r="M648" s="72"/>
      <c r="N648" s="72"/>
      <c r="O648" s="72"/>
      <c r="P648" s="72"/>
      <c r="Q648" s="73">
        <f ca="1">IFERROR(SUM(Q636:Q647),"")</f>
        <v>2.1527777777777701E-2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199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844.60000000000014</v>
      </c>
      <c r="L649" s="76"/>
      <c r="M649" s="76"/>
      <c r="N649" s="76"/>
      <c r="O649" s="76"/>
      <c r="P649" s="76"/>
      <c r="Q649" s="77">
        <f ca="1">IFERROR(Q635+Q648,"")</f>
        <v>9.2361111111111172E-2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9" sqref="G639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26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118.80000000000001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98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421.20000000000005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39" sqref="G63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/>
      <c r="H639" s="88" t="str">
        <f>IFERROR(IF($G639="","",$G639*$S$648/$G$648/Cadastro!$E$33),"")</f>
        <v/>
      </c>
      <c r="I639" s="90">
        <f>IFERROR(IF($D639="","",VLOOKUP($D639,Cadastro!$C$4:$G$7,5,FALSE())),"")</f>
        <v>0.6</v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205.2</v>
      </c>
      <c r="L648" s="72"/>
      <c r="M648" s="72"/>
      <c r="N648" s="72"/>
      <c r="O648" s="134"/>
      <c r="P648" s="134"/>
      <c r="Q648" s="73">
        <f ca="1">IFERROR(SUM(Q636:Q647),"")</f>
        <v>2.3611111111111138E-2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287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1217.4000000000001</v>
      </c>
      <c r="L649" s="76"/>
      <c r="M649" s="76"/>
      <c r="N649" s="76"/>
      <c r="O649" s="135"/>
      <c r="P649" s="135"/>
      <c r="Q649" s="77">
        <f ca="1">IFERROR(Q635+Q648,"")</f>
        <v>9.3055555555555558E-2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2026-08-25T01:59:20Z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