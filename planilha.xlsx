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32" documentId="8_{AF585B22-221D-4780-BB9C-493D365A6A02}" xr6:coauthVersionLast="47" xr6:coauthVersionMax="47" xr10:uidLastSave="{87DCA52A-F25E-45A9-9953-65EC1E4E09C7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<sst xmlns="http://schemas.openxmlformats.org/spreadsheetml/2006/main" count="2016" uniqueCount="217">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</sst>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174</v>
      </c>
      <c r="L48" s="16"/>
      <c r="M48" s="16"/>
    </row>
    <row r="49" spans="1:13" ht="18" customHeight="1">
      <c r="H49" s="92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177</v>
      </c>
      <c r="L50" s="16"/>
      <c r="M50" s="16"/>
    </row>
    <row r="51" spans="1:13" ht="24" customHeight="1">
      <c r="H51" s="92"/>
      <c r="I51" s="17"/>
      <c r="J51" s="17"/>
      <c r="K51" s="17" t="s">
        <v>178</v>
      </c>
      <c r="L51" s="17"/>
      <c r="M51" s="17"/>
    </row>
    <row r="52" spans="1:13" ht="24" customHeight="1">
      <c r="H52" s="92"/>
      <c r="I52" s="16"/>
      <c r="J52" s="16"/>
      <c r="K52" s="16" t="s">
        <v>179</v>
      </c>
      <c r="L52" s="16"/>
      <c r="M52" s="16"/>
    </row>
    <row r="53" spans="1:13" ht="36" customHeight="1">
      <c r="H53" s="92"/>
      <c r="I53" s="17"/>
      <c r="J53" s="17"/>
      <c r="K53" s="17" t="s">
        <v>180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E80" sqref="E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192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192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192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192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192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192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78</v>
      </c>
      <c r="G81" s="36">
        <f>SUM(G69:G80)</f>
        <v>390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447</v>
      </c>
      <c r="G82" s="40">
        <f>G68+G81</f>
        <v>2235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3" sqref="F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80">
        <v>276360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52</v>
      </c>
      <c r="G81" s="36">
        <f>SUM(G69:G80)</f>
        <v>218.39999999999998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195</v>
      </c>
      <c r="O81" s="54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52</v>
      </c>
      <c r="G82" s="40">
        <f>G68+G81</f>
        <v>218.39999999999998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58" activePane="bottomLeft" state="frozen"/>
      <selection pane="bottomLeft" activeCell="F73" sqref="F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41</v>
      </c>
      <c r="G81" s="36">
        <f>SUM(G69:G80)</f>
        <v>172.20000000000002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145</v>
      </c>
      <c r="G82" s="40">
        <f>G68+G81</f>
        <v>609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D55" activePane="bottomLeft" state="frozen"/>
      <selection pane="bottomLeft" activeCell="F73" sqref="F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/>
      <c r="M73" s="35">
        <f t="shared" ca="1" si="16"/>
        <v>6.0456018472905271E-3</v>
      </c>
      <c r="N73" s="27" t="s">
        <v>210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67</v>
      </c>
      <c r="G81" s="36">
        <f>SUM(G69:G80)</f>
        <v>281.39999999999998</v>
      </c>
      <c r="H81" s="37"/>
      <c r="I81" s="37"/>
      <c r="J81" s="37"/>
      <c r="K81" s="61"/>
      <c r="L81" s="61"/>
      <c r="M81" s="38">
        <f ca="1">IFERROR(SUM(M69:M80),"")</f>
        <v>7.5490046291734836E-2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262</v>
      </c>
      <c r="G82" s="40">
        <f>G68+G81</f>
        <v>1100.4000000000001</v>
      </c>
      <c r="H82" s="41"/>
      <c r="I82" s="41"/>
      <c r="J82" s="41"/>
      <c r="K82" s="63"/>
      <c r="L82" s="63"/>
      <c r="M82" s="42">
        <f ca="1">IFERROR(M68+M81,"")</f>
        <v>0.13521226851395707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2026-07-04T03:03:02Z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