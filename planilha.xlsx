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692" documentId="13_ncr:1_{0A10D8D4-8450-4366-8075-B53B08E6B7EA}" xr6:coauthVersionLast="47" xr6:coauthVersionMax="47" xr10:uidLastSave="{4ADCDDFA-3A5C-4B98-B1CE-2EE0CC6E51DA}"/>
  <bookViews>
    <workbookView xWindow="-28920" yWindow="-60" windowWidth="29040" windowHeight="1572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H388" i="5" s="1"/>
  <c r="J388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H388" i="4" s="1"/>
  <c r="J388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87" i="6" l="1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<sst xmlns="http://schemas.openxmlformats.org/spreadsheetml/2006/main" count="6753" uniqueCount="351">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</sst>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2353.6180215403101</v>
      </c>
      <c r="I35" s="97">
        <f>IFERROR(SUM(I4:I34),"")</f>
        <v>2403.2399999999998</v>
      </c>
      <c r="J35" s="130">
        <f>IFERROR(AVERAGE(J4:J34),"-")</f>
        <v>0.95823702915128151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69" activePane="bottomLeft" state="frozen"/>
      <selection pane="bottomLeft" activeCell="F390" sqref="F390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227</v>
      </c>
      <c r="G392" s="36">
        <f>SUM(G380:G391)</f>
        <v>1150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227</v>
      </c>
      <c r="G406" s="40">
        <f>G392+G405</f>
        <v>1150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55" activePane="bottomLeft" state="frozen"/>
      <selection pane="bottomLeft" activeCell="G389" sqref="G38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0.58944016203167848</v>
      </c>
      <c r="R53" s="46" t="s">
        <v>278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0.72832905092056732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0.81305127314278969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0</v>
      </c>
      <c r="I387" s="135">
        <f>IFERROR(IF($D387="","",VLOOKUP($D387,Cadastro!$C$4:$G$7,5,FALSE)),"")</f>
        <v>0.6</v>
      </c>
      <c r="J387" s="136">
        <f t="shared" si="90"/>
        <v>0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0</v>
      </c>
      <c r="I388" s="135">
        <f>IFERROR(IF($D388="","",VLOOKUP($D388,Cadastro!$C$4:$G$7,5,FALSE)),"")</f>
        <v>0.6</v>
      </c>
      <c r="J388" s="136">
        <f t="shared" si="90"/>
        <v>0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125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525.00000000000011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125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525.00000000000011</v>
      </c>
      <c r="L406" s="41"/>
      <c r="M406" s="41"/>
      <c r="N406" s="41"/>
      <c r="O406" s="41"/>
      <c r="P406" s="41"/>
      <c r="Q406" s="42">
        <f ca="1">IFERROR(Q392+Q405,"")</f>
        <v>7.2222222222222188E-2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89" sqref="G38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279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88"/>
        <v>0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88"/>
        <v>0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319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88"/>
        <v>0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88"/>
        <v>0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0</v>
      </c>
      <c r="I387" s="135">
        <f>IFERROR(IF($D387="","",VLOOKUP($D387,Cadastro!$C$4:$G$7,5,FALSE)),"")</f>
        <v>0.6</v>
      </c>
      <c r="J387" s="136">
        <f t="shared" si="88"/>
        <v>0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0</v>
      </c>
      <c r="I388" s="135">
        <f>IFERROR(IF($D388="","",VLOOKUP($D388,Cadastro!$C$4:$G$7,5,FALSE)),"")</f>
        <v>0.6</v>
      </c>
      <c r="J388" s="136">
        <f t="shared" si="88"/>
        <v>0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69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260.39999999999998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69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260.39999999999998</v>
      </c>
      <c r="L406" s="41"/>
      <c r="M406" s="41"/>
      <c r="N406" s="41"/>
      <c r="O406" s="41"/>
      <c r="P406" s="41"/>
      <c r="Q406" s="42">
        <f ca="1">IFERROR(Q392+Q405,"")</f>
        <v>7.3611111111111183E-2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53" activePane="bottomLeft" state="frozen"/>
      <selection pane="bottomLeft" activeCell="G389" sqref="G38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343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8.3190162033133674E-2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0</v>
      </c>
      <c r="I387" s="135">
        <f>IFERROR(IF($D387="","",VLOOKUP($D387,Cadastro!$C$4:$G$7,5,FALSE)),"")</f>
        <v>0.6</v>
      </c>
      <c r="J387" s="136">
        <f t="shared" si="90"/>
        <v>0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0</v>
      </c>
      <c r="I388" s="135">
        <f>IFERROR(IF($D388="","",VLOOKUP($D388,Cadastro!$C$4:$G$7,5,FALSE)),"")</f>
        <v>0.6</v>
      </c>
      <c r="J388" s="136">
        <f t="shared" si="90"/>
        <v>0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110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462</v>
      </c>
      <c r="L392" s="37"/>
      <c r="M392" s="37"/>
      <c r="N392" s="37"/>
      <c r="O392" s="61"/>
      <c r="P392" s="61"/>
      <c r="Q392" s="38">
        <f ca="1">IFERROR(SUM(Q380:Q391),"")</f>
        <v>0.14777349536646694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110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462</v>
      </c>
      <c r="L406" s="41"/>
      <c r="M406" s="41"/>
      <c r="N406" s="41"/>
      <c r="O406" s="63"/>
      <c r="P406" s="63"/>
      <c r="Q406" s="42">
        <f ca="1">IFERROR(Q392+Q405,"")</f>
        <v>0.14777349536646694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2026-08-15T21:04:18Z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