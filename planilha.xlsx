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18" documentId="13_ncr:1_{0A10D8D4-8450-4366-8075-B53B08E6B7EA}" xr6:coauthVersionLast="47" xr6:coauthVersionMax="47" xr10:uidLastSave="{4A8A1EDB-43EC-41C3-99BA-AB36DA8B1586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1" i="6" s="1"/>
  <c r="J451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51" i="5" s="1"/>
  <c r="J451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51" i="4" s="1"/>
  <c r="J451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9" i="4" l="1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<sst xmlns="http://schemas.openxmlformats.org/spreadsheetml/2006/main" count="7728" uniqueCount="371">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</sst>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0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0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0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0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0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0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0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0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0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0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0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0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0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0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0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0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0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0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0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0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0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0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0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0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0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0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0"/>
      <c r="N59" s="17"/>
      <c r="O59" s="17"/>
      <c r="P59" s="17" t="s">
        <v>219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220</v>
      </c>
      <c r="Q61" s="17"/>
      <c r="R61" s="17"/>
    </row>
    <row r="62" spans="1:18" ht="15" customHeight="1">
      <c r="M62" s="170"/>
      <c r="N62" s="16"/>
      <c r="O62" s="16"/>
      <c r="P62" s="16" t="s">
        <v>221</v>
      </c>
      <c r="Q62" s="16"/>
      <c r="R62" s="16"/>
    </row>
    <row r="63" spans="1:18" ht="15" customHeight="1">
      <c r="M63" s="170"/>
      <c r="N63" s="17"/>
      <c r="O63" s="17"/>
      <c r="P63" s="17" t="s">
        <v>222</v>
      </c>
      <c r="Q63" s="17"/>
      <c r="R63" s="17"/>
    </row>
    <row r="64" spans="1:18" ht="15" customHeight="1">
      <c r="M64" s="170"/>
      <c r="N64" s="16"/>
      <c r="O64" s="16"/>
      <c r="P64" s="16" t="s">
        <v>223</v>
      </c>
      <c r="Q64" s="16"/>
      <c r="R64" s="16"/>
    </row>
    <row r="65" spans="13:18" ht="15" customHeight="1">
      <c r="M65" s="170"/>
      <c r="N65" s="17"/>
      <c r="O65" s="17"/>
      <c r="P65" s="17" t="s">
        <v>224</v>
      </c>
      <c r="Q65" s="17"/>
      <c r="R65" s="17"/>
    </row>
    <row r="66" spans="13:18" ht="15" customHeight="1">
      <c r="M66" s="170"/>
      <c r="N66" s="16"/>
      <c r="O66" s="16"/>
      <c r="P66" s="16" t="s">
        <v>225</v>
      </c>
      <c r="Q66" s="16"/>
      <c r="R66" s="16"/>
    </row>
    <row r="67" spans="13:18" ht="15" customHeight="1">
      <c r="M67" s="170"/>
      <c r="N67" s="17"/>
      <c r="O67" s="17"/>
      <c r="P67" s="17" t="s">
        <v>226</v>
      </c>
      <c r="Q67" s="17"/>
      <c r="R67" s="17"/>
    </row>
    <row r="68" spans="13:18" ht="15" customHeight="1">
      <c r="M68" s="170"/>
      <c r="N68" s="16"/>
      <c r="O68" s="16"/>
      <c r="P68" s="16" t="s">
        <v>227</v>
      </c>
      <c r="Q68" s="16"/>
      <c r="R68" s="16"/>
    </row>
    <row r="69" spans="13:18" ht="15" customHeight="1">
      <c r="M69" s="170"/>
      <c r="N69" s="17"/>
      <c r="O69" s="17"/>
      <c r="P69" s="17" t="s">
        <v>228</v>
      </c>
      <c r="Q69" s="17"/>
      <c r="R69" s="17"/>
    </row>
    <row r="70" spans="13:18" ht="15" customHeight="1">
      <c r="M70" s="170"/>
      <c r="N70" s="16"/>
      <c r="O70" s="16"/>
      <c r="P70" s="16" t="s">
        <v>229</v>
      </c>
      <c r="Q70" s="16"/>
      <c r="R70" s="16"/>
    </row>
    <row r="71" spans="13:18" ht="15" customHeight="1">
      <c r="M71" s="170"/>
      <c r="N71" s="17"/>
      <c r="O71" s="17"/>
      <c r="P71" s="17" t="s">
        <v>230</v>
      </c>
      <c r="Q71" s="17"/>
      <c r="R71" s="17"/>
    </row>
    <row r="72" spans="13:18" ht="15" customHeight="1">
      <c r="M72" s="170"/>
      <c r="N72" s="16"/>
      <c r="O72" s="16"/>
      <c r="P72" s="16" t="s">
        <v>231</v>
      </c>
      <c r="Q72" s="16"/>
      <c r="R72" s="16"/>
    </row>
    <row r="73" spans="13:18" ht="15" customHeight="1">
      <c r="M73" s="170"/>
      <c r="N73" s="17"/>
      <c r="O73" s="17"/>
      <c r="P73" s="17" t="s">
        <v>232</v>
      </c>
      <c r="Q73" s="17"/>
      <c r="R73" s="17"/>
    </row>
    <row r="74" spans="13:18" ht="15" customHeight="1">
      <c r="M74" s="170"/>
      <c r="N74" s="16"/>
      <c r="O74" s="16"/>
      <c r="P74" s="16" t="s">
        <v>233</v>
      </c>
      <c r="Q74" s="16"/>
      <c r="R74" s="16"/>
    </row>
    <row r="75" spans="13:18" ht="15" customHeight="1">
      <c r="M75" s="170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L449" sqref="L44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246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249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1" t="s">
        <v>250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246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249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1" t="s">
        <v>250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246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249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1" t="s">
        <v>250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246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249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1" t="s">
        <v>250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246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249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1" t="s">
        <v>250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246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249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1" t="s">
        <v>250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246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249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1" t="s">
        <v>250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246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249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1" t="s">
        <v>250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246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249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1" t="s">
        <v>250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246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249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1" t="s">
        <v>250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246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249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1" t="s">
        <v>250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246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249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1" t="s">
        <v>250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246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249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1" t="s">
        <v>250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246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249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1" t="s">
        <v>250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246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249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1" t="s">
        <v>250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246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249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1" t="s">
        <v>250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246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249</v>
      </c>
      <c r="B459" s="160"/>
      <c r="C459" s="160"/>
      <c r="D459" s="160"/>
      <c r="E459" s="172">
        <f>SUM(E447:E458)</f>
        <v>0</v>
      </c>
      <c r="F459" s="36">
        <f>SUM(F447:F458)</f>
        <v>162</v>
      </c>
      <c r="G459" s="36">
        <f>SUM(G447:G458)</f>
        <v>810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1" t="s">
        <v>250</v>
      </c>
      <c r="B460" s="162"/>
      <c r="C460" s="162"/>
      <c r="D460" s="162"/>
      <c r="E460" s="173">
        <f>E446+E459</f>
        <v>0</v>
      </c>
      <c r="F460" s="40">
        <f>F446+F459</f>
        <v>330</v>
      </c>
      <c r="G460" s="40">
        <f>G446+G459</f>
        <v>1650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246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249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1" t="s">
        <v>250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246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249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1" t="s">
        <v>250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246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249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1" t="s">
        <v>250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246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249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1" t="s">
        <v>250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246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249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1" t="s">
        <v>250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246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249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1" t="s">
        <v>250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246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249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1" t="s">
        <v>250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246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249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1" t="s">
        <v>250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246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249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1" t="s">
        <v>250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246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249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1" t="s">
        <v>250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246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249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1" t="s">
        <v>250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246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249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1" t="s">
        <v>250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246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249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5" t="s">
        <v>250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246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249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1" t="s">
        <v>250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M449" sqref="M44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246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249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1" t="s">
        <v>250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246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0.90764826388476649</v>
      </c>
      <c r="R53" s="46" t="s">
        <v>288</v>
      </c>
      <c r="S53" s="31"/>
    </row>
    <row r="54" spans="1:20" ht="15.75" customHeight="1" thickBot="1">
      <c r="A54" s="159" t="s">
        <v>249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1.0465371527736553</v>
      </c>
      <c r="R54" s="36" t="s">
        <v>247</v>
      </c>
      <c r="S54" s="75">
        <v>352430</v>
      </c>
      <c r="T54" s="117"/>
    </row>
    <row r="55" spans="1:20" ht="18" customHeight="1">
      <c r="A55" s="161" t="s">
        <v>250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1.1312593749958777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246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249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1" t="s">
        <v>250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246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249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1" t="s">
        <v>250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246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249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1" t="s">
        <v>250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246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249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1" t="s">
        <v>250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246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249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1" t="s">
        <v>250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246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249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1" t="s">
        <v>250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246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249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1" t="s">
        <v>250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246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249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1" t="s">
        <v>250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246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249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1" t="s">
        <v>250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246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249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250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246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249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250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246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249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250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246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249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250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246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246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249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67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291.8</v>
      </c>
      <c r="L459" s="37"/>
      <c r="M459" s="37"/>
      <c r="N459" s="37"/>
      <c r="O459" s="37"/>
      <c r="P459" s="37"/>
      <c r="Q459" s="38">
        <f ca="1">IFERROR(SUM(Q447:Q458),"")</f>
        <v>2.2916666666666585E-2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1" t="s">
        <v>250</v>
      </c>
      <c r="B460" s="162"/>
      <c r="C460" s="162"/>
      <c r="D460" s="162"/>
      <c r="E460" s="162">
        <f>E446+E459</f>
        <v>0</v>
      </c>
      <c r="F460" s="112"/>
      <c r="G460" s="91">
        <f>G446+G459</f>
        <v>179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762.2</v>
      </c>
      <c r="L460" s="41"/>
      <c r="M460" s="41"/>
      <c r="N460" s="41"/>
      <c r="O460" s="41"/>
      <c r="P460" s="41"/>
      <c r="Q460" s="42">
        <f ca="1">IFERROR(Q446+Q459,"")</f>
        <v>9.027777777777779E-2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246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249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1" t="s">
        <v>250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246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246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249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1" t="s">
        <v>250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246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249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1" t="s">
        <v>250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246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249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1" t="s">
        <v>250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246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249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1" t="s">
        <v>250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246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249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1" t="s">
        <v>250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246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249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1" t="s">
        <v>250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246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249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1" t="s">
        <v>250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246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249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1" t="s">
        <v>250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246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249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1" t="s">
        <v>250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246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249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1" t="s">
        <v>250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246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249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1" t="s">
        <v>250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246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249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1" t="s">
        <v>250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27" activePane="bottomLeft" state="frozen"/>
      <selection pane="bottomLeft" activeCell="R450" sqref="R4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246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249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1" t="s">
        <v>250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246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249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1" t="s">
        <v>250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246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249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1" t="s">
        <v>250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246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249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1" t="s">
        <v>250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246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249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1" t="s">
        <v>250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246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249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1" t="s">
        <v>250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246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249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1" t="s">
        <v>250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246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249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1" t="s">
        <v>250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329</v>
      </c>
      <c r="Q222" s="30" t="str">
        <f t="shared" ca="1" si="49"/>
        <v/>
      </c>
      <c r="R222" s="27" t="s">
        <v>330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246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249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1" t="s">
        <v>250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246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249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1" t="s">
        <v>250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246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249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1" t="s">
        <v>250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246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249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250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246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249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250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246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249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250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246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249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250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246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249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250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336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336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246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/>
      <c r="Q449" s="35">
        <f t="shared" ca="1" si="110"/>
        <v>2.709270833292976E-2</v>
      </c>
      <c r="R449" s="27" t="s">
        <v>337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249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51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214.19999999999996</v>
      </c>
      <c r="L459" s="37"/>
      <c r="M459" s="37"/>
      <c r="N459" s="37"/>
      <c r="O459" s="37"/>
      <c r="P459" s="37"/>
      <c r="Q459" s="38">
        <f ca="1">IFERROR(SUM(Q447:Q458),"")</f>
        <v>4.09815972218186E-2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1" t="s">
        <v>250</v>
      </c>
      <c r="B460" s="162"/>
      <c r="C460" s="162"/>
      <c r="D460" s="162"/>
      <c r="E460" s="162">
        <f>E446+E459</f>
        <v>0</v>
      </c>
      <c r="F460" s="112"/>
      <c r="G460" s="91">
        <f>G446+G459</f>
        <v>136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571.20000000000005</v>
      </c>
      <c r="L460" s="41"/>
      <c r="M460" s="41"/>
      <c r="N460" s="41"/>
      <c r="O460" s="41"/>
      <c r="P460" s="41"/>
      <c r="Q460" s="42">
        <f ca="1">IFERROR(Q446+Q459,"")</f>
        <v>8.6120486110707495E-2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246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249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1" t="s">
        <v>250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246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249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1" t="s">
        <v>250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246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249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1" t="s">
        <v>250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246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249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1" t="s">
        <v>250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246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249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1" t="s">
        <v>250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246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249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1" t="s">
        <v>250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246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249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1" t="s">
        <v>250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246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249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1" t="s">
        <v>250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246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249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1" t="s">
        <v>250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246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249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1" t="s">
        <v>250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246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249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1" t="s">
        <v>250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246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249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1" t="s">
        <v>250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246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249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1" t="s">
        <v>250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246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249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1" t="s">
        <v>250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M455" sqref="M45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246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249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1" t="s">
        <v>250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246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249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1" t="s">
        <v>250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246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249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1" t="s">
        <v>250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246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249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1" t="s">
        <v>250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246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249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1" t="s">
        <v>250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249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1" t="s">
        <v>250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246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249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1" t="s">
        <v>250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246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249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1" t="s">
        <v>250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246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249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1" t="s">
        <v>250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246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249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1" t="s">
        <v>250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246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249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1" t="s">
        <v>250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246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249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250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246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249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250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249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250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246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249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250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246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249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250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246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41</v>
      </c>
      <c r="O448" s="29">
        <v>1.9444444444444445E-2</v>
      </c>
      <c r="P448" s="29"/>
      <c r="Q448" s="30">
        <f t="shared" ca="1" si="112"/>
        <v>9.7315972234355286E-3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249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126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529.19999999999993</v>
      </c>
      <c r="L459" s="37"/>
      <c r="M459" s="37"/>
      <c r="N459" s="37"/>
      <c r="O459" s="61"/>
      <c r="P459" s="61"/>
      <c r="Q459" s="38">
        <f ca="1">IFERROR(SUM(Q447:Q458),"")</f>
        <v>3.4037152778991109E-2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1" t="s">
        <v>250</v>
      </c>
      <c r="B460" s="162"/>
      <c r="C460" s="162"/>
      <c r="D460" s="162"/>
      <c r="E460" s="162">
        <f>E446+E459</f>
        <v>0</v>
      </c>
      <c r="F460" s="112"/>
      <c r="G460" s="91">
        <f>G446+G459</f>
        <v>309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1297.8000000000002</v>
      </c>
      <c r="L460" s="41"/>
      <c r="M460" s="41"/>
      <c r="N460" s="41"/>
      <c r="O460" s="63"/>
      <c r="P460" s="63"/>
      <c r="Q460" s="42">
        <f ca="1">IFERROR(Q446+Q459,"")</f>
        <v>7.0148263890102203E-2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246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249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1" t="s">
        <v>250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246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249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1" t="s">
        <v>250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246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249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1" t="s">
        <v>250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246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249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1" t="s">
        <v>250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246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249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1" t="s">
        <v>250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246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249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1" t="s">
        <v>250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246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249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1" t="s">
        <v>250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246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249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1" t="s">
        <v>250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246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249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1" t="s">
        <v>250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246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249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1" t="s">
        <v>250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246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249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1" t="s">
        <v>250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246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249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1" t="s">
        <v>250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246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249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1" t="s">
        <v>250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246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249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1" t="s">
        <v>250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2026-08-18T04:42:04Z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