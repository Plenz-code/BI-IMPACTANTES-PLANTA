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84" documentId="13_ncr:1_{A6DBCFB4-28D9-4249-9038-216934055CA6}" xr6:coauthVersionLast="47" xr6:coauthVersionMax="47" xr10:uidLastSave="{8ACFB577-8161-4DD0-864E-7914352022E6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<sst xmlns="http://schemas.openxmlformats.org/spreadsheetml/2006/main" count="11012" uniqueCount="444">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</sst>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3" sqref="F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3" sqref="G66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0.67560578703705687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0.8144946759259446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0.89921689814816741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3" sqref="G66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E674" sqref="E67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/>
      <c r="H663" s="100" t="str">
        <f>IFERROR(IF($G663="","",$G663*$S$675/$G$675/Cadastro!$E$33),"")</f>
        <v/>
      </c>
      <c r="I663" s="101">
        <f>IFERROR(IF($D663="","",VLOOKUP($D663,Cadastro!$C$4:$G$7,5,FALSE())),"")</f>
        <v>0.6</v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2026-08-25T23:08:44Z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