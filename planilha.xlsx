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30" documentId="13_ncr:1_{0A10D8D4-8450-4366-8075-B53B08E6B7EA}" xr6:coauthVersionLast="47" xr6:coauthVersionMax="47" xr10:uidLastSave="{EEBA480E-BF53-4C82-81C8-0D418BC05DC1}"/>
  <bookViews>
    <workbookView xWindow="-28920" yWindow="-6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1" i="6" l="1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<sst xmlns="http://schemas.openxmlformats.org/spreadsheetml/2006/main" count="6111" uniqueCount="340">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</sst>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2" sqref="F34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/>
      <c r="M339" s="35">
        <f t="shared" ref="M339:M350" ca="1" si="71">IFERROR(IF(K339="","",IF(L339="",MOD(NOW()-K339,1),IF(L339&gt;=K339,L339-K339,L339+1-K339))),"")</f>
        <v>0.12447928240726469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f t="shared" si="70"/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45</v>
      </c>
      <c r="G351" s="36">
        <f>SUM(G339:G350)</f>
        <v>225</v>
      </c>
      <c r="H351" s="37"/>
      <c r="I351" s="37"/>
      <c r="J351" s="37"/>
      <c r="K351" s="37"/>
      <c r="L351" s="37"/>
      <c r="M351" s="38">
        <f ca="1">IFERROR(SUM(M339:M350),"")</f>
        <v>0.12447928240726469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277</v>
      </c>
      <c r="G352" s="40">
        <f>G338+G351</f>
        <v>1385</v>
      </c>
      <c r="H352" s="41"/>
      <c r="I352" s="41"/>
      <c r="J352" s="41"/>
      <c r="K352" s="41"/>
      <c r="L352" s="41"/>
      <c r="M352" s="42">
        <f ca="1">IFERROR(M338+M351,"")</f>
        <v>0.20156261574059808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36" activePane="bottomLeft" state="frozen"/>
      <selection pane="bottomLeft" activeCell="G343" sqref="G34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0.8494792824058095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0.98836817129469834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1.0730903935169207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51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214.20000000000002</v>
      </c>
      <c r="L351" s="37"/>
      <c r="M351" s="37"/>
      <c r="N351" s="37"/>
      <c r="O351" s="37"/>
      <c r="P351" s="37"/>
      <c r="Q351" s="38">
        <f ca="1">IFERROR(SUM(Q339:Q350),"")</f>
        <v>5.1388888888889039E-2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88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387.20000000000005</v>
      </c>
      <c r="L352" s="41"/>
      <c r="M352" s="41"/>
      <c r="N352" s="41"/>
      <c r="O352" s="41"/>
      <c r="P352" s="41"/>
      <c r="Q352" s="42">
        <f ca="1">IFERROR(Q338+Q351,"")</f>
        <v>0.39375000000000004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30" activePane="bottomLeft" state="frozen"/>
      <selection pane="bottomLeft" activeCell="P340" sqref="P34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23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96.600000000000009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84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393.6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35" activePane="bottomLeft" state="frozen"/>
      <selection pane="bottomLeft" activeCell="P343" sqref="P34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90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378</v>
      </c>
      <c r="L351" s="37"/>
      <c r="M351" s="37"/>
      <c r="N351" s="37"/>
      <c r="O351" s="61"/>
      <c r="P351" s="61"/>
      <c r="Q351" s="38">
        <f ca="1">IFERROR(SUM(Q339:Q350),"")</f>
        <v>2.5694444444444464E-2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307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1346.2</v>
      </c>
      <c r="L352" s="41"/>
      <c r="M352" s="41"/>
      <c r="N352" s="41"/>
      <c r="O352" s="63"/>
      <c r="P352" s="63"/>
      <c r="Q352" s="42">
        <f ca="1">IFERROR(Q338+Q351,"")</f>
        <v>6.6666666666666596E-2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2026-08-14T03:18:46Z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