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887" documentId="8_{AF585B22-221D-4780-BB9C-493D365A6A02}" xr6:coauthVersionLast="47" xr6:coauthVersionMax="47" xr10:uidLastSave="{E8571219-5560-432A-BBDD-64849A4D51BF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<sst xmlns="http://schemas.openxmlformats.org/spreadsheetml/2006/main" count="2178" uniqueCount="227">
  <si>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</si>
  <si>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</si>
  <si>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</si>
  <si>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</si>
  <si>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</si>
  <si>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</si>
  <si>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</si>
  <si>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</si>
  <si>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</si>
  <si>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</si>
  <si>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</si>
  <si>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</si>
  <si>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</si>
  <si>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</si>
  <si>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</si>
  <si>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</si>
  <si>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</si>
  <si>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</si>
  <si>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</si>
  <si>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</si>
  <si>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</si>
  <si>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</si>
  <si>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</si>
  <si>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</si>
  <si>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</si>
  <si>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</si>
  <si>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</si>
  <si>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</si>
  <si>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</si>
  <si>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</si>
  <si>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</si>
  <si>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</si>
  <si>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</si>
  <si>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</si>
  <si>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</si>
  <si>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</si>
  <si>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</si>
  <si>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</si>
  <si>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</si>
  <si>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</si>
  <si>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</si>
  <si>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</si>
  <si>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</si>
  <si>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</si>
  <si>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</si>
  <si>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</si>
  <si>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</si>
  <si>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</si>
  <si>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</si>
  <si>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</si>
  <si>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</si>
  <si>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</si>
  <si>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</si>
  <si>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</si>
  <si>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</si>
  <si>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</si>
  <si>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</si>
  <si>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</si>
  <si>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</si>
  <si>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</si>
  <si>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</si>
  <si>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</si>
  <si>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</si>
  <si>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</si>
  <si>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</si>
  <si>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</si>
  <si>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</si>
  <si>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</si>
  <si>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</si>
  <si>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</si>
  <si>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</si>
  <si>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</si>
  <si>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</si>
  <si>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</si>
  <si>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</si>
  <si>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</si>
  <si>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</si>
  <si>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</si>
  <si>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</si>
  <si>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</si>
  <si>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</si>
  <si>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</si>
  <si>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</si>
  <si>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</si>
  <si>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</si>
  <si>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</si>
  <si>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</si>
  <si>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</si>
  <si>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</si>
  <si>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</si>
  <si>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</si>
  <si>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</si>
  <si>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</si>
  <si>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</si>
  <si>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</si>
  <si>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</si>
  <si>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</si>
  <si>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</si>
  <si>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</si>
  <si>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</si>
  <si>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</si>
  <si>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</si>
  <si>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</si>
  <si>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</si>
  <si>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</si>
  <si>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</si>
  <si>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</si>
  <si>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</si>
  <si>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</si>
  <si>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</si>
  <si>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</si>
  <si>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</si>
  <si>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</si>
  <si>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</si>
  <si>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</si>
  <si>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</si>
  <si>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</si>
  <si>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</si>
  <si>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</si>
  <si>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</si>
  <si>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</si>
  <si>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</si>
  <si>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</si>
  <si>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</si>
  <si>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</si>
  <si>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</si>
  <si>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</si>
  <si>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</si>
  <si>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</si>
  <si>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</si>
  <si>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</si>
  <si>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</si>
  <si>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</si>
  <si>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</si>
  <si>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</si>
  <si>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</si>
  <si>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</si>
  <si>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</si>
  <si>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</si>
  <si>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</si>
  <si>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</si>
  <si>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</si>
  <si>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</si>
  <si>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</si>
  <si>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</si>
  <si>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</si>
  <si>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</si>
  <si>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</si>
  <si>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</si>
  <si>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</si>
  <si>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</si>
  <si>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</si>
  <si>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</si>
  <si>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</si>
  <si>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</si>
  <si>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</si>
  <si>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</si>
  <si>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</si>
  <si>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</si>
  <si>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</si>
  <si>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</si>
  <si>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</si>
  <si>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</si>
  <si>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</si>
  <si>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</si>
  <si>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</si>
  <si>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</si>
  <si>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</si>
  <si>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</si>
  <si>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</si>
  <si>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</si>
  <si>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</si>
  <si>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</si>
  <si>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</si>
  <si>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</si>
  <si>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</si>
  <si>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</si>
  <si>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</si>
  <si>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</si>
  <si>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</si>
  <si>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</si>
  <si>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</si>
  <si>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</si>
  <si>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</si>
  <si>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</si>
  <si>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</si>
  <si>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</si>
  <si>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</si>
  <si>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</si>
  <si>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</si>
  <si>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</si>
  <si>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</si>
  <si>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</si>
  <si>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</si>
  <si>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</si>
  <si>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</si>
  <si>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</si>
  <si>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</si>
  <si>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</si>
  <si>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</si>
  <si>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</si>
  <si>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</si>
  <si>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</si>
  <si>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</si>
  <si>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</si>
  <si>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</si>
  <si>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</si>
  <si>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</si>
  <si>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</si>
  <si>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</si>
  <si>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</si>
  <si>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</si>
  <si>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</si>
  <si>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</si>
  <si>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</si>
  <si>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troca de grelha,troca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</si>
  <si>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</si>
  <si>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</si>
  <si>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</si>
  <si>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</si>
  <si>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</si>
  <si>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</si>
  <si>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</si>
  <si>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</si>
  <si>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</si>
  <si>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</si>
  <si>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martelo,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</si>
</sst>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176</v>
      </c>
      <c r="L48" s="16"/>
      <c r="M48" s="16"/>
    </row>
    <row r="49" spans="1:13" ht="18" customHeight="1">
      <c r="H49" s="91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179</v>
      </c>
      <c r="L50" s="16"/>
      <c r="M50" s="16"/>
    </row>
    <row r="51" spans="1:13" ht="24" customHeight="1">
      <c r="H51" s="91"/>
      <c r="I51" s="17"/>
      <c r="J51" s="17"/>
      <c r="K51" s="17" t="s">
        <v>180</v>
      </c>
      <c r="L51" s="17"/>
      <c r="M51" s="17"/>
    </row>
    <row r="52" spans="1:13" ht="24" customHeight="1">
      <c r="H52" s="91"/>
      <c r="I52" s="16"/>
      <c r="J52" s="16"/>
      <c r="K52" s="16" t="s">
        <v>181</v>
      </c>
      <c r="L52" s="16"/>
      <c r="M52" s="16"/>
    </row>
    <row r="53" spans="1:13" ht="36" customHeight="1">
      <c r="H53" s="91"/>
      <c r="I53" s="17"/>
      <c r="J53" s="17"/>
      <c r="K53" s="17" t="s">
        <v>182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66" activePane="bottomLeft" state="frozen"/>
      <selection pane="bottomLeft" activeCell="F86" sqref="F8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>
        <v>878050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>
        <v>0</v>
      </c>
      <c r="G85" s="28">
        <f t="shared" si="18"/>
        <v>0</v>
      </c>
      <c r="H85" s="33"/>
      <c r="I85" s="33" t="s">
        <v>136</v>
      </c>
      <c r="J85" s="33"/>
      <c r="K85" s="29">
        <v>0.48402777777777778</v>
      </c>
      <c r="L85" s="29"/>
      <c r="M85" s="35">
        <f t="shared" ca="1" si="19"/>
        <v>2.6395833338028751E-3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82</v>
      </c>
      <c r="G95" s="36">
        <f>SUM(G83:G94)</f>
        <v>410</v>
      </c>
      <c r="H95" s="37"/>
      <c r="I95" s="37"/>
      <c r="J95" s="37"/>
      <c r="K95" s="37"/>
      <c r="L95" s="37"/>
      <c r="M95" s="38">
        <f ca="1">IFERROR(SUM(M83:M94),"")</f>
        <v>6.5139583333802875E-2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82</v>
      </c>
      <c r="G109" s="40">
        <f>G95+G108</f>
        <v>410</v>
      </c>
      <c r="H109" s="41"/>
      <c r="I109" s="41"/>
      <c r="J109" s="41"/>
      <c r="K109" s="41"/>
      <c r="L109" s="41"/>
      <c r="M109" s="42">
        <f ca="1">IFERROR(M95+M108,"")</f>
        <v>6.5139583333802875E-2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8" activePane="bottomLeft" state="frozen"/>
      <selection pane="bottomLeft" activeCell="F87" sqref="F8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204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97">
        <v>276360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197</v>
      </c>
      <c r="O81" s="54">
        <v>787860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200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0.4152777777777778</v>
      </c>
      <c r="M83" s="35">
        <f t="shared" ref="M83:M94" ca="1" si="19">IFERROR(IF(K83="","",IF(L83="",MOD(NOW()-K83,1),IF(L83&gt;=K83,L83-K83,L83+1-K83))),"")</f>
        <v>2.7083333333333348E-2</v>
      </c>
      <c r="N83" s="46" t="s">
        <v>209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22</v>
      </c>
      <c r="G84" s="34">
        <f t="shared" si="18"/>
        <v>92.4</v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7</v>
      </c>
      <c r="G85" s="28">
        <f t="shared" si="18"/>
        <v>29.400000000000002</v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50</v>
      </c>
      <c r="G95" s="36">
        <f>SUM(G83:G94)</f>
        <v>210</v>
      </c>
      <c r="H95" s="37"/>
      <c r="I95" s="37"/>
      <c r="J95" s="37"/>
      <c r="K95" s="37"/>
      <c r="L95" s="37"/>
      <c r="M95" s="38">
        <f ca="1">IFERROR(SUM(M83:M94),"")</f>
        <v>2.7083333333333348E-2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50</v>
      </c>
      <c r="G109" s="40">
        <f>G95+G108</f>
        <v>210</v>
      </c>
      <c r="H109" s="41"/>
      <c r="I109" s="41"/>
      <c r="J109" s="41"/>
      <c r="K109" s="41"/>
      <c r="L109" s="41"/>
      <c r="M109" s="42">
        <f ca="1">IFERROR(M95+M108,"")</f>
        <v>2.7083333333333348E-2</v>
      </c>
      <c r="N109" s="40" t="s">
        <v>200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78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78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78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78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78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78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78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78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78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78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78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78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78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78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78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78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78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78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78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78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78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6" activePane="bottomLeft" state="frozen"/>
      <selection pane="bottomLeft" activeCell="N84" sqref="N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197</v>
      </c>
      <c r="O81" s="39">
        <v>396340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/>
      <c r="G83" s="28" t="str">
        <f t="shared" ref="G83:G94" si="18">IF(F83="","",IF(E83="PC 17",F83*4.2,IF(E83="PC 19",F83*5,"")))</f>
        <v/>
      </c>
      <c r="H83" s="33" t="s">
        <v>20</v>
      </c>
      <c r="I83" s="33" t="s">
        <v>47</v>
      </c>
      <c r="J83" s="33"/>
      <c r="K83" s="29">
        <v>0.29166666666666669</v>
      </c>
      <c r="L83" s="29"/>
      <c r="M83" s="35">
        <f t="shared" ref="M83:M94" ca="1" si="19">IFERROR(IF(K83="","",IF(L83="",MOD(NOW()-K83,1),IF(L83&gt;=K83,L83-K83,L83+1-K83))),"")</f>
        <v>0.19500069444620749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0.19500069444620749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0.19500069444620749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8" activePane="bottomLeft" state="frozen"/>
      <selection pane="bottomLeft" activeCell="L84" sqref="L8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220</v>
      </c>
      <c r="L58" s="29">
        <v>0.54097222222222219</v>
      </c>
      <c r="M58" s="30" t="str">
        <f t="shared" ca="1" si="13"/>
        <v/>
      </c>
      <c r="N58" s="27" t="s">
        <v>221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>
        <v>565120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204</v>
      </c>
      <c r="F83" s="27">
        <v>0</v>
      </c>
      <c r="G83" s="28">
        <f t="shared" ref="G83:G94" si="18">IF(F83="","",IF(E83="PC 17",F83*4.2,IF(E83="PC 19",F83*5,"")))</f>
        <v>0</v>
      </c>
      <c r="H83" s="33"/>
      <c r="I83" s="33" t="s">
        <v>52</v>
      </c>
      <c r="J83" s="33"/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3</v>
      </c>
      <c r="G84" s="34">
        <f t="shared" si="18"/>
        <v>12.600000000000001</v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3</v>
      </c>
      <c r="G95" s="36">
        <f>SUM(G83:G94)</f>
        <v>12.600000000000001</v>
      </c>
      <c r="H95" s="37"/>
      <c r="I95" s="37"/>
      <c r="J95" s="37"/>
      <c r="K95" s="61"/>
      <c r="L95" s="61"/>
      <c r="M95" s="38">
        <f ca="1">IFERROR(SUM(M83:M94),"")</f>
        <v>0.1736111111111111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3</v>
      </c>
      <c r="G109" s="40">
        <f>G95+G108</f>
        <v>12.600000000000001</v>
      </c>
      <c r="H109" s="41"/>
      <c r="I109" s="41"/>
      <c r="J109" s="41"/>
      <c r="K109" s="63"/>
      <c r="L109" s="63"/>
      <c r="M109" s="42">
        <f ca="1">IFERROR(M95+M108,"")</f>
        <v>0.1736111111111111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2026-07-04T15:41:21Z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