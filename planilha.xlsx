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05" documentId="8_{AF585B22-221D-4780-BB9C-493D365A6A02}" xr6:coauthVersionLast="47" xr6:coauthVersionMax="47" xr10:uidLastSave="{366F4A5E-92A7-4A45-A2FA-9F2F1944DF5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<sst xmlns="http://schemas.openxmlformats.org/spreadsheetml/2006/main" count="3676" uniqueCount="265">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</sst>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06" sqref="F2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>
        <v>40</v>
      </c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>
        <v>26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396</v>
      </c>
      <c r="G217" s="40">
        <f>G203+G216</f>
        <v>1650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L219" sqref="L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218</v>
      </c>
      <c r="F218" s="27">
        <v>13</v>
      </c>
      <c r="G218" s="28">
        <f t="shared" ref="G218:G229" si="48">IF(F218="","",IF(E218="PC 17",F218*4.2,IF(E218="PC 19",F218*5,"")))</f>
        <v>54.6</v>
      </c>
      <c r="H218" s="26"/>
      <c r="I218" s="26"/>
      <c r="J218" s="26"/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/>
      <c r="F219" s="27">
        <v>7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20</v>
      </c>
      <c r="G230" s="36">
        <f>SUM(G218:G229)</f>
        <v>54.6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20</v>
      </c>
      <c r="G244" s="40">
        <f>G230+G243</f>
        <v>54.6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K205" sqref="K2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/>
      <c r="I204" s="26"/>
      <c r="J204" s="26"/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13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19</v>
      </c>
      <c r="G216" s="36">
        <f>SUM(G204:G215)</f>
        <v>25.200000000000003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109</v>
      </c>
      <c r="G217" s="40">
        <f>G203+G216</f>
        <v>403.19999999999993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213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89" activePane="bottomLeft" state="frozen"/>
      <selection pane="bottomLeft" activeCell="L205" sqref="L2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0.66246064814913552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0.86176620370469115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1.2291273148158022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2</v>
      </c>
      <c r="G204" s="28">
        <f t="shared" ref="G204:G215" si="45">IF(F204="","",IF(E204="PC 17",F204*4.2,IF(E204="PC 19",F204*5,"")))</f>
        <v>8.4</v>
      </c>
      <c r="H204" s="26"/>
      <c r="I204" s="26"/>
      <c r="J204" s="26"/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/>
      <c r="F205" s="27">
        <v>12</v>
      </c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14</v>
      </c>
      <c r="G216" s="36">
        <f>SUM(G204:G215)</f>
        <v>8.4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164</v>
      </c>
      <c r="G217" s="40">
        <f>G203+G216</f>
        <v>638.4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213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2026-07-09T01:53:28Z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