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948" documentId="13_ncr:1_{0A10D8D4-8450-4366-8075-B53B08E6B7EA}" xr6:coauthVersionLast="47" xr6:coauthVersionMax="47" xr10:uidLastSave="{4A9C625A-965F-4272-A4FE-D2F87B82B7D2}"/>
  <bookViews>
    <workbookView xWindow="-28920" yWindow="-6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8" i="5"/>
  <c r="J358" i="5" s="1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8" i="4"/>
  <c r="J358" i="4" s="1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56" i="6" s="1"/>
  <c r="J356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57" i="5" s="1"/>
  <c r="J357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H357" i="4" s="1"/>
  <c r="J357" i="4" s="1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5" i="5" l="1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<sst xmlns="http://schemas.openxmlformats.org/spreadsheetml/2006/main" count="6308" uniqueCount="345">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</sst>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72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</row>
    <row r="2" spans="1:11" ht="30" customHeight="1">
      <c r="A2" s="170"/>
      <c r="B2" s="17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1" t="s">
        <v>14</v>
      </c>
      <c r="B35" s="171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4" t="s">
        <v>15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5"/>
      <c r="N1" s="176" t="s">
        <v>16</v>
      </c>
      <c r="O1" s="176"/>
      <c r="P1" s="176"/>
      <c r="Q1" s="176"/>
      <c r="R1" s="176"/>
    </row>
    <row r="2" spans="1:18" ht="4.5" customHeight="1">
      <c r="M2" s="175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5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5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75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75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75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75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75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75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75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75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75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75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75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75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75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75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75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75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5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5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5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5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5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5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5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75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5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5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5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5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5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5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5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5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5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5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5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5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5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5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5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5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5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5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5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5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5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5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5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5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5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5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5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5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5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75"/>
      <c r="N58" s="16"/>
      <c r="O58" s="16"/>
      <c r="P58" s="16" t="s">
        <v>217</v>
      </c>
      <c r="Q58" s="16"/>
      <c r="R58" s="16"/>
    </row>
    <row r="59" spans="1:18" ht="15" customHeight="1">
      <c r="M59" s="175"/>
      <c r="N59" s="17"/>
      <c r="O59" s="17"/>
      <c r="P59" s="17" t="s">
        <v>218</v>
      </c>
      <c r="Q59" s="17"/>
      <c r="R59" s="17"/>
    </row>
    <row r="60" spans="1:18" ht="15" customHeight="1">
      <c r="M60" s="175"/>
      <c r="N60" s="16"/>
      <c r="O60" s="16"/>
      <c r="P60" s="77" t="s">
        <v>113</v>
      </c>
      <c r="Q60" s="16"/>
      <c r="R60" s="16"/>
    </row>
    <row r="61" spans="1:18" ht="15" customHeight="1">
      <c r="M61" s="175"/>
      <c r="N61" s="17"/>
      <c r="O61" s="17"/>
      <c r="P61" s="17" t="s">
        <v>219</v>
      </c>
      <c r="Q61" s="17"/>
      <c r="R61" s="17"/>
    </row>
    <row r="62" spans="1:18" ht="15" customHeight="1">
      <c r="M62" s="175"/>
      <c r="N62" s="16"/>
      <c r="O62" s="16"/>
      <c r="P62" s="16" t="s">
        <v>220</v>
      </c>
      <c r="Q62" s="16"/>
      <c r="R62" s="16"/>
    </row>
    <row r="63" spans="1:18" ht="15" customHeight="1">
      <c r="M63" s="175"/>
      <c r="N63" s="17"/>
      <c r="O63" s="17"/>
      <c r="P63" s="17" t="s">
        <v>221</v>
      </c>
      <c r="Q63" s="17"/>
      <c r="R63" s="17"/>
    </row>
    <row r="64" spans="1:18" ht="15" customHeight="1">
      <c r="M64" s="175"/>
      <c r="N64" s="16"/>
      <c r="O64" s="16"/>
      <c r="P64" s="16" t="s">
        <v>222</v>
      </c>
      <c r="Q64" s="16"/>
      <c r="R64" s="16"/>
    </row>
    <row r="65" spans="13:18" ht="15" customHeight="1">
      <c r="M65" s="175"/>
      <c r="N65" s="17"/>
      <c r="O65" s="17"/>
      <c r="P65" s="17" t="s">
        <v>223</v>
      </c>
      <c r="Q65" s="17"/>
      <c r="R65" s="17"/>
    </row>
    <row r="66" spans="13:18" ht="15" customHeight="1">
      <c r="M66" s="175"/>
      <c r="N66" s="16"/>
      <c r="O66" s="16"/>
      <c r="P66" s="16" t="s">
        <v>224</v>
      </c>
      <c r="Q66" s="16"/>
      <c r="R66" s="16"/>
    </row>
    <row r="67" spans="13:18" ht="15" customHeight="1">
      <c r="M67" s="175"/>
      <c r="N67" s="17"/>
      <c r="O67" s="17"/>
      <c r="P67" s="17" t="s">
        <v>225</v>
      </c>
      <c r="Q67" s="17"/>
      <c r="R67" s="17"/>
    </row>
    <row r="68" spans="13:18" ht="15" customHeight="1">
      <c r="M68" s="175"/>
      <c r="N68" s="16"/>
      <c r="O68" s="16"/>
      <c r="P68" s="16" t="s">
        <v>226</v>
      </c>
      <c r="Q68" s="16"/>
      <c r="R68" s="16"/>
    </row>
    <row r="69" spans="13:18" ht="15" customHeight="1">
      <c r="M69" s="175"/>
      <c r="N69" s="17"/>
      <c r="O69" s="17"/>
      <c r="P69" s="17" t="s">
        <v>227</v>
      </c>
      <c r="Q69" s="17"/>
      <c r="R69" s="17"/>
    </row>
    <row r="70" spans="13:18" ht="15" customHeight="1">
      <c r="M70" s="175"/>
      <c r="N70" s="16"/>
      <c r="O70" s="16"/>
      <c r="P70" s="16" t="s">
        <v>228</v>
      </c>
      <c r="Q70" s="16"/>
      <c r="R70" s="16"/>
    </row>
    <row r="71" spans="13:18" ht="15" customHeight="1">
      <c r="M71" s="175"/>
      <c r="N71" s="17"/>
      <c r="O71" s="17"/>
      <c r="P71" s="17" t="s">
        <v>229</v>
      </c>
      <c r="Q71" s="17"/>
      <c r="R71" s="17"/>
    </row>
    <row r="72" spans="13:18" ht="15" customHeight="1">
      <c r="M72" s="175"/>
      <c r="N72" s="16"/>
      <c r="O72" s="16"/>
      <c r="P72" s="16" t="s">
        <v>230</v>
      </c>
      <c r="Q72" s="16"/>
      <c r="R72" s="16"/>
    </row>
    <row r="73" spans="13:18" ht="15" customHeight="1">
      <c r="M73" s="175"/>
      <c r="N73" s="17"/>
      <c r="O73" s="17"/>
      <c r="P73" s="17" t="s">
        <v>231</v>
      </c>
      <c r="Q73" s="17"/>
      <c r="R73" s="17"/>
    </row>
    <row r="74" spans="13:18" ht="15" customHeight="1">
      <c r="M74" s="175"/>
      <c r="N74" s="16"/>
      <c r="O74" s="16"/>
      <c r="P74" s="16" t="s">
        <v>232</v>
      </c>
      <c r="Q74" s="16"/>
      <c r="R74" s="16"/>
    </row>
    <row r="75" spans="13:18" ht="15" customHeight="1">
      <c r="M75" s="175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2" activePane="bottomLeft" state="frozen"/>
      <selection pane="bottomLeft" activeCell="F357" sqref="F35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7" t="s">
        <v>244</v>
      </c>
      <c r="B14" s="168"/>
      <c r="C14" s="168"/>
      <c r="D14" s="168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7" t="s">
        <v>247</v>
      </c>
      <c r="B27" s="168"/>
      <c r="C27" s="168"/>
      <c r="D27" s="168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4" t="s">
        <v>248</v>
      </c>
      <c r="B28" s="165"/>
      <c r="C28" s="165"/>
      <c r="D28" s="165"/>
      <c r="E28" s="16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7" t="s">
        <v>244</v>
      </c>
      <c r="B41" s="168"/>
      <c r="C41" s="168"/>
      <c r="D41" s="168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7" t="s">
        <v>247</v>
      </c>
      <c r="B54" s="168"/>
      <c r="C54" s="168"/>
      <c r="D54" s="168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4" t="s">
        <v>248</v>
      </c>
      <c r="B55" s="165"/>
      <c r="C55" s="165"/>
      <c r="D55" s="165"/>
      <c r="E55" s="16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7" t="s">
        <v>244</v>
      </c>
      <c r="B68" s="168"/>
      <c r="C68" s="168"/>
      <c r="D68" s="168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7" t="s">
        <v>247</v>
      </c>
      <c r="B81" s="168"/>
      <c r="C81" s="168"/>
      <c r="D81" s="168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4" t="s">
        <v>248</v>
      </c>
      <c r="B82" s="165"/>
      <c r="C82" s="165"/>
      <c r="D82" s="165"/>
      <c r="E82" s="16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7" t="s">
        <v>244</v>
      </c>
      <c r="B95" s="168"/>
      <c r="C95" s="168"/>
      <c r="D95" s="168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7" t="s">
        <v>247</v>
      </c>
      <c r="B108" s="168"/>
      <c r="C108" s="168"/>
      <c r="D108" s="168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4" t="s">
        <v>248</v>
      </c>
      <c r="B109" s="165"/>
      <c r="C109" s="165"/>
      <c r="D109" s="165"/>
      <c r="E109" s="16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7" t="s">
        <v>244</v>
      </c>
      <c r="B122" s="168"/>
      <c r="C122" s="168"/>
      <c r="D122" s="168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7" t="s">
        <v>247</v>
      </c>
      <c r="B135" s="168"/>
      <c r="C135" s="168"/>
      <c r="D135" s="168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4" t="s">
        <v>248</v>
      </c>
      <c r="B136" s="165"/>
      <c r="C136" s="165"/>
      <c r="D136" s="165"/>
      <c r="E136" s="16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7" t="s">
        <v>244</v>
      </c>
      <c r="B149" s="168"/>
      <c r="C149" s="168"/>
      <c r="D149" s="168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7" t="s">
        <v>247</v>
      </c>
      <c r="B162" s="168"/>
      <c r="C162" s="168"/>
      <c r="D162" s="168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4" t="s">
        <v>248</v>
      </c>
      <c r="B163" s="165"/>
      <c r="C163" s="165"/>
      <c r="D163" s="165"/>
      <c r="E163" s="16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7" t="s">
        <v>244</v>
      </c>
      <c r="B176" s="168"/>
      <c r="C176" s="168"/>
      <c r="D176" s="168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7" t="s">
        <v>247</v>
      </c>
      <c r="B189" s="168"/>
      <c r="C189" s="168"/>
      <c r="D189" s="168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4" t="s">
        <v>248</v>
      </c>
      <c r="B190" s="165"/>
      <c r="C190" s="165"/>
      <c r="D190" s="165"/>
      <c r="E190" s="16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7" t="s">
        <v>244</v>
      </c>
      <c r="B203" s="168"/>
      <c r="C203" s="168"/>
      <c r="D203" s="168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7" t="s">
        <v>247</v>
      </c>
      <c r="B216" s="168"/>
      <c r="C216" s="168"/>
      <c r="D216" s="168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4" t="s">
        <v>248</v>
      </c>
      <c r="B217" s="165"/>
      <c r="C217" s="165"/>
      <c r="D217" s="165"/>
      <c r="E217" s="16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8" t="s">
        <v>244</v>
      </c>
      <c r="B230" s="159"/>
      <c r="C230" s="159"/>
      <c r="D230" s="159"/>
      <c r="E230" s="160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7" t="s">
        <v>247</v>
      </c>
      <c r="B243" s="168"/>
      <c r="C243" s="168"/>
      <c r="D243" s="168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4" t="s">
        <v>248</v>
      </c>
      <c r="B244" s="165"/>
      <c r="C244" s="165"/>
      <c r="D244" s="165"/>
      <c r="E244" s="16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7" t="s">
        <v>244</v>
      </c>
      <c r="B257" s="168"/>
      <c r="C257" s="168"/>
      <c r="D257" s="168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7" t="s">
        <v>247</v>
      </c>
      <c r="B270" s="168"/>
      <c r="C270" s="168"/>
      <c r="D270" s="168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4" t="s">
        <v>248</v>
      </c>
      <c r="B271" s="165"/>
      <c r="C271" s="165"/>
      <c r="D271" s="165"/>
      <c r="E271" s="166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7" t="s">
        <v>244</v>
      </c>
      <c r="B284" s="168"/>
      <c r="C284" s="168"/>
      <c r="D284" s="168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7" t="s">
        <v>247</v>
      </c>
      <c r="B297" s="168"/>
      <c r="C297" s="168"/>
      <c r="D297" s="168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4" t="s">
        <v>248</v>
      </c>
      <c r="B298" s="165"/>
      <c r="C298" s="165"/>
      <c r="D298" s="165"/>
      <c r="E298" s="166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7" t="s">
        <v>244</v>
      </c>
      <c r="B311" s="168"/>
      <c r="C311" s="168"/>
      <c r="D311" s="168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7" t="s">
        <v>247</v>
      </c>
      <c r="B324" s="168"/>
      <c r="C324" s="168"/>
      <c r="D324" s="168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4" t="s">
        <v>248</v>
      </c>
      <c r="B325" s="165"/>
      <c r="C325" s="165"/>
      <c r="D325" s="165"/>
      <c r="E325" s="166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7" t="s">
        <v>244</v>
      </c>
      <c r="B338" s="168"/>
      <c r="C338" s="168"/>
      <c r="D338" s="168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7" t="s">
        <v>247</v>
      </c>
      <c r="B351" s="168"/>
      <c r="C351" s="168"/>
      <c r="D351" s="168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4" t="s">
        <v>248</v>
      </c>
      <c r="B352" s="165"/>
      <c r="C352" s="165"/>
      <c r="D352" s="165"/>
      <c r="E352" s="166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37</v>
      </c>
      <c r="E354" s="62" t="s">
        <v>243</v>
      </c>
      <c r="F354" s="27">
        <v>35</v>
      </c>
      <c r="G354" s="28">
        <f t="shared" si="73"/>
        <v>175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37</v>
      </c>
      <c r="E355" s="62" t="s">
        <v>243</v>
      </c>
      <c r="F355" s="27">
        <v>32</v>
      </c>
      <c r="G355" s="34">
        <f t="shared" si="73"/>
        <v>160</v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37</v>
      </c>
      <c r="E356" s="62" t="s">
        <v>243</v>
      </c>
      <c r="F356" s="27">
        <v>35</v>
      </c>
      <c r="G356" s="28">
        <f t="shared" si="73"/>
        <v>175</v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37</v>
      </c>
      <c r="E357" s="62" t="s">
        <v>243</v>
      </c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37</v>
      </c>
      <c r="E358" s="62" t="s">
        <v>243</v>
      </c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37</v>
      </c>
      <c r="E359" s="62" t="s">
        <v>259</v>
      </c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37</v>
      </c>
      <c r="E360" s="62" t="s">
        <v>243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37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37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37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37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7" t="s">
        <v>244</v>
      </c>
      <c r="B365" s="168"/>
      <c r="C365" s="168"/>
      <c r="D365" s="168"/>
      <c r="E365" s="169">
        <f>SUM(E353:E364)</f>
        <v>0</v>
      </c>
      <c r="F365" s="36">
        <f>SUM(F353:F364)</f>
        <v>138</v>
      </c>
      <c r="G365" s="36">
        <f>SUM(G353:G364)</f>
        <v>690</v>
      </c>
      <c r="H365" s="37"/>
      <c r="I365" s="37"/>
      <c r="J365" s="37"/>
      <c r="K365" s="37"/>
      <c r="L365" s="37"/>
      <c r="M365" s="38">
        <f ca="1">IFERROR(SUM(M353:M364),"")</f>
        <v>4.166666666666663E-2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7" t="s">
        <v>247</v>
      </c>
      <c r="B378" s="168"/>
      <c r="C378" s="168"/>
      <c r="D378" s="168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4" t="s">
        <v>248</v>
      </c>
      <c r="B379" s="165"/>
      <c r="C379" s="165"/>
      <c r="D379" s="165"/>
      <c r="E379" s="166">
        <f>E365+E378</f>
        <v>0</v>
      </c>
      <c r="F379" s="40">
        <f>F365+F378</f>
        <v>138</v>
      </c>
      <c r="G379" s="40">
        <f>G365+G378</f>
        <v>690</v>
      </c>
      <c r="H379" s="41"/>
      <c r="I379" s="41"/>
      <c r="J379" s="41"/>
      <c r="K379" s="41"/>
      <c r="L379" s="41"/>
      <c r="M379" s="42">
        <f ca="1">IFERROR(M365+M378,"")</f>
        <v>4.166666666666663E-2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7" t="s">
        <v>244</v>
      </c>
      <c r="B392" s="168"/>
      <c r="C392" s="168"/>
      <c r="D392" s="168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7" t="s">
        <v>247</v>
      </c>
      <c r="B405" s="168"/>
      <c r="C405" s="168"/>
      <c r="D405" s="168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4" t="s">
        <v>248</v>
      </c>
      <c r="B406" s="165"/>
      <c r="C406" s="165"/>
      <c r="D406" s="165"/>
      <c r="E406" s="16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7" t="s">
        <v>244</v>
      </c>
      <c r="B419" s="168"/>
      <c r="C419" s="168"/>
      <c r="D419" s="168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7" t="s">
        <v>247</v>
      </c>
      <c r="B432" s="168"/>
      <c r="C432" s="168"/>
      <c r="D432" s="168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4" t="s">
        <v>248</v>
      </c>
      <c r="B433" s="165"/>
      <c r="C433" s="165"/>
      <c r="D433" s="165"/>
      <c r="E433" s="16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7" t="s">
        <v>244</v>
      </c>
      <c r="B446" s="168"/>
      <c r="C446" s="168"/>
      <c r="D446" s="168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7" t="s">
        <v>247</v>
      </c>
      <c r="B459" s="168"/>
      <c r="C459" s="168"/>
      <c r="D459" s="168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4" t="s">
        <v>248</v>
      </c>
      <c r="B460" s="165"/>
      <c r="C460" s="165"/>
      <c r="D460" s="165"/>
      <c r="E460" s="16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7" t="s">
        <v>244</v>
      </c>
      <c r="B473" s="168"/>
      <c r="C473" s="168"/>
      <c r="D473" s="168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7" t="s">
        <v>247</v>
      </c>
      <c r="B486" s="168"/>
      <c r="C486" s="168"/>
      <c r="D486" s="168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4" t="s">
        <v>248</v>
      </c>
      <c r="B487" s="165"/>
      <c r="C487" s="165"/>
      <c r="D487" s="165"/>
      <c r="E487" s="16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7" t="s">
        <v>244</v>
      </c>
      <c r="B500" s="168"/>
      <c r="C500" s="168"/>
      <c r="D500" s="168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7" t="s">
        <v>247</v>
      </c>
      <c r="B513" s="168"/>
      <c r="C513" s="168"/>
      <c r="D513" s="168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4" t="s">
        <v>248</v>
      </c>
      <c r="B514" s="165"/>
      <c r="C514" s="165"/>
      <c r="D514" s="165"/>
      <c r="E514" s="16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7" t="s">
        <v>244</v>
      </c>
      <c r="B527" s="168"/>
      <c r="C527" s="168"/>
      <c r="D527" s="168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7" t="s">
        <v>247</v>
      </c>
      <c r="B540" s="168"/>
      <c r="C540" s="168"/>
      <c r="D540" s="168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4" t="s">
        <v>248</v>
      </c>
      <c r="B541" s="165"/>
      <c r="C541" s="165"/>
      <c r="D541" s="165"/>
      <c r="E541" s="16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7" t="s">
        <v>244</v>
      </c>
      <c r="B554" s="168"/>
      <c r="C554" s="168"/>
      <c r="D554" s="168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7" t="s">
        <v>247</v>
      </c>
      <c r="B567" s="168"/>
      <c r="C567" s="168"/>
      <c r="D567" s="168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4" t="s">
        <v>248</v>
      </c>
      <c r="B568" s="165"/>
      <c r="C568" s="165"/>
      <c r="D568" s="165"/>
      <c r="E568" s="16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7" t="s">
        <v>244</v>
      </c>
      <c r="B581" s="168"/>
      <c r="C581" s="168"/>
      <c r="D581" s="168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7" t="s">
        <v>247</v>
      </c>
      <c r="B594" s="168"/>
      <c r="C594" s="168"/>
      <c r="D594" s="168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4" t="s">
        <v>248</v>
      </c>
      <c r="B595" s="165"/>
      <c r="C595" s="165"/>
      <c r="D595" s="165"/>
      <c r="E595" s="16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7" t="s">
        <v>244</v>
      </c>
      <c r="B608" s="168"/>
      <c r="C608" s="168"/>
      <c r="D608" s="168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7" t="s">
        <v>247</v>
      </c>
      <c r="B621" s="168"/>
      <c r="C621" s="168"/>
      <c r="D621" s="168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4" t="s">
        <v>248</v>
      </c>
      <c r="B622" s="165"/>
      <c r="C622" s="165"/>
      <c r="D622" s="165"/>
      <c r="E622" s="16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7" t="s">
        <v>244</v>
      </c>
      <c r="B635" s="168"/>
      <c r="C635" s="168"/>
      <c r="D635" s="168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7" t="s">
        <v>247</v>
      </c>
      <c r="B648" s="168"/>
      <c r="C648" s="168"/>
      <c r="D648" s="168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4" t="s">
        <v>248</v>
      </c>
      <c r="B649" s="165"/>
      <c r="C649" s="165"/>
      <c r="D649" s="165"/>
      <c r="E649" s="16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7" t="s">
        <v>244</v>
      </c>
      <c r="B662" s="168"/>
      <c r="C662" s="168"/>
      <c r="D662" s="168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7" t="s">
        <v>247</v>
      </c>
      <c r="B675" s="168"/>
      <c r="C675" s="168"/>
      <c r="D675" s="168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4" t="s">
        <v>248</v>
      </c>
      <c r="B676" s="165"/>
      <c r="C676" s="165"/>
      <c r="D676" s="165"/>
      <c r="E676" s="16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7" t="s">
        <v>244</v>
      </c>
      <c r="B689" s="168"/>
      <c r="C689" s="168"/>
      <c r="D689" s="168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7" t="s">
        <v>247</v>
      </c>
      <c r="B702" s="168"/>
      <c r="C702" s="168"/>
      <c r="D702" s="168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4" t="s">
        <v>248</v>
      </c>
      <c r="B703" s="165"/>
      <c r="C703" s="165"/>
      <c r="D703" s="165"/>
      <c r="E703" s="16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7" t="s">
        <v>244</v>
      </c>
      <c r="B716" s="168"/>
      <c r="C716" s="168"/>
      <c r="D716" s="168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7" t="s">
        <v>247</v>
      </c>
      <c r="B729" s="168"/>
      <c r="C729" s="168"/>
      <c r="D729" s="168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4" t="s">
        <v>248</v>
      </c>
      <c r="B730" s="165"/>
      <c r="C730" s="165"/>
      <c r="D730" s="165"/>
      <c r="E730" s="16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7" t="s">
        <v>244</v>
      </c>
      <c r="B743" s="168"/>
      <c r="C743" s="168"/>
      <c r="D743" s="168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7" t="s">
        <v>247</v>
      </c>
      <c r="B756" s="168"/>
      <c r="C756" s="168"/>
      <c r="D756" s="168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4" t="s">
        <v>248</v>
      </c>
      <c r="B757" s="165"/>
      <c r="C757" s="165"/>
      <c r="D757" s="165"/>
      <c r="E757" s="16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7" t="s">
        <v>244</v>
      </c>
      <c r="B770" s="168"/>
      <c r="C770" s="168"/>
      <c r="D770" s="168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7" t="s">
        <v>247</v>
      </c>
      <c r="B783" s="168"/>
      <c r="C783" s="168"/>
      <c r="D783" s="168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4" t="s">
        <v>248</v>
      </c>
      <c r="B784" s="165"/>
      <c r="C784" s="165"/>
      <c r="D784" s="165"/>
      <c r="E784" s="16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7" t="s">
        <v>244</v>
      </c>
      <c r="B797" s="168"/>
      <c r="C797" s="168"/>
      <c r="D797" s="168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7" t="s">
        <v>247</v>
      </c>
      <c r="B810" s="168"/>
      <c r="C810" s="168"/>
      <c r="D810" s="168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61" t="s">
        <v>248</v>
      </c>
      <c r="B811" s="162"/>
      <c r="C811" s="162"/>
      <c r="D811" s="162"/>
      <c r="E811" s="163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7" t="s">
        <v>244</v>
      </c>
      <c r="B824" s="168"/>
      <c r="C824" s="168"/>
      <c r="D824" s="168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7" t="s">
        <v>247</v>
      </c>
      <c r="B837" s="168"/>
      <c r="C837" s="168"/>
      <c r="D837" s="168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4" t="s">
        <v>248</v>
      </c>
      <c r="B838" s="165"/>
      <c r="C838" s="165"/>
      <c r="D838" s="165"/>
      <c r="E838" s="16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N355" sqref="N3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7" t="s">
        <v>244</v>
      </c>
      <c r="B14" s="168"/>
      <c r="C14" s="168"/>
      <c r="D14" s="168"/>
      <c r="E14" s="168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7" t="s">
        <v>247</v>
      </c>
      <c r="B27" s="168"/>
      <c r="C27" s="168"/>
      <c r="D27" s="168"/>
      <c r="E27" s="168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4" t="s">
        <v>248</v>
      </c>
      <c r="B28" s="165"/>
      <c r="C28" s="165"/>
      <c r="D28" s="165"/>
      <c r="E28" s="165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7" t="s">
        <v>244</v>
      </c>
      <c r="B41" s="168"/>
      <c r="C41" s="168"/>
      <c r="D41" s="168"/>
      <c r="E41" s="168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0.39861192129319534</v>
      </c>
      <c r="R53" s="46" t="s">
        <v>279</v>
      </c>
      <c r="S53" s="31"/>
    </row>
    <row r="54" spans="1:20" ht="15.75" customHeight="1" thickBot="1">
      <c r="A54" s="167" t="s">
        <v>247</v>
      </c>
      <c r="B54" s="168"/>
      <c r="C54" s="168"/>
      <c r="D54" s="168"/>
      <c r="E54" s="168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0.53750081018208418</v>
      </c>
      <c r="R54" s="36" t="s">
        <v>245</v>
      </c>
      <c r="S54" s="75">
        <v>352430</v>
      </c>
      <c r="T54" s="117"/>
    </row>
    <row r="55" spans="1:20" ht="18" customHeight="1">
      <c r="A55" s="164" t="s">
        <v>248</v>
      </c>
      <c r="B55" s="165"/>
      <c r="C55" s="165"/>
      <c r="D55" s="165"/>
      <c r="E55" s="165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0.62222303240430654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7" t="s">
        <v>244</v>
      </c>
      <c r="B68" s="168"/>
      <c r="C68" s="168"/>
      <c r="D68" s="168"/>
      <c r="E68" s="168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7" t="s">
        <v>247</v>
      </c>
      <c r="B81" s="168"/>
      <c r="C81" s="168"/>
      <c r="D81" s="168"/>
      <c r="E81" s="168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4" t="s">
        <v>248</v>
      </c>
      <c r="B82" s="165"/>
      <c r="C82" s="165"/>
      <c r="D82" s="165"/>
      <c r="E82" s="165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7" t="s">
        <v>244</v>
      </c>
      <c r="B95" s="168"/>
      <c r="C95" s="168"/>
      <c r="D95" s="168"/>
      <c r="E95" s="168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7" t="s">
        <v>247</v>
      </c>
      <c r="B108" s="168"/>
      <c r="C108" s="168"/>
      <c r="D108" s="168"/>
      <c r="E108" s="168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4" t="s">
        <v>248</v>
      </c>
      <c r="B109" s="165"/>
      <c r="C109" s="165"/>
      <c r="D109" s="165"/>
      <c r="E109" s="165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7" t="s">
        <v>244</v>
      </c>
      <c r="B122" s="168"/>
      <c r="C122" s="168"/>
      <c r="D122" s="168"/>
      <c r="E122" s="168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7" t="s">
        <v>247</v>
      </c>
      <c r="B135" s="168"/>
      <c r="C135" s="168"/>
      <c r="D135" s="168"/>
      <c r="E135" s="168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4" t="s">
        <v>248</v>
      </c>
      <c r="B136" s="165"/>
      <c r="C136" s="165"/>
      <c r="D136" s="165"/>
      <c r="E136" s="165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7" t="s">
        <v>244</v>
      </c>
      <c r="B149" s="168"/>
      <c r="C149" s="168"/>
      <c r="D149" s="168"/>
      <c r="E149" s="168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7" t="s">
        <v>247</v>
      </c>
      <c r="B162" s="168"/>
      <c r="C162" s="168"/>
      <c r="D162" s="168"/>
      <c r="E162" s="168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4" t="s">
        <v>248</v>
      </c>
      <c r="B163" s="165"/>
      <c r="C163" s="165"/>
      <c r="D163" s="165"/>
      <c r="E163" s="165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7" t="s">
        <v>244</v>
      </c>
      <c r="B176" s="168"/>
      <c r="C176" s="168"/>
      <c r="D176" s="168"/>
      <c r="E176" s="168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7" t="s">
        <v>247</v>
      </c>
      <c r="B189" s="168"/>
      <c r="C189" s="168"/>
      <c r="D189" s="168"/>
      <c r="E189" s="168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4" t="s">
        <v>248</v>
      </c>
      <c r="B190" s="165"/>
      <c r="C190" s="165"/>
      <c r="D190" s="165"/>
      <c r="E190" s="165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7" t="s">
        <v>244</v>
      </c>
      <c r="B203" s="168"/>
      <c r="C203" s="168"/>
      <c r="D203" s="168"/>
      <c r="E203" s="168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7" t="s">
        <v>247</v>
      </c>
      <c r="B216" s="168"/>
      <c r="C216" s="168"/>
      <c r="D216" s="168"/>
      <c r="E216" s="168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4" t="s">
        <v>248</v>
      </c>
      <c r="B217" s="165"/>
      <c r="C217" s="165"/>
      <c r="D217" s="165"/>
      <c r="E217" s="165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7" t="s">
        <v>247</v>
      </c>
      <c r="B243" s="168"/>
      <c r="C243" s="168"/>
      <c r="D243" s="168"/>
      <c r="E243" s="168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4" t="s">
        <v>248</v>
      </c>
      <c r="B244" s="165"/>
      <c r="C244" s="165"/>
      <c r="D244" s="165"/>
      <c r="E244" s="165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7" t="s">
        <v>244</v>
      </c>
      <c r="B257" s="168"/>
      <c r="C257" s="168"/>
      <c r="D257" s="168"/>
      <c r="E257" s="168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7" t="s">
        <v>247</v>
      </c>
      <c r="B270" s="168"/>
      <c r="C270" s="168"/>
      <c r="D270" s="168"/>
      <c r="E270" s="168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4" t="s">
        <v>248</v>
      </c>
      <c r="B271" s="165"/>
      <c r="C271" s="165"/>
      <c r="D271" s="165"/>
      <c r="E271" s="165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7" t="s">
        <v>244</v>
      </c>
      <c r="B284" s="168"/>
      <c r="C284" s="168"/>
      <c r="D284" s="168"/>
      <c r="E284" s="168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7" t="s">
        <v>247</v>
      </c>
      <c r="B297" s="168"/>
      <c r="C297" s="168"/>
      <c r="D297" s="168"/>
      <c r="E297" s="168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4" t="s">
        <v>248</v>
      </c>
      <c r="B298" s="165"/>
      <c r="C298" s="165"/>
      <c r="D298" s="165"/>
      <c r="E298" s="165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7" t="s">
        <v>244</v>
      </c>
      <c r="B311" s="168"/>
      <c r="C311" s="168"/>
      <c r="D311" s="168"/>
      <c r="E311" s="168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7" t="s">
        <v>247</v>
      </c>
      <c r="B324" s="168"/>
      <c r="C324" s="168"/>
      <c r="D324" s="168"/>
      <c r="E324" s="168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4" t="s">
        <v>248</v>
      </c>
      <c r="B325" s="165"/>
      <c r="C325" s="165"/>
      <c r="D325" s="165"/>
      <c r="E325" s="165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7" t="s">
        <v>244</v>
      </c>
      <c r="B338" s="168"/>
      <c r="C338" s="168"/>
      <c r="D338" s="168"/>
      <c r="E338" s="168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7" t="s">
        <v>247</v>
      </c>
      <c r="B351" s="168"/>
      <c r="C351" s="168"/>
      <c r="D351" s="168"/>
      <c r="E351" s="168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4" t="s">
        <v>248</v>
      </c>
      <c r="B352" s="165"/>
      <c r="C352" s="165"/>
      <c r="D352" s="165"/>
      <c r="E352" s="165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79.8</v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2"/>
        <v/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 t="s">
        <v>259</v>
      </c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 t="s">
        <v>259</v>
      </c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 t="s">
        <v>259</v>
      </c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 t="s">
        <v>259</v>
      </c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 t="s">
        <v>259</v>
      </c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7" t="s">
        <v>244</v>
      </c>
      <c r="B365" s="168"/>
      <c r="C365" s="168"/>
      <c r="D365" s="168"/>
      <c r="E365" s="168">
        <f>SUM(E353:E364)</f>
        <v>0</v>
      </c>
      <c r="F365" s="110"/>
      <c r="G365" s="80">
        <f>SUM(G353:G364)</f>
        <v>55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231</v>
      </c>
      <c r="L365" s="37"/>
      <c r="M365" s="37"/>
      <c r="N365" s="37"/>
      <c r="O365" s="37"/>
      <c r="P365" s="37"/>
      <c r="Q365" s="38">
        <f ca="1">IFERROR(SUM(Q353:Q364),"")</f>
        <v>4.9305555555555491E-2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7" t="s">
        <v>247</v>
      </c>
      <c r="B378" s="168"/>
      <c r="C378" s="168"/>
      <c r="D378" s="168"/>
      <c r="E378" s="168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4" t="s">
        <v>248</v>
      </c>
      <c r="B379" s="165"/>
      <c r="C379" s="165"/>
      <c r="D379" s="165"/>
      <c r="E379" s="165">
        <f>E365+E378</f>
        <v>0</v>
      </c>
      <c r="F379" s="112"/>
      <c r="G379" s="91">
        <f>G365+G378</f>
        <v>55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231</v>
      </c>
      <c r="L379" s="41"/>
      <c r="M379" s="41"/>
      <c r="N379" s="41"/>
      <c r="O379" s="41"/>
      <c r="P379" s="41"/>
      <c r="Q379" s="42">
        <f ca="1">IFERROR(Q365+Q378,"")</f>
        <v>4.9305555555555491E-2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7" t="s">
        <v>244</v>
      </c>
      <c r="B392" s="168"/>
      <c r="C392" s="168"/>
      <c r="D392" s="168"/>
      <c r="E392" s="168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7" t="s">
        <v>247</v>
      </c>
      <c r="B405" s="168"/>
      <c r="C405" s="168"/>
      <c r="D405" s="168"/>
      <c r="E405" s="168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4" t="s">
        <v>248</v>
      </c>
      <c r="B406" s="165"/>
      <c r="C406" s="165"/>
      <c r="D406" s="165"/>
      <c r="E406" s="165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7" t="s">
        <v>244</v>
      </c>
      <c r="B419" s="168"/>
      <c r="C419" s="168"/>
      <c r="D419" s="168"/>
      <c r="E419" s="168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7" t="s">
        <v>244</v>
      </c>
      <c r="B446" s="168"/>
      <c r="C446" s="168"/>
      <c r="D446" s="168"/>
      <c r="E446" s="168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7" t="s">
        <v>247</v>
      </c>
      <c r="B459" s="168"/>
      <c r="C459" s="168"/>
      <c r="D459" s="168"/>
      <c r="E459" s="168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4" t="s">
        <v>248</v>
      </c>
      <c r="B460" s="165"/>
      <c r="C460" s="165"/>
      <c r="D460" s="165"/>
      <c r="E460" s="165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7" t="s">
        <v>244</v>
      </c>
      <c r="B473" s="168"/>
      <c r="C473" s="168"/>
      <c r="D473" s="168"/>
      <c r="E473" s="168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7" t="s">
        <v>247</v>
      </c>
      <c r="B486" s="168"/>
      <c r="C486" s="168"/>
      <c r="D486" s="168"/>
      <c r="E486" s="168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4" t="s">
        <v>248</v>
      </c>
      <c r="B487" s="165"/>
      <c r="C487" s="165"/>
      <c r="D487" s="165"/>
      <c r="E487" s="165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7" t="s">
        <v>244</v>
      </c>
      <c r="B500" s="168"/>
      <c r="C500" s="168"/>
      <c r="D500" s="168"/>
      <c r="E500" s="168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7" t="s">
        <v>244</v>
      </c>
      <c r="B527" s="168"/>
      <c r="C527" s="168"/>
      <c r="D527" s="168"/>
      <c r="E527" s="168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7" t="s">
        <v>247</v>
      </c>
      <c r="B540" s="168"/>
      <c r="C540" s="168"/>
      <c r="D540" s="168"/>
      <c r="E540" s="168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4" t="s">
        <v>248</v>
      </c>
      <c r="B541" s="165"/>
      <c r="C541" s="165"/>
      <c r="D541" s="165"/>
      <c r="E541" s="165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7" t="s">
        <v>244</v>
      </c>
      <c r="B554" s="168"/>
      <c r="C554" s="168"/>
      <c r="D554" s="168"/>
      <c r="E554" s="168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7" t="s">
        <v>247</v>
      </c>
      <c r="B567" s="168"/>
      <c r="C567" s="168"/>
      <c r="D567" s="168"/>
      <c r="E567" s="168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4" t="s">
        <v>248</v>
      </c>
      <c r="B568" s="165"/>
      <c r="C568" s="165"/>
      <c r="D568" s="165"/>
      <c r="E568" s="165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7" t="s">
        <v>244</v>
      </c>
      <c r="B581" s="168"/>
      <c r="C581" s="168"/>
      <c r="D581" s="168"/>
      <c r="E581" s="168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7" t="s">
        <v>247</v>
      </c>
      <c r="B594" s="168"/>
      <c r="C594" s="168"/>
      <c r="D594" s="168"/>
      <c r="E594" s="168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4" t="s">
        <v>248</v>
      </c>
      <c r="B595" s="165"/>
      <c r="C595" s="165"/>
      <c r="D595" s="165"/>
      <c r="E595" s="165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7" t="s">
        <v>244</v>
      </c>
      <c r="B608" s="168"/>
      <c r="C608" s="168"/>
      <c r="D608" s="168"/>
      <c r="E608" s="168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7" t="s">
        <v>247</v>
      </c>
      <c r="B621" s="168"/>
      <c r="C621" s="168"/>
      <c r="D621" s="168"/>
      <c r="E621" s="168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4" t="s">
        <v>248</v>
      </c>
      <c r="B622" s="165"/>
      <c r="C622" s="165"/>
      <c r="D622" s="165"/>
      <c r="E622" s="165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7" t="s">
        <v>244</v>
      </c>
      <c r="B635" s="168"/>
      <c r="C635" s="168"/>
      <c r="D635" s="168"/>
      <c r="E635" s="168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7" t="s">
        <v>247</v>
      </c>
      <c r="B648" s="168"/>
      <c r="C648" s="168"/>
      <c r="D648" s="168"/>
      <c r="E648" s="168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4" t="s">
        <v>248</v>
      </c>
      <c r="B649" s="165"/>
      <c r="C649" s="165"/>
      <c r="D649" s="165"/>
      <c r="E649" s="165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7" t="s">
        <v>244</v>
      </c>
      <c r="B662" s="168"/>
      <c r="C662" s="168"/>
      <c r="D662" s="168"/>
      <c r="E662" s="168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7" t="s">
        <v>247</v>
      </c>
      <c r="B675" s="168"/>
      <c r="C675" s="168"/>
      <c r="D675" s="168"/>
      <c r="E675" s="168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4" t="s">
        <v>248</v>
      </c>
      <c r="B676" s="165"/>
      <c r="C676" s="165"/>
      <c r="D676" s="165"/>
      <c r="E676" s="165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7" t="s">
        <v>244</v>
      </c>
      <c r="B689" s="168"/>
      <c r="C689" s="168"/>
      <c r="D689" s="168"/>
      <c r="E689" s="168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7" t="s">
        <v>247</v>
      </c>
      <c r="B702" s="168"/>
      <c r="C702" s="168"/>
      <c r="D702" s="168"/>
      <c r="E702" s="168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4" t="s">
        <v>248</v>
      </c>
      <c r="B703" s="165"/>
      <c r="C703" s="165"/>
      <c r="D703" s="165"/>
      <c r="E703" s="165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7" t="s">
        <v>244</v>
      </c>
      <c r="B716" s="168"/>
      <c r="C716" s="168"/>
      <c r="D716" s="168"/>
      <c r="E716" s="168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7" t="s">
        <v>247</v>
      </c>
      <c r="B729" s="168"/>
      <c r="C729" s="168"/>
      <c r="D729" s="168"/>
      <c r="E729" s="168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4" t="s">
        <v>248</v>
      </c>
      <c r="B730" s="165"/>
      <c r="C730" s="165"/>
      <c r="D730" s="165"/>
      <c r="E730" s="165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7" t="s">
        <v>244</v>
      </c>
      <c r="B743" s="168"/>
      <c r="C743" s="168"/>
      <c r="D743" s="168"/>
      <c r="E743" s="168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7" t="s">
        <v>247</v>
      </c>
      <c r="B756" s="168"/>
      <c r="C756" s="168"/>
      <c r="D756" s="168"/>
      <c r="E756" s="168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4" t="s">
        <v>248</v>
      </c>
      <c r="B757" s="165"/>
      <c r="C757" s="165"/>
      <c r="D757" s="165"/>
      <c r="E757" s="165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7" t="s">
        <v>244</v>
      </c>
      <c r="B770" s="168"/>
      <c r="C770" s="168"/>
      <c r="D770" s="168"/>
      <c r="E770" s="168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7" t="s">
        <v>247</v>
      </c>
      <c r="B783" s="168"/>
      <c r="C783" s="168"/>
      <c r="D783" s="168"/>
      <c r="E783" s="168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4" t="s">
        <v>248</v>
      </c>
      <c r="B784" s="165"/>
      <c r="C784" s="165"/>
      <c r="D784" s="165"/>
      <c r="E784" s="165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7" t="s">
        <v>244</v>
      </c>
      <c r="B797" s="168"/>
      <c r="C797" s="168"/>
      <c r="D797" s="168"/>
      <c r="E797" s="168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7" t="s">
        <v>247</v>
      </c>
      <c r="B810" s="168"/>
      <c r="C810" s="168"/>
      <c r="D810" s="168"/>
      <c r="E810" s="168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4" t="s">
        <v>248</v>
      </c>
      <c r="B811" s="165"/>
      <c r="C811" s="165"/>
      <c r="D811" s="165"/>
      <c r="E811" s="165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7" t="s">
        <v>244</v>
      </c>
      <c r="B824" s="168"/>
      <c r="C824" s="168"/>
      <c r="D824" s="168"/>
      <c r="E824" s="168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7" t="s">
        <v>247</v>
      </c>
      <c r="B837" s="168"/>
      <c r="C837" s="168"/>
      <c r="D837" s="168"/>
      <c r="E837" s="168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4" t="s">
        <v>248</v>
      </c>
      <c r="B838" s="165"/>
      <c r="C838" s="165"/>
      <c r="D838" s="165"/>
      <c r="E838" s="165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37" activePane="bottomLeft" state="frozen"/>
      <selection pane="bottomLeft" activeCell="N354" sqref="N3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7" t="s">
        <v>244</v>
      </c>
      <c r="B14" s="168"/>
      <c r="C14" s="168"/>
      <c r="D14" s="168"/>
      <c r="E14" s="168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7" t="s">
        <v>247</v>
      </c>
      <c r="B27" s="168"/>
      <c r="C27" s="168"/>
      <c r="D27" s="168"/>
      <c r="E27" s="168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4" t="s">
        <v>248</v>
      </c>
      <c r="B28" s="165"/>
      <c r="C28" s="165"/>
      <c r="D28" s="165"/>
      <c r="E28" s="165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7" t="s">
        <v>244</v>
      </c>
      <c r="B41" s="168"/>
      <c r="C41" s="168"/>
      <c r="D41" s="168"/>
      <c r="E41" s="168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7" t="s">
        <v>247</v>
      </c>
      <c r="B54" s="168"/>
      <c r="C54" s="168"/>
      <c r="D54" s="168"/>
      <c r="E54" s="168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4" t="s">
        <v>248</v>
      </c>
      <c r="B55" s="165"/>
      <c r="C55" s="165"/>
      <c r="D55" s="165"/>
      <c r="E55" s="165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7" t="s">
        <v>244</v>
      </c>
      <c r="B68" s="168"/>
      <c r="C68" s="168"/>
      <c r="D68" s="168"/>
      <c r="E68" s="168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7" t="s">
        <v>247</v>
      </c>
      <c r="B81" s="168"/>
      <c r="C81" s="168"/>
      <c r="D81" s="168"/>
      <c r="E81" s="168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4" t="s">
        <v>248</v>
      </c>
      <c r="B82" s="165"/>
      <c r="C82" s="165"/>
      <c r="D82" s="165"/>
      <c r="E82" s="165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7" t="s">
        <v>244</v>
      </c>
      <c r="B95" s="168"/>
      <c r="C95" s="168"/>
      <c r="D95" s="168"/>
      <c r="E95" s="168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7" t="s">
        <v>247</v>
      </c>
      <c r="B108" s="168"/>
      <c r="C108" s="168"/>
      <c r="D108" s="168"/>
      <c r="E108" s="168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4" t="s">
        <v>248</v>
      </c>
      <c r="B109" s="165"/>
      <c r="C109" s="165"/>
      <c r="D109" s="165"/>
      <c r="E109" s="165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7" t="s">
        <v>244</v>
      </c>
      <c r="B122" s="168"/>
      <c r="C122" s="168"/>
      <c r="D122" s="168"/>
      <c r="E122" s="168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7" t="s">
        <v>247</v>
      </c>
      <c r="B135" s="168"/>
      <c r="C135" s="168"/>
      <c r="D135" s="168"/>
      <c r="E135" s="168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4" t="s">
        <v>248</v>
      </c>
      <c r="B136" s="165"/>
      <c r="C136" s="165"/>
      <c r="D136" s="165"/>
      <c r="E136" s="165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7" t="s">
        <v>244</v>
      </c>
      <c r="B149" s="168"/>
      <c r="C149" s="168"/>
      <c r="D149" s="168"/>
      <c r="E149" s="168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7" t="s">
        <v>247</v>
      </c>
      <c r="B162" s="168"/>
      <c r="C162" s="168"/>
      <c r="D162" s="168"/>
      <c r="E162" s="168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4" t="s">
        <v>248</v>
      </c>
      <c r="B163" s="165"/>
      <c r="C163" s="165"/>
      <c r="D163" s="165"/>
      <c r="E163" s="165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7" t="s">
        <v>244</v>
      </c>
      <c r="B176" s="168"/>
      <c r="C176" s="168"/>
      <c r="D176" s="168"/>
      <c r="E176" s="168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7" t="s">
        <v>247</v>
      </c>
      <c r="B189" s="168"/>
      <c r="C189" s="168"/>
      <c r="D189" s="168"/>
      <c r="E189" s="168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4" t="s">
        <v>248</v>
      </c>
      <c r="B190" s="165"/>
      <c r="C190" s="165"/>
      <c r="D190" s="165"/>
      <c r="E190" s="165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7" t="s">
        <v>244</v>
      </c>
      <c r="B203" s="168"/>
      <c r="C203" s="168"/>
      <c r="D203" s="168"/>
      <c r="E203" s="168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7" t="s">
        <v>247</v>
      </c>
      <c r="B216" s="168"/>
      <c r="C216" s="168"/>
      <c r="D216" s="168"/>
      <c r="E216" s="168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4" t="s">
        <v>248</v>
      </c>
      <c r="B217" s="165"/>
      <c r="C217" s="165"/>
      <c r="D217" s="165"/>
      <c r="E217" s="165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7" t="s">
        <v>244</v>
      </c>
      <c r="B230" s="168"/>
      <c r="C230" s="168"/>
      <c r="D230" s="168"/>
      <c r="E230" s="168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7" t="s">
        <v>247</v>
      </c>
      <c r="B243" s="168"/>
      <c r="C243" s="168"/>
      <c r="D243" s="168"/>
      <c r="E243" s="168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4" t="s">
        <v>248</v>
      </c>
      <c r="B244" s="165"/>
      <c r="C244" s="165"/>
      <c r="D244" s="165"/>
      <c r="E244" s="165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7" t="s">
        <v>244</v>
      </c>
      <c r="B257" s="168"/>
      <c r="C257" s="168"/>
      <c r="D257" s="168"/>
      <c r="E257" s="168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7" t="s">
        <v>247</v>
      </c>
      <c r="B270" s="168"/>
      <c r="C270" s="168"/>
      <c r="D270" s="168"/>
      <c r="E270" s="168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4" t="s">
        <v>248</v>
      </c>
      <c r="B271" s="165"/>
      <c r="C271" s="165"/>
      <c r="D271" s="165"/>
      <c r="E271" s="165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7" t="s">
        <v>244</v>
      </c>
      <c r="B284" s="168"/>
      <c r="C284" s="168"/>
      <c r="D284" s="168"/>
      <c r="E284" s="168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7" t="s">
        <v>247</v>
      </c>
      <c r="B297" s="168"/>
      <c r="C297" s="168"/>
      <c r="D297" s="168"/>
      <c r="E297" s="168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4" t="s">
        <v>248</v>
      </c>
      <c r="B298" s="165"/>
      <c r="C298" s="165"/>
      <c r="D298" s="165"/>
      <c r="E298" s="165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7" t="s">
        <v>244</v>
      </c>
      <c r="B311" s="168"/>
      <c r="C311" s="168"/>
      <c r="D311" s="168"/>
      <c r="E311" s="168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7" t="s">
        <v>247</v>
      </c>
      <c r="B324" s="168"/>
      <c r="C324" s="168"/>
      <c r="D324" s="168"/>
      <c r="E324" s="168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4" t="s">
        <v>248</v>
      </c>
      <c r="B325" s="165"/>
      <c r="C325" s="165"/>
      <c r="D325" s="165"/>
      <c r="E325" s="165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7" t="s">
        <v>244</v>
      </c>
      <c r="B338" s="168"/>
      <c r="C338" s="168"/>
      <c r="D338" s="168"/>
      <c r="E338" s="168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7" t="s">
        <v>247</v>
      </c>
      <c r="B351" s="168"/>
      <c r="C351" s="168"/>
      <c r="D351" s="168"/>
      <c r="E351" s="168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4" t="s">
        <v>248</v>
      </c>
      <c r="B352" s="165"/>
      <c r="C352" s="165"/>
      <c r="D352" s="165"/>
      <c r="E352" s="165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0"/>
        <v/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/>
      <c r="Q354" s="30">
        <f t="shared" ca="1" si="82"/>
        <v>6.9525463186437264E-4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0"/>
        <v/>
      </c>
      <c r="K355" s="34">
        <f t="shared" si="81"/>
        <v>29.400000000000002</v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0"/>
        <v/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0"/>
        <v/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/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/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/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7" t="s">
        <v>244</v>
      </c>
      <c r="B365" s="168"/>
      <c r="C365" s="168"/>
      <c r="D365" s="168"/>
      <c r="E365" s="168">
        <f>SUM(E353:E364)</f>
        <v>0</v>
      </c>
      <c r="F365" s="110"/>
      <c r="G365" s="80">
        <f>SUM(G353:G364)</f>
        <v>33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138.60000000000002</v>
      </c>
      <c r="L365" s="37"/>
      <c r="M365" s="37"/>
      <c r="N365" s="37"/>
      <c r="O365" s="37"/>
      <c r="P365" s="37"/>
      <c r="Q365" s="38">
        <f ca="1">IFERROR(SUM(Q353:Q364),"")</f>
        <v>1.527858796519771E-2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7" t="s">
        <v>247</v>
      </c>
      <c r="B378" s="168"/>
      <c r="C378" s="168"/>
      <c r="D378" s="168"/>
      <c r="E378" s="168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4" t="s">
        <v>248</v>
      </c>
      <c r="B379" s="165"/>
      <c r="C379" s="165"/>
      <c r="D379" s="165"/>
      <c r="E379" s="165">
        <f>E365+E378</f>
        <v>0</v>
      </c>
      <c r="F379" s="112"/>
      <c r="G379" s="91">
        <f>G365+G378</f>
        <v>33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138.60000000000002</v>
      </c>
      <c r="L379" s="41"/>
      <c r="M379" s="41"/>
      <c r="N379" s="41"/>
      <c r="O379" s="41"/>
      <c r="P379" s="41"/>
      <c r="Q379" s="42">
        <f ca="1">IFERROR(Q365+Q378,"")</f>
        <v>1.527858796519771E-2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7" t="s">
        <v>244</v>
      </c>
      <c r="B392" s="168"/>
      <c r="C392" s="168"/>
      <c r="D392" s="168"/>
      <c r="E392" s="168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7" t="s">
        <v>247</v>
      </c>
      <c r="B405" s="168"/>
      <c r="C405" s="168"/>
      <c r="D405" s="168"/>
      <c r="E405" s="168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4" t="s">
        <v>248</v>
      </c>
      <c r="B406" s="165"/>
      <c r="C406" s="165"/>
      <c r="D406" s="165"/>
      <c r="E406" s="165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7" t="s">
        <v>244</v>
      </c>
      <c r="B419" s="168"/>
      <c r="C419" s="168"/>
      <c r="D419" s="168"/>
      <c r="E419" s="168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7" t="s">
        <v>247</v>
      </c>
      <c r="B432" s="168"/>
      <c r="C432" s="168"/>
      <c r="D432" s="168"/>
      <c r="E432" s="168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4" t="s">
        <v>248</v>
      </c>
      <c r="B433" s="165"/>
      <c r="C433" s="165"/>
      <c r="D433" s="165"/>
      <c r="E433" s="165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7" t="s">
        <v>244</v>
      </c>
      <c r="B446" s="168"/>
      <c r="C446" s="168"/>
      <c r="D446" s="168"/>
      <c r="E446" s="168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7" t="s">
        <v>247</v>
      </c>
      <c r="B459" s="168"/>
      <c r="C459" s="168"/>
      <c r="D459" s="168"/>
      <c r="E459" s="168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4" t="s">
        <v>248</v>
      </c>
      <c r="B460" s="165"/>
      <c r="C460" s="165"/>
      <c r="D460" s="165"/>
      <c r="E460" s="165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7" t="s">
        <v>244</v>
      </c>
      <c r="B473" s="168"/>
      <c r="C473" s="168"/>
      <c r="D473" s="168"/>
      <c r="E473" s="168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7" t="s">
        <v>247</v>
      </c>
      <c r="B486" s="168"/>
      <c r="C486" s="168"/>
      <c r="D486" s="168"/>
      <c r="E486" s="168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4" t="s">
        <v>248</v>
      </c>
      <c r="B487" s="165"/>
      <c r="C487" s="165"/>
      <c r="D487" s="165"/>
      <c r="E487" s="165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7" t="s">
        <v>244</v>
      </c>
      <c r="B500" s="168"/>
      <c r="C500" s="168"/>
      <c r="D500" s="168"/>
      <c r="E500" s="168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7" t="s">
        <v>247</v>
      </c>
      <c r="B513" s="168"/>
      <c r="C513" s="168"/>
      <c r="D513" s="168"/>
      <c r="E513" s="168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4" t="s">
        <v>248</v>
      </c>
      <c r="B514" s="165"/>
      <c r="C514" s="165"/>
      <c r="D514" s="165"/>
      <c r="E514" s="165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7" t="s">
        <v>244</v>
      </c>
      <c r="B527" s="168"/>
      <c r="C527" s="168"/>
      <c r="D527" s="168"/>
      <c r="E527" s="168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7" t="s">
        <v>247</v>
      </c>
      <c r="B540" s="168"/>
      <c r="C540" s="168"/>
      <c r="D540" s="168"/>
      <c r="E540" s="168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4" t="s">
        <v>248</v>
      </c>
      <c r="B541" s="165"/>
      <c r="C541" s="165"/>
      <c r="D541" s="165"/>
      <c r="E541" s="165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7" t="s">
        <v>244</v>
      </c>
      <c r="B554" s="168"/>
      <c r="C554" s="168"/>
      <c r="D554" s="168"/>
      <c r="E554" s="168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7" t="s">
        <v>247</v>
      </c>
      <c r="B567" s="168"/>
      <c r="C567" s="168"/>
      <c r="D567" s="168"/>
      <c r="E567" s="168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4" t="s">
        <v>248</v>
      </c>
      <c r="B568" s="165"/>
      <c r="C568" s="165"/>
      <c r="D568" s="165"/>
      <c r="E568" s="165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7" t="s">
        <v>244</v>
      </c>
      <c r="B581" s="168"/>
      <c r="C581" s="168"/>
      <c r="D581" s="168"/>
      <c r="E581" s="168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7" t="s">
        <v>247</v>
      </c>
      <c r="B594" s="168"/>
      <c r="C594" s="168"/>
      <c r="D594" s="168"/>
      <c r="E594" s="168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4" t="s">
        <v>248</v>
      </c>
      <c r="B595" s="165"/>
      <c r="C595" s="165"/>
      <c r="D595" s="165"/>
      <c r="E595" s="165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7" t="s">
        <v>244</v>
      </c>
      <c r="B608" s="168"/>
      <c r="C608" s="168"/>
      <c r="D608" s="168"/>
      <c r="E608" s="168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7" t="s">
        <v>247</v>
      </c>
      <c r="B621" s="168"/>
      <c r="C621" s="168"/>
      <c r="D621" s="168"/>
      <c r="E621" s="168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4" t="s">
        <v>248</v>
      </c>
      <c r="B622" s="165"/>
      <c r="C622" s="165"/>
      <c r="D622" s="165"/>
      <c r="E622" s="165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7" t="s">
        <v>244</v>
      </c>
      <c r="B635" s="168"/>
      <c r="C635" s="168"/>
      <c r="D635" s="168"/>
      <c r="E635" s="168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7" t="s">
        <v>247</v>
      </c>
      <c r="B648" s="168"/>
      <c r="C648" s="168"/>
      <c r="D648" s="168"/>
      <c r="E648" s="168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4" t="s">
        <v>248</v>
      </c>
      <c r="B649" s="165"/>
      <c r="C649" s="165"/>
      <c r="D649" s="165"/>
      <c r="E649" s="165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7" t="s">
        <v>244</v>
      </c>
      <c r="B662" s="168"/>
      <c r="C662" s="168"/>
      <c r="D662" s="168"/>
      <c r="E662" s="168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7" t="s">
        <v>247</v>
      </c>
      <c r="B675" s="168"/>
      <c r="C675" s="168"/>
      <c r="D675" s="168"/>
      <c r="E675" s="168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4" t="s">
        <v>248</v>
      </c>
      <c r="B676" s="165"/>
      <c r="C676" s="165"/>
      <c r="D676" s="165"/>
      <c r="E676" s="165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7" t="s">
        <v>244</v>
      </c>
      <c r="B689" s="168"/>
      <c r="C689" s="168"/>
      <c r="D689" s="168"/>
      <c r="E689" s="168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7" t="s">
        <v>247</v>
      </c>
      <c r="B702" s="168"/>
      <c r="C702" s="168"/>
      <c r="D702" s="168"/>
      <c r="E702" s="168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4" t="s">
        <v>248</v>
      </c>
      <c r="B703" s="165"/>
      <c r="C703" s="165"/>
      <c r="D703" s="165"/>
      <c r="E703" s="165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7" t="s">
        <v>244</v>
      </c>
      <c r="B716" s="168"/>
      <c r="C716" s="168"/>
      <c r="D716" s="168"/>
      <c r="E716" s="168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7" t="s">
        <v>247</v>
      </c>
      <c r="B729" s="168"/>
      <c r="C729" s="168"/>
      <c r="D729" s="168"/>
      <c r="E729" s="168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4" t="s">
        <v>248</v>
      </c>
      <c r="B730" s="165"/>
      <c r="C730" s="165"/>
      <c r="D730" s="165"/>
      <c r="E730" s="165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7" t="s">
        <v>244</v>
      </c>
      <c r="B743" s="168"/>
      <c r="C743" s="168"/>
      <c r="D743" s="168"/>
      <c r="E743" s="168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7" t="s">
        <v>247</v>
      </c>
      <c r="B756" s="168"/>
      <c r="C756" s="168"/>
      <c r="D756" s="168"/>
      <c r="E756" s="168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4" t="s">
        <v>248</v>
      </c>
      <c r="B757" s="165"/>
      <c r="C757" s="165"/>
      <c r="D757" s="165"/>
      <c r="E757" s="165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7" t="s">
        <v>244</v>
      </c>
      <c r="B770" s="168"/>
      <c r="C770" s="168"/>
      <c r="D770" s="168"/>
      <c r="E770" s="168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7" t="s">
        <v>247</v>
      </c>
      <c r="B783" s="168"/>
      <c r="C783" s="168"/>
      <c r="D783" s="168"/>
      <c r="E783" s="168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4" t="s">
        <v>248</v>
      </c>
      <c r="B784" s="165"/>
      <c r="C784" s="165"/>
      <c r="D784" s="165"/>
      <c r="E784" s="165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7" t="s">
        <v>244</v>
      </c>
      <c r="B797" s="168"/>
      <c r="C797" s="168"/>
      <c r="D797" s="168"/>
      <c r="E797" s="168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7" t="s">
        <v>247</v>
      </c>
      <c r="B810" s="168"/>
      <c r="C810" s="168"/>
      <c r="D810" s="168"/>
      <c r="E810" s="168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4" t="s">
        <v>248</v>
      </c>
      <c r="B811" s="165"/>
      <c r="C811" s="165"/>
      <c r="D811" s="165"/>
      <c r="E811" s="165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7" t="s">
        <v>244</v>
      </c>
      <c r="B824" s="168"/>
      <c r="C824" s="168"/>
      <c r="D824" s="168"/>
      <c r="E824" s="168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7" t="s">
        <v>247</v>
      </c>
      <c r="B837" s="168"/>
      <c r="C837" s="168"/>
      <c r="D837" s="168"/>
      <c r="E837" s="168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4" t="s">
        <v>248</v>
      </c>
      <c r="B838" s="165"/>
      <c r="C838" s="165"/>
      <c r="D838" s="165"/>
      <c r="E838" s="165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G357" sqref="G35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7" t="s">
        <v>244</v>
      </c>
      <c r="B14" s="168"/>
      <c r="C14" s="168"/>
      <c r="D14" s="168"/>
      <c r="E14" s="168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7" t="s">
        <v>247</v>
      </c>
      <c r="B27" s="168"/>
      <c r="C27" s="168"/>
      <c r="D27" s="168"/>
      <c r="E27" s="168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4" t="s">
        <v>248</v>
      </c>
      <c r="B28" s="165"/>
      <c r="C28" s="165"/>
      <c r="D28" s="165"/>
      <c r="E28" s="165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7" t="s">
        <v>244</v>
      </c>
      <c r="B41" s="168"/>
      <c r="C41" s="168"/>
      <c r="D41" s="168"/>
      <c r="E41" s="168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7" t="s">
        <v>247</v>
      </c>
      <c r="B54" s="168"/>
      <c r="C54" s="168"/>
      <c r="D54" s="168"/>
      <c r="E54" s="168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4" t="s">
        <v>248</v>
      </c>
      <c r="B55" s="165"/>
      <c r="C55" s="165"/>
      <c r="D55" s="165"/>
      <c r="E55" s="165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7" t="s">
        <v>244</v>
      </c>
      <c r="B68" s="168"/>
      <c r="C68" s="168"/>
      <c r="D68" s="168"/>
      <c r="E68" s="168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7" t="s">
        <v>247</v>
      </c>
      <c r="B81" s="168"/>
      <c r="C81" s="168"/>
      <c r="D81" s="168"/>
      <c r="E81" s="168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4" t="s">
        <v>248</v>
      </c>
      <c r="B82" s="165"/>
      <c r="C82" s="165"/>
      <c r="D82" s="165"/>
      <c r="E82" s="165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7" t="s">
        <v>244</v>
      </c>
      <c r="B95" s="168"/>
      <c r="C95" s="168"/>
      <c r="D95" s="168"/>
      <c r="E95" s="168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7" t="s">
        <v>247</v>
      </c>
      <c r="B108" s="168"/>
      <c r="C108" s="168"/>
      <c r="D108" s="168"/>
      <c r="E108" s="168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4" t="s">
        <v>248</v>
      </c>
      <c r="B109" s="165"/>
      <c r="C109" s="165"/>
      <c r="D109" s="165"/>
      <c r="E109" s="165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7" t="s">
        <v>244</v>
      </c>
      <c r="B122" s="168"/>
      <c r="C122" s="168"/>
      <c r="D122" s="168"/>
      <c r="E122" s="168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7" t="s">
        <v>247</v>
      </c>
      <c r="B135" s="168"/>
      <c r="C135" s="168"/>
      <c r="D135" s="168"/>
      <c r="E135" s="168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4" t="s">
        <v>248</v>
      </c>
      <c r="B136" s="165"/>
      <c r="C136" s="165"/>
      <c r="D136" s="165"/>
      <c r="E136" s="165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7" t="s">
        <v>247</v>
      </c>
      <c r="B162" s="168"/>
      <c r="C162" s="168"/>
      <c r="D162" s="168"/>
      <c r="E162" s="168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4" t="s">
        <v>248</v>
      </c>
      <c r="B163" s="165"/>
      <c r="C163" s="165"/>
      <c r="D163" s="165"/>
      <c r="E163" s="165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7" t="s">
        <v>244</v>
      </c>
      <c r="B176" s="168"/>
      <c r="C176" s="168"/>
      <c r="D176" s="168"/>
      <c r="E176" s="168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7" t="s">
        <v>247</v>
      </c>
      <c r="B189" s="168"/>
      <c r="C189" s="168"/>
      <c r="D189" s="168"/>
      <c r="E189" s="168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4" t="s">
        <v>248</v>
      </c>
      <c r="B190" s="165"/>
      <c r="C190" s="165"/>
      <c r="D190" s="165"/>
      <c r="E190" s="165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7" t="s">
        <v>244</v>
      </c>
      <c r="B203" s="168"/>
      <c r="C203" s="168"/>
      <c r="D203" s="168"/>
      <c r="E203" s="168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7" t="s">
        <v>247</v>
      </c>
      <c r="B216" s="168"/>
      <c r="C216" s="168"/>
      <c r="D216" s="168"/>
      <c r="E216" s="168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4" t="s">
        <v>248</v>
      </c>
      <c r="B217" s="165"/>
      <c r="C217" s="165"/>
      <c r="D217" s="165"/>
      <c r="E217" s="165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7" t="s">
        <v>244</v>
      </c>
      <c r="B230" s="168"/>
      <c r="C230" s="168"/>
      <c r="D230" s="168"/>
      <c r="E230" s="168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7" t="s">
        <v>247</v>
      </c>
      <c r="B243" s="168"/>
      <c r="C243" s="168"/>
      <c r="D243" s="168"/>
      <c r="E243" s="168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4" t="s">
        <v>248</v>
      </c>
      <c r="B244" s="165"/>
      <c r="C244" s="165"/>
      <c r="D244" s="165"/>
      <c r="E244" s="165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7" t="s">
        <v>244</v>
      </c>
      <c r="B257" s="168"/>
      <c r="C257" s="168"/>
      <c r="D257" s="168"/>
      <c r="E257" s="168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7" t="s">
        <v>247</v>
      </c>
      <c r="B270" s="168"/>
      <c r="C270" s="168"/>
      <c r="D270" s="168"/>
      <c r="E270" s="168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4" t="s">
        <v>248</v>
      </c>
      <c r="B271" s="165"/>
      <c r="C271" s="165"/>
      <c r="D271" s="165"/>
      <c r="E271" s="165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7" t="s">
        <v>244</v>
      </c>
      <c r="B284" s="168"/>
      <c r="C284" s="168"/>
      <c r="D284" s="168"/>
      <c r="E284" s="168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7" t="s">
        <v>247</v>
      </c>
      <c r="B297" s="168"/>
      <c r="C297" s="168"/>
      <c r="D297" s="168"/>
      <c r="E297" s="168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4" t="s">
        <v>248</v>
      </c>
      <c r="B298" s="165"/>
      <c r="C298" s="165"/>
      <c r="D298" s="165"/>
      <c r="E298" s="165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7" t="s">
        <v>244</v>
      </c>
      <c r="B311" s="168"/>
      <c r="C311" s="168"/>
      <c r="D311" s="168"/>
      <c r="E311" s="168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7" t="s">
        <v>247</v>
      </c>
      <c r="B324" s="168"/>
      <c r="C324" s="168"/>
      <c r="D324" s="168"/>
      <c r="E324" s="168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4" t="s">
        <v>248</v>
      </c>
      <c r="B325" s="165"/>
      <c r="C325" s="165"/>
      <c r="D325" s="165"/>
      <c r="E325" s="165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7" t="s">
        <v>244</v>
      </c>
      <c r="B338" s="168"/>
      <c r="C338" s="168"/>
      <c r="D338" s="168"/>
      <c r="E338" s="168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7" t="s">
        <v>247</v>
      </c>
      <c r="B351" s="168"/>
      <c r="C351" s="168"/>
      <c r="D351" s="168"/>
      <c r="E351" s="168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4" t="s">
        <v>248</v>
      </c>
      <c r="B352" s="165"/>
      <c r="C352" s="165"/>
      <c r="D352" s="165"/>
      <c r="E352" s="165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96.600000000000009</v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121.80000000000001</v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/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/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79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331.8</v>
      </c>
      <c r="L365" s="37"/>
      <c r="M365" s="37"/>
      <c r="N365" s="37"/>
      <c r="O365" s="61"/>
      <c r="P365" s="61"/>
      <c r="Q365" s="38">
        <f ca="1">IFERROR(SUM(Q353:Q364),"")</f>
        <v>8.333333333333337E-2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7" t="s">
        <v>247</v>
      </c>
      <c r="B378" s="168"/>
      <c r="C378" s="168"/>
      <c r="D378" s="168"/>
      <c r="E378" s="168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4" t="s">
        <v>248</v>
      </c>
      <c r="B379" s="165"/>
      <c r="C379" s="165"/>
      <c r="D379" s="165"/>
      <c r="E379" s="165">
        <f>E365+E378</f>
        <v>0</v>
      </c>
      <c r="F379" s="112"/>
      <c r="G379" s="91">
        <f>G365+G378</f>
        <v>79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331.8</v>
      </c>
      <c r="L379" s="41"/>
      <c r="M379" s="41"/>
      <c r="N379" s="41"/>
      <c r="O379" s="63"/>
      <c r="P379" s="63"/>
      <c r="Q379" s="42">
        <f ca="1">IFERROR(Q365+Q378,"")</f>
        <v>8.333333333333337E-2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7" t="s">
        <v>244</v>
      </c>
      <c r="B392" s="168"/>
      <c r="C392" s="168"/>
      <c r="D392" s="168"/>
      <c r="E392" s="168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7" t="s">
        <v>247</v>
      </c>
      <c r="B405" s="168"/>
      <c r="C405" s="168"/>
      <c r="D405" s="168"/>
      <c r="E405" s="168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4" t="s">
        <v>248</v>
      </c>
      <c r="B406" s="165"/>
      <c r="C406" s="165"/>
      <c r="D406" s="165"/>
      <c r="E406" s="165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7" t="s">
        <v>244</v>
      </c>
      <c r="B419" s="168"/>
      <c r="C419" s="168"/>
      <c r="D419" s="168"/>
      <c r="E419" s="168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7" t="s">
        <v>247</v>
      </c>
      <c r="B432" s="168"/>
      <c r="C432" s="168"/>
      <c r="D432" s="168"/>
      <c r="E432" s="168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4" t="s">
        <v>248</v>
      </c>
      <c r="B433" s="165"/>
      <c r="C433" s="165"/>
      <c r="D433" s="165"/>
      <c r="E433" s="165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7" t="s">
        <v>244</v>
      </c>
      <c r="B446" s="168"/>
      <c r="C446" s="168"/>
      <c r="D446" s="168"/>
      <c r="E446" s="168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7" t="s">
        <v>247</v>
      </c>
      <c r="B459" s="168"/>
      <c r="C459" s="168"/>
      <c r="D459" s="168"/>
      <c r="E459" s="168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4" t="s">
        <v>248</v>
      </c>
      <c r="B460" s="165"/>
      <c r="C460" s="165"/>
      <c r="D460" s="165"/>
      <c r="E460" s="165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7" t="s">
        <v>244</v>
      </c>
      <c r="B473" s="168"/>
      <c r="C473" s="168"/>
      <c r="D473" s="168"/>
      <c r="E473" s="168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7" t="s">
        <v>247</v>
      </c>
      <c r="B486" s="168"/>
      <c r="C486" s="168"/>
      <c r="D486" s="168"/>
      <c r="E486" s="168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4" t="s">
        <v>248</v>
      </c>
      <c r="B487" s="165"/>
      <c r="C487" s="165"/>
      <c r="D487" s="165"/>
      <c r="E487" s="165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7" t="s">
        <v>244</v>
      </c>
      <c r="B500" s="168"/>
      <c r="C500" s="168"/>
      <c r="D500" s="168"/>
      <c r="E500" s="168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7" t="s">
        <v>247</v>
      </c>
      <c r="B513" s="168"/>
      <c r="C513" s="168"/>
      <c r="D513" s="168"/>
      <c r="E513" s="168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4" t="s">
        <v>248</v>
      </c>
      <c r="B514" s="165"/>
      <c r="C514" s="165"/>
      <c r="D514" s="165"/>
      <c r="E514" s="165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7" t="s">
        <v>244</v>
      </c>
      <c r="B527" s="168"/>
      <c r="C527" s="168"/>
      <c r="D527" s="168"/>
      <c r="E527" s="168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7" t="s">
        <v>247</v>
      </c>
      <c r="B540" s="168"/>
      <c r="C540" s="168"/>
      <c r="D540" s="168"/>
      <c r="E540" s="168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4" t="s">
        <v>248</v>
      </c>
      <c r="B541" s="165"/>
      <c r="C541" s="165"/>
      <c r="D541" s="165"/>
      <c r="E541" s="165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7" t="s">
        <v>244</v>
      </c>
      <c r="B554" s="168"/>
      <c r="C554" s="168"/>
      <c r="D554" s="168"/>
      <c r="E554" s="168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7" t="s">
        <v>247</v>
      </c>
      <c r="B567" s="168"/>
      <c r="C567" s="168"/>
      <c r="D567" s="168"/>
      <c r="E567" s="168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4" t="s">
        <v>248</v>
      </c>
      <c r="B568" s="165"/>
      <c r="C568" s="165"/>
      <c r="D568" s="165"/>
      <c r="E568" s="165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7" t="s">
        <v>244</v>
      </c>
      <c r="B581" s="168"/>
      <c r="C581" s="168"/>
      <c r="D581" s="168"/>
      <c r="E581" s="168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7" t="s">
        <v>247</v>
      </c>
      <c r="B594" s="168"/>
      <c r="C594" s="168"/>
      <c r="D594" s="168"/>
      <c r="E594" s="168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4" t="s">
        <v>248</v>
      </c>
      <c r="B595" s="165"/>
      <c r="C595" s="165"/>
      <c r="D595" s="165"/>
      <c r="E595" s="165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7" t="s">
        <v>244</v>
      </c>
      <c r="B608" s="168"/>
      <c r="C608" s="168"/>
      <c r="D608" s="168"/>
      <c r="E608" s="168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7" t="s">
        <v>247</v>
      </c>
      <c r="B621" s="168"/>
      <c r="C621" s="168"/>
      <c r="D621" s="168"/>
      <c r="E621" s="168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4" t="s">
        <v>248</v>
      </c>
      <c r="B622" s="165"/>
      <c r="C622" s="165"/>
      <c r="D622" s="165"/>
      <c r="E622" s="165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7" t="s">
        <v>244</v>
      </c>
      <c r="B635" s="168"/>
      <c r="C635" s="168"/>
      <c r="D635" s="168"/>
      <c r="E635" s="168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7" t="s">
        <v>247</v>
      </c>
      <c r="B648" s="168"/>
      <c r="C648" s="168"/>
      <c r="D648" s="168"/>
      <c r="E648" s="168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4" t="s">
        <v>248</v>
      </c>
      <c r="B649" s="165"/>
      <c r="C649" s="165"/>
      <c r="D649" s="165"/>
      <c r="E649" s="165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7" t="s">
        <v>244</v>
      </c>
      <c r="B662" s="168"/>
      <c r="C662" s="168"/>
      <c r="D662" s="168"/>
      <c r="E662" s="168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7" t="s">
        <v>247</v>
      </c>
      <c r="B675" s="168"/>
      <c r="C675" s="168"/>
      <c r="D675" s="168"/>
      <c r="E675" s="168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4" t="s">
        <v>248</v>
      </c>
      <c r="B676" s="165"/>
      <c r="C676" s="165"/>
      <c r="D676" s="165"/>
      <c r="E676" s="165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7" t="s">
        <v>244</v>
      </c>
      <c r="B689" s="168"/>
      <c r="C689" s="168"/>
      <c r="D689" s="168"/>
      <c r="E689" s="168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7" t="s">
        <v>247</v>
      </c>
      <c r="B702" s="168"/>
      <c r="C702" s="168"/>
      <c r="D702" s="168"/>
      <c r="E702" s="168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4" t="s">
        <v>248</v>
      </c>
      <c r="B703" s="165"/>
      <c r="C703" s="165"/>
      <c r="D703" s="165"/>
      <c r="E703" s="165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7" t="s">
        <v>244</v>
      </c>
      <c r="B716" s="168"/>
      <c r="C716" s="168"/>
      <c r="D716" s="168"/>
      <c r="E716" s="168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7" t="s">
        <v>247</v>
      </c>
      <c r="B729" s="168"/>
      <c r="C729" s="168"/>
      <c r="D729" s="168"/>
      <c r="E729" s="168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4" t="s">
        <v>248</v>
      </c>
      <c r="B730" s="165"/>
      <c r="C730" s="165"/>
      <c r="D730" s="165"/>
      <c r="E730" s="165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7" t="s">
        <v>244</v>
      </c>
      <c r="B743" s="168"/>
      <c r="C743" s="168"/>
      <c r="D743" s="168"/>
      <c r="E743" s="168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7" t="s">
        <v>247</v>
      </c>
      <c r="B756" s="168"/>
      <c r="C756" s="168"/>
      <c r="D756" s="168"/>
      <c r="E756" s="168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4" t="s">
        <v>248</v>
      </c>
      <c r="B757" s="165"/>
      <c r="C757" s="165"/>
      <c r="D757" s="165"/>
      <c r="E757" s="165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7" t="s">
        <v>244</v>
      </c>
      <c r="B770" s="168"/>
      <c r="C770" s="168"/>
      <c r="D770" s="168"/>
      <c r="E770" s="168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7" t="s">
        <v>247</v>
      </c>
      <c r="B783" s="168"/>
      <c r="C783" s="168"/>
      <c r="D783" s="168"/>
      <c r="E783" s="168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4" t="s">
        <v>248</v>
      </c>
      <c r="B784" s="165"/>
      <c r="C784" s="165"/>
      <c r="D784" s="165"/>
      <c r="E784" s="165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7" t="s">
        <v>244</v>
      </c>
      <c r="B797" s="168"/>
      <c r="C797" s="168"/>
      <c r="D797" s="168"/>
      <c r="E797" s="168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7" t="s">
        <v>247</v>
      </c>
      <c r="B810" s="168"/>
      <c r="C810" s="168"/>
      <c r="D810" s="168"/>
      <c r="E810" s="168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4" t="s">
        <v>248</v>
      </c>
      <c r="B811" s="165"/>
      <c r="C811" s="165"/>
      <c r="D811" s="165"/>
      <c r="E811" s="165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7" t="s">
        <v>244</v>
      </c>
      <c r="B824" s="168"/>
      <c r="C824" s="168"/>
      <c r="D824" s="168"/>
      <c r="E824" s="168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7" t="s">
        <v>247</v>
      </c>
      <c r="B837" s="168"/>
      <c r="C837" s="168"/>
      <c r="D837" s="168"/>
      <c r="E837" s="168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4" t="s">
        <v>248</v>
      </c>
      <c r="B838" s="165"/>
      <c r="C838" s="165"/>
      <c r="D838" s="165"/>
      <c r="E838" s="165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2026-08-14T16:30:47Z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