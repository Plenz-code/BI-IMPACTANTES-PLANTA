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45" documentId="8_{C51EB6CB-002B-4D6B-B68F-DDEBDB4460C0}" xr6:coauthVersionLast="47" xr6:coauthVersionMax="47" xr10:uidLastSave="{4A1AFADC-DF3A-4BBC-B0C2-FC3EF44D903B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<sst xmlns="http://schemas.openxmlformats.org/spreadsheetml/2006/main" count="5846" uniqueCount="341">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</sst>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F313" sqref="F31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15</v>
      </c>
      <c r="G312" s="28">
        <f t="shared" ref="G312:G323" si="69">IF(F312="","",IF(E312="PC 17",F312*4.2,IF(E312="PC 19",F312*5,IF(E312="CB",F312*35,""))))</f>
        <v>75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</v>
      </c>
      <c r="G324" s="36">
        <f>SUM(G312:G323)</f>
        <v>75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448</v>
      </c>
      <c r="G325" s="40">
        <f>G311+G324</f>
        <v>2240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5" sqref="F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0.81091585647664033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0.94980474536552917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1.0345269675877515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51</v>
      </c>
      <c r="G324" s="36">
        <f>SUM(G312:G323)</f>
        <v>224.60000000000002</v>
      </c>
      <c r="H324" s="37"/>
      <c r="I324" s="37"/>
      <c r="J324" s="37"/>
      <c r="K324" s="37"/>
      <c r="L324" s="37"/>
      <c r="M324" s="38">
        <f ca="1">IFERROR(SUM(M312:M323),"")</f>
        <v>2.3611111111111027E-2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220</v>
      </c>
      <c r="G325" s="40">
        <f>G311+G324</f>
        <v>934.4</v>
      </c>
      <c r="H325" s="41"/>
      <c r="I325" s="41"/>
      <c r="J325" s="41"/>
      <c r="K325" s="41"/>
      <c r="L325" s="41"/>
      <c r="M325" s="42">
        <f ca="1">IFERROR(M311+M324,"")</f>
        <v>7.7083333333333171E-2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5" sqref="F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0.73799918981239898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0.79980474536795454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0.86091585647906577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</v>
      </c>
      <c r="G324" s="36">
        <f>SUM(G312:G323)</f>
        <v>95.6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145</v>
      </c>
      <c r="G325" s="40">
        <f>G311+G324</f>
        <v>612.19999999999993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15" sqref="F31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75</v>
      </c>
      <c r="G324" s="36">
        <f>SUM(G312:G323)</f>
        <v>328.6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267</v>
      </c>
      <c r="G325" s="40">
        <f>G311+G324</f>
        <v>1135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2026-08-13T02:22:43Z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