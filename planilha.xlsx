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435" documentId="13_ncr:1_{0A10D8D4-8450-4366-8075-B53B08E6B7EA}" xr6:coauthVersionLast="47" xr6:coauthVersionMax="47" xr10:uidLastSave="{057BDD65-D914-4288-9871-3BBC46B93CF3}"/>
  <bookViews>
    <workbookView xWindow="-28920" yWindow="-6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339" i="6"/>
  <c r="J340" i="6"/>
  <c r="J341" i="6"/>
  <c r="J342" i="6"/>
  <c r="J343" i="6"/>
  <c r="J344" i="6"/>
  <c r="J34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39" i="6"/>
  <c r="H340" i="6"/>
  <c r="H341" i="6"/>
  <c r="H342" i="6"/>
  <c r="H343" i="6"/>
  <c r="H344" i="6"/>
  <c r="H345" i="6"/>
  <c r="H346" i="6"/>
  <c r="J346" i="6" s="1"/>
  <c r="H347" i="6"/>
  <c r="J347" i="6" s="1"/>
  <c r="H348" i="6"/>
  <c r="J348" i="6" s="1"/>
  <c r="H349" i="6"/>
  <c r="J349" i="6" s="1"/>
  <c r="H350" i="6"/>
  <c r="J350" i="6" s="1"/>
  <c r="H337" i="6"/>
  <c r="J33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36" i="5"/>
  <c r="J336" i="5" s="1"/>
  <c r="H337" i="5"/>
  <c r="J33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37" i="4"/>
  <c r="J33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51" i="6"/>
  <c r="T351" i="6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351" i="4"/>
  <c r="T351" i="4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351" i="5"/>
  <c r="T351" i="5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5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51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51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H336" i="4" s="1"/>
  <c r="J336" i="4" s="1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34" i="5" l="1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<sst xmlns="http://schemas.openxmlformats.org/spreadsheetml/2006/main" count="5939" uniqueCount="340">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</sst>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3" fontId="29" fillId="11" borderId="2" xfId="0" applyNumberFormat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2" sqref="G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59" t="s">
        <v>0</v>
      </c>
      <c r="B1" s="160"/>
      <c r="C1" s="160"/>
      <c r="D1" s="160"/>
      <c r="E1" s="160"/>
      <c r="F1" s="160"/>
      <c r="G1" s="160"/>
      <c r="H1" s="160"/>
      <c r="I1" s="160"/>
      <c r="J1" s="160"/>
    </row>
    <row r="2" spans="1:10" ht="24.75" customHeight="1">
      <c r="A2" s="157"/>
      <c r="B2" s="15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0</v>
      </c>
      <c r="D16" s="8">
        <f>IFERROR('Linha 1'!S352,"")</f>
        <v>0</v>
      </c>
      <c r="E16" s="8">
        <f>IFERROR('Linha 2'!S352,"")</f>
        <v>0</v>
      </c>
      <c r="F16" s="8">
        <f>IFERROR('Linha 3'!S352,"")</f>
        <v>0</v>
      </c>
      <c r="G16" s="9">
        <f t="shared" si="0"/>
        <v>0</v>
      </c>
      <c r="H16" s="96">
        <f>IFERROR('Linha 1'!T352+'Linha 2'!T352+'Linha 3'!T352,0)</f>
        <v>0</v>
      </c>
      <c r="I16" s="96"/>
      <c r="J16" s="129" t="str">
        <f t="shared" si="1"/>
        <v>-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58" t="s">
        <v>12</v>
      </c>
      <c r="B35" s="158"/>
      <c r="C35" s="13">
        <f t="shared" ref="C35:H35" si="2">IFERROR(SUM(C4:C34),"")</f>
        <v>42278010</v>
      </c>
      <c r="D35" s="13">
        <f t="shared" si="2"/>
        <v>14325530</v>
      </c>
      <c r="E35" s="13">
        <f t="shared" si="2"/>
        <v>7129520</v>
      </c>
      <c r="F35" s="13">
        <f t="shared" si="2"/>
        <v>17552120</v>
      </c>
      <c r="G35" s="13">
        <f t="shared" si="2"/>
        <v>39007170</v>
      </c>
      <c r="H35" s="97">
        <f t="shared" si="2"/>
        <v>682.96512154031052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13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14</v>
      </c>
      <c r="O1" s="163"/>
      <c r="P1" s="163"/>
      <c r="Q1" s="163"/>
      <c r="R1" s="163"/>
    </row>
    <row r="2" spans="1:18" ht="4.5" customHeight="1">
      <c r="M2" s="162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2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2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2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2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2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2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2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2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2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2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2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2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2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2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2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2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2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2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2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2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2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2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2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2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2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2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2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2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2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2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2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2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2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2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2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2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2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2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2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2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2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2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2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2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2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2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2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2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2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2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2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2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2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2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2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2"/>
      <c r="N58" s="16"/>
      <c r="O58" s="16"/>
      <c r="P58" s="16" t="s">
        <v>214</v>
      </c>
      <c r="Q58" s="16"/>
      <c r="R58" s="16"/>
    </row>
    <row r="59" spans="1:18" ht="15" customHeight="1">
      <c r="M59" s="162"/>
      <c r="N59" s="17"/>
      <c r="O59" s="17"/>
      <c r="P59" s="17" t="s">
        <v>215</v>
      </c>
      <c r="Q59" s="17"/>
      <c r="R59" s="17"/>
    </row>
    <row r="60" spans="1:18" ht="15" customHeight="1">
      <c r="M60" s="162"/>
      <c r="N60" s="16"/>
      <c r="O60" s="16"/>
      <c r="P60" s="77" t="s">
        <v>110</v>
      </c>
      <c r="Q60" s="16"/>
      <c r="R60" s="16"/>
    </row>
    <row r="61" spans="1:18" ht="15" customHeight="1">
      <c r="M61" s="162"/>
      <c r="N61" s="17"/>
      <c r="O61" s="17"/>
      <c r="P61" s="17" t="s">
        <v>216</v>
      </c>
      <c r="Q61" s="17"/>
      <c r="R61" s="17"/>
    </row>
    <row r="62" spans="1:18" ht="15" customHeight="1">
      <c r="M62" s="162"/>
      <c r="N62" s="16"/>
      <c r="O62" s="16"/>
      <c r="P62" s="16" t="s">
        <v>217</v>
      </c>
      <c r="Q62" s="16"/>
      <c r="R62" s="16"/>
    </row>
    <row r="63" spans="1:18" ht="15" customHeight="1">
      <c r="M63" s="162"/>
      <c r="N63" s="17"/>
      <c r="O63" s="17"/>
      <c r="P63" s="17" t="s">
        <v>218</v>
      </c>
      <c r="Q63" s="17"/>
      <c r="R63" s="17"/>
    </row>
    <row r="64" spans="1:18" ht="15" customHeight="1">
      <c r="M64" s="162"/>
      <c r="N64" s="16"/>
      <c r="O64" s="16"/>
      <c r="P64" s="16" t="s">
        <v>219</v>
      </c>
      <c r="Q64" s="16"/>
      <c r="R64" s="16"/>
    </row>
    <row r="65" spans="13:18" ht="15" customHeight="1">
      <c r="M65" s="162"/>
      <c r="N65" s="17"/>
      <c r="O65" s="17"/>
      <c r="P65" s="17" t="s">
        <v>220</v>
      </c>
      <c r="Q65" s="17"/>
      <c r="R65" s="17"/>
    </row>
    <row r="66" spans="13:18" ht="15" customHeight="1">
      <c r="M66" s="162"/>
      <c r="N66" s="16"/>
      <c r="O66" s="16"/>
      <c r="P66" s="16" t="s">
        <v>221</v>
      </c>
      <c r="Q66" s="16"/>
      <c r="R66" s="16"/>
    </row>
    <row r="67" spans="13:18" ht="15" customHeight="1">
      <c r="M67" s="162"/>
      <c r="N67" s="17"/>
      <c r="O67" s="17"/>
      <c r="P67" s="17" t="s">
        <v>222</v>
      </c>
      <c r="Q67" s="17"/>
      <c r="R67" s="17"/>
    </row>
    <row r="68" spans="13:18" ht="15" customHeight="1">
      <c r="M68" s="162"/>
      <c r="N68" s="16"/>
      <c r="O68" s="16"/>
      <c r="P68" s="16" t="s">
        <v>223</v>
      </c>
      <c r="Q68" s="16"/>
      <c r="R68" s="16"/>
    </row>
    <row r="69" spans="13:18" ht="15" customHeight="1">
      <c r="M69" s="162"/>
      <c r="N69" s="17"/>
      <c r="O69" s="17"/>
      <c r="P69" s="17" t="s">
        <v>224</v>
      </c>
      <c r="Q69" s="17"/>
      <c r="R69" s="17"/>
    </row>
    <row r="70" spans="13:18" ht="15" customHeight="1">
      <c r="M70" s="162"/>
      <c r="N70" s="16"/>
      <c r="O70" s="16"/>
      <c r="P70" s="16" t="s">
        <v>225</v>
      </c>
      <c r="Q70" s="16"/>
      <c r="R70" s="16"/>
    </row>
    <row r="71" spans="13:18" ht="15" customHeight="1">
      <c r="M71" s="162"/>
      <c r="N71" s="17"/>
      <c r="O71" s="17"/>
      <c r="P71" s="17" t="s">
        <v>226</v>
      </c>
      <c r="Q71" s="17"/>
      <c r="R71" s="17"/>
    </row>
    <row r="72" spans="13:18" ht="15" customHeight="1">
      <c r="M72" s="162"/>
      <c r="N72" s="16"/>
      <c r="O72" s="16"/>
      <c r="P72" s="16" t="s">
        <v>227</v>
      </c>
      <c r="Q72" s="16"/>
      <c r="R72" s="16"/>
    </row>
    <row r="73" spans="13:18" ht="15" customHeight="1">
      <c r="M73" s="162"/>
      <c r="N73" s="17"/>
      <c r="O73" s="17"/>
      <c r="P73" s="17" t="s">
        <v>228</v>
      </c>
      <c r="Q73" s="17"/>
      <c r="R73" s="17"/>
    </row>
    <row r="74" spans="13:18" ht="15" customHeight="1">
      <c r="M74" s="162"/>
      <c r="N74" s="16"/>
      <c r="O74" s="16"/>
      <c r="P74" s="16" t="s">
        <v>229</v>
      </c>
      <c r="Q74" s="16"/>
      <c r="R74" s="16"/>
    </row>
    <row r="75" spans="13:18" ht="15" customHeight="1">
      <c r="M75" s="162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319" activePane="bottomLeft" state="frozen"/>
      <selection pane="bottomLeft" activeCell="F338" sqref="F338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1" t="s">
        <v>241</v>
      </c>
      <c r="B14" s="152"/>
      <c r="C14" s="152"/>
      <c r="D14" s="152"/>
      <c r="E14" s="164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1" t="s">
        <v>244</v>
      </c>
      <c r="B27" s="152"/>
      <c r="C27" s="152"/>
      <c r="D27" s="152"/>
      <c r="E27" s="164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3" t="s">
        <v>245</v>
      </c>
      <c r="B28" s="154"/>
      <c r="C28" s="154"/>
      <c r="D28" s="154"/>
      <c r="E28" s="16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1" t="s">
        <v>241</v>
      </c>
      <c r="B41" s="152"/>
      <c r="C41" s="152"/>
      <c r="D41" s="152"/>
      <c r="E41" s="164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1" t="s">
        <v>244</v>
      </c>
      <c r="B54" s="152"/>
      <c r="C54" s="152"/>
      <c r="D54" s="152"/>
      <c r="E54" s="164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3" t="s">
        <v>245</v>
      </c>
      <c r="B55" s="154"/>
      <c r="C55" s="154"/>
      <c r="D55" s="154"/>
      <c r="E55" s="16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1" t="s">
        <v>241</v>
      </c>
      <c r="B68" s="152"/>
      <c r="C68" s="152"/>
      <c r="D68" s="152"/>
      <c r="E68" s="164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1" t="s">
        <v>244</v>
      </c>
      <c r="B81" s="152"/>
      <c r="C81" s="152"/>
      <c r="D81" s="152"/>
      <c r="E81" s="164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3" t="s">
        <v>245</v>
      </c>
      <c r="B82" s="154"/>
      <c r="C82" s="154"/>
      <c r="D82" s="154"/>
      <c r="E82" s="16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1" t="s">
        <v>241</v>
      </c>
      <c r="B95" s="152"/>
      <c r="C95" s="152"/>
      <c r="D95" s="152"/>
      <c r="E95" s="164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1" t="s">
        <v>244</v>
      </c>
      <c r="B108" s="152"/>
      <c r="C108" s="152"/>
      <c r="D108" s="152"/>
      <c r="E108" s="164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3" t="s">
        <v>245</v>
      </c>
      <c r="B109" s="154"/>
      <c r="C109" s="154"/>
      <c r="D109" s="154"/>
      <c r="E109" s="16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1" t="s">
        <v>241</v>
      </c>
      <c r="B122" s="152"/>
      <c r="C122" s="152"/>
      <c r="D122" s="152"/>
      <c r="E122" s="164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1" t="s">
        <v>244</v>
      </c>
      <c r="B135" s="152"/>
      <c r="C135" s="152"/>
      <c r="D135" s="152"/>
      <c r="E135" s="164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3" t="s">
        <v>245</v>
      </c>
      <c r="B136" s="154"/>
      <c r="C136" s="154"/>
      <c r="D136" s="154"/>
      <c r="E136" s="16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1" t="s">
        <v>241</v>
      </c>
      <c r="B149" s="152"/>
      <c r="C149" s="152"/>
      <c r="D149" s="152"/>
      <c r="E149" s="164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1" t="s">
        <v>244</v>
      </c>
      <c r="B162" s="152"/>
      <c r="C162" s="152"/>
      <c r="D162" s="152"/>
      <c r="E162" s="164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3" t="s">
        <v>245</v>
      </c>
      <c r="B163" s="154"/>
      <c r="C163" s="154"/>
      <c r="D163" s="154"/>
      <c r="E163" s="16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1" t="s">
        <v>241</v>
      </c>
      <c r="B176" s="152"/>
      <c r="C176" s="152"/>
      <c r="D176" s="152"/>
      <c r="E176" s="164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1" t="s">
        <v>244</v>
      </c>
      <c r="B189" s="152"/>
      <c r="C189" s="152"/>
      <c r="D189" s="152"/>
      <c r="E189" s="164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3" t="s">
        <v>245</v>
      </c>
      <c r="B190" s="154"/>
      <c r="C190" s="154"/>
      <c r="D190" s="154"/>
      <c r="E190" s="16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1" t="s">
        <v>241</v>
      </c>
      <c r="B203" s="152"/>
      <c r="C203" s="152"/>
      <c r="D203" s="152"/>
      <c r="E203" s="164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1" t="s">
        <v>244</v>
      </c>
      <c r="B216" s="152"/>
      <c r="C216" s="152"/>
      <c r="D216" s="152"/>
      <c r="E216" s="164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3" t="s">
        <v>245</v>
      </c>
      <c r="B217" s="154"/>
      <c r="C217" s="154"/>
      <c r="D217" s="154"/>
      <c r="E217" s="16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5" t="s">
        <v>241</v>
      </c>
      <c r="B230" s="156"/>
      <c r="C230" s="156"/>
      <c r="D230" s="156"/>
      <c r="E230" s="166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1" t="s">
        <v>244</v>
      </c>
      <c r="B243" s="152"/>
      <c r="C243" s="152"/>
      <c r="D243" s="152"/>
      <c r="E243" s="164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3" t="s">
        <v>245</v>
      </c>
      <c r="B244" s="154"/>
      <c r="C244" s="154"/>
      <c r="D244" s="154"/>
      <c r="E244" s="16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1" t="s">
        <v>241</v>
      </c>
      <c r="B257" s="152"/>
      <c r="C257" s="152"/>
      <c r="D257" s="152"/>
      <c r="E257" s="164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1" t="s">
        <v>244</v>
      </c>
      <c r="B270" s="152"/>
      <c r="C270" s="152"/>
      <c r="D270" s="152"/>
      <c r="E270" s="164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3" t="s">
        <v>245</v>
      </c>
      <c r="B271" s="154"/>
      <c r="C271" s="154"/>
      <c r="D271" s="154"/>
      <c r="E271" s="16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1" t="s">
        <v>241</v>
      </c>
      <c r="B284" s="152"/>
      <c r="C284" s="152"/>
      <c r="D284" s="152"/>
      <c r="E284" s="164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1" t="s">
        <v>244</v>
      </c>
      <c r="B297" s="152"/>
      <c r="C297" s="152"/>
      <c r="D297" s="152"/>
      <c r="E297" s="164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3" t="s">
        <v>245</v>
      </c>
      <c r="B298" s="154"/>
      <c r="C298" s="154"/>
      <c r="D298" s="154"/>
      <c r="E298" s="16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1" t="s">
        <v>241</v>
      </c>
      <c r="B311" s="152"/>
      <c r="C311" s="152"/>
      <c r="D311" s="152"/>
      <c r="E311" s="164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1" t="s">
        <v>244</v>
      </c>
      <c r="B324" s="152"/>
      <c r="C324" s="152"/>
      <c r="D324" s="152"/>
      <c r="E324" s="164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3" t="s">
        <v>245</v>
      </c>
      <c r="B325" s="154"/>
      <c r="C325" s="154"/>
      <c r="D325" s="154"/>
      <c r="E325" s="16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0</v>
      </c>
      <c r="G337" s="34">
        <f t="shared" si="67"/>
        <v>0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1" t="s">
        <v>241</v>
      </c>
      <c r="B338" s="152"/>
      <c r="C338" s="152"/>
      <c r="D338" s="152"/>
      <c r="E338" s="164">
        <f>SUM(E326:E337)</f>
        <v>0</v>
      </c>
      <c r="F338" s="36">
        <f>SUM(F326:F337)</f>
        <v>195</v>
      </c>
      <c r="G338" s="36">
        <f>SUM(G326:G337)</f>
        <v>975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/>
    </row>
    <row r="339" spans="1:15" ht="15" customHeight="1">
      <c r="A339" s="68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0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1">IFERROR(IF(K339="","",IF(L339="",MOD(NOW()-K339,1),IF(L339&gt;=K339,L339-K339,L339+1-K339))),"")</f>
        <v/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/>
      <c r="D340" s="62"/>
      <c r="E340" s="62"/>
      <c r="F340" s="27"/>
      <c r="G340" s="28" t="str">
        <f t="shared" si="70"/>
        <v/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/>
      <c r="D341" s="62"/>
      <c r="E341" s="62"/>
      <c r="F341" s="27"/>
      <c r="G341" s="34" t="str">
        <f t="shared" si="70"/>
        <v/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/>
      <c r="D342" s="62"/>
      <c r="E342" s="62"/>
      <c r="F342" s="27"/>
      <c r="G342" s="28" t="str">
        <f t="shared" si="70"/>
        <v/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/>
      <c r="D343" s="62"/>
      <c r="E343" s="62"/>
      <c r="F343" s="27"/>
      <c r="G343" s="34" t="str">
        <f t="shared" si="70"/>
        <v/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/>
      <c r="D344" s="62"/>
      <c r="E344" s="62"/>
      <c r="F344" s="27"/>
      <c r="G344" s="28" t="str">
        <f t="shared" si="70"/>
        <v/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/>
      <c r="D345" s="62"/>
      <c r="E345" s="62"/>
      <c r="F345" s="27"/>
      <c r="G345" s="34" t="str">
        <f t="shared" si="70"/>
        <v/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/>
      <c r="D346" s="62"/>
      <c r="E346" s="62"/>
      <c r="F346" s="27"/>
      <c r="G346" s="28" t="str">
        <f t="shared" si="70"/>
        <v/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/>
      <c r="D347" s="62"/>
      <c r="E347" s="62"/>
      <c r="F347" s="27"/>
      <c r="G347" s="34" t="str">
        <f t="shared" si="70"/>
        <v/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/>
      <c r="D348" s="62"/>
      <c r="E348" s="62"/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/>
      <c r="D349" s="62"/>
      <c r="E349" s="62"/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/>
      <c r="D350" s="62"/>
      <c r="E350" s="62"/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1" t="s">
        <v>244</v>
      </c>
      <c r="B351" s="152"/>
      <c r="C351" s="152"/>
      <c r="D351" s="152"/>
      <c r="E351" s="16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242</v>
      </c>
      <c r="O351" s="39"/>
    </row>
    <row r="352" spans="1:15" ht="18" customHeight="1">
      <c r="A352" s="153" t="s">
        <v>245</v>
      </c>
      <c r="B352" s="154"/>
      <c r="C352" s="154"/>
      <c r="D352" s="154"/>
      <c r="E352" s="165">
        <f>E338+E351</f>
        <v>0</v>
      </c>
      <c r="F352" s="40">
        <f>F338+F351</f>
        <v>195</v>
      </c>
      <c r="G352" s="40">
        <f>G338+G351</f>
        <v>975</v>
      </c>
      <c r="H352" s="41"/>
      <c r="I352" s="41"/>
      <c r="J352" s="41"/>
      <c r="K352" s="41"/>
      <c r="L352" s="41"/>
      <c r="M352" s="42">
        <f ca="1">IFERROR(M338+M351,"")</f>
        <v>7.7083333333333393E-2</v>
      </c>
      <c r="N352" s="40" t="s">
        <v>246</v>
      </c>
      <c r="O352" s="48">
        <f>IFERROR(O338+O351,"")</f>
        <v>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1" t="s">
        <v>241</v>
      </c>
      <c r="B365" s="152"/>
      <c r="C365" s="152"/>
      <c r="D365" s="152"/>
      <c r="E365" s="16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1" t="s">
        <v>244</v>
      </c>
      <c r="B378" s="152"/>
      <c r="C378" s="152"/>
      <c r="D378" s="152"/>
      <c r="E378" s="16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3" t="s">
        <v>245</v>
      </c>
      <c r="B379" s="154"/>
      <c r="C379" s="154"/>
      <c r="D379" s="154"/>
      <c r="E379" s="16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1" t="s">
        <v>241</v>
      </c>
      <c r="B392" s="152"/>
      <c r="C392" s="152"/>
      <c r="D392" s="152"/>
      <c r="E392" s="16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1" t="s">
        <v>244</v>
      </c>
      <c r="B405" s="152"/>
      <c r="C405" s="152"/>
      <c r="D405" s="152"/>
      <c r="E405" s="16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3" t="s">
        <v>245</v>
      </c>
      <c r="B406" s="154"/>
      <c r="C406" s="154"/>
      <c r="D406" s="154"/>
      <c r="E406" s="16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1" t="s">
        <v>241</v>
      </c>
      <c r="B419" s="152"/>
      <c r="C419" s="152"/>
      <c r="D419" s="152"/>
      <c r="E419" s="16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1" t="s">
        <v>244</v>
      </c>
      <c r="B432" s="152"/>
      <c r="C432" s="152"/>
      <c r="D432" s="152"/>
      <c r="E432" s="16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3" t="s">
        <v>245</v>
      </c>
      <c r="B433" s="154"/>
      <c r="C433" s="154"/>
      <c r="D433" s="154"/>
      <c r="E433" s="16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1" t="s">
        <v>241</v>
      </c>
      <c r="B446" s="152"/>
      <c r="C446" s="152"/>
      <c r="D446" s="152"/>
      <c r="E446" s="16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1" t="s">
        <v>244</v>
      </c>
      <c r="B459" s="152"/>
      <c r="C459" s="152"/>
      <c r="D459" s="152"/>
      <c r="E459" s="16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3" t="s">
        <v>245</v>
      </c>
      <c r="B460" s="154"/>
      <c r="C460" s="154"/>
      <c r="D460" s="154"/>
      <c r="E460" s="16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1" t="s">
        <v>241</v>
      </c>
      <c r="B473" s="152"/>
      <c r="C473" s="152"/>
      <c r="D473" s="152"/>
      <c r="E473" s="16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1" t="s">
        <v>244</v>
      </c>
      <c r="B486" s="152"/>
      <c r="C486" s="152"/>
      <c r="D486" s="152"/>
      <c r="E486" s="16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3" t="s">
        <v>245</v>
      </c>
      <c r="B487" s="154"/>
      <c r="C487" s="154"/>
      <c r="D487" s="154"/>
      <c r="E487" s="16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1" t="s">
        <v>241</v>
      </c>
      <c r="B500" s="152"/>
      <c r="C500" s="152"/>
      <c r="D500" s="152"/>
      <c r="E500" s="16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1" t="s">
        <v>244</v>
      </c>
      <c r="B513" s="152"/>
      <c r="C513" s="152"/>
      <c r="D513" s="152"/>
      <c r="E513" s="16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3" t="s">
        <v>245</v>
      </c>
      <c r="B514" s="154"/>
      <c r="C514" s="154"/>
      <c r="D514" s="154"/>
      <c r="E514" s="16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1" t="s">
        <v>241</v>
      </c>
      <c r="B527" s="152"/>
      <c r="C527" s="152"/>
      <c r="D527" s="152"/>
      <c r="E527" s="16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1" t="s">
        <v>244</v>
      </c>
      <c r="B540" s="152"/>
      <c r="C540" s="152"/>
      <c r="D540" s="152"/>
      <c r="E540" s="16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3" t="s">
        <v>245</v>
      </c>
      <c r="B541" s="154"/>
      <c r="C541" s="154"/>
      <c r="D541" s="154"/>
      <c r="E541" s="16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1" t="s">
        <v>241</v>
      </c>
      <c r="B554" s="152"/>
      <c r="C554" s="152"/>
      <c r="D554" s="152"/>
      <c r="E554" s="16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1" t="s">
        <v>244</v>
      </c>
      <c r="B567" s="152"/>
      <c r="C567" s="152"/>
      <c r="D567" s="152"/>
      <c r="E567" s="16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3" t="s">
        <v>245</v>
      </c>
      <c r="B568" s="154"/>
      <c r="C568" s="154"/>
      <c r="D568" s="154"/>
      <c r="E568" s="16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1" t="s">
        <v>241</v>
      </c>
      <c r="B581" s="152"/>
      <c r="C581" s="152"/>
      <c r="D581" s="152"/>
      <c r="E581" s="16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1" t="s">
        <v>244</v>
      </c>
      <c r="B594" s="152"/>
      <c r="C594" s="152"/>
      <c r="D594" s="152"/>
      <c r="E594" s="16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3" t="s">
        <v>245</v>
      </c>
      <c r="B595" s="154"/>
      <c r="C595" s="154"/>
      <c r="D595" s="154"/>
      <c r="E595" s="16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1" t="s">
        <v>241</v>
      </c>
      <c r="B608" s="152"/>
      <c r="C608" s="152"/>
      <c r="D608" s="152"/>
      <c r="E608" s="16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1" t="s">
        <v>244</v>
      </c>
      <c r="B621" s="152"/>
      <c r="C621" s="152"/>
      <c r="D621" s="152"/>
      <c r="E621" s="16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3" t="s">
        <v>245</v>
      </c>
      <c r="B622" s="154"/>
      <c r="C622" s="154"/>
      <c r="D622" s="154"/>
      <c r="E622" s="16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1" t="s">
        <v>241</v>
      </c>
      <c r="B635" s="152"/>
      <c r="C635" s="152"/>
      <c r="D635" s="152"/>
      <c r="E635" s="16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1" t="s">
        <v>244</v>
      </c>
      <c r="B648" s="152"/>
      <c r="C648" s="152"/>
      <c r="D648" s="152"/>
      <c r="E648" s="16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3" t="s">
        <v>245</v>
      </c>
      <c r="B649" s="154"/>
      <c r="C649" s="154"/>
      <c r="D649" s="154"/>
      <c r="E649" s="16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1" t="s">
        <v>241</v>
      </c>
      <c r="B662" s="152"/>
      <c r="C662" s="152"/>
      <c r="D662" s="152"/>
      <c r="E662" s="16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1" t="s">
        <v>244</v>
      </c>
      <c r="B675" s="152"/>
      <c r="C675" s="152"/>
      <c r="D675" s="152"/>
      <c r="E675" s="16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3" t="s">
        <v>245</v>
      </c>
      <c r="B676" s="154"/>
      <c r="C676" s="154"/>
      <c r="D676" s="154"/>
      <c r="E676" s="16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1" t="s">
        <v>241</v>
      </c>
      <c r="B689" s="152"/>
      <c r="C689" s="152"/>
      <c r="D689" s="152"/>
      <c r="E689" s="16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1" t="s">
        <v>244</v>
      </c>
      <c r="B702" s="152"/>
      <c r="C702" s="152"/>
      <c r="D702" s="152"/>
      <c r="E702" s="16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3" t="s">
        <v>245</v>
      </c>
      <c r="B703" s="154"/>
      <c r="C703" s="154"/>
      <c r="D703" s="154"/>
      <c r="E703" s="16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1" t="s">
        <v>241</v>
      </c>
      <c r="B716" s="152"/>
      <c r="C716" s="152"/>
      <c r="D716" s="152"/>
      <c r="E716" s="16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1" t="s">
        <v>244</v>
      </c>
      <c r="B729" s="152"/>
      <c r="C729" s="152"/>
      <c r="D729" s="152"/>
      <c r="E729" s="16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3" t="s">
        <v>245</v>
      </c>
      <c r="B730" s="154"/>
      <c r="C730" s="154"/>
      <c r="D730" s="154"/>
      <c r="E730" s="16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1" t="s">
        <v>241</v>
      </c>
      <c r="B743" s="152"/>
      <c r="C743" s="152"/>
      <c r="D743" s="152"/>
      <c r="E743" s="16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1" t="s">
        <v>244</v>
      </c>
      <c r="B756" s="152"/>
      <c r="C756" s="152"/>
      <c r="D756" s="152"/>
      <c r="E756" s="16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3" t="s">
        <v>245</v>
      </c>
      <c r="B757" s="154"/>
      <c r="C757" s="154"/>
      <c r="D757" s="154"/>
      <c r="E757" s="16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1" t="s">
        <v>241</v>
      </c>
      <c r="B770" s="152"/>
      <c r="C770" s="152"/>
      <c r="D770" s="152"/>
      <c r="E770" s="16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1" t="s">
        <v>244</v>
      </c>
      <c r="B783" s="152"/>
      <c r="C783" s="152"/>
      <c r="D783" s="152"/>
      <c r="E783" s="16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3" t="s">
        <v>245</v>
      </c>
      <c r="B784" s="154"/>
      <c r="C784" s="154"/>
      <c r="D784" s="154"/>
      <c r="E784" s="16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1" t="s">
        <v>241</v>
      </c>
      <c r="B797" s="152"/>
      <c r="C797" s="152"/>
      <c r="D797" s="152"/>
      <c r="E797" s="16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1" t="s">
        <v>244</v>
      </c>
      <c r="B810" s="152"/>
      <c r="C810" s="152"/>
      <c r="D810" s="152"/>
      <c r="E810" s="16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67" t="s">
        <v>245</v>
      </c>
      <c r="B811" s="168"/>
      <c r="C811" s="168"/>
      <c r="D811" s="168"/>
      <c r="E811" s="169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1" t="s">
        <v>241</v>
      </c>
      <c r="B824" s="152"/>
      <c r="C824" s="152"/>
      <c r="D824" s="152"/>
      <c r="E824" s="164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1" t="s">
        <v>244</v>
      </c>
      <c r="B837" s="152"/>
      <c r="C837" s="152"/>
      <c r="D837" s="152"/>
      <c r="E837" s="164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3" t="s">
        <v>245</v>
      </c>
      <c r="B838" s="154"/>
      <c r="C838" s="154"/>
      <c r="D838" s="154"/>
      <c r="E838" s="16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23" activePane="bottomLeft" state="frozen"/>
      <selection pane="bottomLeft" activeCell="G337" sqref="G33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0.65513182870199671</v>
      </c>
      <c r="R53" s="46" t="s">
        <v>276</v>
      </c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0.79402071759088555</v>
      </c>
      <c r="R54" s="36" t="s">
        <v>242</v>
      </c>
      <c r="S54" s="75">
        <v>352430</v>
      </c>
      <c r="T54" s="117"/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0.87874293981310792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5" t="s">
        <v>241</v>
      </c>
      <c r="B230" s="156"/>
      <c r="C230" s="156"/>
      <c r="D230" s="156"/>
      <c r="E230" s="156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/>
      <c r="Q332" s="30">
        <f t="shared" ca="1" si="76"/>
        <v>1.9020717591047287E-2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5"/>
        <v/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31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147.80000000000001</v>
      </c>
      <c r="L338" s="37"/>
      <c r="M338" s="37"/>
      <c r="N338" s="37"/>
      <c r="O338" s="37"/>
      <c r="P338" s="37"/>
      <c r="Q338" s="38">
        <f ca="1">IFERROR(SUM(Q326:Q337),"")</f>
        <v>0.32735405092438052</v>
      </c>
      <c r="R338" s="36" t="s">
        <v>242</v>
      </c>
      <c r="S338" s="45"/>
      <c r="T338" s="122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46"/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46"/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31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147.80000000000001</v>
      </c>
      <c r="L352" s="41"/>
      <c r="M352" s="41"/>
      <c r="N352" s="41"/>
      <c r="O352" s="41"/>
      <c r="P352" s="41"/>
      <c r="Q352" s="42">
        <f ca="1">IFERROR(Q338+Q351,"")</f>
        <v>0.32735405092438052</v>
      </c>
      <c r="R352" s="40" t="s">
        <v>246</v>
      </c>
      <c r="S352" s="143">
        <f>IFERROR(S338+S351,"")</f>
        <v>0</v>
      </c>
      <c r="T352" s="144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17" activePane="bottomLeft" state="frozen"/>
      <selection pane="bottomLeft" activeCell="G336" sqref="G33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1" t="s">
        <v>241</v>
      </c>
      <c r="B41" s="152"/>
      <c r="C41" s="152"/>
      <c r="D41" s="152"/>
      <c r="E41" s="15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1" t="s">
        <v>241</v>
      </c>
      <c r="B149" s="152"/>
      <c r="C149" s="152"/>
      <c r="D149" s="152"/>
      <c r="E149" s="15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1" t="s">
        <v>241</v>
      </c>
      <c r="B257" s="152"/>
      <c r="C257" s="152"/>
      <c r="D257" s="152"/>
      <c r="E257" s="15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0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2"/>
        <v>0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2"/>
        <v>0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2"/>
        <v>0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/>
      <c r="Q329" s="35">
        <f t="shared" ca="1" si="74"/>
        <v>0.21207627315015998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2"/>
        <v>0</v>
      </c>
      <c r="K330" s="28">
        <f t="shared" si="73"/>
        <v>25</v>
      </c>
      <c r="L330" s="26"/>
      <c r="M330" s="26"/>
      <c r="N330" s="26"/>
      <c r="O330" s="29">
        <v>15</v>
      </c>
      <c r="P330" s="29"/>
      <c r="Q330" s="30">
        <f t="shared" ca="1" si="74"/>
        <v>0.77665960648300825</v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2"/>
        <v>0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/>
      <c r="H336" s="134" t="str">
        <f>IFERROR(IF($G336="","",$G336*$S$338/$G$338/Cadastro!$E$33),"")</f>
        <v/>
      </c>
      <c r="I336" s="135">
        <f>IFERROR(IF($D336="","",VLOOKUP($D336,Cadastro!$C$4:$G$7,5,FALSE)),"")</f>
        <v>0.6</v>
      </c>
      <c r="J336" s="136" t="str">
        <f t="shared" si="72"/>
        <v/>
      </c>
      <c r="K336" s="28" t="str">
        <f t="shared" si="73"/>
        <v/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2"/>
        <v/>
      </c>
      <c r="K337" s="34" t="str">
        <f t="shared" si="73"/>
        <v/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1" t="s">
        <v>241</v>
      </c>
      <c r="B338" s="152"/>
      <c r="C338" s="152"/>
      <c r="D338" s="152"/>
      <c r="E338" s="152">
        <f>SUM(E326:E337)</f>
        <v>0</v>
      </c>
      <c r="F338" s="110"/>
      <c r="G338" s="80">
        <f>SUM(G326:G337)</f>
        <v>56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276</v>
      </c>
      <c r="L338" s="37"/>
      <c r="M338" s="37"/>
      <c r="N338" s="37"/>
      <c r="O338" s="37"/>
      <c r="P338" s="37"/>
      <c r="Q338" s="38">
        <f ca="1">IFERROR(SUM(Q326:Q337),"")</f>
        <v>1.0442914351887236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6">IFERROR(IF($H339="","",$H339*$F339*$I339),"")</f>
        <v/>
      </c>
      <c r="K339" s="34" t="str">
        <f t="shared" ref="K339:K350" si="77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78">IFERROR(IF(O339="","",IF(P339="",MOD(NOW()-O339,1),IF(P339&gt;=O339,P339-O339,P339+1-O339))),"")</f>
        <v/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6"/>
        <v/>
      </c>
      <c r="K340" s="28" t="str">
        <f t="shared" si="77"/>
        <v/>
      </c>
      <c r="L340" s="26"/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6"/>
        <v/>
      </c>
      <c r="K341" s="34" t="str">
        <f t="shared" si="77"/>
        <v/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6"/>
        <v/>
      </c>
      <c r="K342" s="28" t="str">
        <f t="shared" si="77"/>
        <v/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6"/>
        <v/>
      </c>
      <c r="K343" s="34" t="str">
        <f t="shared" si="77"/>
        <v/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6"/>
        <v/>
      </c>
      <c r="K344" s="28" t="str">
        <f t="shared" si="77"/>
        <v/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6"/>
        <v/>
      </c>
      <c r="K345" s="34" t="str">
        <f t="shared" si="77"/>
        <v/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6"/>
        <v/>
      </c>
      <c r="K346" s="28" t="str">
        <f t="shared" si="77"/>
        <v/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6"/>
        <v/>
      </c>
      <c r="K347" s="34" t="str">
        <f t="shared" si="77"/>
        <v/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6"/>
        <v/>
      </c>
      <c r="K348" s="28" t="str">
        <f t="shared" si="77"/>
        <v/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37"/>
      <c r="P351" s="37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56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276</v>
      </c>
      <c r="L352" s="41"/>
      <c r="M352" s="41"/>
      <c r="N352" s="41"/>
      <c r="O352" s="41"/>
      <c r="P352" s="41"/>
      <c r="Q352" s="42">
        <f ca="1">IFERROR(Q338+Q351,"")</f>
        <v>1.0442914351887236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1" t="s">
        <v>241</v>
      </c>
      <c r="B365" s="152"/>
      <c r="C365" s="152"/>
      <c r="D365" s="152"/>
      <c r="E365" s="15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08" activePane="bottomLeft" state="frozen"/>
      <selection pane="bottomLeft" activeCell="G337" sqref="G337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1" t="s">
        <v>241</v>
      </c>
      <c r="B14" s="152"/>
      <c r="C14" s="152"/>
      <c r="D14" s="152"/>
      <c r="E14" s="15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1" t="s">
        <v>244</v>
      </c>
      <c r="B27" s="152"/>
      <c r="C27" s="152"/>
      <c r="D27" s="152"/>
      <c r="E27" s="15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3" t="s">
        <v>245</v>
      </c>
      <c r="B28" s="154"/>
      <c r="C28" s="154"/>
      <c r="D28" s="154"/>
      <c r="E28" s="154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1" t="s">
        <v>241</v>
      </c>
      <c r="B41" s="152"/>
      <c r="C41" s="152"/>
      <c r="D41" s="152"/>
      <c r="E41" s="15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1" t="s">
        <v>244</v>
      </c>
      <c r="B54" s="152"/>
      <c r="C54" s="152"/>
      <c r="D54" s="152"/>
      <c r="E54" s="15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3" t="s">
        <v>245</v>
      </c>
      <c r="B55" s="154"/>
      <c r="C55" s="154"/>
      <c r="D55" s="154"/>
      <c r="E55" s="154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1" t="s">
        <v>241</v>
      </c>
      <c r="B68" s="152"/>
      <c r="C68" s="152"/>
      <c r="D68" s="152"/>
      <c r="E68" s="15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1" t="s">
        <v>244</v>
      </c>
      <c r="B81" s="152"/>
      <c r="C81" s="152"/>
      <c r="D81" s="152"/>
      <c r="E81" s="15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3" t="s">
        <v>245</v>
      </c>
      <c r="B82" s="154"/>
      <c r="C82" s="154"/>
      <c r="D82" s="154"/>
      <c r="E82" s="154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1" t="s">
        <v>241</v>
      </c>
      <c r="B95" s="152"/>
      <c r="C95" s="152"/>
      <c r="D95" s="152"/>
      <c r="E95" s="15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1" t="s">
        <v>244</v>
      </c>
      <c r="B108" s="152"/>
      <c r="C108" s="152"/>
      <c r="D108" s="152"/>
      <c r="E108" s="15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3" t="s">
        <v>245</v>
      </c>
      <c r="B109" s="154"/>
      <c r="C109" s="154"/>
      <c r="D109" s="154"/>
      <c r="E109" s="154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1" t="s">
        <v>241</v>
      </c>
      <c r="B122" s="152"/>
      <c r="C122" s="152"/>
      <c r="D122" s="152"/>
      <c r="E122" s="15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1" t="s">
        <v>244</v>
      </c>
      <c r="B135" s="152"/>
      <c r="C135" s="152"/>
      <c r="D135" s="152"/>
      <c r="E135" s="15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3" t="s">
        <v>245</v>
      </c>
      <c r="B136" s="154"/>
      <c r="C136" s="154"/>
      <c r="D136" s="154"/>
      <c r="E136" s="154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1" t="s">
        <v>244</v>
      </c>
      <c r="B162" s="152"/>
      <c r="C162" s="152"/>
      <c r="D162" s="152"/>
      <c r="E162" s="15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3" t="s">
        <v>245</v>
      </c>
      <c r="B163" s="154"/>
      <c r="C163" s="154"/>
      <c r="D163" s="154"/>
      <c r="E163" s="154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1" t="s">
        <v>241</v>
      </c>
      <c r="B176" s="152"/>
      <c r="C176" s="152"/>
      <c r="D176" s="152"/>
      <c r="E176" s="15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1" t="s">
        <v>244</v>
      </c>
      <c r="B189" s="152"/>
      <c r="C189" s="152"/>
      <c r="D189" s="152"/>
      <c r="E189" s="15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3" t="s">
        <v>245</v>
      </c>
      <c r="B190" s="154"/>
      <c r="C190" s="154"/>
      <c r="D190" s="154"/>
      <c r="E190" s="154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1" t="s">
        <v>241</v>
      </c>
      <c r="B203" s="152"/>
      <c r="C203" s="152"/>
      <c r="D203" s="152"/>
      <c r="E203" s="15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1" t="s">
        <v>244</v>
      </c>
      <c r="B216" s="152"/>
      <c r="C216" s="152"/>
      <c r="D216" s="152"/>
      <c r="E216" s="15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3" t="s">
        <v>245</v>
      </c>
      <c r="B217" s="154"/>
      <c r="C217" s="154"/>
      <c r="D217" s="154"/>
      <c r="E217" s="154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1" t="s">
        <v>241</v>
      </c>
      <c r="B230" s="152"/>
      <c r="C230" s="152"/>
      <c r="D230" s="152"/>
      <c r="E230" s="15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1" t="s">
        <v>244</v>
      </c>
      <c r="B243" s="152"/>
      <c r="C243" s="152"/>
      <c r="D243" s="152"/>
      <c r="E243" s="15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3" t="s">
        <v>245</v>
      </c>
      <c r="B244" s="154"/>
      <c r="C244" s="154"/>
      <c r="D244" s="154"/>
      <c r="E244" s="154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1" t="s">
        <v>241</v>
      </c>
      <c r="B257" s="152"/>
      <c r="C257" s="152"/>
      <c r="D257" s="152"/>
      <c r="E257" s="15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1" t="s">
        <v>244</v>
      </c>
      <c r="B270" s="152"/>
      <c r="C270" s="152"/>
      <c r="D270" s="152"/>
      <c r="E270" s="15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3" t="s">
        <v>245</v>
      </c>
      <c r="B271" s="154"/>
      <c r="C271" s="154"/>
      <c r="D271" s="154"/>
      <c r="E271" s="154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1" t="s">
        <v>241</v>
      </c>
      <c r="B284" s="152"/>
      <c r="C284" s="152"/>
      <c r="D284" s="152"/>
      <c r="E284" s="15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1" t="s">
        <v>244</v>
      </c>
      <c r="B297" s="152"/>
      <c r="C297" s="152"/>
      <c r="D297" s="152"/>
      <c r="E297" s="15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3" t="s">
        <v>245</v>
      </c>
      <c r="B298" s="154"/>
      <c r="C298" s="154"/>
      <c r="D298" s="154"/>
      <c r="E298" s="154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1" t="s">
        <v>241</v>
      </c>
      <c r="B311" s="152"/>
      <c r="C311" s="152"/>
      <c r="D311" s="152"/>
      <c r="E311" s="15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1" t="s">
        <v>244</v>
      </c>
      <c r="B324" s="152"/>
      <c r="C324" s="152"/>
      <c r="D324" s="152"/>
      <c r="E324" s="15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3" t="s">
        <v>245</v>
      </c>
      <c r="B325" s="154"/>
      <c r="C325" s="154"/>
      <c r="D325" s="154"/>
      <c r="E325" s="154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0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0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170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0</v>
      </c>
      <c r="I328" s="135">
        <f>IFERROR(IF($D328="","",VLOOKUP($D328,Cadastro!$C$4:$G$7,5,FALSE)),"")</f>
        <v>0.6</v>
      </c>
      <c r="J328" s="136">
        <f t="shared" si="74"/>
        <v>0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0</v>
      </c>
      <c r="I329" s="135">
        <f>IFERROR(IF($D329="","",VLOOKUP($D329,Cadastro!$C$4:$G$7,5,FALSE)),"")</f>
        <v>0.6</v>
      </c>
      <c r="J329" s="136">
        <f t="shared" si="74"/>
        <v>0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0</v>
      </c>
      <c r="I330" s="135">
        <f>IFERROR(IF($D330="","",VLOOKUP($D330,Cadastro!$C$4:$G$7,5,FALSE)),"")</f>
        <v>0.6</v>
      </c>
      <c r="J330" s="136">
        <f t="shared" si="74"/>
        <v>0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0</v>
      </c>
      <c r="I332" s="135">
        <f>IFERROR(IF($D332="","",VLOOKUP($D332,Cadastro!$C$4:$G$7,5,FALSE)),"")</f>
        <v>0.6</v>
      </c>
      <c r="J332" s="136">
        <f t="shared" si="74"/>
        <v>0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/>
      <c r="H337" s="137" t="str">
        <f>IFERROR(IF($G337="","",$G337*$S$338/$G$338/Cadastro!$E$33),"")</f>
        <v/>
      </c>
      <c r="I337" s="138">
        <f>IFERROR(IF($D337="","",VLOOKUP($D337,Cadastro!$C$4:$G$7,5,FALSE)),"")</f>
        <v>0.6</v>
      </c>
      <c r="J337" s="139" t="str">
        <f t="shared" si="74"/>
        <v/>
      </c>
      <c r="K337" s="34" t="str">
        <f t="shared" si="77"/>
        <v/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1" t="s">
        <v>241</v>
      </c>
      <c r="B338" s="152"/>
      <c r="C338" s="152"/>
      <c r="D338" s="152"/>
      <c r="E338" s="152">
        <f>SUM(E327:E337)</f>
        <v>0</v>
      </c>
      <c r="F338" s="110"/>
      <c r="G338" s="80">
        <f>SUM(G326:G337)</f>
        <v>205</v>
      </c>
      <c r="H338" s="110">
        <f>IFERROR(SUM(H326:H337),"")</f>
        <v>0</v>
      </c>
      <c r="I338" s="114"/>
      <c r="J338" s="123">
        <f>IFERROR(SUM(J326:J337),"")</f>
        <v>0</v>
      </c>
      <c r="K338" s="36">
        <f>SUM(K326:K337)</f>
        <v>917.80000000000007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/>
      <c r="T338" s="119">
        <f>IFERROR(J338,"")</f>
        <v>0</v>
      </c>
    </row>
    <row r="339" spans="1:20" ht="15" customHeight="1">
      <c r="A339" s="68">
        <v>46247</v>
      </c>
      <c r="B339" s="32">
        <v>0.83333333333333304</v>
      </c>
      <c r="C339" s="33"/>
      <c r="D339" s="62"/>
      <c r="E339" s="109"/>
      <c r="F339" s="140" t="str">
        <f>IFERROR(IF($D339="","",VLOOKUP($D339,Cadastro!$C$4:$E$7,3,FALSE)),"")</f>
        <v/>
      </c>
      <c r="G339" s="105"/>
      <c r="H339" s="140" t="str">
        <f>IFERROR(IF($G339="","",$G339*$S$351/$G$351/Cadastro!$E$33),"")</f>
        <v/>
      </c>
      <c r="I339" s="141" t="str">
        <f>IFERROR(IF($D339="","",VLOOKUP($D339,Cadastro!$C$4:$G$7,5,FALSE)),"")</f>
        <v/>
      </c>
      <c r="J339" s="142" t="str">
        <f t="shared" ref="J339:J350" si="78">IFERROR(IF($H339="","",$H339*$F339*$I339),"")</f>
        <v/>
      </c>
      <c r="K339" s="34" t="str">
        <f t="shared" ref="K339:K350" si="79">IF(G339="","",IF(E339="PC 17",G339*4.2,IF(E339="PC 19",G339*5,IF(E339="CB",G339*24,""))))</f>
        <v/>
      </c>
      <c r="L339" s="33"/>
      <c r="M339" s="33"/>
      <c r="N339" s="33"/>
      <c r="O339" s="29"/>
      <c r="P339" s="29"/>
      <c r="Q339" s="35" t="str">
        <f t="shared" ref="Q339:Q350" ca="1" si="80">IFERROR(IF(O339="","",IF(P339="",MOD(NOW()-O339,1),IF(P339&gt;=O339,P339-O339,P339+1-O339))),"")</f>
        <v/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/>
      <c r="D340" s="62"/>
      <c r="E340" s="109"/>
      <c r="F340" s="134" t="str">
        <f>IFERROR(IF($D340="","",VLOOKUP($D340,Cadastro!$C$4:$E$7,3,FALSE)),"")</f>
        <v/>
      </c>
      <c r="G340" s="105"/>
      <c r="H340" s="134" t="str">
        <f>IFERROR(IF($G340="","",$G340*$S$351/$G$351/Cadastro!$E$33),"")</f>
        <v/>
      </c>
      <c r="I340" s="135" t="str">
        <f>IFERROR(IF($D340="","",VLOOKUP($D340,Cadastro!$C$4:$G$7,5,FALSE)),"")</f>
        <v/>
      </c>
      <c r="J340" s="136" t="str">
        <f t="shared" si="78"/>
        <v/>
      </c>
      <c r="K340" s="28" t="str">
        <f t="shared" si="79"/>
        <v/>
      </c>
      <c r="L340" s="26"/>
      <c r="M340" s="26"/>
      <c r="N340" s="26"/>
      <c r="O340" s="29"/>
      <c r="P340" s="29"/>
      <c r="Q340" s="30" t="str">
        <f t="shared" ca="1" si="80"/>
        <v/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/>
      <c r="D341" s="62"/>
      <c r="E341" s="109"/>
      <c r="F341" s="134" t="str">
        <f>IFERROR(IF($D341="","",VLOOKUP($D341,Cadastro!$C$4:$E$7,3,FALSE)),"")</f>
        <v/>
      </c>
      <c r="G341" s="105"/>
      <c r="H341" s="134" t="str">
        <f>IFERROR(IF($G341="","",$G341*$S$351/$G$351/Cadastro!$E$33),"")</f>
        <v/>
      </c>
      <c r="I341" s="135" t="str">
        <f>IFERROR(IF($D341="","",VLOOKUP($D341,Cadastro!$C$4:$G$7,5,FALSE)),"")</f>
        <v/>
      </c>
      <c r="J341" s="136" t="str">
        <f t="shared" si="78"/>
        <v/>
      </c>
      <c r="K341" s="34" t="str">
        <f t="shared" si="79"/>
        <v/>
      </c>
      <c r="L341" s="33"/>
      <c r="M341" s="33"/>
      <c r="N341" s="33"/>
      <c r="O341" s="29"/>
      <c r="P341" s="29"/>
      <c r="Q341" s="35" t="str">
        <f t="shared" ca="1" si="80"/>
        <v/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/>
      <c r="D342" s="62"/>
      <c r="E342" s="109"/>
      <c r="F342" s="134" t="str">
        <f>IFERROR(IF($D342="","",VLOOKUP($D342,Cadastro!$C$4:$E$7,3,FALSE)),"")</f>
        <v/>
      </c>
      <c r="G342" s="105"/>
      <c r="H342" s="134" t="str">
        <f>IFERROR(IF($G342="","",$G342*$S$351/$G$351/Cadastro!$E$33),"")</f>
        <v/>
      </c>
      <c r="I342" s="135" t="str">
        <f>IFERROR(IF($D342="","",VLOOKUP($D342,Cadastro!$C$4:$G$7,5,FALSE)),"")</f>
        <v/>
      </c>
      <c r="J342" s="136" t="str">
        <f t="shared" si="78"/>
        <v/>
      </c>
      <c r="K342" s="28" t="str">
        <f t="shared" si="79"/>
        <v/>
      </c>
      <c r="L342" s="26"/>
      <c r="M342" s="26"/>
      <c r="N342" s="26"/>
      <c r="O342" s="29"/>
      <c r="P342" s="29"/>
      <c r="Q342" s="30" t="str">
        <f t="shared" ca="1" si="80"/>
        <v/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/>
      <c r="D343" s="62"/>
      <c r="E343" s="109"/>
      <c r="F343" s="134" t="str">
        <f>IFERROR(IF($D343="","",VLOOKUP($D343,Cadastro!$C$4:$E$7,3,FALSE)),"")</f>
        <v/>
      </c>
      <c r="G343" s="105"/>
      <c r="H343" s="134" t="str">
        <f>IFERROR(IF($G343="","",$G343*$S$351/$G$351/Cadastro!$E$33),"")</f>
        <v/>
      </c>
      <c r="I343" s="135" t="str">
        <f>IFERROR(IF($D343="","",VLOOKUP($D343,Cadastro!$C$4:$G$7,5,FALSE)),"")</f>
        <v/>
      </c>
      <c r="J343" s="136" t="str">
        <f t="shared" si="78"/>
        <v/>
      </c>
      <c r="K343" s="34" t="str">
        <f t="shared" si="79"/>
        <v/>
      </c>
      <c r="L343" s="33"/>
      <c r="M343" s="33"/>
      <c r="N343" s="33"/>
      <c r="O343" s="29"/>
      <c r="P343" s="29"/>
      <c r="Q343" s="35" t="str">
        <f t="shared" ca="1" si="80"/>
        <v/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/>
      <c r="D344" s="62"/>
      <c r="E344" s="109"/>
      <c r="F344" s="134" t="str">
        <f>IFERROR(IF($D344="","",VLOOKUP($D344,Cadastro!$C$4:$E$7,3,FALSE)),"")</f>
        <v/>
      </c>
      <c r="G344" s="105"/>
      <c r="H344" s="134" t="str">
        <f>IFERROR(IF($G344="","",$G344*$S$351/$G$351/Cadastro!$E$33),"")</f>
        <v/>
      </c>
      <c r="I344" s="135" t="str">
        <f>IFERROR(IF($D344="","",VLOOKUP($D344,Cadastro!$C$4:$G$7,5,FALSE)),"")</f>
        <v/>
      </c>
      <c r="J344" s="136" t="str">
        <f t="shared" si="78"/>
        <v/>
      </c>
      <c r="K344" s="28" t="str">
        <f t="shared" si="79"/>
        <v/>
      </c>
      <c r="L344" s="26"/>
      <c r="M344" s="26"/>
      <c r="N344" s="26"/>
      <c r="O344" s="29"/>
      <c r="P344" s="29"/>
      <c r="Q344" s="30" t="str">
        <f t="shared" ca="1" si="80"/>
        <v/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/>
      <c r="D345" s="62"/>
      <c r="E345" s="109"/>
      <c r="F345" s="134" t="str">
        <f>IFERROR(IF($D345="","",VLOOKUP($D345,Cadastro!$C$4:$E$7,3,FALSE)),"")</f>
        <v/>
      </c>
      <c r="G345" s="105"/>
      <c r="H345" s="134" t="str">
        <f>IFERROR(IF($G345="","",$G345*$S$351/$G$351/Cadastro!$E$33),"")</f>
        <v/>
      </c>
      <c r="I345" s="135" t="str">
        <f>IFERROR(IF($D345="","",VLOOKUP($D345,Cadastro!$C$4:$G$7,5,FALSE)),"")</f>
        <v/>
      </c>
      <c r="J345" s="136" t="str">
        <f t="shared" si="78"/>
        <v/>
      </c>
      <c r="K345" s="34" t="str">
        <f t="shared" si="79"/>
        <v/>
      </c>
      <c r="L345" s="33"/>
      <c r="M345" s="33"/>
      <c r="N345" s="33"/>
      <c r="O345" s="29"/>
      <c r="P345" s="29"/>
      <c r="Q345" s="35" t="str">
        <f t="shared" ca="1" si="80"/>
        <v/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/>
      <c r="D346" s="62"/>
      <c r="E346" s="109"/>
      <c r="F346" s="134" t="str">
        <f>IFERROR(IF($D346="","",VLOOKUP($D346,Cadastro!$C$4:$E$7,3,FALSE)),"")</f>
        <v/>
      </c>
      <c r="G346" s="105"/>
      <c r="H346" s="134" t="str">
        <f>IFERROR(IF($G346="","",$G346*$S$351/$G$351/Cadastro!$E$33),"")</f>
        <v/>
      </c>
      <c r="I346" s="135" t="str">
        <f>IFERROR(IF($D346="","",VLOOKUP($D346,Cadastro!$C$4:$G$7,5,FALSE)),"")</f>
        <v/>
      </c>
      <c r="J346" s="136" t="str">
        <f t="shared" si="78"/>
        <v/>
      </c>
      <c r="K346" s="28" t="str">
        <f t="shared" si="79"/>
        <v/>
      </c>
      <c r="L346" s="26"/>
      <c r="M346" s="26"/>
      <c r="N346" s="26"/>
      <c r="O346" s="29"/>
      <c r="P346" s="29"/>
      <c r="Q346" s="30" t="str">
        <f t="shared" ca="1" si="80"/>
        <v/>
      </c>
      <c r="R346" s="27"/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/>
      <c r="D347" s="62"/>
      <c r="E347" s="109"/>
      <c r="F347" s="134" t="str">
        <f>IFERROR(IF($D347="","",VLOOKUP($D347,Cadastro!$C$4:$E$7,3,FALSE)),"")</f>
        <v/>
      </c>
      <c r="G347" s="105"/>
      <c r="H347" s="134" t="str">
        <f>IFERROR(IF($G347="","",$G347*$S$351/$G$351/Cadastro!$E$33),"")</f>
        <v/>
      </c>
      <c r="I347" s="135" t="str">
        <f>IFERROR(IF($D347="","",VLOOKUP($D347,Cadastro!$C$4:$G$7,5,FALSE)),"")</f>
        <v/>
      </c>
      <c r="J347" s="136" t="str">
        <f t="shared" si="78"/>
        <v/>
      </c>
      <c r="K347" s="34" t="str">
        <f t="shared" si="79"/>
        <v/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/>
      <c r="D348" s="62"/>
      <c r="E348" s="109"/>
      <c r="F348" s="134" t="str">
        <f>IFERROR(IF($D348="","",VLOOKUP($D348,Cadastro!$C$4:$E$7,3,FALSE)),"")</f>
        <v/>
      </c>
      <c r="G348" s="105"/>
      <c r="H348" s="134" t="str">
        <f>IFERROR(IF($G348="","",$G348*$S$351/$G$351/Cadastro!$E$33),"")</f>
        <v/>
      </c>
      <c r="I348" s="135" t="str">
        <f>IFERROR(IF($D348="","",VLOOKUP($D348,Cadastro!$C$4:$G$7,5,FALSE)),"")</f>
        <v/>
      </c>
      <c r="J348" s="136" t="str">
        <f t="shared" si="78"/>
        <v/>
      </c>
      <c r="K348" s="28" t="str">
        <f t="shared" si="79"/>
        <v/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/>
      <c r="D349" s="62"/>
      <c r="E349" s="109"/>
      <c r="F349" s="134" t="str">
        <f>IFERROR(IF($D349="","",VLOOKUP($D349,Cadastro!$C$4:$E$7,3,FALSE)),"")</f>
        <v/>
      </c>
      <c r="G349" s="105"/>
      <c r="H349" s="134" t="str">
        <f>IFERROR(IF($G349="","",$G349*$S$351/$G$351/Cadastro!$E$33),"")</f>
        <v/>
      </c>
      <c r="I349" s="135" t="str">
        <f>IFERROR(IF($D349="","",VLOOKUP($D349,Cadastro!$C$4:$G$7,5,FALSE)),"")</f>
        <v/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/>
      <c r="D350" s="62"/>
      <c r="E350" s="109"/>
      <c r="F350" s="137" t="str">
        <f>IFERROR(IF($D350="","",VLOOKUP($D350,Cadastro!$C$4:$E$7,3,FALSE)),"")</f>
        <v/>
      </c>
      <c r="G350" s="105"/>
      <c r="H350" s="137" t="str">
        <f>IFERROR(IF($G350="","",$G350*$S$351/$G$351/Cadastro!$E$33),"")</f>
        <v/>
      </c>
      <c r="I350" s="138" t="str">
        <f>IFERROR(IF($D350="","",VLOOKUP($D350,Cadastro!$C$4:$G$7,5,FALSE)),"")</f>
        <v/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1" t="s">
        <v>244</v>
      </c>
      <c r="B351" s="152"/>
      <c r="C351" s="152"/>
      <c r="D351" s="152"/>
      <c r="E351" s="152">
        <f>SUM(E339:E350)</f>
        <v>0</v>
      </c>
      <c r="F351" s="111"/>
      <c r="G351" s="80">
        <f>SUM(G339:G350)</f>
        <v>0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0</v>
      </c>
      <c r="L351" s="37"/>
      <c r="M351" s="37"/>
      <c r="N351" s="37"/>
      <c r="O351" s="61"/>
      <c r="P351" s="61"/>
      <c r="Q351" s="38">
        <f ca="1">IFERROR(SUM(Q339:Q350),"")</f>
        <v>0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3" t="s">
        <v>245</v>
      </c>
      <c r="B352" s="154"/>
      <c r="C352" s="154"/>
      <c r="D352" s="154"/>
      <c r="E352" s="154">
        <f>E338+E351</f>
        <v>0</v>
      </c>
      <c r="F352" s="112"/>
      <c r="G352" s="91">
        <f>G338+G351</f>
        <v>205</v>
      </c>
      <c r="H352" s="112">
        <f>IFERROR(H338+H351,"")</f>
        <v>0</v>
      </c>
      <c r="I352" s="116"/>
      <c r="J352" s="125">
        <f>IFERROR(J338+J351,"")</f>
        <v>0</v>
      </c>
      <c r="K352" s="40">
        <f>K338+K351</f>
        <v>917.80000000000007</v>
      </c>
      <c r="L352" s="41"/>
      <c r="M352" s="41"/>
      <c r="N352" s="41"/>
      <c r="O352" s="63"/>
      <c r="P352" s="63"/>
      <c r="Q352" s="42">
        <f ca="1">IFERROR(Q338+Q351,"")</f>
        <v>4.0972222222222132E-2</v>
      </c>
      <c r="R352" s="40" t="s">
        <v>246</v>
      </c>
      <c r="S352" s="48">
        <f>IFERROR(S338+S351,"")</f>
        <v>0</v>
      </c>
      <c r="T352" s="121">
        <f>IFERROR(J352,"")</f>
        <v>0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1" t="s">
        <v>244</v>
      </c>
      <c r="B378" s="152"/>
      <c r="C378" s="152"/>
      <c r="D378" s="152"/>
      <c r="E378" s="15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3" t="s">
        <v>245</v>
      </c>
      <c r="B379" s="154"/>
      <c r="C379" s="154"/>
      <c r="D379" s="154"/>
      <c r="E379" s="154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1" t="s">
        <v>241</v>
      </c>
      <c r="B392" s="152"/>
      <c r="C392" s="152"/>
      <c r="D392" s="152"/>
      <c r="E392" s="15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1" t="s">
        <v>244</v>
      </c>
      <c r="B405" s="152"/>
      <c r="C405" s="152"/>
      <c r="D405" s="152"/>
      <c r="E405" s="15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3" t="s">
        <v>245</v>
      </c>
      <c r="B406" s="154"/>
      <c r="C406" s="154"/>
      <c r="D406" s="154"/>
      <c r="E406" s="154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1" t="s">
        <v>241</v>
      </c>
      <c r="B419" s="152"/>
      <c r="C419" s="152"/>
      <c r="D419" s="152"/>
      <c r="E419" s="15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1" t="s">
        <v>244</v>
      </c>
      <c r="B432" s="152"/>
      <c r="C432" s="152"/>
      <c r="D432" s="152"/>
      <c r="E432" s="15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3" t="s">
        <v>245</v>
      </c>
      <c r="B433" s="154"/>
      <c r="C433" s="154"/>
      <c r="D433" s="154"/>
      <c r="E433" s="154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1" t="s">
        <v>241</v>
      </c>
      <c r="B446" s="152"/>
      <c r="C446" s="152"/>
      <c r="D446" s="152"/>
      <c r="E446" s="15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1" t="s">
        <v>244</v>
      </c>
      <c r="B459" s="152"/>
      <c r="C459" s="152"/>
      <c r="D459" s="152"/>
      <c r="E459" s="15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3" t="s">
        <v>245</v>
      </c>
      <c r="B460" s="154"/>
      <c r="C460" s="154"/>
      <c r="D460" s="154"/>
      <c r="E460" s="154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1" t="s">
        <v>241</v>
      </c>
      <c r="B473" s="152"/>
      <c r="C473" s="152"/>
      <c r="D473" s="152"/>
      <c r="E473" s="15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1" t="s">
        <v>244</v>
      </c>
      <c r="B486" s="152"/>
      <c r="C486" s="152"/>
      <c r="D486" s="152"/>
      <c r="E486" s="15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3" t="s">
        <v>245</v>
      </c>
      <c r="B487" s="154"/>
      <c r="C487" s="154"/>
      <c r="D487" s="154"/>
      <c r="E487" s="154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1" t="s">
        <v>241</v>
      </c>
      <c r="B500" s="152"/>
      <c r="C500" s="152"/>
      <c r="D500" s="152"/>
      <c r="E500" s="15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1" t="s">
        <v>244</v>
      </c>
      <c r="B513" s="152"/>
      <c r="C513" s="152"/>
      <c r="D513" s="152"/>
      <c r="E513" s="15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3" t="s">
        <v>245</v>
      </c>
      <c r="B514" s="154"/>
      <c r="C514" s="154"/>
      <c r="D514" s="154"/>
      <c r="E514" s="154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1" t="s">
        <v>241</v>
      </c>
      <c r="B527" s="152"/>
      <c r="C527" s="152"/>
      <c r="D527" s="152"/>
      <c r="E527" s="15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1" t="s">
        <v>244</v>
      </c>
      <c r="B540" s="152"/>
      <c r="C540" s="152"/>
      <c r="D540" s="152"/>
      <c r="E540" s="15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3" t="s">
        <v>245</v>
      </c>
      <c r="B541" s="154"/>
      <c r="C541" s="154"/>
      <c r="D541" s="154"/>
      <c r="E541" s="154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1" t="s">
        <v>241</v>
      </c>
      <c r="B554" s="152"/>
      <c r="C554" s="152"/>
      <c r="D554" s="152"/>
      <c r="E554" s="15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1" t="s">
        <v>244</v>
      </c>
      <c r="B567" s="152"/>
      <c r="C567" s="152"/>
      <c r="D567" s="152"/>
      <c r="E567" s="15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3" t="s">
        <v>245</v>
      </c>
      <c r="B568" s="154"/>
      <c r="C568" s="154"/>
      <c r="D568" s="154"/>
      <c r="E568" s="154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1" t="s">
        <v>241</v>
      </c>
      <c r="B581" s="152"/>
      <c r="C581" s="152"/>
      <c r="D581" s="152"/>
      <c r="E581" s="15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1" t="s">
        <v>244</v>
      </c>
      <c r="B594" s="152"/>
      <c r="C594" s="152"/>
      <c r="D594" s="152"/>
      <c r="E594" s="15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3" t="s">
        <v>245</v>
      </c>
      <c r="B595" s="154"/>
      <c r="C595" s="154"/>
      <c r="D595" s="154"/>
      <c r="E595" s="154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1" t="s">
        <v>241</v>
      </c>
      <c r="B608" s="152"/>
      <c r="C608" s="152"/>
      <c r="D608" s="152"/>
      <c r="E608" s="15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1" t="s">
        <v>244</v>
      </c>
      <c r="B621" s="152"/>
      <c r="C621" s="152"/>
      <c r="D621" s="152"/>
      <c r="E621" s="15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3" t="s">
        <v>245</v>
      </c>
      <c r="B622" s="154"/>
      <c r="C622" s="154"/>
      <c r="D622" s="154"/>
      <c r="E622" s="154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1" t="s">
        <v>241</v>
      </c>
      <c r="B635" s="152"/>
      <c r="C635" s="152"/>
      <c r="D635" s="152"/>
      <c r="E635" s="15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1" t="s">
        <v>244</v>
      </c>
      <c r="B648" s="152"/>
      <c r="C648" s="152"/>
      <c r="D648" s="152"/>
      <c r="E648" s="15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3" t="s">
        <v>245</v>
      </c>
      <c r="B649" s="154"/>
      <c r="C649" s="154"/>
      <c r="D649" s="154"/>
      <c r="E649" s="154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1" t="s">
        <v>241</v>
      </c>
      <c r="B662" s="152"/>
      <c r="C662" s="152"/>
      <c r="D662" s="152"/>
      <c r="E662" s="15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1" t="s">
        <v>244</v>
      </c>
      <c r="B675" s="152"/>
      <c r="C675" s="152"/>
      <c r="D675" s="152"/>
      <c r="E675" s="15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3" t="s">
        <v>245</v>
      </c>
      <c r="B676" s="154"/>
      <c r="C676" s="154"/>
      <c r="D676" s="154"/>
      <c r="E676" s="154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1" t="s">
        <v>241</v>
      </c>
      <c r="B689" s="152"/>
      <c r="C689" s="152"/>
      <c r="D689" s="152"/>
      <c r="E689" s="15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1" t="s">
        <v>244</v>
      </c>
      <c r="B702" s="152"/>
      <c r="C702" s="152"/>
      <c r="D702" s="152"/>
      <c r="E702" s="15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3" t="s">
        <v>245</v>
      </c>
      <c r="B703" s="154"/>
      <c r="C703" s="154"/>
      <c r="D703" s="154"/>
      <c r="E703" s="154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1" t="s">
        <v>241</v>
      </c>
      <c r="B716" s="152"/>
      <c r="C716" s="152"/>
      <c r="D716" s="152"/>
      <c r="E716" s="15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1" t="s">
        <v>244</v>
      </c>
      <c r="B729" s="152"/>
      <c r="C729" s="152"/>
      <c r="D729" s="152"/>
      <c r="E729" s="15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3" t="s">
        <v>245</v>
      </c>
      <c r="B730" s="154"/>
      <c r="C730" s="154"/>
      <c r="D730" s="154"/>
      <c r="E730" s="154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1" t="s">
        <v>241</v>
      </c>
      <c r="B743" s="152"/>
      <c r="C743" s="152"/>
      <c r="D743" s="152"/>
      <c r="E743" s="15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1" t="s">
        <v>244</v>
      </c>
      <c r="B756" s="152"/>
      <c r="C756" s="152"/>
      <c r="D756" s="152"/>
      <c r="E756" s="15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3" t="s">
        <v>245</v>
      </c>
      <c r="B757" s="154"/>
      <c r="C757" s="154"/>
      <c r="D757" s="154"/>
      <c r="E757" s="154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1" t="s">
        <v>241</v>
      </c>
      <c r="B770" s="152"/>
      <c r="C770" s="152"/>
      <c r="D770" s="152"/>
      <c r="E770" s="15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1" t="s">
        <v>244</v>
      </c>
      <c r="B783" s="152"/>
      <c r="C783" s="152"/>
      <c r="D783" s="152"/>
      <c r="E783" s="15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3" t="s">
        <v>245</v>
      </c>
      <c r="B784" s="154"/>
      <c r="C784" s="154"/>
      <c r="D784" s="154"/>
      <c r="E784" s="154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1" t="s">
        <v>241</v>
      </c>
      <c r="B797" s="152"/>
      <c r="C797" s="152"/>
      <c r="D797" s="152"/>
      <c r="E797" s="15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1" t="s">
        <v>244</v>
      </c>
      <c r="B810" s="152"/>
      <c r="C810" s="152"/>
      <c r="D810" s="152"/>
      <c r="E810" s="15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3" t="s">
        <v>245</v>
      </c>
      <c r="B811" s="154"/>
      <c r="C811" s="154"/>
      <c r="D811" s="154"/>
      <c r="E811" s="154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1" t="s">
        <v>241</v>
      </c>
      <c r="B824" s="152"/>
      <c r="C824" s="152"/>
      <c r="D824" s="152"/>
      <c r="E824" s="15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1" t="s">
        <v>244</v>
      </c>
      <c r="B837" s="152"/>
      <c r="C837" s="152"/>
      <c r="D837" s="152"/>
      <c r="E837" s="15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3" t="s">
        <v>245</v>
      </c>
      <c r="B838" s="154"/>
      <c r="C838" s="154"/>
      <c r="D838" s="154"/>
      <c r="E838" s="154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2026-08-13T22:38:24Z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