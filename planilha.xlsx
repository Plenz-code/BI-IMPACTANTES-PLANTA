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72" documentId="8_{C51EB6CB-002B-4D6B-B68F-DDEBDB4460C0}" xr6:coauthVersionLast="47" xr6:coauthVersionMax="47" xr10:uidLastSave="{CA7BF2A1-66BB-4111-9CD4-FC062E123CC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<sst xmlns="http://schemas.openxmlformats.org/spreadsheetml/2006/main" count="1850" uniqueCount="258">
  <si>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</si>
  <si>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</si>
  <si>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</si>
  <si>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</si>
  <si>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</si>
  <si>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</si>
  <si>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</si>
  <si>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</si>
  <si>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</si>
  <si>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</si>
  <si>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</si>
  <si>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</si>
  <si>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</si>
  <si>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</si>
  <si>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</si>
  <si>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</si>
  <si>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</si>
  <si>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</si>
  <si>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</si>
  <si>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</si>
  <si>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</si>
  <si>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</si>
  <si>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</si>
  <si>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</si>
  <si>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</si>
  <si>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</si>
  <si>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</si>
  <si>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</si>
  <si>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</si>
  <si>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</si>
  <si>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</si>
  <si>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</si>
  <si>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</si>
  <si>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</si>
  <si>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</si>
  <si>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</si>
  <si>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</si>
  <si>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</si>
  <si>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</si>
  <si>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</si>
  <si>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</si>
  <si>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</si>
  <si>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</si>
  <si>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</si>
  <si>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</si>
  <si>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</si>
  <si>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</si>
  <si>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</si>
  <si>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</si>
  <si>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</si>
  <si>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</si>
  <si>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</si>
  <si>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</si>
  <si>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</si>
  <si>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</si>
  <si>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</si>
  <si>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</si>
  <si>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</si>
  <si>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</si>
  <si>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</si>
  <si>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</si>
  <si>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</si>
  <si>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</si>
  <si>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</si>
  <si>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</si>
  <si>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</si>
  <si>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</si>
  <si>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</si>
  <si>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</si>
  <si>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</si>
  <si>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</si>
  <si>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</si>
  <si>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</si>
  <si>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</si>
  <si>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</si>
  <si>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</si>
  <si>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</si>
  <si>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</si>
  <si>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</si>
  <si>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</si>
  <si>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</si>
  <si>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</si>
  <si>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</si>
  <si>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</si>
  <si>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</si>
  <si>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</si>
  <si>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</si>
  <si>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</si>
  <si>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</si>
  <si>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</si>
  <si>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</si>
  <si>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</si>
  <si>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</si>
  <si>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</si>
  <si>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</si>
  <si>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</si>
  <si>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</si>
  <si>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</si>
  <si>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</si>
  <si>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</si>
  <si>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</si>
  <si>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</si>
  <si>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</si>
  <si>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</si>
  <si>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</si>
  <si>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</si>
  <si>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</si>
  <si>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</si>
  <si>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</si>
  <si>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</si>
  <si>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</si>
  <si>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</si>
  <si>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</si>
  <si>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</si>
  <si>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</si>
  <si>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</si>
  <si>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</si>
  <si>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</si>
  <si>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</si>
  <si>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</si>
  <si>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</si>
  <si>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</si>
  <si>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</si>
  <si>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</si>
  <si>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</si>
  <si>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</si>
  <si>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</si>
  <si>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</si>
  <si>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</si>
  <si>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</si>
  <si>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</si>
  <si>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</si>
  <si>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</si>
  <si>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</si>
  <si>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</si>
  <si>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</si>
  <si>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</si>
  <si>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</si>
  <si>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</si>
  <si>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</si>
  <si>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</si>
  <si>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</si>
  <si>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</si>
  <si>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</si>
  <si>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</si>
  <si>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</si>
  <si>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</si>
  <si>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</si>
  <si>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</si>
  <si>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</si>
  <si>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</si>
  <si>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</si>
  <si>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</si>
  <si>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</si>
  <si>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</si>
  <si>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</si>
  <si>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</si>
  <si>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</si>
  <si>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</si>
  <si>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</si>
  <si>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</si>
  <si>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</si>
  <si>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</si>
  <si>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</si>
  <si>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</si>
  <si>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</si>
  <si>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</si>
  <si>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</si>
  <si>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</si>
  <si>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</si>
  <si>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</si>
  <si>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</si>
  <si>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</si>
  <si>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</si>
  <si>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</si>
  <si>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</si>
  <si>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</si>
  <si>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</si>
  <si>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</si>
  <si>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</si>
  <si>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</si>
  <si>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</si>
  <si>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</si>
  <si>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</si>
  <si>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</si>
  <si>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</si>
  <si>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</si>
  <si>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</si>
  <si>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</si>
  <si>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</si>
  <si>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</si>
  <si>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</si>
  <si>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</si>
  <si>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</si>
  <si>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</si>
  <si>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</si>
  <si>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</si>
  <si>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</si>
  <si>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</si>
  <si>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</si>
  <si>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</si>
  <si>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</si>
  <si>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</si>
  <si>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</si>
  <si>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</si>
  <si>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</si>
  <si>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</si>
  <si>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</si>
  <si>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</si>
  <si>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</si>
  <si>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</si>
  <si>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</si>
  <si>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</si>
  <si>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</si>
  <si>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</si>
  <si>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</si>
  <si>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</si>
  <si>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</si>
  <si>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</si>
  <si>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</si>
  <si>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</si>
  <si>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</si>
  <si>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</si>
  <si>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</si>
  <si>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</si>
  <si>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</si>
  <si>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</si>
  <si>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</si>
  <si>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</si>
  <si>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</si>
  <si>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</si>
  <si>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</si>
  <si>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</si>
  <si>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</si>
  <si>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</si>
  <si>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</si>
  <si>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</si>
  <si>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</si>
  <si>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</si>
  <si>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</si>
  <si>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</si>
  <si>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</si>
  <si>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</si>
  <si>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</si>
  <si>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</si>
  <si>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</si>
  <si>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</si>
  <si>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</si>
  <si>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</si>
  <si>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</si>
  <si>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</si>
  <si>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solda no queixo</t>
  </si>
  <si>
    <t>sem material no estoque</t>
  </si>
  <si>
    <t>troca de martelo</t>
  </si>
  <si>
    <t>processando blend</t>
  </si>
  <si>
    <t>colocar chapa na bica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</si>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</sst>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J44" sqref="J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/>
      <c r="M44" s="30">
        <f t="shared" ca="1" si="10"/>
        <v>5.1659722157637589E-3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126</v>
      </c>
      <c r="G54" s="36">
        <f>SUM(G42:G53)</f>
        <v>630</v>
      </c>
      <c r="H54" s="37"/>
      <c r="I54" s="37"/>
      <c r="J54" s="37"/>
      <c r="K54" s="37"/>
      <c r="L54" s="37"/>
      <c r="M54" s="38">
        <f ca="1">IFERROR(SUM(M42:M53),"")</f>
        <v>0.14961041666020816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379</v>
      </c>
      <c r="G55" s="40">
        <f>G41+G54</f>
        <v>1325</v>
      </c>
      <c r="H55" s="41"/>
      <c r="I55" s="41"/>
      <c r="J55" s="41"/>
      <c r="K55" s="41"/>
      <c r="L55" s="41"/>
      <c r="M55" s="42">
        <f ca="1">IFERROR(M41+M54,"")</f>
        <v>0.20933263888243034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J52" sqref="J5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/>
      <c r="M52" s="30">
        <f t="shared" ca="1" si="11"/>
        <v>7.249305555887986E-3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52</v>
      </c>
      <c r="G54" s="36">
        <f>SUM(G42:G53)</f>
        <v>218.4</v>
      </c>
      <c r="H54" s="37"/>
      <c r="I54" s="37"/>
      <c r="J54" s="37"/>
      <c r="K54" s="37"/>
      <c r="L54" s="37"/>
      <c r="M54" s="38">
        <f ca="1">IFERROR(SUM(M42:M53),"")</f>
        <v>0.12183263888922133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132</v>
      </c>
      <c r="G55" s="40">
        <f>G41+G54</f>
        <v>541.79999999999995</v>
      </c>
      <c r="H55" s="41"/>
      <c r="I55" s="41"/>
      <c r="J55" s="41"/>
      <c r="K55" s="41"/>
      <c r="L55" s="41"/>
      <c r="M55" s="42">
        <f ca="1">IFERROR(M41+M54,"")</f>
        <v>0.20655486111144367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49" sqref="F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253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 t="str">
        <f t="shared" si="9"/>
        <v/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46</v>
      </c>
      <c r="G54" s="36">
        <f>SUM(G42:G53)</f>
        <v>193.20000000000002</v>
      </c>
      <c r="H54" s="37"/>
      <c r="I54" s="37"/>
      <c r="J54" s="37"/>
      <c r="K54" s="37"/>
      <c r="L54" s="37"/>
      <c r="M54" s="38">
        <f ca="1">IFERROR(SUM(M42:M53),"")</f>
        <v>0.11736111111111112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123</v>
      </c>
      <c r="G55" s="40">
        <f>G41+G54</f>
        <v>516.6</v>
      </c>
      <c r="H55" s="41"/>
      <c r="I55" s="41"/>
      <c r="J55" s="41"/>
      <c r="K55" s="41"/>
      <c r="L55" s="41"/>
      <c r="M55" s="42">
        <f ca="1">IFERROR(M41+M54,"")</f>
        <v>0.13819444444444451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E53" sqref="E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78</v>
      </c>
      <c r="G54" s="36">
        <f>SUM(G42:G53)</f>
        <v>327.60000000000002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219</v>
      </c>
      <c r="G55" s="40">
        <f>G41+G54</f>
        <v>886.2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2026-08-03T06:30:34Z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