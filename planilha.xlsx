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09" documentId="8_{C51EB6CB-002B-4D6B-B68F-DDEBDB4460C0}" xr6:coauthVersionLast="47" xr6:coauthVersionMax="47" xr10:uidLastSave="{AD4C96F8-0BA4-4BF3-93D2-713E27C5F2DF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<sst xmlns="http://schemas.openxmlformats.org/spreadsheetml/2006/main" count="5833" uniqueCount="341">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</sst>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</v>
      </c>
      <c r="F15" s="11">
        <f>IFERROR('Linha 3'!O325,"")</f>
        <v>948950</v>
      </c>
      <c r="G15" s="12">
        <f t="shared" si="0"/>
        <v>1760564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6329334</v>
      </c>
      <c r="F35" s="13">
        <f>IFERROR(SUM(F4:F34),"")</f>
        <v>16502400</v>
      </c>
      <c r="G35" s="13">
        <f>IFERROR(SUM(G4:G34),"")</f>
        <v>36432234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E323" sqref="E32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0.70160162037063856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0.8404905092595274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0.92521273148174976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169</v>
      </c>
      <c r="G325" s="40">
        <f>G311+G324</f>
        <v>709.8</v>
      </c>
      <c r="H325" s="41"/>
      <c r="I325" s="41"/>
      <c r="J325" s="41"/>
      <c r="K325" s="41"/>
      <c r="L325" s="41"/>
      <c r="M325" s="42">
        <f ca="1">IFERROR(M311+M324,"")</f>
        <v>5.3472222222222143E-2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H322" sqref="H32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0.62868495370639721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0.69049050926195277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0.75160162037306399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D312" sqref="D312:D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192</v>
      </c>
      <c r="G325" s="40">
        <f>G311+G324</f>
        <v>806.4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2026-08-12T23:47:21Z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