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18" documentId="13_ncr:1_{0A10D8D4-8450-4366-8075-B53B08E6B7EA}" xr6:coauthVersionLast="47" xr6:coauthVersionMax="47" xr10:uidLastSave="{0BAB33A0-26C1-4810-B37A-CC71BB7FAEF8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<sst xmlns="http://schemas.openxmlformats.org/spreadsheetml/2006/main" count="7693" uniqueCount="366">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</sst>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2" activePane="bottomLeft" state="frozen"/>
      <selection pane="bottomLeft" activeCell="F448" sqref="F44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271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272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273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50</v>
      </c>
      <c r="G459" s="36">
        <f>SUM(G447:G458)</f>
        <v>250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218</v>
      </c>
      <c r="G460" s="40">
        <f>G446+G459</f>
        <v>1090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51" sqref="G45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276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277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278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279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280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281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282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283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0.7104496527754236</v>
      </c>
      <c r="R53" s="46" t="s">
        <v>284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0.84933854166431244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0.93406076388653481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276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285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286</v>
      </c>
      <c r="Q96" s="30" t="str">
        <f t="shared" ref="Q96:Q107" ca="1" si="22">IFERROR(IF(O96="","",IF(P96="",MOD(NOW()-O96,1),IF(P96&gt;=O96,P96-O96,P96+1-O96))),"")</f>
        <v/>
      </c>
      <c r="R96" s="46" t="s">
        <v>287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288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289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290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291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292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293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295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296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290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285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301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302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303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304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305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297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292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285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306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307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308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309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310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311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470.40000000000003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E458" sqref="E4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279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285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293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285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296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325</v>
      </c>
      <c r="Q222" s="30" t="str">
        <f t="shared" ca="1" si="49"/>
        <v/>
      </c>
      <c r="R222" s="27" t="s">
        <v>326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303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304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285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307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E450" sqref="E4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282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293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307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2026-08-18T00:00:04Z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