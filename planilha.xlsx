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19" documentId="8_{AF585B22-221D-4780-BB9C-493D365A6A02}" xr6:coauthVersionLast="47" xr6:coauthVersionMax="47" xr10:uidLastSave="{9DE33A80-FFD3-405E-AFFB-11CD4657066D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<sst xmlns="http://schemas.openxmlformats.org/spreadsheetml/2006/main" count="10720" uniqueCount="402">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</sst>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5" sqref="F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40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40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K705" sqref="K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0.11586354166502133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0.27350243055391021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0.38322465277613238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9.4335763889830559E-2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0.26516909722316395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0.41030798611205282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257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232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11</v>
      </c>
      <c r="G704" s="28">
        <f t="shared" ref="G704:G715" si="156">IF(F704="","",IF(E704="PC 17",F704*4.2,IF(E704="PC 19",F704*5,"")))</f>
        <v>46.2</v>
      </c>
      <c r="H704" s="26"/>
      <c r="I704" s="26"/>
      <c r="J704" s="26"/>
      <c r="K704" s="29">
        <v>0.35486111111111113</v>
      </c>
      <c r="L704" s="29"/>
      <c r="M704" s="30">
        <f t="shared" ref="M704:M715" ca="1" si="157">IFERROR(IF(K704="","",IF(L704="",MOD(NOW()-K704,1),IF(L704&gt;=K704,L704-K704,L704+1-K704))),"")</f>
        <v>5.8576388983055949E-4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11</v>
      </c>
      <c r="G716" s="36">
        <f>SUM(G704:G715)</f>
        <v>46.2</v>
      </c>
      <c r="H716" s="37"/>
      <c r="I716" s="37"/>
      <c r="J716" s="37"/>
      <c r="K716" s="37"/>
      <c r="L716" s="37"/>
      <c r="M716" s="38">
        <f ca="1">IFERROR(SUM(M704:M715),"")</f>
        <v>5.8576388983055949E-4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11</v>
      </c>
      <c r="G730" s="40">
        <f>G716+G729</f>
        <v>46.2</v>
      </c>
      <c r="H730" s="41"/>
      <c r="I730" s="41"/>
      <c r="J730" s="41"/>
      <c r="K730" s="41"/>
      <c r="L730" s="41"/>
      <c r="M730" s="42">
        <f ca="1">IFERROR(M716+M729,"")</f>
        <v>5.8576388983055949E-4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82" zoomScale="50" zoomScaleNormal="50" workbookViewId="0">
      <selection activeCell="K705" sqref="K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8</v>
      </c>
      <c r="G704" s="28">
        <f t="shared" ref="G704:G715" si="156">IF(F704="","",IF(E704="PC 17",F704*4.2,IF(E704="PC 19",F704*5,"")))</f>
        <v>33.6</v>
      </c>
      <c r="H704" s="26"/>
      <c r="I704" s="26"/>
      <c r="J704" s="26"/>
      <c r="K704" s="29">
        <v>0.35486111111111113</v>
      </c>
      <c r="L704" s="29"/>
      <c r="M704" s="30">
        <f t="shared" ref="M704:M715" ca="1" si="157">IFERROR(IF(K704="","",IF(L704="",MOD(NOW()-K704,1),IF(L704&gt;=K704,L704-K704,L704+1-K704))),"")</f>
        <v>5.8576388983055949E-4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33.6</v>
      </c>
      <c r="H716" s="37"/>
      <c r="I716" s="37"/>
      <c r="J716" s="37"/>
      <c r="K716" s="37"/>
      <c r="L716" s="37"/>
      <c r="M716" s="38">
        <f ca="1">IFERROR(SUM(M704:M715),"")</f>
        <v>5.8576388983055949E-4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33.6</v>
      </c>
      <c r="H730" s="41"/>
      <c r="I730" s="41"/>
      <c r="J730" s="41"/>
      <c r="K730" s="41"/>
      <c r="L730" s="41"/>
      <c r="M730" s="42">
        <f ca="1">IFERROR(M716+M729,"")</f>
        <v>5.8576388983055949E-4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5" sqref="F7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0.10614131944748806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0.30544687500304368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0.67280798611415471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159</v>
      </c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6.3780208336538635E-2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2</v>
      </c>
      <c r="G716" s="36">
        <f>SUM(G704:G715)</f>
        <v>8.4</v>
      </c>
      <c r="H716" s="37"/>
      <c r="I716" s="37"/>
      <c r="J716" s="37"/>
      <c r="K716" s="61"/>
      <c r="L716" s="61"/>
      <c r="M716" s="38">
        <f ca="1">IFERROR(SUM(M704:M715),"")</f>
        <v>6.3780208336538635E-2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2</v>
      </c>
      <c r="G730" s="40">
        <f>G716+G729</f>
        <v>8.4</v>
      </c>
      <c r="H730" s="41"/>
      <c r="I730" s="41"/>
      <c r="J730" s="41"/>
      <c r="K730" s="63"/>
      <c r="L730" s="63"/>
      <c r="M730" s="42">
        <f ca="1">IFERROR(M716+M729,"")</f>
        <v>6.3780208336538635E-2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2026-07-27T12:33:39Z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