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39" documentId="8_{AF585B22-221D-4780-BB9C-493D365A6A02}" xr6:coauthVersionLast="47" xr6:coauthVersionMax="47" xr10:uidLastSave="{D6037E05-F764-4C69-AE50-526639B4AAB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<sst xmlns="http://schemas.openxmlformats.org/spreadsheetml/2006/main" count="8602" uniqueCount="370">
  <si>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</si>
  <si>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</si>
  <si>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</si>
  <si>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</si>
  <si>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</si>
  <si>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</si>
  <si>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</si>
  <si>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</si>
  <si>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</si>
  <si>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</si>
  <si>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</si>
  <si>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</si>
  <si>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</si>
  <si>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</si>
  <si>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</si>
  <si>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</si>
  <si>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</si>
  <si>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</si>
  <si>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</si>
  <si>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</si>
  <si>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</si>
  <si>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</si>
  <si>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</si>
  <si>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</si>
  <si>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</si>
  <si>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</si>
  <si>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</si>
  <si>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</si>
  <si>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</si>
  <si>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</si>
  <si>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</si>
  <si>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</si>
  <si>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</si>
  <si>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</si>
  <si>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</si>
  <si>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</si>
  <si>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</si>
  <si>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</si>
  <si>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</si>
  <si>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</si>
  <si>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</si>
  <si>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</si>
  <si>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</si>
  <si>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</si>
  <si>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</si>
  <si>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</si>
  <si>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</si>
  <si>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</si>
  <si>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</si>
  <si>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</si>
  <si>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</si>
  <si>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</si>
  <si>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</si>
  <si>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</si>
  <si>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</si>
  <si>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</si>
  <si>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</si>
  <si>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</si>
  <si>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</si>
  <si>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</si>
  <si>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</si>
  <si>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</si>
  <si>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</si>
  <si>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</si>
  <si>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</si>
  <si>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</si>
  <si>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</si>
  <si>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</si>
  <si>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</si>
  <si>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</si>
  <si>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</si>
  <si>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</si>
  <si>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</si>
  <si>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</si>
  <si>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</si>
  <si>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</si>
  <si>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</si>
  <si>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</si>
  <si>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</si>
  <si>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</si>
  <si>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</si>
  <si>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</si>
  <si>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</si>
  <si>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</si>
  <si>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</si>
  <si>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</si>
  <si>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</si>
  <si>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</si>
  <si>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</si>
  <si>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</si>
  <si>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</si>
  <si>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</si>
  <si>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</si>
  <si>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</si>
  <si>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</si>
  <si>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</si>
  <si>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</si>
  <si>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</si>
  <si>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</si>
  <si>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</si>
  <si>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</si>
  <si>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</si>
  <si>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</si>
  <si>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</si>
  <si>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</si>
  <si>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</si>
  <si>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</si>
  <si>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</si>
  <si>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</si>
  <si>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</si>
  <si>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</si>
  <si>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</si>
  <si>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</si>
  <si>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</si>
  <si>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</si>
  <si>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</si>
  <si>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</si>
  <si>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</si>
  <si>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</si>
  <si>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</si>
  <si>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</si>
  <si>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</si>
  <si>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</si>
  <si>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</si>
  <si>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</si>
  <si>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</si>
  <si>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</si>
  <si>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</si>
  <si>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</si>
  <si>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</si>
  <si>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</si>
  <si>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</si>
  <si>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</si>
  <si>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</si>
  <si>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</si>
  <si>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</si>
  <si>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</si>
  <si>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</si>
  <si>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</si>
  <si>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</si>
  <si>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</si>
  <si>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</si>
  <si>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</si>
  <si>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</si>
  <si>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</si>
  <si>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</si>
  <si>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</si>
  <si>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</si>
  <si>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</si>
  <si>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</si>
  <si>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</si>
  <si>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</si>
  <si>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</si>
  <si>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</si>
  <si>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</si>
  <si>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</si>
  <si>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</si>
  <si>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</si>
  <si>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</si>
  <si>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</si>
  <si>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</si>
  <si>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</si>
  <si>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</si>
  <si>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</si>
  <si>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</si>
  <si>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</si>
  <si>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</si>
  <si>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</si>
  <si>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</si>
  <si>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</si>
  <si>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</si>
  <si>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</si>
  <si>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</si>
  <si>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</si>
  <si>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</si>
  <si>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</si>
  <si>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</si>
  <si>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</si>
  <si>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</si>
  <si>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</si>
  <si>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</si>
  <si>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</si>
  <si>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</si>
  <si>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</si>
  <si>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</si>
  <si>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</si>
  <si>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</si>
  <si>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</si>
  <si>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</si>
  <si>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</si>
  <si>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</si>
  <si>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</si>
  <si>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</si>
  <si>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</si>
  <si>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</si>
  <si>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</si>
  <si>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</si>
  <si>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</si>
  <si>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</si>
  <si>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</si>
  <si>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</si>
  <si>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</si>
  <si>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</si>
  <si>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</si>
  <si>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</si>
  <si>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</si>
  <si>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</si>
  <si>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</si>
  <si>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</si>
  <si>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</si>
  <si>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</si>
  <si>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</si>
  <si>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</si>
  <si>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</si>
  <si>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</si>
  <si>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</si>
  <si>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</si>
  <si>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</si>
  <si>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</si>
  <si>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</si>
  <si>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</si>
  <si>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</si>
  <si>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</si>
  <si>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</si>
  <si>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</si>
  <si>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</si>
  <si>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</si>
  <si>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</si>
  <si>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</si>
  <si>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</si>
  <si>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</si>
  <si>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</si>
  <si>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</si>
  <si>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</si>
  <si>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</si>
  <si>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</si>
  <si>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</si>
  <si>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</si>
  <si>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</si>
  <si>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</si>
  <si>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</si>
  <si>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</si>
  <si>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</si>
  <si>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</si>
  <si>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</si>
  <si>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</si>
  <si>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</si>
  <si>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</si>
  <si>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</si>
  <si>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</si>
  <si>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</si>
  <si>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</si>
  <si>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</si>
  <si>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</si>
  <si>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</si>
  <si>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</si>
  <si>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</si>
  <si>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</si>
  <si>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 xml:space="preserve">ajuste no rolamento do rotor do britador, 5s, feito tampa do chute do britador, 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</si>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</sst>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N542" sqref="N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50" sqref="F5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0.39493773147842148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0.55257662036731037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0.66229884258953253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0.37340995370323071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0.54424328703656411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0.68938217592545303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183</v>
      </c>
      <c r="G554" s="36">
        <f>SUM(G542:G553)</f>
        <v>768.60000000000014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183</v>
      </c>
      <c r="G568" s="40">
        <f>G554+G567</f>
        <v>768.60000000000014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50" sqref="F5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20</v>
      </c>
      <c r="G554" s="36">
        <f>SUM(G542:G553)</f>
        <v>84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</v>
      </c>
      <c r="G568" s="40">
        <f>G554+G567</f>
        <v>84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F550" sqref="F5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0.38521550926088821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0.58452106481644384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0.95188217592755486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546</v>
      </c>
      <c r="H554" s="37"/>
      <c r="I554" s="37"/>
      <c r="J554" s="37"/>
      <c r="K554" s="61"/>
      <c r="L554" s="61"/>
      <c r="M554" s="38">
        <f ca="1">IFERROR(SUM(M542:M553),"")</f>
        <v>6.25E-2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546</v>
      </c>
      <c r="H568" s="41"/>
      <c r="I568" s="41"/>
      <c r="J568" s="41"/>
      <c r="K568" s="63"/>
      <c r="L568" s="63"/>
      <c r="M568" s="42">
        <f ca="1">IFERROR(M554+M567,"")</f>
        <v>6.25E-2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2026-07-21T19:13:56Z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