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158" documentId="8_{C51EB6CB-002B-4D6B-B68F-DDEBDB4460C0}" xr6:coauthVersionLast="47" xr6:coauthVersionMax="47" xr10:uidLastSave="{4A94C568-AFF4-44B8-9951-5724F3A02B7D}"/>
  <bookViews>
    <workbookView xWindow="-120" yWindow="-12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6" i="4" l="1"/>
  <c r="G317" i="4"/>
  <c r="G318" i="4"/>
  <c r="G319" i="4"/>
  <c r="G320" i="4"/>
  <c r="G321" i="4"/>
  <c r="G322" i="4"/>
  <c r="G323" i="4"/>
  <c r="F284" i="4"/>
  <c r="F257" i="5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M322" i="4"/>
  <c r="M321" i="4"/>
  <c r="M320" i="4"/>
  <c r="M319" i="4"/>
  <c r="M318" i="4"/>
  <c r="M317" i="4"/>
  <c r="M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98" i="4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G284" i="4" s="1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98" i="4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838" i="4" l="1"/>
  <c r="M487" i="3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<sst xmlns="http://schemas.openxmlformats.org/spreadsheetml/2006/main" count="5891" uniqueCount="343">
  <si>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</si>
  <si>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</si>
  <si>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</si>
  <si>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</si>
  <si>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</si>
  <si>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</si>
  <si>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</si>
  <si>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</si>
  <si>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</si>
  <si>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</si>
  <si>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</si>
  <si>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</si>
  <si>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</si>
  <si>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</si>
  <si>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</si>
  <si>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</si>
  <si>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</si>
  <si>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</si>
  <si>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</si>
  <si>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</si>
  <si>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</si>
  <si>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</si>
  <si>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</si>
  <si>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</si>
  <si>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</si>
  <si>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</si>
  <si>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</si>
  <si>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</si>
  <si>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</si>
  <si>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</si>
  <si>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</si>
  <si>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</si>
  <si>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</si>
  <si>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</si>
  <si>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</si>
  <si>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</si>
  <si>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</si>
  <si>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</si>
  <si>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</si>
  <si>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</si>
  <si>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</si>
  <si>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</si>
  <si>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</si>
  <si>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</si>
  <si>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</si>
  <si>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</si>
  <si>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</si>
  <si>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</si>
  <si>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</si>
  <si>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</si>
  <si>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</si>
  <si>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</si>
  <si>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</si>
  <si>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</si>
  <si>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</si>
  <si>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</si>
  <si>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</si>
  <si>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</si>
  <si>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</si>
  <si>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</si>
  <si>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</si>
  <si>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</si>
  <si>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</si>
  <si>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</si>
  <si>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</si>
  <si>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</si>
  <si>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</si>
  <si>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</si>
  <si>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</si>
  <si>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</si>
  <si>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</si>
  <si>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</si>
  <si>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</si>
  <si>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</si>
  <si>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</si>
  <si>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</si>
  <si>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</si>
  <si>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</si>
  <si>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</si>
  <si>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</si>
  <si>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</si>
  <si>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</si>
  <si>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</si>
  <si>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</si>
  <si>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</si>
  <si>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</si>
  <si>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</si>
  <si>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</si>
  <si>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</si>
  <si>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</si>
  <si>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</si>
  <si>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</si>
  <si>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</si>
  <si>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</si>
  <si>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</si>
  <si>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</si>
  <si>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</si>
  <si>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</si>
  <si>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</si>
  <si>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</si>
  <si>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</si>
  <si>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</si>
  <si>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</si>
  <si>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</si>
  <si>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</si>
  <si>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</si>
  <si>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</si>
  <si>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</si>
  <si>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</si>
  <si>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</si>
  <si>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</si>
  <si>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</si>
  <si>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</si>
  <si>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</si>
  <si>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</si>
  <si>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</si>
  <si>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</si>
  <si>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</si>
  <si>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</si>
  <si>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</si>
  <si>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</si>
  <si>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</si>
  <si>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</si>
  <si>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</si>
  <si>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</si>
  <si>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</si>
  <si>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</si>
  <si>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</si>
  <si>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</si>
  <si>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</si>
  <si>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</si>
  <si>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</si>
  <si>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</si>
  <si>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</si>
  <si>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</si>
  <si>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</si>
  <si>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</si>
  <si>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</si>
  <si>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</si>
  <si>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</si>
  <si>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</si>
  <si>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</si>
  <si>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</si>
  <si>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</si>
  <si>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</si>
  <si>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</si>
  <si>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</si>
  <si>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</si>
  <si>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</si>
  <si>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</si>
  <si>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</si>
  <si>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</si>
  <si>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</si>
  <si>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</si>
  <si>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</si>
  <si>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</si>
  <si>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</si>
  <si>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</si>
  <si>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</si>
  <si>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</si>
  <si>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</si>
  <si>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</si>
  <si>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</si>
  <si>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</si>
  <si>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</si>
  <si>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</si>
  <si>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</si>
  <si>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</si>
  <si>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</si>
  <si>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</si>
  <si>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</si>
  <si>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</si>
  <si>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</si>
  <si>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</si>
  <si>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</si>
  <si>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</si>
  <si>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</si>
  <si>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</si>
  <si>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</si>
  <si>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</si>
  <si>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</si>
  <si>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</si>
  <si>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</si>
  <si>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</si>
  <si>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</si>
  <si>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</si>
  <si>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</si>
  <si>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</si>
  <si>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</si>
  <si>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</si>
  <si>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</si>
  <si>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</si>
  <si>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</si>
  <si>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</si>
  <si>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</si>
  <si>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</si>
  <si>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</si>
  <si>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</si>
  <si>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</si>
  <si>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</si>
  <si>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</si>
  <si>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</si>
  <si>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</si>
  <si>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</si>
  <si>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</si>
  <si>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</si>
  <si>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</si>
  <si>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</si>
  <si>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</si>
  <si>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</si>
  <si>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</si>
  <si>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</si>
  <si>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</si>
  <si>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</si>
  <si>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</si>
  <si>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</si>
  <si>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</si>
  <si>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</si>
  <si>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</si>
  <si>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</si>
  <si>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</si>
  <si>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</si>
  <si>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</si>
  <si>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</si>
  <si>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</si>
  <si>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</si>
  <si>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</si>
  <si>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</si>
  <si>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</si>
  <si>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</si>
  <si>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</si>
  <si>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</si>
  <si>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</si>
  <si>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</si>
  <si>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</si>
  <si>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</si>
  <si>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</si>
  <si>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</si>
  <si>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</si>
  <si>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</si>
  <si>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</si>
  <si>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</si>
  <si>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</si>
  <si>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</si>
  <si>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</si>
  <si>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</si>
  <si>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</si>
  <si>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</si>
  <si>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</si>
  <si>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</si>
  <si>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</si>
  <si>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</si>
  <si>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</si>
  <si>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</si>
  <si>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</si>
  <si>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</si>
  <si>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</si>
  <si>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>arrebentou balatas,troca de 3 parafusos</t>
  </si>
  <si>
    <t>engraxamento no mancal</t>
  </si>
  <si>
    <t>rolamento do mancal interno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</si>
  <si>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</si>
  <si>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3 viagens com caminhão</t>
  </si>
  <si>
    <t>serviço nos mancais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</si>
  <si>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</si>
  <si>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</si>
  <si>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</si>
  <si>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</si>
  <si>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</si>
  <si>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</si>
  <si>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</si>
  <si>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</si>
  <si>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</si>
  <si>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</si>
  <si>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</si>
  <si>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</si>
  <si>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</si>
  <si>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</si>
  <si>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</si>
  <si>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</si>
  <si>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</si>
  <si>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</si>
  <si>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</si>
  <si>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</si>
  <si>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</si>
  <si>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</si>
  <si>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</si>
  <si>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</si>
  <si>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</si>
  <si>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</si>
  <si>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C</t>
  </si>
  <si>
    <t>serviço de solda nas grelhas e no queixo</t>
  </si>
  <si>
    <t>serviço de solda</t>
  </si>
  <si>
    <t>troca de grelhas ,ajuste no queixo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</si>
  <si>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</si>
  <si>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</si>
  <si>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</si>
  <si>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</si>
  <si>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</si>
  <si>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</si>
  <si>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</si>
  <si>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</si>
  <si>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</si>
  <si>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</si>
  <si>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</si>
  <si>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</si>
  <si>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</si>
  <si>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</si>
  <si>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</si>
  <si>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</si>
  <si>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no moinho</t>
  </si>
  <si>
    <t>forramento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</si>
  <si>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</si>
  <si>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</si>
  <si>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</si>
  <si>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</si>
  <si>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</si>
  <si>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</si>
  <si>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</si>
  <si>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</si>
  <si>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</si>
  <si>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</si>
  <si>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</si>
  <si>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</si>
  <si>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</si>
  <si>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</si>
  <si>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</si>
  <si>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</si>
  <si>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</si>
  <si>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</si>
  <si>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</si>
  <si>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</si>
  <si>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</si>
  <si>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</si>
  <si>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</si>
  <si>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</si>
  <si>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</si>
  <si>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</si>
  <si>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</si>
  <si>
    <t>solda nas grelhas</t>
  </si>
  <si>
    <t>reposição de grelhas</t>
  </si>
  <si>
    <t>e vai faze troca de martelo 4/5</t>
  </si>
  <si>
    <t>troca de martelo mm4</t>
  </si>
  <si>
    <t>troca de marttelo mm4\5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</si>
</sst>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3694380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>
      <c r="A14" s="7">
        <v>11</v>
      </c>
      <c r="B14" s="72">
        <v>46245</v>
      </c>
      <c r="C14" s="8">
        <f>IFERROR(Britador!O298,"")</f>
        <v>3298250</v>
      </c>
      <c r="D14" s="8">
        <f>IFERROR('Linha 1'!O298,"")</f>
        <v>1562210</v>
      </c>
      <c r="E14" s="8">
        <f>IFERROR('Linha 2'!O298,"")</f>
        <v>835310</v>
      </c>
      <c r="F14" s="8">
        <f>IFERROR('Linha 3'!O298,"")</f>
        <v>1667310</v>
      </c>
      <c r="G14" s="9">
        <f t="shared" si="0"/>
        <v>4064830</v>
      </c>
    </row>
    <row r="15" spans="1:7" ht="15.75" customHeight="1">
      <c r="A15" s="10">
        <v>12</v>
      </c>
      <c r="B15" s="73">
        <v>46246</v>
      </c>
      <c r="C15" s="11">
        <f>IFERROR(Britador!O325,"")</f>
        <v>2631530</v>
      </c>
      <c r="D15" s="11">
        <f>IFERROR('Linha 1'!O325,"")</f>
        <v>754870</v>
      </c>
      <c r="E15" s="11">
        <f>IFERROR('Linha 2'!O325,"")</f>
        <v>567440</v>
      </c>
      <c r="F15" s="11">
        <f>IFERROR('Linha 3'!O325,"")</f>
        <v>948950</v>
      </c>
      <c r="G15" s="12">
        <f t="shared" si="0"/>
        <v>2271260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40061670</v>
      </c>
      <c r="D35" s="13">
        <f>IFERROR(SUM(D4:D34),"")</f>
        <v>13600500</v>
      </c>
      <c r="E35" s="13">
        <f>IFERROR(SUM(E4:E34),"")</f>
        <v>6840030</v>
      </c>
      <c r="F35" s="13">
        <f>IFERROR(SUM(F4:F34),"")</f>
        <v>16502400</v>
      </c>
      <c r="G35" s="13">
        <f>IFERROR(SUM(G4:G34),"")</f>
        <v>36942930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92" activePane="bottomLeft" state="frozen"/>
      <selection pane="bottomLeft" activeCell="N314" sqref="N314"/>
    </sheetView>
  </sheetViews>
  <sheetFormatPr defaultColWidth="8.5703125" defaultRowHeight="1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1544700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3694380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234</v>
      </c>
      <c r="F272" s="27">
        <v>37</v>
      </c>
      <c r="G272" s="28">
        <f t="shared" ref="G272:G283" si="60">IF(F272="","",IF(E272="PC 17",F272*4.2,IF(E272="PC 19",F272*5,IF(E272="CB",F272*35,""))))</f>
        <v>185</v>
      </c>
      <c r="H272" s="26" t="s">
        <v>18</v>
      </c>
      <c r="I272" s="26" t="s">
        <v>23</v>
      </c>
      <c r="J272" s="26" t="s">
        <v>166</v>
      </c>
      <c r="K272" s="29">
        <v>0.3347222222222222</v>
      </c>
      <c r="L272" s="29">
        <v>0.34097222222222223</v>
      </c>
      <c r="M272" s="30">
        <f t="shared" ref="M272:M283" ca="1" si="61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234</v>
      </c>
      <c r="F273" s="27">
        <v>31</v>
      </c>
      <c r="G273" s="34">
        <f t="shared" si="60"/>
        <v>155</v>
      </c>
      <c r="H273" s="33" t="s">
        <v>20</v>
      </c>
      <c r="I273" s="33" t="s">
        <v>23</v>
      </c>
      <c r="J273" s="33" t="s">
        <v>134</v>
      </c>
      <c r="K273" s="29">
        <v>0.39861111111111114</v>
      </c>
      <c r="L273" s="29">
        <v>0.44027777777777777</v>
      </c>
      <c r="M273" s="35">
        <f t="shared" ca="1" si="61"/>
        <v>4.166666666666663E-2</v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234</v>
      </c>
      <c r="F274" s="27">
        <v>20</v>
      </c>
      <c r="G274" s="28">
        <f t="shared" si="60"/>
        <v>100</v>
      </c>
      <c r="H274" s="26" t="s">
        <v>19</v>
      </c>
      <c r="I274" s="26" t="s">
        <v>23</v>
      </c>
      <c r="J274" s="26" t="s">
        <v>67</v>
      </c>
      <c r="K274" s="29">
        <v>0.44722222222222224</v>
      </c>
      <c r="L274" s="29">
        <v>0.48194444444444445</v>
      </c>
      <c r="M274" s="30">
        <f t="shared" ca="1" si="61"/>
        <v>3.472222222222221E-2</v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234</v>
      </c>
      <c r="F275" s="27">
        <v>8</v>
      </c>
      <c r="G275" s="34">
        <f t="shared" si="60"/>
        <v>40</v>
      </c>
      <c r="H275" s="33" t="s">
        <v>20</v>
      </c>
      <c r="I275" s="33" t="s">
        <v>23</v>
      </c>
      <c r="J275" s="33" t="s">
        <v>207</v>
      </c>
      <c r="K275" s="29">
        <v>0.49444444444444446</v>
      </c>
      <c r="L275" s="29">
        <v>0.51388888888888884</v>
      </c>
      <c r="M275" s="35">
        <f t="shared" ca="1" si="61"/>
        <v>1.9444444444444375E-2</v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234</v>
      </c>
      <c r="F276" s="27">
        <v>35</v>
      </c>
      <c r="G276" s="28">
        <f t="shared" si="60"/>
        <v>175</v>
      </c>
      <c r="H276" s="26" t="s">
        <v>19</v>
      </c>
      <c r="I276" s="26" t="s">
        <v>23</v>
      </c>
      <c r="J276" s="26" t="s">
        <v>50</v>
      </c>
      <c r="K276" s="29">
        <v>0.59652777777777777</v>
      </c>
      <c r="L276" s="29">
        <v>0.64027777777777772</v>
      </c>
      <c r="M276" s="30">
        <f t="shared" ca="1" si="61"/>
        <v>4.3749999999999956E-2</v>
      </c>
      <c r="N276" s="46" t="s">
        <v>257</v>
      </c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234</v>
      </c>
      <c r="F277" s="27">
        <v>49</v>
      </c>
      <c r="G277" s="34">
        <f t="shared" si="60"/>
        <v>245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234</v>
      </c>
      <c r="F278" s="27">
        <v>10</v>
      </c>
      <c r="G278" s="28">
        <f t="shared" si="60"/>
        <v>50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234</v>
      </c>
      <c r="F280" s="27">
        <v>24</v>
      </c>
      <c r="G280" s="28">
        <f t="shared" si="60"/>
        <v>120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234</v>
      </c>
      <c r="F281" s="27">
        <v>26</v>
      </c>
      <c r="G281" s="34">
        <f t="shared" si="60"/>
        <v>130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23</v>
      </c>
      <c r="G282" s="28">
        <f t="shared" si="60"/>
        <v>115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234</v>
      </c>
      <c r="F283" s="27">
        <v>0</v>
      </c>
      <c r="G283" s="34">
        <f t="shared" si="60"/>
        <v>0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236</v>
      </c>
      <c r="O284" s="39">
        <v>1583020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22</v>
      </c>
      <c r="E285" s="62" t="s">
        <v>250</v>
      </c>
      <c r="F285" s="27">
        <v>20</v>
      </c>
      <c r="G285" s="34">
        <f t="shared" ref="G285:G296" si="63">IF(F285="","",IF(E285="PC 17",F285*4.2,IF(E285="PC 19",F285*5,IF(E285="CB",F285*35,""))))</f>
        <v>84</v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22</v>
      </c>
      <c r="E286" s="62" t="s">
        <v>250</v>
      </c>
      <c r="F286" s="27">
        <v>0</v>
      </c>
      <c r="G286" s="28">
        <f t="shared" si="63"/>
        <v>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21</v>
      </c>
      <c r="G287" s="34">
        <f t="shared" si="63"/>
        <v>88.2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44</v>
      </c>
      <c r="G288" s="28">
        <f t="shared" si="63"/>
        <v>184.8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250</v>
      </c>
      <c r="F289" s="27">
        <v>33</v>
      </c>
      <c r="G289" s="34">
        <f t="shared" si="63"/>
        <v>138.6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250</v>
      </c>
      <c r="F290" s="27">
        <v>42</v>
      </c>
      <c r="G290" s="28">
        <f t="shared" si="63"/>
        <v>176.4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250</v>
      </c>
      <c r="F291" s="27">
        <v>46</v>
      </c>
      <c r="G291" s="34">
        <f t="shared" si="63"/>
        <v>193.20000000000002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250</v>
      </c>
      <c r="F292" s="27">
        <v>39</v>
      </c>
      <c r="G292" s="28">
        <f t="shared" si="63"/>
        <v>163.80000000000001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250</v>
      </c>
      <c r="F293" s="27">
        <v>50</v>
      </c>
      <c r="G293" s="34">
        <f t="shared" si="63"/>
        <v>210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250</v>
      </c>
      <c r="F294" s="27">
        <v>29</v>
      </c>
      <c r="G294" s="28">
        <f t="shared" si="63"/>
        <v>121.80000000000001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250</v>
      </c>
      <c r="F295" s="27">
        <v>46</v>
      </c>
      <c r="G295" s="34">
        <f t="shared" si="63"/>
        <v>193.20000000000002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250</v>
      </c>
      <c r="F296" s="27">
        <v>25</v>
      </c>
      <c r="G296" s="28">
        <f t="shared" si="63"/>
        <v>105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>
        <v>1715230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240</v>
      </c>
      <c r="O298" s="48">
        <f>IFERROR(O284+O297,"")</f>
        <v>3298250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234</v>
      </c>
      <c r="F299" s="27">
        <v>37</v>
      </c>
      <c r="G299" s="34">
        <f t="shared" ref="G299:G310" si="66">IF(F299="","",IF(E299="PC 17",F299*4.2,IF(E299="PC 19",F299*5,IF(E299="CB",F299*35,""))))</f>
        <v>185</v>
      </c>
      <c r="H299" s="33" t="s">
        <v>18</v>
      </c>
      <c r="I299" s="33" t="s">
        <v>23</v>
      </c>
      <c r="J299" s="33" t="s">
        <v>223</v>
      </c>
      <c r="K299" s="29">
        <v>0.31874999999999998</v>
      </c>
      <c r="L299" s="29">
        <v>0.3298611111111111</v>
      </c>
      <c r="M299" s="35">
        <f t="shared" ref="M299:M310" ca="1" si="67">IFERROR(IF(K299="","",IF(L299="",MOD(NOW()-K299,1),IF(L299&gt;=K299,L299-K299,L299+1-K299))),"")</f>
        <v>1.1111111111111127E-2</v>
      </c>
      <c r="N299" s="46" t="s">
        <v>258</v>
      </c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234</v>
      </c>
      <c r="F300" s="27">
        <v>31</v>
      </c>
      <c r="G300" s="28">
        <f t="shared" si="66"/>
        <v>155</v>
      </c>
      <c r="H300" s="26" t="s">
        <v>20</v>
      </c>
      <c r="I300" s="26" t="s">
        <v>23</v>
      </c>
      <c r="J300" s="26" t="s">
        <v>134</v>
      </c>
      <c r="K300" s="29">
        <v>0.61319444444444449</v>
      </c>
      <c r="L300" s="29">
        <v>0.61736111111111114</v>
      </c>
      <c r="M300" s="30">
        <f t="shared" ca="1" si="67"/>
        <v>4.1666666666666519E-3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234</v>
      </c>
      <c r="F301" s="27">
        <v>35</v>
      </c>
      <c r="G301" s="34">
        <f t="shared" si="66"/>
        <v>175</v>
      </c>
      <c r="H301" s="33" t="s">
        <v>18</v>
      </c>
      <c r="I301" s="33" t="s">
        <v>23</v>
      </c>
      <c r="J301" s="33" t="s">
        <v>34</v>
      </c>
      <c r="K301" s="29">
        <v>0.71736111111111112</v>
      </c>
      <c r="L301" s="29">
        <v>0.79166666666666663</v>
      </c>
      <c r="M301" s="35">
        <f t="shared" ca="1" si="67"/>
        <v>7.4305555555555514E-2</v>
      </c>
      <c r="N301" s="46" t="s">
        <v>259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234</v>
      </c>
      <c r="F302" s="27">
        <v>40</v>
      </c>
      <c r="G302" s="28">
        <f t="shared" si="66"/>
        <v>200</v>
      </c>
      <c r="H302" s="26"/>
      <c r="I302" s="26"/>
      <c r="J302" s="26"/>
      <c r="K302" s="29"/>
      <c r="L302" s="29" t="s">
        <v>260</v>
      </c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234</v>
      </c>
      <c r="F303" s="27">
        <v>51</v>
      </c>
      <c r="G303" s="34">
        <f t="shared" si="66"/>
        <v>255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234</v>
      </c>
      <c r="F304" s="27">
        <v>47</v>
      </c>
      <c r="G304" s="28">
        <f t="shared" si="66"/>
        <v>235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234</v>
      </c>
      <c r="F305" s="27">
        <v>30</v>
      </c>
      <c r="G305" s="34">
        <f t="shared" si="66"/>
        <v>150</v>
      </c>
      <c r="H305" s="33"/>
      <c r="I305" s="33"/>
      <c r="J305" s="33"/>
      <c r="K305" s="29"/>
      <c r="L305" s="29"/>
      <c r="M305" s="35" t="str">
        <f t="shared" ca="1" si="67"/>
        <v/>
      </c>
      <c r="N305" s="46" t="s">
        <v>261</v>
      </c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234</v>
      </c>
      <c r="F306" s="27">
        <v>46</v>
      </c>
      <c r="G306" s="28">
        <f t="shared" si="66"/>
        <v>230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234</v>
      </c>
      <c r="F307" s="27">
        <v>46</v>
      </c>
      <c r="G307" s="34">
        <f t="shared" si="66"/>
        <v>230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234</v>
      </c>
      <c r="F308" s="27">
        <v>59</v>
      </c>
      <c r="G308" s="28">
        <f t="shared" si="66"/>
        <v>295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234</v>
      </c>
      <c r="F309" s="27">
        <v>11</v>
      </c>
      <c r="G309" s="34">
        <f t="shared" si="66"/>
        <v>55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433</v>
      </c>
      <c r="G311" s="90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236</v>
      </c>
      <c r="O311" s="39">
        <v>2631530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234</v>
      </c>
      <c r="F312" s="27">
        <v>0</v>
      </c>
      <c r="G312" s="28">
        <f t="shared" ref="G312:G323" si="69">IF(F312="","",IF(E312="PC 17",F312*4.2,IF(E312="PC 19",F312*5,IF(E312="CB",F312*35,""))))</f>
        <v>0</v>
      </c>
      <c r="H312" s="26" t="s">
        <v>18</v>
      </c>
      <c r="I312" s="26" t="s">
        <v>23</v>
      </c>
      <c r="J312" s="26" t="s">
        <v>34</v>
      </c>
      <c r="K312" s="29">
        <v>0.79166666666666663</v>
      </c>
      <c r="L312" s="29">
        <v>0.89375000000000004</v>
      </c>
      <c r="M312" s="30">
        <f t="shared" ref="M312:M323" ca="1" si="70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0</v>
      </c>
      <c r="G313" s="28">
        <f t="shared" si="69"/>
        <v>0</v>
      </c>
      <c r="H313" s="33" t="s">
        <v>16</v>
      </c>
      <c r="I313" s="33"/>
      <c r="J313" s="33" t="s">
        <v>24</v>
      </c>
      <c r="K313" s="29">
        <v>0.21875</v>
      </c>
      <c r="L313" s="29"/>
      <c r="M313" s="35">
        <f t="shared" ca="1" si="70"/>
        <v>2.4276620373711921E-2</v>
      </c>
      <c r="N313" s="46" t="s">
        <v>262</v>
      </c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234</v>
      </c>
      <c r="F314" s="27">
        <v>15</v>
      </c>
      <c r="G314" s="28">
        <f t="shared" si="69"/>
        <v>75</v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234</v>
      </c>
      <c r="F315" s="27">
        <v>25</v>
      </c>
      <c r="G315" s="28">
        <f t="shared" si="69"/>
        <v>125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234</v>
      </c>
      <c r="F316" s="27">
        <v>45</v>
      </c>
      <c r="G316" s="28">
        <f t="shared" si="69"/>
        <v>225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234</v>
      </c>
      <c r="F317" s="27">
        <v>35</v>
      </c>
      <c r="G317" s="28">
        <f t="shared" si="69"/>
        <v>175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234</v>
      </c>
      <c r="F318" s="27">
        <v>30</v>
      </c>
      <c r="G318" s="28">
        <f t="shared" si="69"/>
        <v>150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234</v>
      </c>
      <c r="F319" s="27">
        <v>30</v>
      </c>
      <c r="G319" s="28">
        <f t="shared" si="69"/>
        <v>150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234</v>
      </c>
      <c r="F320" s="27">
        <v>40</v>
      </c>
      <c r="G320" s="28">
        <f t="shared" si="69"/>
        <v>200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234</v>
      </c>
      <c r="F321" s="27">
        <v>45</v>
      </c>
      <c r="G321" s="28">
        <f t="shared" si="69"/>
        <v>225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234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234</v>
      </c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265</v>
      </c>
      <c r="G324" s="36">
        <f>SUM(G312:G323)</f>
        <v>1325</v>
      </c>
      <c r="H324" s="37"/>
      <c r="I324" s="37"/>
      <c r="J324" s="37"/>
      <c r="K324" s="37"/>
      <c r="L324" s="37"/>
      <c r="M324" s="38">
        <f ca="1">IFERROR(SUM(M312:M323),"")</f>
        <v>0.12635995370704534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698</v>
      </c>
      <c r="G325" s="40">
        <f>G311+G324</f>
        <v>3490</v>
      </c>
      <c r="H325" s="41"/>
      <c r="I325" s="41"/>
      <c r="J325" s="41"/>
      <c r="K325" s="41"/>
      <c r="L325" s="41"/>
      <c r="M325" s="42">
        <f ca="1">IFERROR(M311+M324,"")</f>
        <v>0.21594328704037863</v>
      </c>
      <c r="N325" s="40" t="s">
        <v>240</v>
      </c>
      <c r="O325" s="48">
        <f>IFERROR(O311+O324,"")</f>
        <v>2631530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70" zoomScaleNormal="70" workbookViewId="0">
      <pane ySplit="1" topLeftCell="A294" activePane="bottomLeft" state="frozen"/>
      <selection pane="bottomLeft" activeCell="L320" sqref="L320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263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264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265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269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270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0.12149884259270038</v>
      </c>
      <c r="N53" s="46" t="s">
        <v>271</v>
      </c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0.26038773148158928</v>
      </c>
      <c r="N54" s="36" t="s">
        <v>236</v>
      </c>
      <c r="O54" s="84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0.34510995370381159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263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272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273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274</v>
      </c>
      <c r="M96" s="30" t="str">
        <f t="shared" ref="M96:M107" ca="1" si="22">IFERROR(IF(K96="","",IF(L96="",MOD(NOW()-K96,1),IF(L96&gt;=K96,L96-K96,L96+1-K96))),"")</f>
        <v/>
      </c>
      <c r="N96" s="46" t="s">
        <v>275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276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277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278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279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280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281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282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283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280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284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285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278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272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286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287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288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7</v>
      </c>
      <c r="G272" s="28" t="s">
        <v>289</v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>
        <v>0.31597222222222221</v>
      </c>
      <c r="M272" s="30">
        <f t="shared" ref="M272:M283" ca="1" si="60">IFERROR(IF(K272="","",IF(L272="",MOD(NOW()-K272,1),IF(L272&gt;=K272,L272-K272,L272+1-K272))),"")</f>
        <v>2.4305555555555525E-2</v>
      </c>
      <c r="N272" s="46" t="s">
        <v>290</v>
      </c>
      <c r="O272" s="47"/>
    </row>
    <row r="273" spans="1:15" ht="15" customHeight="1">
      <c r="A273" s="69">
        <v>46245</v>
      </c>
      <c r="B273" s="32">
        <f t="shared" ref="B273:B283" si="61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6</v>
      </c>
      <c r="G273" s="34">
        <f t="shared" ref="G272:G283" si="62">IF(F273="","",IF(E273="PC 17",F273*4.2,IF(E273="PC 19",F273*5,IF(E273="CB",F273*24,""))))</f>
        <v>25.200000000000003</v>
      </c>
      <c r="H273" s="33" t="s">
        <v>20</v>
      </c>
      <c r="I273" s="33" t="s">
        <v>39</v>
      </c>
      <c r="J273" s="33" t="s">
        <v>56</v>
      </c>
      <c r="K273" s="29">
        <v>0.37152777777777779</v>
      </c>
      <c r="L273" s="29">
        <v>0.3840277777777778</v>
      </c>
      <c r="M273" s="35">
        <f t="shared" ca="1" si="60"/>
        <v>1.2500000000000011E-2</v>
      </c>
      <c r="N273" s="46" t="s">
        <v>291</v>
      </c>
      <c r="O273" s="47"/>
    </row>
    <row r="274" spans="1:15" ht="15" customHeight="1">
      <c r="A274" s="68">
        <v>46245</v>
      </c>
      <c r="B274" s="25">
        <f t="shared" si="61"/>
        <v>0.41666666666666635</v>
      </c>
      <c r="C274" s="26" t="s">
        <v>29</v>
      </c>
      <c r="D274" s="59" t="s">
        <v>22</v>
      </c>
      <c r="E274" s="59" t="s">
        <v>250</v>
      </c>
      <c r="F274" s="27">
        <v>10</v>
      </c>
      <c r="G274" s="28">
        <f t="shared" si="62"/>
        <v>42</v>
      </c>
      <c r="H274" s="26" t="s">
        <v>20</v>
      </c>
      <c r="I274" s="26" t="s">
        <v>39</v>
      </c>
      <c r="J274" s="26" t="s">
        <v>51</v>
      </c>
      <c r="K274" s="29">
        <v>0.46597222222222223</v>
      </c>
      <c r="L274" s="29">
        <v>0.47430555555555554</v>
      </c>
      <c r="M274" s="30">
        <f t="shared" ca="1" si="60"/>
        <v>8.3333333333333037E-3</v>
      </c>
      <c r="N274" s="46"/>
      <c r="O274" s="47"/>
    </row>
    <row r="275" spans="1:15" ht="15" customHeight="1">
      <c r="A275" s="69">
        <v>46245</v>
      </c>
      <c r="B275" s="32">
        <f t="shared" si="61"/>
        <v>0.45833333333333304</v>
      </c>
      <c r="C275" s="26" t="s">
        <v>29</v>
      </c>
      <c r="D275" s="59" t="s">
        <v>22</v>
      </c>
      <c r="E275" s="59" t="s">
        <v>250</v>
      </c>
      <c r="F275" s="27">
        <v>16</v>
      </c>
      <c r="G275" s="34">
        <f t="shared" si="62"/>
        <v>67.2</v>
      </c>
      <c r="H275" s="33" t="s">
        <v>20</v>
      </c>
      <c r="I275" s="33" t="s">
        <v>39</v>
      </c>
      <c r="J275" s="33" t="s">
        <v>56</v>
      </c>
      <c r="K275" s="29">
        <v>0.47916666666666669</v>
      </c>
      <c r="L275" s="29">
        <v>0.49652777777777779</v>
      </c>
      <c r="M275" s="35">
        <f t="shared" ca="1" si="60"/>
        <v>1.7361111111111105E-2</v>
      </c>
      <c r="N275" s="46" t="s">
        <v>292</v>
      </c>
      <c r="O275" s="47"/>
    </row>
    <row r="276" spans="1:15" ht="15" customHeight="1">
      <c r="A276" s="68">
        <v>46245</v>
      </c>
      <c r="B276" s="25">
        <f t="shared" si="61"/>
        <v>0.49999999999999972</v>
      </c>
      <c r="C276" s="26" t="s">
        <v>29</v>
      </c>
      <c r="D276" s="59" t="s">
        <v>22</v>
      </c>
      <c r="E276" s="59" t="s">
        <v>250</v>
      </c>
      <c r="F276" s="27">
        <v>9</v>
      </c>
      <c r="G276" s="28">
        <f t="shared" si="62"/>
        <v>37.800000000000004</v>
      </c>
      <c r="H276" s="26" t="s">
        <v>20</v>
      </c>
      <c r="I276" s="26" t="s">
        <v>39</v>
      </c>
      <c r="J276" s="26" t="s">
        <v>51</v>
      </c>
      <c r="K276" s="29">
        <v>0.50138888888888888</v>
      </c>
      <c r="L276" s="29">
        <v>0.50486111111111109</v>
      </c>
      <c r="M276" s="30">
        <f t="shared" ca="1" si="60"/>
        <v>3.4722222222222099E-3</v>
      </c>
      <c r="N276" s="46"/>
      <c r="O276" s="47"/>
    </row>
    <row r="277" spans="1:15" ht="15" customHeight="1">
      <c r="A277" s="69">
        <v>46245</v>
      </c>
      <c r="B277" s="32">
        <f t="shared" si="61"/>
        <v>0.54166666666666641</v>
      </c>
      <c r="C277" s="26" t="s">
        <v>29</v>
      </c>
      <c r="D277" s="59" t="s">
        <v>22</v>
      </c>
      <c r="E277" s="59" t="s">
        <v>250</v>
      </c>
      <c r="F277" s="27">
        <v>6</v>
      </c>
      <c r="G277" s="34">
        <f t="shared" si="62"/>
        <v>25.200000000000003</v>
      </c>
      <c r="H277" s="33" t="s">
        <v>20</v>
      </c>
      <c r="I277" s="33" t="s">
        <v>39</v>
      </c>
      <c r="J277" s="33" t="s">
        <v>51</v>
      </c>
      <c r="K277" s="29">
        <v>0.50972222222222219</v>
      </c>
      <c r="L277" s="29">
        <v>0.51458333333333328</v>
      </c>
      <c r="M277" s="35">
        <f t="shared" ca="1" si="60"/>
        <v>4.8611111111110938E-3</v>
      </c>
      <c r="N277" s="46"/>
      <c r="O277" s="47"/>
    </row>
    <row r="278" spans="1:15" ht="15" customHeight="1">
      <c r="A278" s="68">
        <v>46245</v>
      </c>
      <c r="B278" s="25">
        <f t="shared" si="61"/>
        <v>0.58333333333333304</v>
      </c>
      <c r="C278" s="26" t="s">
        <v>29</v>
      </c>
      <c r="D278" s="59" t="s">
        <v>22</v>
      </c>
      <c r="E278" s="59" t="s">
        <v>250</v>
      </c>
      <c r="F278" s="27">
        <v>15</v>
      </c>
      <c r="G278" s="28">
        <f t="shared" si="62"/>
        <v>63</v>
      </c>
      <c r="H278" s="26" t="s">
        <v>20</v>
      </c>
      <c r="I278" s="26" t="s">
        <v>39</v>
      </c>
      <c r="J278" s="26" t="s">
        <v>51</v>
      </c>
      <c r="K278" s="29">
        <v>0.52916666666666667</v>
      </c>
      <c r="L278" s="29">
        <v>0.53125</v>
      </c>
      <c r="M278" s="30">
        <f t="shared" ca="1" si="60"/>
        <v>2.0833333333333259E-3</v>
      </c>
      <c r="N278" s="46"/>
      <c r="O278" s="47"/>
    </row>
    <row r="279" spans="1:15" ht="15" customHeight="1">
      <c r="A279" s="69">
        <v>46245</v>
      </c>
      <c r="B279" s="32">
        <f t="shared" si="61"/>
        <v>0.62499999999999967</v>
      </c>
      <c r="C279" s="26" t="s">
        <v>29</v>
      </c>
      <c r="D279" s="59" t="s">
        <v>22</v>
      </c>
      <c r="E279" s="59" t="s">
        <v>250</v>
      </c>
      <c r="F279" s="27">
        <v>6</v>
      </c>
      <c r="G279" s="34">
        <f t="shared" si="62"/>
        <v>25.200000000000003</v>
      </c>
      <c r="H279" s="33" t="s">
        <v>17</v>
      </c>
      <c r="I279" s="33" t="s">
        <v>135</v>
      </c>
      <c r="J279" s="33" t="s">
        <v>49</v>
      </c>
      <c r="K279" s="29">
        <v>0.57291666666666663</v>
      </c>
      <c r="L279" s="29">
        <v>0.58125000000000004</v>
      </c>
      <c r="M279" s="35">
        <f t="shared" ca="1" si="60"/>
        <v>8.3333333333334147E-3</v>
      </c>
      <c r="N279" s="46"/>
      <c r="O279" s="47"/>
    </row>
    <row r="280" spans="1:15" ht="15" customHeight="1">
      <c r="A280" s="68">
        <v>46245</v>
      </c>
      <c r="B280" s="25">
        <f t="shared" si="61"/>
        <v>0.6666666666666663</v>
      </c>
      <c r="C280" s="26" t="s">
        <v>29</v>
      </c>
      <c r="D280" s="59" t="s">
        <v>22</v>
      </c>
      <c r="E280" s="59" t="s">
        <v>250</v>
      </c>
      <c r="F280" s="27">
        <v>7</v>
      </c>
      <c r="G280" s="28">
        <f t="shared" si="62"/>
        <v>29.400000000000002</v>
      </c>
      <c r="H280" s="26" t="s">
        <v>20</v>
      </c>
      <c r="I280" s="26" t="s">
        <v>31</v>
      </c>
      <c r="J280" s="26" t="s">
        <v>28</v>
      </c>
      <c r="K280" s="29">
        <v>0.65486111111111112</v>
      </c>
      <c r="L280" s="29">
        <v>0.6791666666666667</v>
      </c>
      <c r="M280" s="30">
        <f t="shared" ca="1" si="60"/>
        <v>2.430555555555558E-2</v>
      </c>
      <c r="N280" s="46"/>
      <c r="O280" s="47"/>
    </row>
    <row r="281" spans="1:15" ht="15" customHeight="1">
      <c r="A281" s="69">
        <v>46245</v>
      </c>
      <c r="B281" s="32">
        <f t="shared" si="61"/>
        <v>0.70833333333333293</v>
      </c>
      <c r="C281" s="26" t="s">
        <v>29</v>
      </c>
      <c r="D281" s="59" t="s">
        <v>22</v>
      </c>
      <c r="E281" s="59" t="s">
        <v>250</v>
      </c>
      <c r="F281" s="27">
        <v>18</v>
      </c>
      <c r="G281" s="34">
        <f t="shared" si="62"/>
        <v>75.600000000000009</v>
      </c>
      <c r="H281" s="33" t="s">
        <v>19</v>
      </c>
      <c r="I281" s="33" t="s">
        <v>39</v>
      </c>
      <c r="J281" s="33" t="s">
        <v>27</v>
      </c>
      <c r="K281" s="29">
        <v>0.75069444444444444</v>
      </c>
      <c r="L281" s="29">
        <v>0.76597222222222228</v>
      </c>
      <c r="M281" s="35">
        <f t="shared" ca="1" si="60"/>
        <v>1.5277777777777835E-2</v>
      </c>
      <c r="N281" s="46"/>
      <c r="O281" s="47"/>
    </row>
    <row r="282" spans="1:15" ht="15" customHeight="1">
      <c r="A282" s="68">
        <v>46245</v>
      </c>
      <c r="B282" s="25">
        <f t="shared" si="61"/>
        <v>0.74999999999999956</v>
      </c>
      <c r="C282" s="26" t="s">
        <v>29</v>
      </c>
      <c r="D282" s="59" t="s">
        <v>22</v>
      </c>
      <c r="E282" s="59" t="s">
        <v>234</v>
      </c>
      <c r="F282" s="27">
        <v>7</v>
      </c>
      <c r="G282" s="28">
        <f t="shared" si="62"/>
        <v>35</v>
      </c>
      <c r="H282" s="26"/>
      <c r="I282" s="26"/>
      <c r="J282" s="26"/>
      <c r="K282" s="29"/>
      <c r="L282" s="29"/>
      <c r="M282" s="30" t="str">
        <f t="shared" ca="1" si="60"/>
        <v/>
      </c>
      <c r="N282" s="46"/>
      <c r="O282" s="47"/>
    </row>
    <row r="283" spans="1:15" ht="15" customHeight="1">
      <c r="A283" s="69">
        <v>46245</v>
      </c>
      <c r="B283" s="32">
        <f t="shared" si="61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2"/>
        <v>63</v>
      </c>
      <c r="H283" s="33"/>
      <c r="I283" s="33"/>
      <c r="J283" s="33"/>
      <c r="K283" s="29"/>
      <c r="L283" s="29"/>
      <c r="M283" s="35" t="str">
        <f t="shared" ca="1" si="60"/>
        <v/>
      </c>
      <c r="N283" s="46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122</v>
      </c>
      <c r="G284" s="90">
        <f>SUM(G272:G283)</f>
        <v>488.6</v>
      </c>
      <c r="H284" s="37"/>
      <c r="I284" s="37"/>
      <c r="J284" s="37"/>
      <c r="K284" s="37"/>
      <c r="L284" s="37"/>
      <c r="M284" s="38">
        <f ca="1">IFERROR(SUM(M272:M283),"")</f>
        <v>0.1208333333333334</v>
      </c>
      <c r="N284" s="36" t="s">
        <v>236</v>
      </c>
      <c r="O284" s="77">
        <v>571950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8</v>
      </c>
      <c r="G285" s="34">
        <f t="shared" ref="G285:G296" si="63">IF(F285="","",IF(E285="PC 17",F285*4.2,IF(E285="PC 19",F285*5,IF(E285="CB",F285*24,""))))</f>
        <v>40</v>
      </c>
      <c r="H285" s="33" t="s">
        <v>19</v>
      </c>
      <c r="I285" s="33" t="s">
        <v>159</v>
      </c>
      <c r="J285" s="33" t="s">
        <v>27</v>
      </c>
      <c r="K285" s="29">
        <v>0.10902777777777778</v>
      </c>
      <c r="L285" s="29">
        <v>0.1361111111111111</v>
      </c>
      <c r="M285" s="35">
        <f t="shared" ref="M285:M296" ca="1" si="64">IFERROR(IF(K285="","",IF(L285="",MOD(NOW()-K285,1),IF(L285&gt;=K285,L285-K285,L285+1-K285))),"")</f>
        <v>2.708333333333332E-2</v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12</v>
      </c>
      <c r="G286" s="28">
        <f t="shared" si="63"/>
        <v>60</v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22</v>
      </c>
      <c r="E287" s="62" t="s">
        <v>250</v>
      </c>
      <c r="F287" s="27">
        <v>17</v>
      </c>
      <c r="G287" s="34">
        <f t="shared" si="63"/>
        <v>71.400000000000006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22</v>
      </c>
      <c r="E288" s="62" t="s">
        <v>250</v>
      </c>
      <c r="F288" s="27">
        <v>25</v>
      </c>
      <c r="G288" s="28">
        <f t="shared" si="63"/>
        <v>105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10</v>
      </c>
      <c r="G289" s="34">
        <f t="shared" si="63"/>
        <v>50</v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76">
        <v>8</v>
      </c>
      <c r="G290" s="28">
        <f t="shared" si="63"/>
        <v>40</v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13</v>
      </c>
      <c r="G291" s="34">
        <v>65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12</v>
      </c>
      <c r="G292" s="28">
        <f t="shared" si="63"/>
        <v>60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16</v>
      </c>
      <c r="G295" s="34">
        <f t="shared" si="63"/>
        <v>80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150</v>
      </c>
      <c r="G297" s="36">
        <f>SUM(G285:G296)</f>
        <v>716.4</v>
      </c>
      <c r="H297" s="37"/>
      <c r="I297" s="37"/>
      <c r="J297" s="37"/>
      <c r="K297" s="37"/>
      <c r="L297" s="37"/>
      <c r="M297" s="38">
        <f ca="1">IFERROR(SUM(M285:M296),"")</f>
        <v>2.708333333333332E-2</v>
      </c>
      <c r="N297" s="36" t="s">
        <v>236</v>
      </c>
      <c r="O297" s="77">
        <v>990260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272</v>
      </c>
      <c r="G298" s="40">
        <f>G284+G297</f>
        <v>1205</v>
      </c>
      <c r="H298" s="41"/>
      <c r="I298" s="41"/>
      <c r="J298" s="41"/>
      <c r="K298" s="41"/>
      <c r="L298" s="41"/>
      <c r="M298" s="42">
        <f ca="1">IFERROR(M284+M297,"")</f>
        <v>0.14791666666666672</v>
      </c>
      <c r="N298" s="40" t="s">
        <v>240</v>
      </c>
      <c r="O298" s="83">
        <f>IFERROR(O284+O297,"")</f>
        <v>1562210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9</v>
      </c>
      <c r="G299" s="34">
        <f t="shared" ref="G299:G310" si="66">IF(F299="","",IF(E299="PC 17",F299*4.2,IF(E299="PC 19",F299*5,IF(E299="CB",F299*24,""))))</f>
        <v>37.800000000000004</v>
      </c>
      <c r="H299" s="33" t="s">
        <v>17</v>
      </c>
      <c r="I299" s="33" t="s">
        <v>135</v>
      </c>
      <c r="J299" s="33" t="s">
        <v>49</v>
      </c>
      <c r="K299" s="29">
        <v>0.32083333333333336</v>
      </c>
      <c r="L299" s="29">
        <v>0.3215277777777778</v>
      </c>
      <c r="M299" s="35">
        <f t="shared" ref="M299:M310" ca="1" si="67">IFERROR(IF(K299="","",IF(L299="",MOD(NOW()-K299,1),IF(L299&gt;=K299,L299-K299,L299+1-K299))),"")</f>
        <v>6.9444444444444198E-4</v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20</v>
      </c>
      <c r="G300" s="28">
        <f t="shared" si="66"/>
        <v>84</v>
      </c>
      <c r="H300" s="26" t="s">
        <v>19</v>
      </c>
      <c r="I300" s="26" t="s">
        <v>39</v>
      </c>
      <c r="J300" s="26" t="s">
        <v>78</v>
      </c>
      <c r="K300" s="29">
        <v>0.50277777777777777</v>
      </c>
      <c r="L300" s="29">
        <v>0.51736111111111116</v>
      </c>
      <c r="M300" s="30">
        <f t="shared" ca="1" si="67"/>
        <v>1.4583333333333393E-2</v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20</v>
      </c>
      <c r="G301" s="34">
        <f t="shared" si="66"/>
        <v>84</v>
      </c>
      <c r="H301" s="33" t="s">
        <v>19</v>
      </c>
      <c r="I301" s="33" t="s">
        <v>31</v>
      </c>
      <c r="J301" s="33" t="s">
        <v>27</v>
      </c>
      <c r="K301" s="29">
        <v>0.51736111111111116</v>
      </c>
      <c r="L301" s="29">
        <v>0.52569444444444446</v>
      </c>
      <c r="M301" s="35">
        <f t="shared" ca="1" si="67"/>
        <v>8.3333333333333037E-3</v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17</v>
      </c>
      <c r="G302" s="28">
        <f t="shared" si="66"/>
        <v>71.400000000000006</v>
      </c>
      <c r="H302" s="26" t="s">
        <v>20</v>
      </c>
      <c r="I302" s="26" t="s">
        <v>31</v>
      </c>
      <c r="J302" s="26" t="s">
        <v>36</v>
      </c>
      <c r="K302" s="29">
        <v>0.53402777777777777</v>
      </c>
      <c r="L302" s="29">
        <v>0.54027777777777775</v>
      </c>
      <c r="M302" s="30">
        <f t="shared" ca="1" si="67"/>
        <v>6.2499999999999778E-3</v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15</v>
      </c>
      <c r="G303" s="34">
        <f t="shared" si="66"/>
        <v>63</v>
      </c>
      <c r="H303" s="33" t="s">
        <v>19</v>
      </c>
      <c r="I303" s="33" t="s">
        <v>39</v>
      </c>
      <c r="J303" s="33" t="s">
        <v>27</v>
      </c>
      <c r="K303" s="29">
        <v>0.73958333333333337</v>
      </c>
      <c r="L303" s="29">
        <v>0.75624999999999998</v>
      </c>
      <c r="M303" s="35">
        <f t="shared" ca="1" si="67"/>
        <v>1.6666666666666607E-2</v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 t="s">
        <v>17</v>
      </c>
      <c r="I304" s="26"/>
      <c r="J304" s="26" t="s">
        <v>25</v>
      </c>
      <c r="K304" s="29">
        <v>0.75624999999999998</v>
      </c>
      <c r="L304" s="29">
        <v>0.7631944444444444</v>
      </c>
      <c r="M304" s="30">
        <f t="shared" ca="1" si="67"/>
        <v>6.9444444444444198E-3</v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13</v>
      </c>
      <c r="G305" s="34">
        <f t="shared" si="66"/>
        <v>54.6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20</v>
      </c>
      <c r="G306" s="28">
        <f t="shared" si="66"/>
        <v>84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16</v>
      </c>
      <c r="G307" s="34">
        <f t="shared" si="66"/>
        <v>67.2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14</v>
      </c>
      <c r="G308" s="28">
        <f t="shared" si="66"/>
        <v>58.800000000000004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4</v>
      </c>
      <c r="G309" s="34">
        <f t="shared" si="66"/>
        <v>16.8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169</v>
      </c>
      <c r="G311" s="36">
        <f>SUM(G299:G310)</f>
        <v>709.8</v>
      </c>
      <c r="H311" s="37"/>
      <c r="I311" s="37"/>
      <c r="J311" s="37"/>
      <c r="K311" s="37"/>
      <c r="L311" s="37"/>
      <c r="M311" s="38">
        <f ca="1">IFERROR(SUM(M299:M310),"")</f>
        <v>5.3472222222222143E-2</v>
      </c>
      <c r="N311" s="36" t="s">
        <v>236</v>
      </c>
      <c r="O311" s="77">
        <v>754870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22</v>
      </c>
      <c r="G312" s="28">
        <f t="shared" ref="G312:G323" si="69">IF(F312="","",IF(E312="PC 17",F312*4.2,IF(E312="PC 19",F312*5,IF(E312="CB",F312*24,""))))</f>
        <v>92.4</v>
      </c>
      <c r="H312" s="26" t="s">
        <v>19</v>
      </c>
      <c r="I312" s="26" t="s">
        <v>159</v>
      </c>
      <c r="J312" s="26" t="s">
        <v>27</v>
      </c>
      <c r="K312" s="29">
        <v>0.84722222222222221</v>
      </c>
      <c r="L312" s="29">
        <v>0.8569444444444444</v>
      </c>
      <c r="M312" s="30">
        <f t="shared" ref="M312:M323" ca="1" si="70">IFERROR(IF(K312="","",IF(L312="",MOD(NOW()-K312,1),IF(L312&gt;=K312,L312-K312,L312+1-K312))),"")</f>
        <v>9.7222222222221877E-3</v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13</v>
      </c>
      <c r="G313" s="34">
        <f t="shared" si="69"/>
        <v>65</v>
      </c>
      <c r="H313" s="33" t="s">
        <v>20</v>
      </c>
      <c r="I313" s="33" t="s">
        <v>39</v>
      </c>
      <c r="J313" s="33" t="s">
        <v>36</v>
      </c>
      <c r="K313" s="29">
        <v>0.90277777777777779</v>
      </c>
      <c r="L313" s="29">
        <v>0.91666666666666663</v>
      </c>
      <c r="M313" s="35">
        <f t="shared" ca="1" si="70"/>
        <v>1.388888888888884E-2</v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16</v>
      </c>
      <c r="G314" s="28">
        <f t="shared" si="69"/>
        <v>67.2</v>
      </c>
      <c r="H314" s="26" t="s">
        <v>18</v>
      </c>
      <c r="I314" s="26" t="s">
        <v>39</v>
      </c>
      <c r="J314" s="26" t="s">
        <v>156</v>
      </c>
      <c r="K314" s="29">
        <v>0.93402777777777779</v>
      </c>
      <c r="L314" s="29">
        <v>0.95138888888888884</v>
      </c>
      <c r="M314" s="30">
        <f t="shared" ca="1" si="70"/>
        <v>1.7361111111111049E-2</v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20</v>
      </c>
      <c r="I315" s="33" t="s">
        <v>39</v>
      </c>
      <c r="J315" s="33" t="s">
        <v>36</v>
      </c>
      <c r="K315" s="29">
        <v>2.6388888888888889E-2</v>
      </c>
      <c r="L315" s="29">
        <v>2.9861111111111113E-2</v>
      </c>
      <c r="M315" s="35">
        <f t="shared" ca="1" si="70"/>
        <v>3.4722222222222238E-3</v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34">
        <f t="shared" si="69"/>
        <v>84</v>
      </c>
      <c r="H316" s="26" t="s">
        <v>19</v>
      </c>
      <c r="I316" s="26" t="s">
        <v>159</v>
      </c>
      <c r="J316" s="26" t="s">
        <v>27</v>
      </c>
      <c r="K316" s="29">
        <v>9.3055555555555558E-2</v>
      </c>
      <c r="L316" s="29">
        <v>0.11319444444444444</v>
      </c>
      <c r="M316" s="30">
        <f t="shared" ca="1" si="70"/>
        <v>2.0138888888888887E-2</v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18</v>
      </c>
      <c r="G317" s="34">
        <f t="shared" si="69"/>
        <v>75.600000000000009</v>
      </c>
      <c r="H317" s="33" t="s">
        <v>18</v>
      </c>
      <c r="I317" s="33" t="s">
        <v>138</v>
      </c>
      <c r="J317" s="33" t="s">
        <v>100</v>
      </c>
      <c r="K317" s="29">
        <v>0.18402777777777779</v>
      </c>
      <c r="L317" s="29">
        <v>0.19097222222222221</v>
      </c>
      <c r="M317" s="35">
        <f t="shared" ca="1" si="70"/>
        <v>6.9444444444444198E-3</v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16</v>
      </c>
      <c r="G318" s="34">
        <f t="shared" si="69"/>
        <v>67.2</v>
      </c>
      <c r="H318" s="26" t="s">
        <v>17</v>
      </c>
      <c r="I318" s="26"/>
      <c r="J318" s="26" t="s">
        <v>25</v>
      </c>
      <c r="K318" s="29">
        <v>0.22083333333333333</v>
      </c>
      <c r="L318" s="29">
        <v>0.22847222222222222</v>
      </c>
      <c r="M318" s="30">
        <f t="shared" ca="1" si="70"/>
        <v>7.6388888888888895E-3</v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15</v>
      </c>
      <c r="G319" s="34">
        <f t="shared" si="69"/>
        <v>63</v>
      </c>
      <c r="H319" s="33"/>
      <c r="I319" s="33"/>
      <c r="J319" s="33"/>
      <c r="K319" s="29">
        <v>0.2326388888888889</v>
      </c>
      <c r="L319" s="29">
        <v>0.24166666666666667</v>
      </c>
      <c r="M319" s="35">
        <f t="shared" ca="1" si="70"/>
        <v>9.0277777777777735E-3</v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16</v>
      </c>
      <c r="G320" s="34">
        <f t="shared" si="69"/>
        <v>67.2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12</v>
      </c>
      <c r="G321" s="34">
        <f t="shared" si="69"/>
        <v>50.400000000000006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34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154</v>
      </c>
      <c r="G324" s="36">
        <f>SUM(G312:G323)</f>
        <v>657.2</v>
      </c>
      <c r="H324" s="37"/>
      <c r="I324" s="37"/>
      <c r="J324" s="37"/>
      <c r="K324" s="37"/>
      <c r="L324" s="37"/>
      <c r="M324" s="38">
        <f ca="1">IFERROR(SUM(M312:M323),"")</f>
        <v>8.819444444444427E-2</v>
      </c>
      <c r="N324" s="36" t="s">
        <v>236</v>
      </c>
      <c r="O324" s="77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323</v>
      </c>
      <c r="G325" s="40">
        <f>G311+G324</f>
        <v>1367</v>
      </c>
      <c r="H325" s="41"/>
      <c r="I325" s="41"/>
      <c r="J325" s="41"/>
      <c r="K325" s="41"/>
      <c r="L325" s="41"/>
      <c r="M325" s="42">
        <f ca="1">IFERROR(M311+M324,"")</f>
        <v>0.14166666666666641</v>
      </c>
      <c r="N325" s="40" t="s">
        <v>240</v>
      </c>
      <c r="O325" s="83">
        <f>IFERROR(O311+O324,"")</f>
        <v>754870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2" zoomScale="68" zoomScaleNormal="68" workbookViewId="0">
      <selection activeCell="J315" sqref="J315"/>
    </sheetView>
  </sheetViews>
  <sheetFormatPr defaultColWidth="8.5703125" defaultRowHeight="1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293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294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272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293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293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295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296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297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298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299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300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301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281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272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302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303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284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284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304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305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306</v>
      </c>
      <c r="M222" s="30" t="str">
        <f t="shared" ca="1" si="49"/>
        <v/>
      </c>
      <c r="N222" s="27" t="s">
        <v>307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308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272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4.8582175928459037E-2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0.11038773148401458</v>
      </c>
      <c r="N270" s="36" t="s">
        <v>236</v>
      </c>
      <c r="O270" s="39">
        <v>327900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0.17149884259512577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4</v>
      </c>
      <c r="G272" s="28">
        <f t="shared" ref="G272:G283" si="60">IF(F272="","",IF(E272="PC 17",F272*4.2,IF(E272="PC 19",F272*5,IF(E272="CB",F272*24,""))))</f>
        <v>16.8</v>
      </c>
      <c r="H272" s="26" t="s">
        <v>18</v>
      </c>
      <c r="I272" s="26" t="s">
        <v>135</v>
      </c>
      <c r="J272" s="26" t="s">
        <v>118</v>
      </c>
      <c r="K272" s="29">
        <v>0.29166666666666669</v>
      </c>
      <c r="L272" s="29">
        <v>0.31944444444444442</v>
      </c>
      <c r="M272" s="30">
        <f t="shared" ref="M272:M283" ca="1" si="61">IFERROR(IF(K272="","",IF(L272="",MOD(NOW()-K272,1),IF(L272&gt;=K272,L272-K272,L272+1-K272))),"")</f>
        <v>2.7777777777777735E-2</v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5</v>
      </c>
      <c r="G273" s="34">
        <f t="shared" si="60"/>
        <v>21</v>
      </c>
      <c r="H273" s="33" t="s">
        <v>20</v>
      </c>
      <c r="I273" s="33" t="s">
        <v>47</v>
      </c>
      <c r="J273" s="33" t="s">
        <v>183</v>
      </c>
      <c r="K273" s="29">
        <v>0.40277777777777779</v>
      </c>
      <c r="L273" s="29">
        <v>0.42291666666666666</v>
      </c>
      <c r="M273" s="35">
        <f t="shared" ca="1" si="61"/>
        <v>2.0138888888888873E-2</v>
      </c>
      <c r="N273" s="27" t="s">
        <v>309</v>
      </c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8</v>
      </c>
      <c r="G274" s="28">
        <f t="shared" si="60"/>
        <v>33.6</v>
      </c>
      <c r="H274" s="26" t="s">
        <v>20</v>
      </c>
      <c r="I274" s="26" t="s">
        <v>47</v>
      </c>
      <c r="J274" s="26" t="s">
        <v>62</v>
      </c>
      <c r="K274" s="29">
        <v>0.45277777777777778</v>
      </c>
      <c r="L274" s="29">
        <v>0.49305555555555558</v>
      </c>
      <c r="M274" s="30">
        <f t="shared" ca="1" si="61"/>
        <v>4.0277777777777801E-2</v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5</v>
      </c>
      <c r="G275" s="34">
        <f t="shared" si="60"/>
        <v>21</v>
      </c>
      <c r="H275" s="33" t="s">
        <v>20</v>
      </c>
      <c r="I275" s="33" t="s">
        <v>47</v>
      </c>
      <c r="J275" s="33" t="s">
        <v>51</v>
      </c>
      <c r="K275" s="29">
        <v>0.50972222222222219</v>
      </c>
      <c r="L275" s="29">
        <v>0.51458333333333328</v>
      </c>
      <c r="M275" s="35">
        <f t="shared" ca="1" si="61"/>
        <v>4.8611111111110938E-3</v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7</v>
      </c>
      <c r="G276" s="28">
        <f t="shared" si="60"/>
        <v>29.400000000000002</v>
      </c>
      <c r="H276" s="26" t="s">
        <v>17</v>
      </c>
      <c r="I276" s="26" t="s">
        <v>135</v>
      </c>
      <c r="J276" s="26" t="s">
        <v>49</v>
      </c>
      <c r="K276" s="29">
        <v>0.57291666666666663</v>
      </c>
      <c r="L276" s="29">
        <v>0.58125000000000004</v>
      </c>
      <c r="M276" s="30">
        <f t="shared" ca="1" si="61"/>
        <v>8.3333333333334147E-3</v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15</v>
      </c>
      <c r="G277" s="34">
        <f t="shared" si="60"/>
        <v>63</v>
      </c>
      <c r="H277" s="33" t="s">
        <v>20</v>
      </c>
      <c r="I277" s="33" t="s">
        <v>47</v>
      </c>
      <c r="J277" s="33" t="s">
        <v>51</v>
      </c>
      <c r="K277" s="29">
        <v>0.64097222222222228</v>
      </c>
      <c r="L277" s="29">
        <v>0.64513888888888893</v>
      </c>
      <c r="M277" s="35">
        <f t="shared" ca="1" si="61"/>
        <v>4.1666666666666519E-3</v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12</v>
      </c>
      <c r="G278" s="28">
        <f t="shared" si="60"/>
        <v>50.400000000000006</v>
      </c>
      <c r="H278" s="26" t="s">
        <v>20</v>
      </c>
      <c r="I278" s="26" t="s">
        <v>47</v>
      </c>
      <c r="J278" s="26" t="s">
        <v>28</v>
      </c>
      <c r="K278" s="29">
        <v>0.66597222222222219</v>
      </c>
      <c r="L278" s="29">
        <v>0.69097222222222221</v>
      </c>
      <c r="M278" s="30">
        <f t="shared" ca="1" si="61"/>
        <v>2.5000000000000022E-2</v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12</v>
      </c>
      <c r="G279" s="34">
        <f t="shared" si="60"/>
        <v>50.400000000000006</v>
      </c>
      <c r="H279" s="33" t="s">
        <v>20</v>
      </c>
      <c r="I279" s="33" t="s">
        <v>47</v>
      </c>
      <c r="J279" s="33" t="s">
        <v>51</v>
      </c>
      <c r="K279" s="29">
        <v>0.70902777777777781</v>
      </c>
      <c r="L279" s="29">
        <v>0.71527777777777779</v>
      </c>
      <c r="M279" s="35">
        <f t="shared" ca="1" si="61"/>
        <v>6.2499999999999778E-3</v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6</v>
      </c>
      <c r="G280" s="28">
        <f t="shared" si="60"/>
        <v>25.200000000000003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234</v>
      </c>
      <c r="F282" s="27">
        <v>10</v>
      </c>
      <c r="G282" s="28">
        <f t="shared" si="60"/>
        <v>50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95</v>
      </c>
      <c r="G284" s="36">
        <f>SUM(G272:G283)</f>
        <v>407</v>
      </c>
      <c r="H284" s="37"/>
      <c r="I284" s="37"/>
      <c r="J284" s="37"/>
      <c r="K284" s="37"/>
      <c r="L284" s="37"/>
      <c r="M284" s="38">
        <f ca="1">IFERROR(SUM(M272:M283),"")</f>
        <v>0.13680555555555557</v>
      </c>
      <c r="N284" s="36" t="s">
        <v>236</v>
      </c>
      <c r="O284" s="39">
        <v>373120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5</v>
      </c>
      <c r="G285" s="34">
        <f t="shared" ref="G285:G296" si="63">IF(F285="","",IF(E285="PC 17",F285*4.2,IF(E285="PC 19",F285*5,IF(E285="CB",F285*24,""))))</f>
        <v>25</v>
      </c>
      <c r="H285" s="33" t="s">
        <v>19</v>
      </c>
      <c r="I285" s="33" t="s">
        <v>47</v>
      </c>
      <c r="J285" s="33" t="s">
        <v>27</v>
      </c>
      <c r="K285" s="29">
        <v>0.22916666666666666</v>
      </c>
      <c r="L285" s="29">
        <v>0.24374999999999999</v>
      </c>
      <c r="M285" s="35">
        <f t="shared" ref="M285:M296" ca="1" si="64">IFERROR(IF(K285="","",IF(L285="",MOD(NOW()-K285,1),IF(L285&gt;=K285,L285-K285,L285+1-K285))),"")</f>
        <v>1.4583333333333337E-2</v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5</v>
      </c>
      <c r="G286" s="28">
        <f t="shared" si="63"/>
        <v>25</v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6</v>
      </c>
      <c r="G287" s="34">
        <f t="shared" si="63"/>
        <v>25.200000000000003</v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15</v>
      </c>
      <c r="G288" s="28">
        <f t="shared" si="63"/>
        <v>75</v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4</v>
      </c>
      <c r="G289" s="34">
        <f t="shared" si="63"/>
        <v>20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5</v>
      </c>
      <c r="G290" s="28">
        <f t="shared" si="63"/>
        <v>25</v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4</v>
      </c>
      <c r="G291" s="34">
        <f t="shared" si="63"/>
        <v>20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6</v>
      </c>
      <c r="G292" s="28">
        <f t="shared" si="63"/>
        <v>30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9</v>
      </c>
      <c r="G293" s="34">
        <f t="shared" si="63"/>
        <v>45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8</v>
      </c>
      <c r="G294" s="28">
        <f t="shared" si="63"/>
        <v>40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8</v>
      </c>
      <c r="G295" s="34">
        <f t="shared" si="63"/>
        <v>40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9</v>
      </c>
      <c r="G296" s="28">
        <f t="shared" si="63"/>
        <v>45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84</v>
      </c>
      <c r="G297" s="36">
        <f>SUM(G285:G296)</f>
        <v>415.2</v>
      </c>
      <c r="H297" s="37"/>
      <c r="I297" s="37"/>
      <c r="J297" s="37"/>
      <c r="K297" s="37"/>
      <c r="L297" s="37"/>
      <c r="M297" s="38">
        <f ca="1">IFERROR(SUM(M285:M296),"")</f>
        <v>1.4583333333333337E-2</v>
      </c>
      <c r="N297" s="36" t="s">
        <v>236</v>
      </c>
      <c r="O297" s="39">
        <v>462190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179</v>
      </c>
      <c r="G298" s="40">
        <f>G284+G297</f>
        <v>822.2</v>
      </c>
      <c r="H298" s="41"/>
      <c r="I298" s="41"/>
      <c r="J298" s="41"/>
      <c r="K298" s="41"/>
      <c r="L298" s="41"/>
      <c r="M298" s="42">
        <f ca="1">IFERROR(M284+M297,"")</f>
        <v>0.15138888888888891</v>
      </c>
      <c r="N298" s="40" t="s">
        <v>240</v>
      </c>
      <c r="O298" s="48">
        <f>IFERROR(O284+O297,"")</f>
        <v>835310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8</v>
      </c>
      <c r="G299" s="34">
        <f t="shared" ref="G299:G310" si="66">IF(F299="","",IF(E299="PC 17",F299*4.2,IF(E299="PC 19",F299*5,IF(E299="CB",F299*24,""))))</f>
        <v>33.6</v>
      </c>
      <c r="H299" s="33" t="s">
        <v>20</v>
      </c>
      <c r="I299" s="33"/>
      <c r="J299" s="33" t="s">
        <v>198</v>
      </c>
      <c r="K299" s="29">
        <v>0.37361111111111112</v>
      </c>
      <c r="L299" s="29">
        <v>0.37708333333333333</v>
      </c>
      <c r="M299" s="35">
        <f t="shared" ref="M299:M310" ca="1" si="67">IFERROR(IF(K299="","",IF(L299="",MOD(NOW()-K299,1),IF(L299&gt;=K299,L299-K299,L299+1-K299))),"")</f>
        <v>3.4722222222222099E-3</v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10</v>
      </c>
      <c r="G300" s="28">
        <f t="shared" si="66"/>
        <v>42</v>
      </c>
      <c r="H300" s="26" t="s">
        <v>20</v>
      </c>
      <c r="I300" s="26"/>
      <c r="J300" s="26" t="s">
        <v>198</v>
      </c>
      <c r="K300" s="29">
        <v>0.45833333333333331</v>
      </c>
      <c r="L300" s="29">
        <v>0.46527777777777779</v>
      </c>
      <c r="M300" s="30">
        <f t="shared" ca="1" si="67"/>
        <v>6.9444444444444753E-3</v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14</v>
      </c>
      <c r="G301" s="34">
        <f t="shared" si="66"/>
        <v>58.800000000000004</v>
      </c>
      <c r="H301" s="33" t="s">
        <v>20</v>
      </c>
      <c r="I301" s="33" t="s">
        <v>47</v>
      </c>
      <c r="J301" s="33" t="s">
        <v>183</v>
      </c>
      <c r="K301" s="29">
        <v>0.60833333333333328</v>
      </c>
      <c r="L301" s="29">
        <v>0.61944444444444446</v>
      </c>
      <c r="M301" s="35">
        <f t="shared" ca="1" si="67"/>
        <v>1.1111111111111183E-2</v>
      </c>
      <c r="N301" s="27" t="s">
        <v>272</v>
      </c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15</v>
      </c>
      <c r="G302" s="28">
        <f t="shared" si="66"/>
        <v>63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11</v>
      </c>
      <c r="G303" s="34">
        <f t="shared" si="66"/>
        <v>46.2</v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16</v>
      </c>
      <c r="G304" s="28">
        <f t="shared" si="66"/>
        <v>67.2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16</v>
      </c>
      <c r="G308" s="28">
        <f t="shared" si="66"/>
        <v>67.2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5</v>
      </c>
      <c r="G310" s="28">
        <f t="shared" si="66"/>
        <v>21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123</v>
      </c>
      <c r="G311" s="36">
        <f>SUM(G299:G310)</f>
        <v>516.59999999999991</v>
      </c>
      <c r="H311" s="37"/>
      <c r="I311" s="37"/>
      <c r="J311" s="37"/>
      <c r="K311" s="37"/>
      <c r="L311" s="37"/>
      <c r="M311" s="38">
        <f ca="1">IFERROR(SUM(M299:M310),"")</f>
        <v>2.8472222222222288E-2</v>
      </c>
      <c r="N311" s="36" t="s">
        <v>236</v>
      </c>
      <c r="O311" s="39">
        <v>567440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8</v>
      </c>
      <c r="G312" s="28">
        <f t="shared" ref="G312:G323" si="69">IF(F312="","",IF(E312="PC 17",F312*4.2,IF(E312="PC 19",F312*5,IF(E312="CB",F312*24,""))))</f>
        <v>33.6</v>
      </c>
      <c r="H312" s="26" t="s">
        <v>19</v>
      </c>
      <c r="I312" s="26" t="s">
        <v>47</v>
      </c>
      <c r="J312" s="26" t="s">
        <v>27</v>
      </c>
      <c r="K312" s="29">
        <v>6.5972222222222224E-2</v>
      </c>
      <c r="L312" s="29">
        <v>7.9861111111111105E-2</v>
      </c>
      <c r="M312" s="30">
        <f t="shared" ref="M312:M323" ca="1" si="70">IFERROR(IF(K312="","",IF(L312="",MOD(NOW()-K312,1),IF(L312&gt;=K312,L312-K312,L312+1-K312))),"")</f>
        <v>1.3888888888888881E-2</v>
      </c>
      <c r="N312" s="27" t="s">
        <v>310</v>
      </c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4</v>
      </c>
      <c r="G313" s="34">
        <f t="shared" si="69"/>
        <v>20</v>
      </c>
      <c r="H313" s="33" t="s">
        <v>18</v>
      </c>
      <c r="I313" s="33" t="s">
        <v>138</v>
      </c>
      <c r="J313" s="33" t="s">
        <v>100</v>
      </c>
      <c r="K313" s="29">
        <v>0.18402777777777779</v>
      </c>
      <c r="L313" s="29">
        <v>0.19097222222222221</v>
      </c>
      <c r="M313" s="35">
        <f t="shared" ca="1" si="70"/>
        <v>6.9444444444444198E-3</v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10</v>
      </c>
      <c r="G314" s="28">
        <f t="shared" si="69"/>
        <v>42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6</v>
      </c>
      <c r="G315" s="34">
        <f t="shared" si="69"/>
        <v>25.200000000000003</v>
      </c>
      <c r="H315" s="33" t="s">
        <v>17</v>
      </c>
      <c r="I315" s="33" t="s">
        <v>135</v>
      </c>
      <c r="J315" s="33" t="s">
        <v>49</v>
      </c>
      <c r="K315" s="29">
        <v>0.2326388888888889</v>
      </c>
      <c r="L315" s="29">
        <v>0.24166666666666667</v>
      </c>
      <c r="M315" s="35">
        <f t="shared" ca="1" si="70"/>
        <v>9.0277777777777735E-3</v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6</v>
      </c>
      <c r="G316" s="28">
        <f t="shared" si="69"/>
        <v>25.200000000000003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8</v>
      </c>
      <c r="G317" s="34">
        <f t="shared" si="69"/>
        <v>33.6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3</v>
      </c>
      <c r="G318" s="28">
        <f t="shared" si="69"/>
        <v>12.600000000000001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6</v>
      </c>
      <c r="G319" s="34">
        <f t="shared" si="69"/>
        <v>25.200000000000003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4</v>
      </c>
      <c r="G320" s="28">
        <f t="shared" si="69"/>
        <v>16.8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5</v>
      </c>
      <c r="G321" s="34">
        <f t="shared" si="69"/>
        <v>21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60</v>
      </c>
      <c r="G324" s="36">
        <f>SUM(G312:G323)</f>
        <v>255.2</v>
      </c>
      <c r="H324" s="37"/>
      <c r="I324" s="37"/>
      <c r="J324" s="37"/>
      <c r="K324" s="37"/>
      <c r="L324" s="37"/>
      <c r="M324" s="38">
        <f ca="1">IFERROR(SUM(M312:M323),"")</f>
        <v>3.7499999999999964E-2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183</v>
      </c>
      <c r="G325" s="40">
        <f>G311+G324</f>
        <v>771.8</v>
      </c>
      <c r="H325" s="41"/>
      <c r="I325" s="41"/>
      <c r="J325" s="41"/>
      <c r="K325" s="41"/>
      <c r="L325" s="41"/>
      <c r="M325" s="42">
        <f ca="1">IFERROR(M311+M324,"")</f>
        <v>6.5972222222222252E-2</v>
      </c>
      <c r="N325" s="40" t="s">
        <v>240</v>
      </c>
      <c r="O325" s="48">
        <f>IFERROR(O311+O324,"")</f>
        <v>567440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0:E261 E29:E256 E263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D15:D26 D29:D256 D258:D900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85" zoomScaleNormal="85" workbookViewId="0">
      <pane ySplit="1" topLeftCell="A292" activePane="bottomLeft" state="frozen"/>
      <selection pane="bottomLeft" activeCell="L315" sqref="L315"/>
    </sheetView>
  </sheetViews>
  <sheetFormatPr defaultColWidth="8.5703125" defaultRowHeight="1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51.42578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311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269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293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312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313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314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315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316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317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293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293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318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319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272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293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320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321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281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322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323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324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325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326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327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328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329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330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331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332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333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334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335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300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336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337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 t="s">
        <v>250</v>
      </c>
      <c r="F272" s="27">
        <v>20</v>
      </c>
      <c r="G272" s="28">
        <f t="shared" ref="G272:G283" si="60">IF(F272="","",IF(E272="PC 17",F272*4.2,IF(E272="PC 19",F272*5,IF(E272="CB",F272*24,""))))</f>
        <v>84</v>
      </c>
      <c r="H272" s="26" t="s">
        <v>20</v>
      </c>
      <c r="I272" s="26" t="s">
        <v>52</v>
      </c>
      <c r="J272" s="26" t="s">
        <v>28</v>
      </c>
      <c r="K272" s="29">
        <v>0.29791666666666666</v>
      </c>
      <c r="L272" s="29">
        <v>0.30416666666666664</v>
      </c>
      <c r="M272" s="30">
        <f t="shared" ref="M272:M277" ca="1" si="61">IFERROR(IF(K272="","",IF(L272="",MOD(NOW()-K272,1),IF(L272&gt;=K272,L272-K272,L272+1-K272))),"")</f>
        <v>6.2499999999999778E-3</v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 t="s">
        <v>250</v>
      </c>
      <c r="F273" s="27">
        <v>15</v>
      </c>
      <c r="G273" s="34">
        <f t="shared" si="60"/>
        <v>63</v>
      </c>
      <c r="H273" s="33" t="s">
        <v>20</v>
      </c>
      <c r="I273" s="33" t="s">
        <v>52</v>
      </c>
      <c r="J273" s="33" t="s">
        <v>62</v>
      </c>
      <c r="K273" s="29">
        <v>0.31736111111111109</v>
      </c>
      <c r="L273" s="29">
        <v>0.31874999999999998</v>
      </c>
      <c r="M273" s="35">
        <f t="shared" ca="1" si="61"/>
        <v>1.388888888888884E-3</v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 t="s">
        <v>250</v>
      </c>
      <c r="F274" s="27">
        <v>5</v>
      </c>
      <c r="G274" s="28">
        <f t="shared" si="60"/>
        <v>21</v>
      </c>
      <c r="H274" s="26" t="s">
        <v>20</v>
      </c>
      <c r="I274" s="26" t="s">
        <v>57</v>
      </c>
      <c r="J274" s="26" t="s">
        <v>62</v>
      </c>
      <c r="K274" s="29">
        <v>0.35902777777777778</v>
      </c>
      <c r="L274" s="29">
        <v>0.3611111111111111</v>
      </c>
      <c r="M274" s="30">
        <f t="shared" ca="1" si="61"/>
        <v>2.0833333333333259E-3</v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 t="s">
        <v>250</v>
      </c>
      <c r="F275" s="27">
        <v>14</v>
      </c>
      <c r="G275" s="34">
        <f t="shared" si="60"/>
        <v>58.800000000000004</v>
      </c>
      <c r="H275" s="33" t="s">
        <v>20</v>
      </c>
      <c r="I275" s="33" t="s">
        <v>57</v>
      </c>
      <c r="J275" s="33" t="s">
        <v>62</v>
      </c>
      <c r="K275" s="29">
        <v>0.37152777777777779</v>
      </c>
      <c r="L275" s="29">
        <v>0.37708333333333333</v>
      </c>
      <c r="M275" s="35">
        <f t="shared" ca="1" si="61"/>
        <v>5.5555555555555358E-3</v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 t="s">
        <v>250</v>
      </c>
      <c r="F276" s="27">
        <v>10</v>
      </c>
      <c r="G276" s="28">
        <f t="shared" si="60"/>
        <v>42</v>
      </c>
      <c r="H276" s="26" t="s">
        <v>20</v>
      </c>
      <c r="I276" s="26" t="s">
        <v>52</v>
      </c>
      <c r="J276" s="26" t="s">
        <v>56</v>
      </c>
      <c r="K276" s="29">
        <v>0.39930555555555558</v>
      </c>
      <c r="L276" s="29">
        <v>0.40972222222222221</v>
      </c>
      <c r="M276" s="30">
        <f t="shared" ca="1" si="61"/>
        <v>1.041666666666663E-2</v>
      </c>
      <c r="N276" s="27" t="s">
        <v>338</v>
      </c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 t="s">
        <v>250</v>
      </c>
      <c r="F277" s="27">
        <v>9</v>
      </c>
      <c r="G277" s="34">
        <f t="shared" si="60"/>
        <v>37.800000000000004</v>
      </c>
      <c r="H277" s="33" t="s">
        <v>19</v>
      </c>
      <c r="I277" s="33" t="s">
        <v>57</v>
      </c>
      <c r="J277" s="33" t="s">
        <v>27</v>
      </c>
      <c r="K277" s="29">
        <v>0.40972222222222221</v>
      </c>
      <c r="L277" s="29">
        <v>0.43402777777777779</v>
      </c>
      <c r="M277" s="35">
        <f t="shared" ca="1" si="61"/>
        <v>2.430555555555558E-2</v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 t="s">
        <v>250</v>
      </c>
      <c r="F278" s="27">
        <v>21</v>
      </c>
      <c r="G278" s="28">
        <f t="shared" si="60"/>
        <v>88.2</v>
      </c>
      <c r="H278" s="26" t="s">
        <v>20</v>
      </c>
      <c r="I278" s="26" t="s">
        <v>57</v>
      </c>
      <c r="J278" s="26" t="s">
        <v>28</v>
      </c>
      <c r="K278" s="29">
        <v>0.46944444444444444</v>
      </c>
      <c r="L278" s="29">
        <v>0.47361111111111109</v>
      </c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 t="s">
        <v>250</v>
      </c>
      <c r="F279" s="27">
        <v>14</v>
      </c>
      <c r="G279" s="34">
        <f t="shared" si="60"/>
        <v>58.800000000000004</v>
      </c>
      <c r="H279" s="33" t="s">
        <v>20</v>
      </c>
      <c r="I279" s="33" t="s">
        <v>52</v>
      </c>
      <c r="J279" s="33" t="s">
        <v>56</v>
      </c>
      <c r="K279" s="29">
        <v>0.625</v>
      </c>
      <c r="L279" s="29">
        <v>0.64722222222222225</v>
      </c>
      <c r="M279" s="35">
        <f ca="1">IFERROR(IF(K279="","",IF(L279="",MOD(NOW()-K279,1),IF(L279&gt;=K279,L279-K279,L279+1-K279))),"")</f>
        <v>2.2222222222222254E-2</v>
      </c>
      <c r="N279" s="27" t="s">
        <v>339</v>
      </c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 t="s">
        <v>250</v>
      </c>
      <c r="F280" s="27">
        <v>10</v>
      </c>
      <c r="G280" s="28">
        <f t="shared" si="60"/>
        <v>42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 t="s">
        <v>250</v>
      </c>
      <c r="F281" s="27">
        <v>20</v>
      </c>
      <c r="G281" s="34">
        <f t="shared" si="60"/>
        <v>84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 t="s">
        <v>250</v>
      </c>
      <c r="F282" s="27">
        <v>19</v>
      </c>
      <c r="G282" s="28">
        <f t="shared" si="60"/>
        <v>79.8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 t="s">
        <v>250</v>
      </c>
      <c r="F283" s="27">
        <v>15</v>
      </c>
      <c r="G283" s="34">
        <f t="shared" si="60"/>
        <v>63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172</v>
      </c>
      <c r="G284" s="36">
        <f>SUM(G272:G283)</f>
        <v>722.4</v>
      </c>
      <c r="H284" s="37"/>
      <c r="I284" s="37"/>
      <c r="J284" s="37"/>
      <c r="K284" s="61"/>
      <c r="L284" s="61"/>
      <c r="M284" s="38">
        <f ca="1">IFERROR(SUM(M272:M283),"")</f>
        <v>7.2222222222222188E-2</v>
      </c>
      <c r="N284" s="36" t="s">
        <v>236</v>
      </c>
      <c r="O284" s="39">
        <v>762600</v>
      </c>
    </row>
    <row r="285" spans="1:15" ht="15" customHeight="1">
      <c r="A285" s="69">
        <v>46245</v>
      </c>
      <c r="B285" s="32">
        <v>0.83333333333333304</v>
      </c>
      <c r="C285" s="33" t="s">
        <v>45</v>
      </c>
      <c r="D285" s="62" t="s">
        <v>38</v>
      </c>
      <c r="E285" s="62" t="s">
        <v>234</v>
      </c>
      <c r="F285" s="27">
        <v>10</v>
      </c>
      <c r="G285" s="34">
        <f t="shared" ref="G285:G296" si="63">IF(F285="","",IF(E285="PC 17",F285*4.2,IF(E285="PC 19",F285*5,IF(E285="CB",F285*24,""))))</f>
        <v>50</v>
      </c>
      <c r="H285" s="33" t="s">
        <v>20</v>
      </c>
      <c r="I285" s="33" t="s">
        <v>52</v>
      </c>
      <c r="J285" s="33" t="s">
        <v>28</v>
      </c>
      <c r="K285" s="29">
        <v>7.7083333333333337E-2</v>
      </c>
      <c r="L285" s="29">
        <v>0.10902777777777778</v>
      </c>
      <c r="M285" s="35">
        <f t="shared" ref="M285:M296" ca="1" si="64">IFERROR(IF(K285="","",IF(L285="",MOD(NOW()-K285,1),IF(L285&gt;=K285,L285-K285,L285+1-K285))),"")</f>
        <v>3.1944444444444442E-2</v>
      </c>
      <c r="N285" s="27" t="s">
        <v>340</v>
      </c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 t="s">
        <v>45</v>
      </c>
      <c r="D286" s="62" t="s">
        <v>38</v>
      </c>
      <c r="E286" s="62" t="s">
        <v>234</v>
      </c>
      <c r="F286" s="27">
        <v>10</v>
      </c>
      <c r="G286" s="28">
        <f t="shared" si="63"/>
        <v>50</v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 t="s">
        <v>45</v>
      </c>
      <c r="D287" s="62" t="s">
        <v>38</v>
      </c>
      <c r="E287" s="62" t="s">
        <v>250</v>
      </c>
      <c r="F287" s="27">
        <v>27</v>
      </c>
      <c r="G287" s="34">
        <f t="shared" si="63"/>
        <v>113.4</v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 t="s">
        <v>45</v>
      </c>
      <c r="D288" s="62" t="s">
        <v>38</v>
      </c>
      <c r="E288" s="62" t="s">
        <v>234</v>
      </c>
      <c r="F288" s="27">
        <v>26</v>
      </c>
      <c r="G288" s="28">
        <f t="shared" si="63"/>
        <v>130</v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 t="s">
        <v>45</v>
      </c>
      <c r="D289" s="62" t="s">
        <v>22</v>
      </c>
      <c r="E289" s="62" t="s">
        <v>234</v>
      </c>
      <c r="F289" s="27">
        <v>14</v>
      </c>
      <c r="G289" s="34">
        <f t="shared" si="63"/>
        <v>70</v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 t="s">
        <v>45</v>
      </c>
      <c r="D290" s="62" t="s">
        <v>22</v>
      </c>
      <c r="E290" s="62" t="s">
        <v>234</v>
      </c>
      <c r="F290" s="27">
        <v>6</v>
      </c>
      <c r="G290" s="28">
        <f t="shared" si="63"/>
        <v>30</v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 t="s">
        <v>45</v>
      </c>
      <c r="D291" s="62" t="s">
        <v>22</v>
      </c>
      <c r="E291" s="62" t="s">
        <v>234</v>
      </c>
      <c r="F291" s="27">
        <v>9</v>
      </c>
      <c r="G291" s="34">
        <f t="shared" si="63"/>
        <v>45</v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 t="s">
        <v>45</v>
      </c>
      <c r="D292" s="62" t="s">
        <v>22</v>
      </c>
      <c r="E292" s="62" t="s">
        <v>234</v>
      </c>
      <c r="F292" s="27">
        <v>1</v>
      </c>
      <c r="G292" s="28">
        <f t="shared" si="63"/>
        <v>5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 t="s">
        <v>45</v>
      </c>
      <c r="D293" s="62" t="s">
        <v>22</v>
      </c>
      <c r="E293" s="62" t="s">
        <v>234</v>
      </c>
      <c r="F293" s="27">
        <v>15</v>
      </c>
      <c r="G293" s="34">
        <f t="shared" si="63"/>
        <v>75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 t="s">
        <v>45</v>
      </c>
      <c r="D294" s="62" t="s">
        <v>22</v>
      </c>
      <c r="E294" s="62" t="s">
        <v>234</v>
      </c>
      <c r="F294" s="27">
        <v>9</v>
      </c>
      <c r="G294" s="28">
        <f t="shared" si="63"/>
        <v>45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 t="s">
        <v>45</v>
      </c>
      <c r="D295" s="62" t="s">
        <v>22</v>
      </c>
      <c r="E295" s="62" t="s">
        <v>234</v>
      </c>
      <c r="F295" s="27">
        <v>13</v>
      </c>
      <c r="G295" s="34">
        <f t="shared" si="63"/>
        <v>65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 t="s">
        <v>45</v>
      </c>
      <c r="D296" s="62" t="s">
        <v>22</v>
      </c>
      <c r="E296" s="62" t="s">
        <v>234</v>
      </c>
      <c r="F296" s="27">
        <v>12</v>
      </c>
      <c r="G296" s="28">
        <f t="shared" si="63"/>
        <v>60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152</v>
      </c>
      <c r="G297" s="36">
        <f>SUM(G285:G296)</f>
        <v>738.4</v>
      </c>
      <c r="H297" s="37"/>
      <c r="I297" s="37"/>
      <c r="J297" s="37"/>
      <c r="K297" s="61"/>
      <c r="L297" s="61"/>
      <c r="M297" s="38">
        <f ca="1">IFERROR(SUM(M285:M296),"")</f>
        <v>3.1944444444444442E-2</v>
      </c>
      <c r="N297" s="36" t="s">
        <v>236</v>
      </c>
      <c r="O297" s="39">
        <v>904710</v>
      </c>
    </row>
    <row r="298" spans="1:15" ht="18" customHeight="1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324</v>
      </c>
      <c r="G298" s="40">
        <f>G284+G297</f>
        <v>1460.8</v>
      </c>
      <c r="H298" s="41"/>
      <c r="I298" s="41"/>
      <c r="J298" s="41"/>
      <c r="K298" s="63"/>
      <c r="L298" s="63"/>
      <c r="M298" s="42">
        <f ca="1">IFERROR(M284+M297,"")</f>
        <v>0.10416666666666663</v>
      </c>
      <c r="N298" s="40" t="s">
        <v>240</v>
      </c>
      <c r="O298" s="48">
        <f>IFERROR(O284+O297,"")</f>
        <v>1667310</v>
      </c>
    </row>
    <row r="299" spans="1:15" ht="15" customHeight="1">
      <c r="A299" s="69">
        <v>46246</v>
      </c>
      <c r="B299" s="32">
        <v>0.33333333333333298</v>
      </c>
      <c r="C299" s="33" t="s">
        <v>29</v>
      </c>
      <c r="D299" s="62" t="s">
        <v>22</v>
      </c>
      <c r="E299" s="62" t="s">
        <v>250</v>
      </c>
      <c r="F299" s="27">
        <v>15</v>
      </c>
      <c r="G299" s="34">
        <f t="shared" ref="G299:G310" si="66">IF(F299="","",IF(E299="PC 17",F299*4.2,IF(E299="PC 19",F299*5,IF(E299="CB",F299*24,""))))</f>
        <v>63</v>
      </c>
      <c r="H299" s="33" t="s">
        <v>20</v>
      </c>
      <c r="I299" s="33" t="s">
        <v>52</v>
      </c>
      <c r="J299" s="33" t="s">
        <v>183</v>
      </c>
      <c r="K299" s="29">
        <v>0.43541666666666667</v>
      </c>
      <c r="L299" s="29">
        <v>0.44583333333333336</v>
      </c>
      <c r="M299" s="35">
        <f t="shared" ref="M299:M310" ca="1" si="67">IFERROR(IF(K299="","",IF(L299="",MOD(NOW()-K299,1),IF(L299&gt;=K299,L299-K299,L299+1-K299))),"")</f>
        <v>1.0416666666666685E-2</v>
      </c>
      <c r="N299" s="27" t="s">
        <v>341</v>
      </c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 t="s">
        <v>29</v>
      </c>
      <c r="D300" s="62" t="s">
        <v>22</v>
      </c>
      <c r="E300" s="62" t="s">
        <v>250</v>
      </c>
      <c r="F300" s="27">
        <v>17</v>
      </c>
      <c r="G300" s="28">
        <f t="shared" si="66"/>
        <v>71.400000000000006</v>
      </c>
      <c r="H300" s="26" t="s">
        <v>19</v>
      </c>
      <c r="I300" s="26" t="s">
        <v>57</v>
      </c>
      <c r="J300" s="26" t="s">
        <v>27</v>
      </c>
      <c r="K300" s="29">
        <v>0.44583333333333336</v>
      </c>
      <c r="L300" s="29">
        <v>0.4513888888888889</v>
      </c>
      <c r="M300" s="30">
        <f t="shared" ca="1" si="67"/>
        <v>5.5555555555555358E-3</v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 t="s">
        <v>29</v>
      </c>
      <c r="D301" s="62" t="s">
        <v>22</v>
      </c>
      <c r="E301" s="62" t="s">
        <v>250</v>
      </c>
      <c r="F301" s="27">
        <v>22</v>
      </c>
      <c r="G301" s="34">
        <f t="shared" si="66"/>
        <v>92.4</v>
      </c>
      <c r="H301" s="33" t="s">
        <v>16</v>
      </c>
      <c r="I301" s="33"/>
      <c r="J301" s="33" t="s">
        <v>86</v>
      </c>
      <c r="K301" s="65">
        <v>0.66249999999999998</v>
      </c>
      <c r="L301" s="29">
        <v>0.71527777777777779</v>
      </c>
      <c r="M301" s="35">
        <f t="shared" ca="1" si="67"/>
        <v>5.2777777777777812E-2</v>
      </c>
      <c r="N301" s="27" t="s">
        <v>342</v>
      </c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 t="s">
        <v>29</v>
      </c>
      <c r="D302" s="62" t="s">
        <v>22</v>
      </c>
      <c r="E302" s="62" t="s">
        <v>250</v>
      </c>
      <c r="F302" s="27">
        <v>10</v>
      </c>
      <c r="G302" s="28">
        <f t="shared" si="66"/>
        <v>42</v>
      </c>
      <c r="H302" s="26" t="s">
        <v>17</v>
      </c>
      <c r="I302" s="26"/>
      <c r="J302" s="26" t="s">
        <v>25</v>
      </c>
      <c r="K302" s="29">
        <v>0.75624999999999998</v>
      </c>
      <c r="L302" s="29">
        <v>0.7631944444444444</v>
      </c>
      <c r="M302" s="30">
        <f t="shared" ca="1" si="67"/>
        <v>6.9444444444444198E-3</v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 t="s">
        <v>29</v>
      </c>
      <c r="D303" s="62" t="s">
        <v>22</v>
      </c>
      <c r="E303" s="62" t="s">
        <v>250</v>
      </c>
      <c r="F303" s="27">
        <v>29</v>
      </c>
      <c r="G303" s="34">
        <f t="shared" si="66"/>
        <v>121.80000000000001</v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 t="s">
        <v>29</v>
      </c>
      <c r="D304" s="62" t="s">
        <v>22</v>
      </c>
      <c r="E304" s="62" t="s">
        <v>250</v>
      </c>
      <c r="F304" s="27">
        <v>30</v>
      </c>
      <c r="G304" s="28">
        <f t="shared" si="66"/>
        <v>126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 t="s">
        <v>29</v>
      </c>
      <c r="D305" s="62" t="s">
        <v>22</v>
      </c>
      <c r="E305" s="62" t="s">
        <v>250</v>
      </c>
      <c r="F305" s="27">
        <v>20</v>
      </c>
      <c r="G305" s="34">
        <f t="shared" si="66"/>
        <v>84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 t="s">
        <v>29</v>
      </c>
      <c r="D306" s="62" t="s">
        <v>22</v>
      </c>
      <c r="E306" s="62" t="s">
        <v>250</v>
      </c>
      <c r="F306" s="27">
        <v>10</v>
      </c>
      <c r="G306" s="28">
        <f t="shared" si="66"/>
        <v>42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 t="s">
        <v>29</v>
      </c>
      <c r="D307" s="62" t="s">
        <v>22</v>
      </c>
      <c r="E307" s="62" t="s">
        <v>250</v>
      </c>
      <c r="F307" s="27">
        <v>15</v>
      </c>
      <c r="G307" s="34">
        <f t="shared" si="66"/>
        <v>63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 t="s">
        <v>29</v>
      </c>
      <c r="D308" s="62" t="s">
        <v>22</v>
      </c>
      <c r="E308" s="62" t="s">
        <v>250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 t="s">
        <v>29</v>
      </c>
      <c r="D309" s="62" t="s">
        <v>22</v>
      </c>
      <c r="E309" s="62" t="s">
        <v>250</v>
      </c>
      <c r="F309" s="27">
        <v>14</v>
      </c>
      <c r="G309" s="34">
        <f t="shared" si="66"/>
        <v>58.800000000000004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 t="s">
        <v>29</v>
      </c>
      <c r="D310" s="62" t="s">
        <v>22</v>
      </c>
      <c r="E310" s="62" t="s">
        <v>250</v>
      </c>
      <c r="F310" s="27">
        <v>10</v>
      </c>
      <c r="G310" s="28">
        <f t="shared" si="66"/>
        <v>42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192</v>
      </c>
      <c r="G311" s="36">
        <f>SUM(G299:G310)</f>
        <v>806.4</v>
      </c>
      <c r="H311" s="37"/>
      <c r="I311" s="37"/>
      <c r="J311" s="37"/>
      <c r="K311" s="61"/>
      <c r="L311" s="61"/>
      <c r="M311" s="38">
        <f ca="1">IFERROR(SUM(M299:M310),"")</f>
        <v>7.5694444444444453E-2</v>
      </c>
      <c r="N311" s="36" t="s">
        <v>236</v>
      </c>
      <c r="O311" s="39">
        <v>948950</v>
      </c>
    </row>
    <row r="312" spans="1:15" ht="15" customHeight="1">
      <c r="A312" s="68">
        <v>46246</v>
      </c>
      <c r="B312" s="25">
        <v>0.83333333333333304</v>
      </c>
      <c r="C312" s="26" t="s">
        <v>21</v>
      </c>
      <c r="D312" s="59" t="s">
        <v>22</v>
      </c>
      <c r="E312" s="59" t="s">
        <v>250</v>
      </c>
      <c r="F312" s="27">
        <v>23</v>
      </c>
      <c r="G312" s="28">
        <f t="shared" ref="G312:G323" si="69">IF(F312="","",IF(E312="PC 17",F312*4.2,IF(E312="PC 19",F312*5,IF(E312="CB",F312*24,""))))</f>
        <v>96.600000000000009</v>
      </c>
      <c r="H312" s="26" t="s">
        <v>20</v>
      </c>
      <c r="I312" s="26" t="s">
        <v>157</v>
      </c>
      <c r="J312" s="26" t="s">
        <v>74</v>
      </c>
      <c r="K312" s="29">
        <v>0.94097222222222221</v>
      </c>
      <c r="L312" s="29">
        <v>0.96875</v>
      </c>
      <c r="M312" s="30">
        <f t="shared" ref="M312:M323" ca="1" si="70">IFERROR(IF(K312="","",IF(L312="",MOD(NOW()-K312,1),IF(L312&gt;=K312,L312-K312,L312+1-K312))),"")</f>
        <v>2.777777777777779E-2</v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 t="s">
        <v>21</v>
      </c>
      <c r="D313" s="59" t="s">
        <v>22</v>
      </c>
      <c r="E313" s="59" t="s">
        <v>234</v>
      </c>
      <c r="F313" s="27">
        <v>17</v>
      </c>
      <c r="G313" s="34">
        <f t="shared" si="69"/>
        <v>85</v>
      </c>
      <c r="H313" s="33" t="s">
        <v>19</v>
      </c>
      <c r="I313" s="33" t="s">
        <v>162</v>
      </c>
      <c r="J313" s="33" t="s">
        <v>27</v>
      </c>
      <c r="K313" s="29">
        <v>8.1250000000000003E-2</v>
      </c>
      <c r="L313" s="29">
        <v>9.5138888888888884E-2</v>
      </c>
      <c r="M313" s="35">
        <f t="shared" ca="1" si="70"/>
        <v>1.3888888888888881E-2</v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 t="s">
        <v>21</v>
      </c>
      <c r="D314" s="59" t="s">
        <v>22</v>
      </c>
      <c r="E314" s="59" t="s">
        <v>250</v>
      </c>
      <c r="F314" s="27">
        <v>35</v>
      </c>
      <c r="G314" s="28">
        <f t="shared" si="69"/>
        <v>147</v>
      </c>
      <c r="H314" s="26" t="s">
        <v>17</v>
      </c>
      <c r="I314" s="26"/>
      <c r="J314" s="26" t="s">
        <v>25</v>
      </c>
      <c r="K314" s="29">
        <v>0.22083333333333333</v>
      </c>
      <c r="L314" s="29">
        <v>0.22847222222222222</v>
      </c>
      <c r="M314" s="30">
        <f t="shared" ca="1" si="70"/>
        <v>7.6388888888888895E-3</v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 t="s">
        <v>21</v>
      </c>
      <c r="D315" s="59" t="s">
        <v>22</v>
      </c>
      <c r="E315" s="59" t="s">
        <v>250</v>
      </c>
      <c r="F315" s="27">
        <v>3</v>
      </c>
      <c r="G315" s="34">
        <f t="shared" si="69"/>
        <v>12.600000000000001</v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 t="s">
        <v>21</v>
      </c>
      <c r="D316" s="59" t="s">
        <v>22</v>
      </c>
      <c r="E316" s="59" t="s">
        <v>250</v>
      </c>
      <c r="F316" s="27">
        <v>20</v>
      </c>
      <c r="G316" s="28">
        <f t="shared" si="69"/>
        <v>84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 t="s">
        <v>21</v>
      </c>
      <c r="D317" s="59" t="s">
        <v>22</v>
      </c>
      <c r="E317" s="59" t="s">
        <v>250</v>
      </c>
      <c r="F317" s="27">
        <v>24</v>
      </c>
      <c r="G317" s="34">
        <f t="shared" si="69"/>
        <v>100.80000000000001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 t="s">
        <v>21</v>
      </c>
      <c r="D318" s="59" t="s">
        <v>22</v>
      </c>
      <c r="E318" s="59" t="s">
        <v>250</v>
      </c>
      <c r="F318" s="27">
        <v>14</v>
      </c>
      <c r="G318" s="28">
        <f t="shared" si="69"/>
        <v>58.800000000000004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 t="s">
        <v>21</v>
      </c>
      <c r="D319" s="59" t="s">
        <v>22</v>
      </c>
      <c r="E319" s="59" t="s">
        <v>250</v>
      </c>
      <c r="F319" s="27">
        <v>24</v>
      </c>
      <c r="G319" s="34">
        <f t="shared" si="69"/>
        <v>100.80000000000001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 t="s">
        <v>21</v>
      </c>
      <c r="D320" s="59" t="s">
        <v>22</v>
      </c>
      <c r="E320" s="59" t="s">
        <v>250</v>
      </c>
      <c r="F320" s="27">
        <v>17</v>
      </c>
      <c r="G320" s="28">
        <f t="shared" si="69"/>
        <v>71.400000000000006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 t="s">
        <v>21</v>
      </c>
      <c r="D321" s="59" t="s">
        <v>22</v>
      </c>
      <c r="E321" s="59" t="s">
        <v>250</v>
      </c>
      <c r="F321" s="27">
        <v>16</v>
      </c>
      <c r="G321" s="34">
        <f t="shared" si="69"/>
        <v>67.2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 t="s">
        <v>21</v>
      </c>
      <c r="D322" s="59" t="s">
        <v>22</v>
      </c>
      <c r="E322" s="59" t="s">
        <v>250</v>
      </c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 t="s">
        <v>21</v>
      </c>
      <c r="D323" s="59" t="s">
        <v>22</v>
      </c>
      <c r="E323" s="59" t="s">
        <v>250</v>
      </c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193</v>
      </c>
      <c r="G324" s="36">
        <f>SUM(G312:G323)</f>
        <v>824.19999999999993</v>
      </c>
      <c r="H324" s="37"/>
      <c r="I324" s="37"/>
      <c r="J324" s="37"/>
      <c r="K324" s="61"/>
      <c r="L324" s="61"/>
      <c r="M324" s="38">
        <f ca="1">IFERROR(SUM(M312:M323),"")</f>
        <v>4.9305555555555561E-2</v>
      </c>
      <c r="N324" s="36" t="s">
        <v>236</v>
      </c>
      <c r="O324" s="39"/>
    </row>
    <row r="325" spans="1:15" ht="18" customHeight="1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385</v>
      </c>
      <c r="G325" s="40">
        <f>G311+G324</f>
        <v>1630.6</v>
      </c>
      <c r="H325" s="41"/>
      <c r="I325" s="41"/>
      <c r="J325" s="41"/>
      <c r="K325" s="63"/>
      <c r="L325" s="63"/>
      <c r="M325" s="42">
        <f ca="1">IFERROR(M311+M324,"")</f>
        <v>0.125</v>
      </c>
      <c r="N325" s="40" t="s">
        <v>240</v>
      </c>
      <c r="O325" s="48">
        <f>IFERROR(O311+O324,"")</f>
        <v>948950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2026-08-13T09:50:13Z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