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" documentId="13_ncr:1_{0A10D8D4-8450-4366-8075-B53B08E6B7EA}" xr6:coauthVersionLast="47" xr6:coauthVersionMax="47" xr10:uidLastSave="{5BECD0CC-63E0-4895-B9A2-C60C9BCF8E3D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23" i="6" l="1"/>
  <c r="H322" i="6"/>
  <c r="H321" i="6"/>
  <c r="H320" i="6"/>
  <c r="H319" i="6"/>
  <c r="H318" i="6"/>
  <c r="H317" i="6"/>
  <c r="H316" i="6"/>
  <c r="H315" i="6"/>
  <c r="H314" i="6"/>
  <c r="H313" i="6"/>
  <c r="H312" i="6"/>
  <c r="H310" i="6"/>
  <c r="H309" i="6"/>
  <c r="H308" i="6"/>
  <c r="H307" i="6"/>
  <c r="H306" i="6"/>
  <c r="H305" i="6"/>
  <c r="H304" i="6"/>
  <c r="H303" i="6"/>
  <c r="H302" i="6"/>
  <c r="H301" i="6"/>
  <c r="H300" i="6"/>
  <c r="H299" i="6"/>
  <c r="H323" i="5"/>
  <c r="H322" i="5"/>
  <c r="H321" i="5"/>
  <c r="H320" i="5"/>
  <c r="H319" i="5"/>
  <c r="H318" i="5"/>
  <c r="H317" i="5"/>
  <c r="H316" i="5"/>
  <c r="H315" i="5"/>
  <c r="H314" i="5"/>
  <c r="H313" i="5"/>
  <c r="H312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323" i="4"/>
  <c r="H322" i="4"/>
  <c r="H321" i="4"/>
  <c r="H320" i="4"/>
  <c r="H319" i="4"/>
  <c r="H318" i="4"/>
  <c r="H317" i="4"/>
  <c r="H316" i="4"/>
  <c r="H315" i="4"/>
  <c r="H314" i="4"/>
  <c r="H313" i="4"/>
  <c r="H312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J316" i="6"/>
  <c r="J317" i="6"/>
  <c r="J318" i="6"/>
  <c r="J319" i="6"/>
  <c r="J320" i="6"/>
  <c r="J321" i="6"/>
  <c r="J322" i="6"/>
  <c r="J323" i="6"/>
  <c r="J307" i="6"/>
  <c r="J308" i="6"/>
  <c r="J309" i="6"/>
  <c r="J310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J306" i="5"/>
  <c r="J308" i="5"/>
  <c r="J309" i="5"/>
  <c r="J31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299" i="4" l="1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<sst xmlns="http://schemas.openxmlformats.org/spreadsheetml/2006/main" count="5849" uniqueCount="333">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</sst>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3" fontId="28" fillId="8" borderId="2" xfId="0" applyNumberFormat="1" applyFont="1" applyFill="1" applyBorder="1" applyAlignment="1">
      <alignment horizontal="center" vertical="center"/>
    </xf>
    <xf numFmtId="166" fontId="29" fillId="13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 x14ac:dyDescent="0.25">
      <c r="A1" s="157" t="s">
        <v>0</v>
      </c>
      <c r="B1" s="158"/>
      <c r="C1" s="158"/>
      <c r="D1" s="158"/>
      <c r="E1" s="158"/>
      <c r="F1" s="158"/>
      <c r="G1" s="158"/>
      <c r="H1" s="158"/>
      <c r="I1" s="158"/>
      <c r="J1" s="158"/>
    </row>
    <row r="2" spans="1:10" ht="24.75" customHeight="1" x14ac:dyDescent="0.25">
      <c r="A2" s="155"/>
      <c r="B2" s="15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 x14ac:dyDescent="0.25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97.952399999999997</v>
      </c>
      <c r="I15" s="96"/>
      <c r="J15" s="129">
        <f t="shared" si="1"/>
        <v>0</v>
      </c>
    </row>
    <row r="16" spans="1:10" ht="15.75" customHeight="1" x14ac:dyDescent="0.25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 x14ac:dyDescent="0.25">
      <c r="A35" s="156" t="s">
        <v>12</v>
      </c>
      <c r="B35" s="156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97.952399999999997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59" t="s">
        <v>13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14</v>
      </c>
      <c r="O1" s="161"/>
      <c r="P1" s="161"/>
      <c r="Q1" s="161"/>
      <c r="R1" s="161"/>
    </row>
    <row r="2" spans="1:18" ht="4.5" customHeight="1" x14ac:dyDescent="0.25">
      <c r="M2" s="160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0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0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3">
        <v>0.23</v>
      </c>
      <c r="G5" s="95">
        <v>0.6</v>
      </c>
      <c r="J5" s="17" t="s">
        <v>22</v>
      </c>
      <c r="L5" s="17" t="s">
        <v>36</v>
      </c>
      <c r="M5" s="160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0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0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0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0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0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0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0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0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0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0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0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0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0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0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0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0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0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0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0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0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0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0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0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0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0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0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0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1" t="s">
        <v>160</v>
      </c>
      <c r="E33" s="113">
        <v>1000</v>
      </c>
      <c r="J33" s="17"/>
      <c r="L33" s="17" t="s">
        <v>161</v>
      </c>
      <c r="M33" s="160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0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0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0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0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0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0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0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0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0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0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0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0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0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0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0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0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0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0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0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0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0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0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0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0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0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0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0"/>
      <c r="N60" s="16"/>
      <c r="O60" s="16"/>
      <c r="P60" s="77" t="s">
        <v>110</v>
      </c>
      <c r="Q60" s="16"/>
      <c r="R60" s="16"/>
    </row>
    <row r="61" spans="1:18" ht="15" customHeight="1" x14ac:dyDescent="0.25">
      <c r="M61" s="160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0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0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0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0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0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0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0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0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0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0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0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0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0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0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6" activePane="bottomLeft" state="frozen"/>
      <selection pane="bottomLeft" activeCell="J316" sqref="J316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49" t="s">
        <v>241</v>
      </c>
      <c r="B14" s="150"/>
      <c r="C14" s="150"/>
      <c r="D14" s="150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49" t="s">
        <v>244</v>
      </c>
      <c r="B27" s="150"/>
      <c r="C27" s="150"/>
      <c r="D27" s="150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1" t="s">
        <v>245</v>
      </c>
      <c r="B28" s="152"/>
      <c r="C28" s="152"/>
      <c r="D28" s="152"/>
      <c r="E28" s="16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49" t="s">
        <v>241</v>
      </c>
      <c r="B41" s="150"/>
      <c r="C41" s="150"/>
      <c r="D41" s="150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49" t="s">
        <v>244</v>
      </c>
      <c r="B54" s="150"/>
      <c r="C54" s="150"/>
      <c r="D54" s="150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1" t="s">
        <v>245</v>
      </c>
      <c r="B55" s="152"/>
      <c r="C55" s="152"/>
      <c r="D55" s="152"/>
      <c r="E55" s="16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49" t="s">
        <v>241</v>
      </c>
      <c r="B68" s="150"/>
      <c r="C68" s="150"/>
      <c r="D68" s="150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49" t="s">
        <v>244</v>
      </c>
      <c r="B81" s="150"/>
      <c r="C81" s="150"/>
      <c r="D81" s="150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1" t="s">
        <v>245</v>
      </c>
      <c r="B82" s="152"/>
      <c r="C82" s="152"/>
      <c r="D82" s="152"/>
      <c r="E82" s="16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49" t="s">
        <v>241</v>
      </c>
      <c r="B95" s="150"/>
      <c r="C95" s="150"/>
      <c r="D95" s="150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49" t="s">
        <v>244</v>
      </c>
      <c r="B108" s="150"/>
      <c r="C108" s="150"/>
      <c r="D108" s="150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1" t="s">
        <v>245</v>
      </c>
      <c r="B109" s="152"/>
      <c r="C109" s="152"/>
      <c r="D109" s="152"/>
      <c r="E109" s="16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49" t="s">
        <v>241</v>
      </c>
      <c r="B122" s="150"/>
      <c r="C122" s="150"/>
      <c r="D122" s="150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49" t="s">
        <v>244</v>
      </c>
      <c r="B135" s="150"/>
      <c r="C135" s="150"/>
      <c r="D135" s="150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1" t="s">
        <v>245</v>
      </c>
      <c r="B136" s="152"/>
      <c r="C136" s="152"/>
      <c r="D136" s="152"/>
      <c r="E136" s="16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49" t="s">
        <v>241</v>
      </c>
      <c r="B149" s="150"/>
      <c r="C149" s="150"/>
      <c r="D149" s="150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49" t="s">
        <v>244</v>
      </c>
      <c r="B162" s="150"/>
      <c r="C162" s="150"/>
      <c r="D162" s="150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1" t="s">
        <v>245</v>
      </c>
      <c r="B163" s="152"/>
      <c r="C163" s="152"/>
      <c r="D163" s="152"/>
      <c r="E163" s="16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49" t="s">
        <v>241</v>
      </c>
      <c r="B176" s="150"/>
      <c r="C176" s="150"/>
      <c r="D176" s="150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49" t="s">
        <v>244</v>
      </c>
      <c r="B189" s="150"/>
      <c r="C189" s="150"/>
      <c r="D189" s="150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1" t="s">
        <v>245</v>
      </c>
      <c r="B190" s="152"/>
      <c r="C190" s="152"/>
      <c r="D190" s="152"/>
      <c r="E190" s="16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49" t="s">
        <v>241</v>
      </c>
      <c r="B203" s="150"/>
      <c r="C203" s="150"/>
      <c r="D203" s="150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49" t="s">
        <v>244</v>
      </c>
      <c r="B216" s="150"/>
      <c r="C216" s="150"/>
      <c r="D216" s="150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1" t="s">
        <v>245</v>
      </c>
      <c r="B217" s="152"/>
      <c r="C217" s="152"/>
      <c r="D217" s="152"/>
      <c r="E217" s="16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3" t="s">
        <v>241</v>
      </c>
      <c r="B230" s="154"/>
      <c r="C230" s="154"/>
      <c r="D230" s="154"/>
      <c r="E230" s="16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49" t="s">
        <v>244</v>
      </c>
      <c r="B243" s="150"/>
      <c r="C243" s="150"/>
      <c r="D243" s="150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1" t="s">
        <v>245</v>
      </c>
      <c r="B244" s="152"/>
      <c r="C244" s="152"/>
      <c r="D244" s="152"/>
      <c r="E244" s="16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49" t="s">
        <v>241</v>
      </c>
      <c r="B257" s="150"/>
      <c r="C257" s="150"/>
      <c r="D257" s="150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49" t="s">
        <v>244</v>
      </c>
      <c r="B270" s="150"/>
      <c r="C270" s="150"/>
      <c r="D270" s="150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1" t="s">
        <v>245</v>
      </c>
      <c r="B271" s="152"/>
      <c r="C271" s="152"/>
      <c r="D271" s="152"/>
      <c r="E271" s="16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49" t="s">
        <v>241</v>
      </c>
      <c r="B284" s="150"/>
      <c r="C284" s="150"/>
      <c r="D284" s="150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49" t="s">
        <v>244</v>
      </c>
      <c r="B297" s="150"/>
      <c r="C297" s="150"/>
      <c r="D297" s="150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1" t="s">
        <v>245</v>
      </c>
      <c r="B298" s="152"/>
      <c r="C298" s="152"/>
      <c r="D298" s="152"/>
      <c r="E298" s="16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332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49" t="s">
        <v>241</v>
      </c>
      <c r="B311" s="150"/>
      <c r="C311" s="150"/>
      <c r="D311" s="150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49" t="s">
        <v>244</v>
      </c>
      <c r="B324" s="150"/>
      <c r="C324" s="150"/>
      <c r="D324" s="150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1" t="s">
        <v>245</v>
      </c>
      <c r="B325" s="152"/>
      <c r="C325" s="152"/>
      <c r="D325" s="152"/>
      <c r="E325" s="16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49" t="s">
        <v>241</v>
      </c>
      <c r="B338" s="150"/>
      <c r="C338" s="150"/>
      <c r="D338" s="150"/>
      <c r="E338" s="16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 x14ac:dyDescent="0.25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49" t="s">
        <v>244</v>
      </c>
      <c r="B351" s="150"/>
      <c r="C351" s="150"/>
      <c r="D351" s="150"/>
      <c r="E351" s="16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 x14ac:dyDescent="0.25">
      <c r="A352" s="151" t="s">
        <v>245</v>
      </c>
      <c r="B352" s="152"/>
      <c r="C352" s="152"/>
      <c r="D352" s="152"/>
      <c r="E352" s="16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 x14ac:dyDescent="0.25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49" t="s">
        <v>241</v>
      </c>
      <c r="B365" s="150"/>
      <c r="C365" s="150"/>
      <c r="D365" s="150"/>
      <c r="E365" s="16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49" t="s">
        <v>244</v>
      </c>
      <c r="B378" s="150"/>
      <c r="C378" s="150"/>
      <c r="D378" s="150"/>
      <c r="E378" s="16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1" t="s">
        <v>245</v>
      </c>
      <c r="B379" s="152"/>
      <c r="C379" s="152"/>
      <c r="D379" s="152"/>
      <c r="E379" s="16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49" t="s">
        <v>241</v>
      </c>
      <c r="B392" s="150"/>
      <c r="C392" s="150"/>
      <c r="D392" s="150"/>
      <c r="E392" s="16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49" t="s">
        <v>244</v>
      </c>
      <c r="B405" s="150"/>
      <c r="C405" s="150"/>
      <c r="D405" s="150"/>
      <c r="E405" s="16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1" t="s">
        <v>245</v>
      </c>
      <c r="B406" s="152"/>
      <c r="C406" s="152"/>
      <c r="D406" s="152"/>
      <c r="E406" s="16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49" t="s">
        <v>241</v>
      </c>
      <c r="B419" s="150"/>
      <c r="C419" s="150"/>
      <c r="D419" s="150"/>
      <c r="E419" s="16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49" t="s">
        <v>244</v>
      </c>
      <c r="B432" s="150"/>
      <c r="C432" s="150"/>
      <c r="D432" s="150"/>
      <c r="E432" s="16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1" t="s">
        <v>245</v>
      </c>
      <c r="B433" s="152"/>
      <c r="C433" s="152"/>
      <c r="D433" s="152"/>
      <c r="E433" s="16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49" t="s">
        <v>241</v>
      </c>
      <c r="B446" s="150"/>
      <c r="C446" s="150"/>
      <c r="D446" s="150"/>
      <c r="E446" s="16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49" t="s">
        <v>244</v>
      </c>
      <c r="B459" s="150"/>
      <c r="C459" s="150"/>
      <c r="D459" s="150"/>
      <c r="E459" s="16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1" t="s">
        <v>245</v>
      </c>
      <c r="B460" s="152"/>
      <c r="C460" s="152"/>
      <c r="D460" s="152"/>
      <c r="E460" s="16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49" t="s">
        <v>241</v>
      </c>
      <c r="B473" s="150"/>
      <c r="C473" s="150"/>
      <c r="D473" s="150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49" t="s">
        <v>244</v>
      </c>
      <c r="B486" s="150"/>
      <c r="C486" s="150"/>
      <c r="D486" s="150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1" t="s">
        <v>245</v>
      </c>
      <c r="B487" s="152"/>
      <c r="C487" s="152"/>
      <c r="D487" s="152"/>
      <c r="E487" s="16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49" t="s">
        <v>241</v>
      </c>
      <c r="B500" s="150"/>
      <c r="C500" s="150"/>
      <c r="D500" s="150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49" t="s">
        <v>244</v>
      </c>
      <c r="B513" s="150"/>
      <c r="C513" s="150"/>
      <c r="D513" s="150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1" t="s">
        <v>245</v>
      </c>
      <c r="B514" s="152"/>
      <c r="C514" s="152"/>
      <c r="D514" s="152"/>
      <c r="E514" s="16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49" t="s">
        <v>241</v>
      </c>
      <c r="B527" s="150"/>
      <c r="C527" s="150"/>
      <c r="D527" s="150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49" t="s">
        <v>244</v>
      </c>
      <c r="B540" s="150"/>
      <c r="C540" s="150"/>
      <c r="D540" s="150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1" t="s">
        <v>245</v>
      </c>
      <c r="B541" s="152"/>
      <c r="C541" s="152"/>
      <c r="D541" s="152"/>
      <c r="E541" s="16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49" t="s">
        <v>241</v>
      </c>
      <c r="B554" s="150"/>
      <c r="C554" s="150"/>
      <c r="D554" s="150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49" t="s">
        <v>244</v>
      </c>
      <c r="B567" s="150"/>
      <c r="C567" s="150"/>
      <c r="D567" s="150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1" t="s">
        <v>245</v>
      </c>
      <c r="B568" s="152"/>
      <c r="C568" s="152"/>
      <c r="D568" s="152"/>
      <c r="E568" s="16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49" t="s">
        <v>241</v>
      </c>
      <c r="B581" s="150"/>
      <c r="C581" s="150"/>
      <c r="D581" s="150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49" t="s">
        <v>244</v>
      </c>
      <c r="B594" s="150"/>
      <c r="C594" s="150"/>
      <c r="D594" s="150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1" t="s">
        <v>245</v>
      </c>
      <c r="B595" s="152"/>
      <c r="C595" s="152"/>
      <c r="D595" s="152"/>
      <c r="E595" s="16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49" t="s">
        <v>241</v>
      </c>
      <c r="B608" s="150"/>
      <c r="C608" s="150"/>
      <c r="D608" s="150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49" t="s">
        <v>244</v>
      </c>
      <c r="B621" s="150"/>
      <c r="C621" s="150"/>
      <c r="D621" s="150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1" t="s">
        <v>245</v>
      </c>
      <c r="B622" s="152"/>
      <c r="C622" s="152"/>
      <c r="D622" s="152"/>
      <c r="E622" s="16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49" t="s">
        <v>241</v>
      </c>
      <c r="B635" s="150"/>
      <c r="C635" s="150"/>
      <c r="D635" s="150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49" t="s">
        <v>244</v>
      </c>
      <c r="B648" s="150"/>
      <c r="C648" s="150"/>
      <c r="D648" s="150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1" t="s">
        <v>245</v>
      </c>
      <c r="B649" s="152"/>
      <c r="C649" s="152"/>
      <c r="D649" s="152"/>
      <c r="E649" s="16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49" t="s">
        <v>241</v>
      </c>
      <c r="B662" s="150"/>
      <c r="C662" s="150"/>
      <c r="D662" s="150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49" t="s">
        <v>244</v>
      </c>
      <c r="B675" s="150"/>
      <c r="C675" s="150"/>
      <c r="D675" s="150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1" t="s">
        <v>245</v>
      </c>
      <c r="B676" s="152"/>
      <c r="C676" s="152"/>
      <c r="D676" s="152"/>
      <c r="E676" s="16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49" t="s">
        <v>241</v>
      </c>
      <c r="B689" s="150"/>
      <c r="C689" s="150"/>
      <c r="D689" s="150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49" t="s">
        <v>244</v>
      </c>
      <c r="B702" s="150"/>
      <c r="C702" s="150"/>
      <c r="D702" s="150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1" t="s">
        <v>245</v>
      </c>
      <c r="B703" s="152"/>
      <c r="C703" s="152"/>
      <c r="D703" s="152"/>
      <c r="E703" s="16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49" t="s">
        <v>241</v>
      </c>
      <c r="B716" s="150"/>
      <c r="C716" s="150"/>
      <c r="D716" s="150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49" t="s">
        <v>244</v>
      </c>
      <c r="B729" s="150"/>
      <c r="C729" s="150"/>
      <c r="D729" s="150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1" t="s">
        <v>245</v>
      </c>
      <c r="B730" s="152"/>
      <c r="C730" s="152"/>
      <c r="D730" s="152"/>
      <c r="E730" s="16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49" t="s">
        <v>241</v>
      </c>
      <c r="B743" s="150"/>
      <c r="C743" s="150"/>
      <c r="D743" s="150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49" t="s">
        <v>244</v>
      </c>
      <c r="B756" s="150"/>
      <c r="C756" s="150"/>
      <c r="D756" s="150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1" t="s">
        <v>245</v>
      </c>
      <c r="B757" s="152"/>
      <c r="C757" s="152"/>
      <c r="D757" s="152"/>
      <c r="E757" s="16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49" t="s">
        <v>241</v>
      </c>
      <c r="B770" s="150"/>
      <c r="C770" s="150"/>
      <c r="D770" s="150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49" t="s">
        <v>244</v>
      </c>
      <c r="B783" s="150"/>
      <c r="C783" s="150"/>
      <c r="D783" s="150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1" t="s">
        <v>245</v>
      </c>
      <c r="B784" s="152"/>
      <c r="C784" s="152"/>
      <c r="D784" s="152"/>
      <c r="E784" s="16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49" t="s">
        <v>241</v>
      </c>
      <c r="B797" s="150"/>
      <c r="C797" s="150"/>
      <c r="D797" s="150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49" t="s">
        <v>244</v>
      </c>
      <c r="B810" s="150"/>
      <c r="C810" s="150"/>
      <c r="D810" s="150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65" t="s">
        <v>245</v>
      </c>
      <c r="B811" s="166"/>
      <c r="C811" s="166"/>
      <c r="D811" s="166"/>
      <c r="E811" s="16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49" t="s">
        <v>241</v>
      </c>
      <c r="B824" s="150"/>
      <c r="C824" s="150"/>
      <c r="D824" s="150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49" t="s">
        <v>244</v>
      </c>
      <c r="B837" s="150"/>
      <c r="C837" s="150"/>
      <c r="D837" s="150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1" t="s">
        <v>245</v>
      </c>
      <c r="B838" s="152"/>
      <c r="C838" s="152"/>
      <c r="D838" s="152"/>
      <c r="E838" s="16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291" activePane="bottomLeft" state="frozen"/>
      <selection pane="bottomLeft" activeCell="M302" sqref="M302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263</v>
      </c>
      <c r="I1" s="133" t="s">
        <v>18</v>
      </c>
      <c r="J1" s="133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265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266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267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49" t="s">
        <v>241</v>
      </c>
      <c r="B14" s="150"/>
      <c r="C14" s="150"/>
      <c r="D14" s="150"/>
      <c r="E14" s="15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268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269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49" t="s">
        <v>244</v>
      </c>
      <c r="B27" s="150"/>
      <c r="C27" s="150"/>
      <c r="D27" s="150"/>
      <c r="E27" s="15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 x14ac:dyDescent="0.25">
      <c r="A28" s="151" t="s">
        <v>245</v>
      </c>
      <c r="B28" s="152"/>
      <c r="C28" s="152"/>
      <c r="D28" s="152"/>
      <c r="E28" s="15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49" t="s">
        <v>241</v>
      </c>
      <c r="B41" s="150"/>
      <c r="C41" s="150"/>
      <c r="D41" s="150"/>
      <c r="E41" s="15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270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271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272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0.19998460647911998</v>
      </c>
      <c r="R53" s="46" t="s">
        <v>273</v>
      </c>
      <c r="S53" s="31"/>
    </row>
    <row r="54" spans="1:20" ht="15.75" customHeight="1" thickBot="1" x14ac:dyDescent="0.3">
      <c r="A54" s="149" t="s">
        <v>244</v>
      </c>
      <c r="B54" s="150"/>
      <c r="C54" s="150"/>
      <c r="D54" s="150"/>
      <c r="E54" s="15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0.33887349536800887</v>
      </c>
      <c r="R54" s="36" t="s">
        <v>242</v>
      </c>
      <c r="S54" s="75">
        <v>352430</v>
      </c>
      <c r="T54" s="117"/>
    </row>
    <row r="55" spans="1:20" ht="18" customHeight="1" x14ac:dyDescent="0.25">
      <c r="A55" s="151" t="s">
        <v>245</v>
      </c>
      <c r="B55" s="152"/>
      <c r="C55" s="152"/>
      <c r="D55" s="152"/>
      <c r="E55" s="15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0.42359571759023118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265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49" t="s">
        <v>241</v>
      </c>
      <c r="B68" s="150"/>
      <c r="C68" s="150"/>
      <c r="D68" s="150"/>
      <c r="E68" s="15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274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49" t="s">
        <v>244</v>
      </c>
      <c r="B81" s="150"/>
      <c r="C81" s="150"/>
      <c r="D81" s="150"/>
      <c r="E81" s="15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 x14ac:dyDescent="0.25">
      <c r="A82" s="151" t="s">
        <v>245</v>
      </c>
      <c r="B82" s="152"/>
      <c r="C82" s="152"/>
      <c r="D82" s="152"/>
      <c r="E82" s="15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49" t="s">
        <v>241</v>
      </c>
      <c r="B95" s="150"/>
      <c r="C95" s="150"/>
      <c r="D95" s="150"/>
      <c r="E95" s="15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275</v>
      </c>
      <c r="Q96" s="30" t="str">
        <f t="shared" ref="Q96:Q107" ca="1" si="22">IFERROR(IF(O96="","",IF(P96="",MOD(NOW()-O96,1),IF(P96&gt;=O96,P96-O96,P96+1-O96))),"")</f>
        <v/>
      </c>
      <c r="R96" s="46" t="s">
        <v>276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277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278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49" t="s">
        <v>244</v>
      </c>
      <c r="B108" s="150"/>
      <c r="C108" s="150"/>
      <c r="D108" s="150"/>
      <c r="E108" s="15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 x14ac:dyDescent="0.25">
      <c r="A109" s="151" t="s">
        <v>245</v>
      </c>
      <c r="B109" s="152"/>
      <c r="C109" s="152"/>
      <c r="D109" s="152"/>
      <c r="E109" s="15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279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49" t="s">
        <v>241</v>
      </c>
      <c r="B122" s="150"/>
      <c r="C122" s="150"/>
      <c r="D122" s="150"/>
      <c r="E122" s="15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49" t="s">
        <v>244</v>
      </c>
      <c r="B135" s="150"/>
      <c r="C135" s="150"/>
      <c r="D135" s="150"/>
      <c r="E135" s="15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 x14ac:dyDescent="0.25">
      <c r="A136" s="151" t="s">
        <v>245</v>
      </c>
      <c r="B136" s="152"/>
      <c r="C136" s="152"/>
      <c r="D136" s="152"/>
      <c r="E136" s="15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280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281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282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49" t="s">
        <v>241</v>
      </c>
      <c r="B149" s="150"/>
      <c r="C149" s="150"/>
      <c r="D149" s="150"/>
      <c r="E149" s="15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283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49" t="s">
        <v>244</v>
      </c>
      <c r="B162" s="150"/>
      <c r="C162" s="150"/>
      <c r="D162" s="150"/>
      <c r="E162" s="15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 x14ac:dyDescent="0.25">
      <c r="A163" s="151" t="s">
        <v>245</v>
      </c>
      <c r="B163" s="152"/>
      <c r="C163" s="152"/>
      <c r="D163" s="152"/>
      <c r="E163" s="15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49" t="s">
        <v>241</v>
      </c>
      <c r="B176" s="150"/>
      <c r="C176" s="150"/>
      <c r="D176" s="150"/>
      <c r="E176" s="15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284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281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285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49" t="s">
        <v>244</v>
      </c>
      <c r="B189" s="150"/>
      <c r="C189" s="150"/>
      <c r="D189" s="150"/>
      <c r="E189" s="15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 x14ac:dyDescent="0.25">
      <c r="A190" s="151" t="s">
        <v>245</v>
      </c>
      <c r="B190" s="152"/>
      <c r="C190" s="152"/>
      <c r="D190" s="152"/>
      <c r="E190" s="15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286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279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49" t="s">
        <v>241</v>
      </c>
      <c r="B203" s="150"/>
      <c r="C203" s="150"/>
      <c r="D203" s="150"/>
      <c r="E203" s="15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49" t="s">
        <v>244</v>
      </c>
      <c r="B216" s="150"/>
      <c r="C216" s="150"/>
      <c r="D216" s="150"/>
      <c r="E216" s="15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 x14ac:dyDescent="0.25">
      <c r="A217" s="151" t="s">
        <v>245</v>
      </c>
      <c r="B217" s="152"/>
      <c r="C217" s="152"/>
      <c r="D217" s="152"/>
      <c r="E217" s="15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274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287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288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289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3" t="s">
        <v>241</v>
      </c>
      <c r="B230" s="154"/>
      <c r="C230" s="154"/>
      <c r="D230" s="154"/>
      <c r="E230" s="15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49" t="s">
        <v>244</v>
      </c>
      <c r="B243" s="150"/>
      <c r="C243" s="150"/>
      <c r="D243" s="150"/>
      <c r="E243" s="15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 x14ac:dyDescent="0.25">
      <c r="A244" s="151" t="s">
        <v>245</v>
      </c>
      <c r="B244" s="152"/>
      <c r="C244" s="152"/>
      <c r="D244" s="152"/>
      <c r="E244" s="15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49" t="s">
        <v>241</v>
      </c>
      <c r="B257" s="150"/>
      <c r="C257" s="150"/>
      <c r="D257" s="150"/>
      <c r="E257" s="15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49" t="s">
        <v>244</v>
      </c>
      <c r="B270" s="150"/>
      <c r="C270" s="150"/>
      <c r="D270" s="150"/>
      <c r="E270" s="15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 x14ac:dyDescent="0.25">
      <c r="A271" s="151" t="s">
        <v>245</v>
      </c>
      <c r="B271" s="152"/>
      <c r="C271" s="152"/>
      <c r="D271" s="152"/>
      <c r="E271" s="15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49" t="s">
        <v>241</v>
      </c>
      <c r="B284" s="150"/>
      <c r="C284" s="150"/>
      <c r="D284" s="150"/>
      <c r="E284" s="15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49" t="s">
        <v>244</v>
      </c>
      <c r="B297" s="150"/>
      <c r="C297" s="150"/>
      <c r="D297" s="150"/>
      <c r="E297" s="15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 x14ac:dyDescent="0.25">
      <c r="A298" s="151" t="s">
        <v>245</v>
      </c>
      <c r="B298" s="152"/>
      <c r="C298" s="152"/>
      <c r="D298" s="152"/>
      <c r="E298" s="15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0.23</v>
      </c>
      <c r="G299" s="27">
        <v>9</v>
      </c>
      <c r="H299" s="140">
        <v>37.800000000000004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5.2164000000000001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0.23</v>
      </c>
      <c r="G300" s="27">
        <v>20</v>
      </c>
      <c r="H300" s="134">
        <v>84</v>
      </c>
      <c r="I300" s="135">
        <f>IFERROR(IF($D300="","",VLOOKUP($D300,Cadastro!$C$4:$G$7,5,FALSE)),"")</f>
        <v>0.6</v>
      </c>
      <c r="J300" s="136">
        <f t="shared" si="66"/>
        <v>11.592000000000001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0.23</v>
      </c>
      <c r="G301" s="27">
        <v>20</v>
      </c>
      <c r="H301" s="134">
        <v>84</v>
      </c>
      <c r="I301" s="135">
        <f>IFERROR(IF($D301="","",VLOOKUP($D301,Cadastro!$C$4:$G$7,5,FALSE)),"")</f>
        <v>0.6</v>
      </c>
      <c r="J301" s="136">
        <f t="shared" si="66"/>
        <v>11.592000000000001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0.23</v>
      </c>
      <c r="G302" s="27">
        <v>17</v>
      </c>
      <c r="H302" s="134">
        <v>71.400000000000006</v>
      </c>
      <c r="I302" s="135">
        <f>IFERROR(IF($D302="","",VLOOKUP($D302,Cadastro!$C$4:$G$7,5,FALSE)),"")</f>
        <v>0.6</v>
      </c>
      <c r="J302" s="136">
        <f t="shared" si="66"/>
        <v>9.8531999999999993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0.23</v>
      </c>
      <c r="G303" s="27">
        <v>15</v>
      </c>
      <c r="H303" s="134">
        <v>63</v>
      </c>
      <c r="I303" s="135">
        <f>IFERROR(IF($D303="","",VLOOKUP($D303,Cadastro!$C$4:$G$7,5,FALSE)),"")</f>
        <v>0.6</v>
      </c>
      <c r="J303" s="136">
        <f t="shared" si="66"/>
        <v>8.6939999999999991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0.23</v>
      </c>
      <c r="G304" s="27">
        <v>16</v>
      </c>
      <c r="H304" s="134">
        <v>67.2</v>
      </c>
      <c r="I304" s="135">
        <f>IFERROR(IF($D304="","",VLOOKUP($D304,Cadastro!$C$4:$G$7,5,FALSE)),"")</f>
        <v>0.6</v>
      </c>
      <c r="J304" s="136">
        <f t="shared" si="66"/>
        <v>9.2736000000000001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4">
        <f>IFERROR(IF($D305="","",VLOOKUP($D305,Cadastro!$C$4:$E$7,3,FALSE)),"")</f>
        <v>0.23</v>
      </c>
      <c r="G305" s="27">
        <v>13</v>
      </c>
      <c r="H305" s="134">
        <v>54.6</v>
      </c>
      <c r="I305" s="135">
        <f>IFERROR(IF($D305="","",VLOOKUP($D305,Cadastro!$C$4:$G$7,5,FALSE)),"")</f>
        <v>0.6</v>
      </c>
      <c r="J305" s="136">
        <f t="shared" si="66"/>
        <v>7.5348000000000006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4">
        <f>IFERROR(IF($D306="","",VLOOKUP($D306,Cadastro!$C$4:$E$7,3,FALSE)),"")</f>
        <v>0.23</v>
      </c>
      <c r="G306" s="27">
        <v>20</v>
      </c>
      <c r="H306" s="134">
        <v>84</v>
      </c>
      <c r="I306" s="135">
        <f>IFERROR(IF($D306="","",VLOOKUP($D306,Cadastro!$C$4:$G$7,5,FALSE)),"")</f>
        <v>0.6</v>
      </c>
      <c r="J306" s="136">
        <f t="shared" si="66"/>
        <v>11.592000000000001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4">
        <f>IFERROR(IF($D307="","",VLOOKUP($D307,Cadastro!$C$4:$E$7,3,FALSE)),"")</f>
        <v>0.23</v>
      </c>
      <c r="G307" s="27">
        <v>16</v>
      </c>
      <c r="H307" s="134">
        <v>67.2</v>
      </c>
      <c r="I307" s="135">
        <f>IFERROR(IF($D307="","",VLOOKUP($D307,Cadastro!$C$4:$G$7,5,FALSE)),"")</f>
        <v>0.6</v>
      </c>
      <c r="J307" s="136">
        <f t="shared" si="66"/>
        <v>9.2736000000000001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4">
        <f>IFERROR(IF($D308="","",VLOOKUP($D308,Cadastro!$C$4:$E$7,3,FALSE)),"")</f>
        <v>0.23</v>
      </c>
      <c r="G308" s="27">
        <v>14</v>
      </c>
      <c r="H308" s="134">
        <v>58.800000000000004</v>
      </c>
      <c r="I308" s="135">
        <f>IFERROR(IF($D308="","",VLOOKUP($D308,Cadastro!$C$4:$G$7,5,FALSE)),"")</f>
        <v>0.6</v>
      </c>
      <c r="J308" s="136">
        <f t="shared" si="66"/>
        <v>8.1143999999999998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4">
        <f>IFERROR(IF($D309="","",VLOOKUP($D309,Cadastro!$C$4:$E$7,3,FALSE)),"")</f>
        <v>0.23</v>
      </c>
      <c r="G309" s="27">
        <v>4</v>
      </c>
      <c r="H309" s="134">
        <v>16.8</v>
      </c>
      <c r="I309" s="135">
        <f>IFERROR(IF($D309="","",VLOOKUP($D309,Cadastro!$C$4:$G$7,5,FALSE)),"")</f>
        <v>0.6</v>
      </c>
      <c r="J309" s="136">
        <f t="shared" si="66"/>
        <v>2.3184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7">
        <f>IFERROR(IF($D310="","",VLOOKUP($D310,Cadastro!$C$4:$E$7,3,FALSE)),"")</f>
        <v>0.23</v>
      </c>
      <c r="G310" s="27">
        <v>5</v>
      </c>
      <c r="H310" s="137">
        <v>21</v>
      </c>
      <c r="I310" s="138">
        <f>IFERROR(IF($D310="","",VLOOKUP($D310,Cadastro!$C$4:$G$7,5,FALSE)),"")</f>
        <v>0.6</v>
      </c>
      <c r="J310" s="139">
        <f t="shared" si="66"/>
        <v>2.8980000000000001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49" t="s">
        <v>241</v>
      </c>
      <c r="B311" s="150"/>
      <c r="C311" s="150"/>
      <c r="D311" s="150"/>
      <c r="E311" s="150">
        <f>SUM(E299:E310)</f>
        <v>0</v>
      </c>
      <c r="F311" s="110"/>
      <c r="G311" s="80">
        <f>SUM(G299:G310)</f>
        <v>169</v>
      </c>
      <c r="H311" s="110">
        <f>IFERROR(SUM(H299:H310),"")</f>
        <v>709.8</v>
      </c>
      <c r="I311" s="114"/>
      <c r="J311" s="123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68">
        <v>754870</v>
      </c>
      <c r="T311" s="122">
        <f>IFERROR(J311,"")</f>
        <v>97.952399999999997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0.23</v>
      </c>
      <c r="G312" s="27">
        <v>22</v>
      </c>
      <c r="H312" s="28" t="str">
        <f t="shared" ref="H312:H323" si="70"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1">IFERROR(IF($H312="","",$H312*$F312*$I312),"")</f>
        <v/>
      </c>
      <c r="K312" s="28">
        <f t="shared" ref="K312:K323" si="72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3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4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0.23</v>
      </c>
      <c r="G313" s="27">
        <v>13</v>
      </c>
      <c r="H313" s="34" t="str">
        <f t="shared" si="70"/>
        <v/>
      </c>
      <c r="I313" s="135">
        <f>IFERROR(IF($D313="","",VLOOKUP($D313,Cadastro!$C$4:$G$7,5,FALSE)),"")</f>
        <v>0.6</v>
      </c>
      <c r="J313" s="136" t="str">
        <f t="shared" si="71"/>
        <v/>
      </c>
      <c r="K313" s="34">
        <f t="shared" si="72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3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4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0.23</v>
      </c>
      <c r="G314" s="27">
        <v>16</v>
      </c>
      <c r="H314" s="28" t="str">
        <f t="shared" si="70"/>
        <v/>
      </c>
      <c r="I314" s="135">
        <f>IFERROR(IF($D314="","",VLOOKUP($D314,Cadastro!$C$4:$G$7,5,FALSE)),"")</f>
        <v>0.6</v>
      </c>
      <c r="J314" s="136" t="str">
        <f t="shared" si="71"/>
        <v/>
      </c>
      <c r="K314" s="28">
        <f t="shared" si="72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3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4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0.23</v>
      </c>
      <c r="G315" s="27">
        <v>6</v>
      </c>
      <c r="H315" s="34" t="str">
        <f t="shared" si="70"/>
        <v/>
      </c>
      <c r="I315" s="135">
        <f>IFERROR(IF($D315="","",VLOOKUP($D315,Cadastro!$C$4:$G$7,5,FALSE)),"")</f>
        <v>0.6</v>
      </c>
      <c r="J315" s="136" t="str">
        <f t="shared" si="71"/>
        <v/>
      </c>
      <c r="K315" s="34">
        <f t="shared" si="72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3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4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0.23</v>
      </c>
      <c r="G316" s="27">
        <v>20</v>
      </c>
      <c r="H316" s="169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71"/>
        <v/>
      </c>
      <c r="K316" s="28">
        <f t="shared" si="72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3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4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0.23</v>
      </c>
      <c r="G317" s="27">
        <v>18</v>
      </c>
      <c r="H317" s="34" t="str">
        <f t="shared" si="70"/>
        <v/>
      </c>
      <c r="I317" s="135">
        <f>IFERROR(IF($D317="","",VLOOKUP($D317,Cadastro!$C$4:$G$7,5,FALSE)),"")</f>
        <v>0.6</v>
      </c>
      <c r="J317" s="136" t="str">
        <f t="shared" si="71"/>
        <v/>
      </c>
      <c r="K317" s="34">
        <f t="shared" si="72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3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4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0.23</v>
      </c>
      <c r="G318" s="27">
        <v>16</v>
      </c>
      <c r="H318" s="169" t="str">
        <f t="shared" si="70"/>
        <v/>
      </c>
      <c r="I318" s="135">
        <f>IFERROR(IF($D318="","",VLOOKUP($D318,Cadastro!$C$4:$G$7,5,FALSE)),"")</f>
        <v>0.6</v>
      </c>
      <c r="J318" s="136" t="str">
        <f t="shared" si="71"/>
        <v/>
      </c>
      <c r="K318" s="28">
        <f t="shared" si="72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3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4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0.23</v>
      </c>
      <c r="G319" s="27">
        <v>15</v>
      </c>
      <c r="H319" s="34" t="str">
        <f t="shared" si="70"/>
        <v/>
      </c>
      <c r="I319" s="135">
        <f>IFERROR(IF($D319="","",VLOOKUP($D319,Cadastro!$C$4:$G$7,5,FALSE)),"")</f>
        <v>0.6</v>
      </c>
      <c r="J319" s="136" t="str">
        <f t="shared" si="71"/>
        <v/>
      </c>
      <c r="K319" s="34">
        <f t="shared" si="72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3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4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0.23</v>
      </c>
      <c r="G320" s="27">
        <v>16</v>
      </c>
      <c r="H320" s="169" t="str">
        <f t="shared" si="70"/>
        <v/>
      </c>
      <c r="I320" s="135">
        <f>IFERROR(IF($D320="","",VLOOKUP($D320,Cadastro!$C$4:$G$7,5,FALSE)),"")</f>
        <v>0.6</v>
      </c>
      <c r="J320" s="136" t="str">
        <f t="shared" si="71"/>
        <v/>
      </c>
      <c r="K320" s="28">
        <f t="shared" si="72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3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4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0.23</v>
      </c>
      <c r="G321" s="27">
        <v>12</v>
      </c>
      <c r="H321" s="34" t="str">
        <f t="shared" si="70"/>
        <v/>
      </c>
      <c r="I321" s="135">
        <f>IFERROR(IF($D321="","",VLOOKUP($D321,Cadastro!$C$4:$G$7,5,FALSE)),"")</f>
        <v>0.6</v>
      </c>
      <c r="J321" s="136" t="str">
        <f t="shared" si="71"/>
        <v/>
      </c>
      <c r="K321" s="34">
        <f t="shared" si="72"/>
        <v>50.400000000000006</v>
      </c>
      <c r="L321" s="33"/>
      <c r="M321" s="33"/>
      <c r="N321" s="33"/>
      <c r="O321" s="29"/>
      <c r="P321" s="29"/>
      <c r="Q321" s="35" t="str">
        <f t="shared" ca="1" si="73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4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0.23</v>
      </c>
      <c r="G322" s="27">
        <v>10</v>
      </c>
      <c r="H322" s="169" t="str">
        <f t="shared" si="70"/>
        <v/>
      </c>
      <c r="I322" s="135">
        <f>IFERROR(IF($D322="","",VLOOKUP($D322,Cadastro!$C$4:$G$7,5,FALSE)),"")</f>
        <v>0.6</v>
      </c>
      <c r="J322" s="136" t="str">
        <f t="shared" si="71"/>
        <v/>
      </c>
      <c r="K322" s="28">
        <f t="shared" si="72"/>
        <v>42</v>
      </c>
      <c r="L322" s="26"/>
      <c r="M322" s="26"/>
      <c r="N322" s="26"/>
      <c r="O322" s="29"/>
      <c r="P322" s="29"/>
      <c r="Q322" s="30" t="str">
        <f t="shared" ca="1" si="73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4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0.23</v>
      </c>
      <c r="G323" s="27">
        <v>4</v>
      </c>
      <c r="H323" s="34" t="str">
        <f t="shared" si="70"/>
        <v/>
      </c>
      <c r="I323" s="138">
        <f>IFERROR(IF($D323="","",VLOOKUP($D323,Cadastro!$C$4:$G$7,5,FALSE)),"")</f>
        <v>0.6</v>
      </c>
      <c r="J323" s="139" t="str">
        <f t="shared" si="71"/>
        <v/>
      </c>
      <c r="K323" s="34">
        <f t="shared" si="72"/>
        <v>16.8</v>
      </c>
      <c r="L323" s="33"/>
      <c r="M323" s="33"/>
      <c r="N323" s="33"/>
      <c r="O323" s="29"/>
      <c r="P323" s="29"/>
      <c r="Q323" s="35" t="str">
        <f t="shared" ca="1" si="73"/>
        <v/>
      </c>
      <c r="R323" s="46"/>
      <c r="S323" s="47"/>
    </row>
    <row r="324" spans="1:20" ht="15.75" customHeight="1" thickBot="1" x14ac:dyDescent="0.3">
      <c r="A324" s="149" t="s">
        <v>244</v>
      </c>
      <c r="B324" s="150"/>
      <c r="C324" s="150"/>
      <c r="D324" s="150"/>
      <c r="E324" s="150">
        <f>SUM(E312:E323)</f>
        <v>0</v>
      </c>
      <c r="F324" s="111"/>
      <c r="G324" s="80">
        <f>SUM(G312:G323)</f>
        <v>168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68">
        <v>725030</v>
      </c>
      <c r="T324" s="122">
        <f>IFERROR(J324,"")</f>
        <v>0</v>
      </c>
    </row>
    <row r="325" spans="1:20" ht="18" customHeight="1" x14ac:dyDescent="0.25">
      <c r="A325" s="151" t="s">
        <v>245</v>
      </c>
      <c r="B325" s="152"/>
      <c r="C325" s="152"/>
      <c r="D325" s="152"/>
      <c r="E325" s="152">
        <f>E311+E324</f>
        <v>0</v>
      </c>
      <c r="F325" s="112"/>
      <c r="G325" s="91">
        <f>G311+G324</f>
        <v>337</v>
      </c>
      <c r="H325" s="112">
        <f>IFERROR(H311+H324,"")</f>
        <v>709.8</v>
      </c>
      <c r="I325" s="116"/>
      <c r="J325" s="125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97.952399999999997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/>
      <c r="F326" s="140">
        <f>IFERROR(IF($D326="","",VLOOKUP($D326,Cadastro!$C$4:$E$7,3,FALSE)),"")</f>
        <v>0.23</v>
      </c>
      <c r="G326" s="105"/>
      <c r="H326" s="140" t="str">
        <f>IFERROR(IF($G326="","",$G326*$S$338/$G$338/Cadastro!$E$33),"")</f>
        <v/>
      </c>
      <c r="I326" s="141">
        <f>IFERROR(IF($D326="","",VLOOKUP($D326,Cadastro!$C$4:$G$7,5,FALSE)),"")</f>
        <v>0.6</v>
      </c>
      <c r="J326" s="142" t="str">
        <f t="shared" ref="J326:J337" si="75">IFERROR(IF($H326="","",$H326*$F326*$I326),"")</f>
        <v/>
      </c>
      <c r="K326" s="28" t="str">
        <f t="shared" ref="K326:K337" si="76">IF(G326="","",IF(E326="PC 17",G326*4.2,IF(E326="PC 19",G326*5,IF(E326="CB",G326*24,""))))</f>
        <v/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7">IFERROR(IF(O326="","",IF(P326="",MOD(NOW()-O326,1),IF(P326&gt;=O326,P326-O326,P326+1-O326))),"")</f>
        <v>1.5956828705384396E-2</v>
      </c>
      <c r="R326" s="46" t="s">
        <v>290</v>
      </c>
      <c r="S326" s="47"/>
    </row>
    <row r="327" spans="1:20" ht="15" customHeight="1" x14ac:dyDescent="0.25">
      <c r="A327" s="68">
        <v>46247</v>
      </c>
      <c r="B327" s="32">
        <f t="shared" ref="B327:B337" si="78">B326+TIME(0,60,0)</f>
        <v>0.37499999999999967</v>
      </c>
      <c r="C327" s="26" t="s">
        <v>34</v>
      </c>
      <c r="D327" s="59" t="s">
        <v>35</v>
      </c>
      <c r="E327" s="108"/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5"/>
        <v/>
      </c>
      <c r="K327" s="34" t="str">
        <f t="shared" si="76"/>
        <v/>
      </c>
      <c r="L327" s="33"/>
      <c r="M327" s="33"/>
      <c r="N327" s="33"/>
      <c r="O327" s="29"/>
      <c r="P327" s="29"/>
      <c r="Q327" s="35" t="str">
        <f t="shared" ca="1" si="77"/>
        <v/>
      </c>
      <c r="R327" s="46"/>
      <c r="S327" s="47"/>
    </row>
    <row r="328" spans="1:20" ht="15" customHeight="1" x14ac:dyDescent="0.25">
      <c r="A328" s="67">
        <v>46247</v>
      </c>
      <c r="B328" s="25">
        <f t="shared" si="78"/>
        <v>0.41666666666666635</v>
      </c>
      <c r="C328" s="26" t="s">
        <v>34</v>
      </c>
      <c r="D328" s="59" t="s">
        <v>35</v>
      </c>
      <c r="E328" s="108"/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5"/>
        <v/>
      </c>
      <c r="K328" s="28" t="str">
        <f t="shared" si="76"/>
        <v/>
      </c>
      <c r="L328" s="26"/>
      <c r="M328" s="26"/>
      <c r="N328" s="26"/>
      <c r="O328" s="29"/>
      <c r="P328" s="29"/>
      <c r="Q328" s="30" t="str">
        <f t="shared" ca="1" si="77"/>
        <v/>
      </c>
      <c r="R328" s="46"/>
      <c r="S328" s="47"/>
    </row>
    <row r="329" spans="1:20" ht="15" customHeight="1" x14ac:dyDescent="0.25">
      <c r="A329" s="68">
        <v>46247</v>
      </c>
      <c r="B329" s="32">
        <f t="shared" si="78"/>
        <v>0.45833333333333304</v>
      </c>
      <c r="C329" s="26" t="s">
        <v>34</v>
      </c>
      <c r="D329" s="59" t="s">
        <v>35</v>
      </c>
      <c r="E329" s="108"/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5"/>
        <v/>
      </c>
      <c r="K329" s="34" t="str">
        <f t="shared" si="76"/>
        <v/>
      </c>
      <c r="L329" s="33"/>
      <c r="M329" s="33"/>
      <c r="N329" s="33"/>
      <c r="O329" s="29"/>
      <c r="P329" s="29"/>
      <c r="Q329" s="35" t="str">
        <f t="shared" ca="1" si="77"/>
        <v/>
      </c>
      <c r="R329" s="46"/>
      <c r="S329" s="47"/>
    </row>
    <row r="330" spans="1:20" ht="15" customHeight="1" x14ac:dyDescent="0.25">
      <c r="A330" s="67">
        <v>46247</v>
      </c>
      <c r="B330" s="25">
        <f t="shared" si="78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5"/>
        <v/>
      </c>
      <c r="K330" s="28" t="str">
        <f t="shared" si="76"/>
        <v/>
      </c>
      <c r="L330" s="26"/>
      <c r="M330" s="26"/>
      <c r="N330" s="26"/>
      <c r="O330" s="29"/>
      <c r="P330" s="29"/>
      <c r="Q330" s="30" t="str">
        <f t="shared" ca="1" si="77"/>
        <v/>
      </c>
      <c r="R330" s="46"/>
      <c r="S330" s="47"/>
    </row>
    <row r="331" spans="1:20" ht="15" customHeight="1" x14ac:dyDescent="0.25">
      <c r="A331" s="68">
        <v>46247</v>
      </c>
      <c r="B331" s="32">
        <f t="shared" si="78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5"/>
        <v/>
      </c>
      <c r="K331" s="34" t="str">
        <f t="shared" si="76"/>
        <v/>
      </c>
      <c r="L331" s="33"/>
      <c r="M331" s="33"/>
      <c r="N331" s="33"/>
      <c r="O331" s="29"/>
      <c r="P331" s="29"/>
      <c r="Q331" s="35" t="str">
        <f t="shared" ca="1" si="77"/>
        <v/>
      </c>
      <c r="R331" s="46"/>
      <c r="S331" s="47"/>
    </row>
    <row r="332" spans="1:20" ht="15" customHeight="1" x14ac:dyDescent="0.25">
      <c r="A332" s="67">
        <v>46247</v>
      </c>
      <c r="B332" s="25">
        <f t="shared" si="78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5"/>
        <v/>
      </c>
      <c r="K332" s="28" t="str">
        <f t="shared" si="76"/>
        <v/>
      </c>
      <c r="L332" s="26"/>
      <c r="M332" s="26"/>
      <c r="N332" s="26"/>
      <c r="O332" s="29"/>
      <c r="P332" s="29"/>
      <c r="Q332" s="30" t="str">
        <f t="shared" ca="1" si="77"/>
        <v/>
      </c>
      <c r="R332" s="46"/>
      <c r="S332" s="47"/>
    </row>
    <row r="333" spans="1:20" ht="15" customHeight="1" x14ac:dyDescent="0.25">
      <c r="A333" s="68">
        <v>46247</v>
      </c>
      <c r="B333" s="32">
        <f t="shared" si="78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5"/>
        <v/>
      </c>
      <c r="K333" s="34" t="str">
        <f t="shared" si="76"/>
        <v/>
      </c>
      <c r="L333" s="33"/>
      <c r="M333" s="33"/>
      <c r="N333" s="33"/>
      <c r="O333" s="29"/>
      <c r="P333" s="29"/>
      <c r="Q333" s="35" t="str">
        <f t="shared" ca="1" si="77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8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5"/>
        <v/>
      </c>
      <c r="K334" s="28" t="str">
        <f t="shared" si="76"/>
        <v/>
      </c>
      <c r="L334" s="26"/>
      <c r="M334" s="26"/>
      <c r="N334" s="26"/>
      <c r="O334" s="29"/>
      <c r="P334" s="29"/>
      <c r="Q334" s="30" t="str">
        <f t="shared" ca="1" si="77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8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5"/>
        <v/>
      </c>
      <c r="K335" s="34" t="str">
        <f t="shared" si="76"/>
        <v/>
      </c>
      <c r="L335" s="33"/>
      <c r="M335" s="33"/>
      <c r="N335" s="33"/>
      <c r="O335" s="29"/>
      <c r="P335" s="29"/>
      <c r="Q335" s="35" t="str">
        <f t="shared" ca="1" si="77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8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5"/>
        <v/>
      </c>
      <c r="K336" s="28" t="str">
        <f t="shared" si="76"/>
        <v/>
      </c>
      <c r="L336" s="26"/>
      <c r="M336" s="26"/>
      <c r="N336" s="26"/>
      <c r="O336" s="29"/>
      <c r="P336" s="29"/>
      <c r="Q336" s="30" t="str">
        <f t="shared" ca="1" si="77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8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5"/>
        <v/>
      </c>
      <c r="K337" s="34" t="str">
        <f t="shared" si="76"/>
        <v/>
      </c>
      <c r="L337" s="33"/>
      <c r="M337" s="33"/>
      <c r="N337" s="33"/>
      <c r="O337" s="29"/>
      <c r="P337" s="29"/>
      <c r="Q337" s="35" t="str">
        <f t="shared" ca="1" si="77"/>
        <v/>
      </c>
      <c r="R337" s="46"/>
      <c r="S337" s="47"/>
    </row>
    <row r="338" spans="1:20" ht="15.75" customHeight="1" thickBot="1" x14ac:dyDescent="0.3">
      <c r="A338" s="149" t="s">
        <v>241</v>
      </c>
      <c r="B338" s="150"/>
      <c r="C338" s="150"/>
      <c r="D338" s="150"/>
      <c r="E338" s="150">
        <f>SUM(E326:E337)</f>
        <v>0</v>
      </c>
      <c r="F338" s="110"/>
      <c r="G338" s="80">
        <f>SUM(G326:G337)</f>
        <v>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1.5956828705384396E-2</v>
      </c>
      <c r="R338" s="36" t="s">
        <v>242</v>
      </c>
      <c r="S338" s="45"/>
      <c r="T338" s="122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9">IFERROR(IF($H339="","",$H339*$F339*$I339),"")</f>
        <v/>
      </c>
      <c r="K339" s="34" t="str">
        <f t="shared" ref="K339:K350" si="80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1">IFERROR(IF(O339="","",IF(P339="",MOD(NOW()-O339,1),IF(P339&gt;=O339,P339-O339,P339+1-O339))),"")</f>
        <v/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2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9"/>
        <v/>
      </c>
      <c r="K340" s="28" t="str">
        <f t="shared" si="80"/>
        <v/>
      </c>
      <c r="L340" s="26"/>
      <c r="M340" s="26"/>
      <c r="N340" s="26"/>
      <c r="O340" s="29"/>
      <c r="P340" s="29"/>
      <c r="Q340" s="30" t="str">
        <f t="shared" ca="1" si="81"/>
        <v/>
      </c>
      <c r="R340" s="46"/>
      <c r="S340" s="47"/>
    </row>
    <row r="341" spans="1:20" ht="15" customHeight="1" x14ac:dyDescent="0.25">
      <c r="A341" s="68">
        <v>46247</v>
      </c>
      <c r="B341" s="32">
        <f t="shared" si="82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9"/>
        <v/>
      </c>
      <c r="K341" s="34" t="str">
        <f t="shared" si="80"/>
        <v/>
      </c>
      <c r="L341" s="33"/>
      <c r="M341" s="33"/>
      <c r="N341" s="33"/>
      <c r="O341" s="29"/>
      <c r="P341" s="29"/>
      <c r="Q341" s="35" t="str">
        <f t="shared" ca="1" si="81"/>
        <v/>
      </c>
      <c r="R341" s="46"/>
      <c r="S341" s="47"/>
    </row>
    <row r="342" spans="1:20" ht="15" customHeight="1" x14ac:dyDescent="0.25">
      <c r="A342" s="67">
        <v>46247</v>
      </c>
      <c r="B342" s="25">
        <f t="shared" si="82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9"/>
        <v/>
      </c>
      <c r="K342" s="28" t="str">
        <f t="shared" si="80"/>
        <v/>
      </c>
      <c r="L342" s="26"/>
      <c r="M342" s="26"/>
      <c r="N342" s="26"/>
      <c r="O342" s="29"/>
      <c r="P342" s="29"/>
      <c r="Q342" s="30" t="str">
        <f t="shared" ca="1" si="81"/>
        <v/>
      </c>
      <c r="R342" s="46"/>
      <c r="S342" s="47"/>
    </row>
    <row r="343" spans="1:20" ht="15" customHeight="1" x14ac:dyDescent="0.25">
      <c r="A343" s="68">
        <v>46247</v>
      </c>
      <c r="B343" s="32">
        <f t="shared" si="82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9"/>
        <v/>
      </c>
      <c r="K343" s="34" t="str">
        <f t="shared" si="80"/>
        <v/>
      </c>
      <c r="L343" s="33"/>
      <c r="M343" s="33"/>
      <c r="N343" s="33"/>
      <c r="O343" s="29"/>
      <c r="P343" s="29"/>
      <c r="Q343" s="35" t="str">
        <f t="shared" ca="1" si="81"/>
        <v/>
      </c>
      <c r="R343" s="46"/>
      <c r="S343" s="47"/>
    </row>
    <row r="344" spans="1:20" ht="15" customHeight="1" x14ac:dyDescent="0.25">
      <c r="A344" s="67">
        <v>46247</v>
      </c>
      <c r="B344" s="25">
        <f t="shared" si="82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9"/>
        <v/>
      </c>
      <c r="K344" s="28" t="str">
        <f t="shared" si="80"/>
        <v/>
      </c>
      <c r="L344" s="26"/>
      <c r="M344" s="26"/>
      <c r="N344" s="26"/>
      <c r="O344" s="29"/>
      <c r="P344" s="29"/>
      <c r="Q344" s="30" t="str">
        <f t="shared" ca="1" si="81"/>
        <v/>
      </c>
      <c r="R344" s="46"/>
      <c r="S344" s="47"/>
    </row>
    <row r="345" spans="1:20" ht="15" customHeight="1" x14ac:dyDescent="0.25">
      <c r="A345" s="68">
        <v>46247</v>
      </c>
      <c r="B345" s="32">
        <f t="shared" si="82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9"/>
        <v/>
      </c>
      <c r="K345" s="34" t="str">
        <f t="shared" si="80"/>
        <v/>
      </c>
      <c r="L345" s="33"/>
      <c r="M345" s="33"/>
      <c r="N345" s="33"/>
      <c r="O345" s="29"/>
      <c r="P345" s="29"/>
      <c r="Q345" s="35" t="str">
        <f t="shared" ca="1" si="81"/>
        <v/>
      </c>
      <c r="R345" s="46"/>
      <c r="S345" s="47"/>
    </row>
    <row r="346" spans="1:20" ht="15" customHeight="1" x14ac:dyDescent="0.25">
      <c r="A346" s="67">
        <v>46247</v>
      </c>
      <c r="B346" s="25">
        <f t="shared" si="82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9"/>
        <v/>
      </c>
      <c r="K346" s="28" t="str">
        <f t="shared" si="80"/>
        <v/>
      </c>
      <c r="L346" s="26"/>
      <c r="M346" s="26"/>
      <c r="N346" s="26"/>
      <c r="O346" s="29"/>
      <c r="P346" s="29"/>
      <c r="Q346" s="30" t="str">
        <f t="shared" ca="1" si="81"/>
        <v/>
      </c>
      <c r="R346" s="46"/>
      <c r="S346" s="47"/>
    </row>
    <row r="347" spans="1:20" ht="15" customHeight="1" x14ac:dyDescent="0.25">
      <c r="A347" s="68">
        <v>46247</v>
      </c>
      <c r="B347" s="32">
        <f t="shared" si="82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9"/>
        <v/>
      </c>
      <c r="K347" s="34" t="str">
        <f t="shared" si="80"/>
        <v/>
      </c>
      <c r="L347" s="33"/>
      <c r="M347" s="33"/>
      <c r="N347" s="33"/>
      <c r="O347" s="29"/>
      <c r="P347" s="29"/>
      <c r="Q347" s="35" t="str">
        <f t="shared" ca="1" si="81"/>
        <v/>
      </c>
      <c r="R347" s="46"/>
      <c r="S347" s="47"/>
    </row>
    <row r="348" spans="1:20" ht="15" customHeight="1" x14ac:dyDescent="0.25">
      <c r="A348" s="67">
        <v>46247</v>
      </c>
      <c r="B348" s="25">
        <f t="shared" si="82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9"/>
        <v/>
      </c>
      <c r="K348" s="28" t="str">
        <f t="shared" si="80"/>
        <v/>
      </c>
      <c r="L348" s="26"/>
      <c r="M348" s="26"/>
      <c r="N348" s="26"/>
      <c r="O348" s="29"/>
      <c r="P348" s="29"/>
      <c r="Q348" s="30" t="str">
        <f t="shared" ca="1" si="81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2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9"/>
        <v/>
      </c>
      <c r="K349" s="34" t="str">
        <f t="shared" si="80"/>
        <v/>
      </c>
      <c r="L349" s="33"/>
      <c r="M349" s="33"/>
      <c r="N349" s="33"/>
      <c r="O349" s="29"/>
      <c r="P349" s="29"/>
      <c r="Q349" s="35" t="str">
        <f t="shared" ca="1" si="81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2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9"/>
        <v/>
      </c>
      <c r="K350" s="28" t="str">
        <f t="shared" si="80"/>
        <v/>
      </c>
      <c r="L350" s="26"/>
      <c r="M350" s="26"/>
      <c r="N350" s="26"/>
      <c r="O350" s="29"/>
      <c r="P350" s="29"/>
      <c r="Q350" s="30" t="str">
        <f t="shared" ca="1" si="81"/>
        <v/>
      </c>
      <c r="R350" s="46"/>
      <c r="S350" s="47"/>
    </row>
    <row r="351" spans="1:20" ht="15.75" customHeight="1" thickBot="1" x14ac:dyDescent="0.3">
      <c r="A351" s="149" t="s">
        <v>244</v>
      </c>
      <c r="B351" s="150"/>
      <c r="C351" s="150"/>
      <c r="D351" s="150"/>
      <c r="E351" s="150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 x14ac:dyDescent="0.25">
      <c r="A352" s="151" t="s">
        <v>245</v>
      </c>
      <c r="B352" s="152"/>
      <c r="C352" s="152"/>
      <c r="D352" s="152"/>
      <c r="E352" s="152">
        <f>E338+E351</f>
        <v>0</v>
      </c>
      <c r="F352" s="112"/>
      <c r="G352" s="91">
        <f>G338+G351</f>
        <v>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1.5956828705384396E-2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3">IFERROR(IF($H353="","",$H353*$F353*$I353),"")</f>
        <v/>
      </c>
      <c r="K353" s="34" t="str">
        <f t="shared" ref="K353:K364" si="84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5">IFERROR(IF(O353="","",IF(P353="",MOD(NOW()-O353,1),IF(P353&gt;=O353,P353-O353,P353+1-O353))),"")</f>
        <v/>
      </c>
      <c r="R353" s="46"/>
      <c r="S353" s="47"/>
    </row>
    <row r="354" spans="1:20" ht="15" customHeight="1" x14ac:dyDescent="0.25">
      <c r="A354" s="67">
        <v>46248</v>
      </c>
      <c r="B354" s="25">
        <f t="shared" ref="B354:B364" si="86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3"/>
        <v/>
      </c>
      <c r="K354" s="28" t="str">
        <f t="shared" si="84"/>
        <v/>
      </c>
      <c r="L354" s="26"/>
      <c r="M354" s="26"/>
      <c r="N354" s="26"/>
      <c r="O354" s="29"/>
      <c r="P354" s="29"/>
      <c r="Q354" s="30" t="str">
        <f t="shared" ca="1" si="85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6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3"/>
        <v/>
      </c>
      <c r="K355" s="34" t="str">
        <f t="shared" si="84"/>
        <v/>
      </c>
      <c r="L355" s="33"/>
      <c r="M355" s="33"/>
      <c r="N355" s="33"/>
      <c r="O355" s="29"/>
      <c r="P355" s="29"/>
      <c r="Q355" s="35" t="str">
        <f t="shared" ca="1" si="85"/>
        <v/>
      </c>
      <c r="R355" s="46"/>
      <c r="S355" s="47"/>
    </row>
    <row r="356" spans="1:20" ht="15" customHeight="1" x14ac:dyDescent="0.25">
      <c r="A356" s="67">
        <v>46248</v>
      </c>
      <c r="B356" s="25">
        <f t="shared" si="86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3"/>
        <v/>
      </c>
      <c r="K356" s="28" t="str">
        <f t="shared" si="84"/>
        <v/>
      </c>
      <c r="L356" s="26"/>
      <c r="M356" s="26"/>
      <c r="N356" s="26"/>
      <c r="O356" s="29"/>
      <c r="P356" s="29"/>
      <c r="Q356" s="30" t="str">
        <f t="shared" ca="1" si="85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6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3"/>
        <v/>
      </c>
      <c r="K357" s="34" t="str">
        <f t="shared" si="84"/>
        <v/>
      </c>
      <c r="L357" s="33"/>
      <c r="M357" s="33"/>
      <c r="N357" s="33"/>
      <c r="O357" s="29"/>
      <c r="P357" s="29"/>
      <c r="Q357" s="35" t="str">
        <f t="shared" ca="1" si="85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6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3"/>
        <v/>
      </c>
      <c r="K358" s="28" t="str">
        <f t="shared" si="84"/>
        <v/>
      </c>
      <c r="L358" s="26"/>
      <c r="M358" s="26"/>
      <c r="N358" s="26"/>
      <c r="O358" s="29"/>
      <c r="P358" s="29"/>
      <c r="Q358" s="30" t="str">
        <f t="shared" ca="1" si="85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6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3"/>
        <v/>
      </c>
      <c r="K359" s="34" t="str">
        <f t="shared" si="84"/>
        <v/>
      </c>
      <c r="L359" s="33"/>
      <c r="M359" s="33"/>
      <c r="N359" s="33"/>
      <c r="O359" s="29"/>
      <c r="P359" s="29"/>
      <c r="Q359" s="35" t="str">
        <f t="shared" ca="1" si="85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6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3"/>
        <v/>
      </c>
      <c r="K360" s="28" t="str">
        <f t="shared" si="84"/>
        <v/>
      </c>
      <c r="L360" s="26"/>
      <c r="M360" s="26"/>
      <c r="N360" s="26"/>
      <c r="O360" s="29"/>
      <c r="P360" s="29"/>
      <c r="Q360" s="30" t="str">
        <f t="shared" ca="1" si="85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6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3"/>
        <v/>
      </c>
      <c r="K361" s="34" t="str">
        <f t="shared" si="84"/>
        <v/>
      </c>
      <c r="L361" s="33"/>
      <c r="M361" s="33"/>
      <c r="N361" s="33"/>
      <c r="O361" s="29"/>
      <c r="P361" s="29"/>
      <c r="Q361" s="35" t="str">
        <f t="shared" ca="1" si="85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6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3"/>
        <v/>
      </c>
      <c r="K362" s="28" t="str">
        <f t="shared" si="84"/>
        <v/>
      </c>
      <c r="L362" s="26"/>
      <c r="M362" s="26"/>
      <c r="N362" s="26"/>
      <c r="O362" s="29"/>
      <c r="P362" s="29"/>
      <c r="Q362" s="30" t="str">
        <f t="shared" ca="1" si="85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6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3"/>
        <v/>
      </c>
      <c r="K363" s="34" t="str">
        <f t="shared" si="84"/>
        <v/>
      </c>
      <c r="L363" s="33"/>
      <c r="M363" s="33"/>
      <c r="N363" s="33"/>
      <c r="O363" s="29"/>
      <c r="P363" s="29"/>
      <c r="Q363" s="35" t="str">
        <f t="shared" ca="1" si="85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6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3"/>
        <v/>
      </c>
      <c r="K364" s="28" t="str">
        <f t="shared" si="84"/>
        <v/>
      </c>
      <c r="L364" s="26"/>
      <c r="M364" s="26"/>
      <c r="N364" s="26"/>
      <c r="O364" s="29"/>
      <c r="P364" s="29"/>
      <c r="Q364" s="30" t="str">
        <f t="shared" ca="1" si="85"/>
        <v/>
      </c>
      <c r="R364" s="46"/>
      <c r="S364" s="47"/>
    </row>
    <row r="365" spans="1:20" ht="15.75" customHeight="1" thickBot="1" x14ac:dyDescent="0.3">
      <c r="A365" s="149" t="s">
        <v>241</v>
      </c>
      <c r="B365" s="150"/>
      <c r="C365" s="150"/>
      <c r="D365" s="150"/>
      <c r="E365" s="150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7">IFERROR(IF($H366="","",$H366*$F366*$I366),"")</f>
        <v/>
      </c>
      <c r="K366" s="28" t="str">
        <f t="shared" ref="K366:K377" si="88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9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90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7"/>
        <v/>
      </c>
      <c r="K367" s="34" t="str">
        <f t="shared" si="88"/>
        <v/>
      </c>
      <c r="L367" s="33"/>
      <c r="M367" s="33"/>
      <c r="N367" s="33"/>
      <c r="O367" s="29"/>
      <c r="P367" s="29"/>
      <c r="Q367" s="35" t="str">
        <f t="shared" ca="1" si="89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90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7"/>
        <v/>
      </c>
      <c r="K368" s="28" t="str">
        <f t="shared" si="88"/>
        <v/>
      </c>
      <c r="L368" s="26"/>
      <c r="M368" s="26"/>
      <c r="N368" s="26"/>
      <c r="O368" s="29"/>
      <c r="P368" s="29"/>
      <c r="Q368" s="30" t="str">
        <f t="shared" ca="1" si="89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90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7"/>
        <v/>
      </c>
      <c r="K369" s="34" t="str">
        <f t="shared" si="88"/>
        <v/>
      </c>
      <c r="L369" s="33"/>
      <c r="M369" s="33"/>
      <c r="N369" s="33"/>
      <c r="O369" s="29"/>
      <c r="P369" s="29"/>
      <c r="Q369" s="35" t="str">
        <f t="shared" ca="1" si="89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90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7"/>
        <v/>
      </c>
      <c r="K370" s="28" t="str">
        <f t="shared" si="88"/>
        <v/>
      </c>
      <c r="L370" s="26"/>
      <c r="M370" s="26"/>
      <c r="N370" s="26"/>
      <c r="O370" s="29"/>
      <c r="P370" s="29"/>
      <c r="Q370" s="30" t="str">
        <f t="shared" ca="1" si="89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90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7"/>
        <v/>
      </c>
      <c r="K371" s="34" t="str">
        <f t="shared" si="88"/>
        <v/>
      </c>
      <c r="L371" s="33"/>
      <c r="M371" s="33"/>
      <c r="N371" s="33"/>
      <c r="O371" s="29"/>
      <c r="P371" s="29"/>
      <c r="Q371" s="35" t="str">
        <f t="shared" ca="1" si="89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90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7"/>
        <v/>
      </c>
      <c r="K372" s="28" t="str">
        <f t="shared" si="88"/>
        <v/>
      </c>
      <c r="L372" s="26"/>
      <c r="M372" s="26"/>
      <c r="N372" s="26"/>
      <c r="O372" s="29"/>
      <c r="P372" s="29"/>
      <c r="Q372" s="30" t="str">
        <f t="shared" ca="1" si="89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90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7"/>
        <v/>
      </c>
      <c r="K373" s="34" t="str">
        <f t="shared" si="88"/>
        <v/>
      </c>
      <c r="L373" s="33"/>
      <c r="M373" s="33"/>
      <c r="N373" s="33"/>
      <c r="O373" s="29"/>
      <c r="P373" s="29"/>
      <c r="Q373" s="35" t="str">
        <f t="shared" ca="1" si="89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90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7"/>
        <v/>
      </c>
      <c r="K374" s="28" t="str">
        <f t="shared" si="88"/>
        <v/>
      </c>
      <c r="L374" s="26"/>
      <c r="M374" s="26"/>
      <c r="N374" s="26"/>
      <c r="O374" s="29"/>
      <c r="P374" s="29"/>
      <c r="Q374" s="30" t="str">
        <f t="shared" ca="1" si="89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90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7"/>
        <v/>
      </c>
      <c r="K375" s="34" t="str">
        <f t="shared" si="88"/>
        <v/>
      </c>
      <c r="L375" s="33"/>
      <c r="M375" s="33"/>
      <c r="N375" s="33"/>
      <c r="O375" s="29"/>
      <c r="P375" s="29"/>
      <c r="Q375" s="35" t="str">
        <f t="shared" ca="1" si="89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90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7"/>
        <v/>
      </c>
      <c r="K376" s="28" t="str">
        <f t="shared" si="88"/>
        <v/>
      </c>
      <c r="L376" s="26"/>
      <c r="M376" s="26"/>
      <c r="N376" s="26"/>
      <c r="O376" s="29"/>
      <c r="P376" s="29"/>
      <c r="Q376" s="30" t="str">
        <f t="shared" ca="1" si="89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90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7"/>
        <v/>
      </c>
      <c r="K377" s="34" t="str">
        <f t="shared" si="88"/>
        <v/>
      </c>
      <c r="L377" s="33"/>
      <c r="M377" s="33"/>
      <c r="N377" s="33"/>
      <c r="O377" s="29"/>
      <c r="P377" s="29"/>
      <c r="Q377" s="35" t="str">
        <f t="shared" ca="1" si="89"/>
        <v/>
      </c>
      <c r="R377" s="46"/>
      <c r="S377" s="47"/>
    </row>
    <row r="378" spans="1:20" ht="15.75" customHeight="1" thickBot="1" x14ac:dyDescent="0.3">
      <c r="A378" s="149" t="s">
        <v>244</v>
      </c>
      <c r="B378" s="150"/>
      <c r="C378" s="150"/>
      <c r="D378" s="150"/>
      <c r="E378" s="150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 x14ac:dyDescent="0.25">
      <c r="A379" s="151" t="s">
        <v>245</v>
      </c>
      <c r="B379" s="152"/>
      <c r="C379" s="152"/>
      <c r="D379" s="152"/>
      <c r="E379" s="152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1">IFERROR(IF($H380="","",$H380*$F380*$I380),"")</f>
        <v/>
      </c>
      <c r="K380" s="28" t="str">
        <f t="shared" ref="K380:K391" si="92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3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4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1"/>
        <v/>
      </c>
      <c r="K381" s="34" t="str">
        <f t="shared" si="92"/>
        <v/>
      </c>
      <c r="L381" s="33"/>
      <c r="M381" s="33"/>
      <c r="N381" s="33"/>
      <c r="O381" s="29"/>
      <c r="P381" s="29"/>
      <c r="Q381" s="35" t="str">
        <f t="shared" ca="1" si="93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4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1"/>
        <v/>
      </c>
      <c r="K382" s="28" t="str">
        <f t="shared" si="92"/>
        <v/>
      </c>
      <c r="L382" s="26"/>
      <c r="M382" s="26"/>
      <c r="N382" s="33"/>
      <c r="O382" s="29"/>
      <c r="P382" s="29"/>
      <c r="Q382" s="30" t="str">
        <f t="shared" ca="1" si="93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4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1"/>
        <v/>
      </c>
      <c r="K383" s="34" t="str">
        <f t="shared" si="92"/>
        <v/>
      </c>
      <c r="L383" s="33"/>
      <c r="M383" s="33"/>
      <c r="N383" s="33"/>
      <c r="O383" s="29"/>
      <c r="P383" s="29"/>
      <c r="Q383" s="35" t="str">
        <f t="shared" ca="1" si="93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4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1"/>
        <v/>
      </c>
      <c r="K384" s="28" t="str">
        <f t="shared" si="92"/>
        <v/>
      </c>
      <c r="L384" s="26"/>
      <c r="M384" s="26"/>
      <c r="N384" s="26"/>
      <c r="O384" s="29"/>
      <c r="P384" s="29"/>
      <c r="Q384" s="30" t="str">
        <f t="shared" ca="1" si="93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4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1"/>
        <v/>
      </c>
      <c r="K385" s="34" t="str">
        <f t="shared" si="92"/>
        <v/>
      </c>
      <c r="L385" s="33"/>
      <c r="M385" s="33"/>
      <c r="N385" s="33"/>
      <c r="O385" s="29"/>
      <c r="P385" s="29"/>
      <c r="Q385" s="35" t="str">
        <f t="shared" ca="1" si="93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4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1"/>
        <v/>
      </c>
      <c r="K386" s="28" t="str">
        <f t="shared" si="92"/>
        <v/>
      </c>
      <c r="L386" s="26"/>
      <c r="M386" s="26"/>
      <c r="N386" s="26"/>
      <c r="O386" s="29"/>
      <c r="P386" s="29"/>
      <c r="Q386" s="30" t="str">
        <f t="shared" ca="1" si="93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4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1"/>
        <v/>
      </c>
      <c r="K387" s="34" t="str">
        <f t="shared" si="92"/>
        <v/>
      </c>
      <c r="L387" s="33"/>
      <c r="M387" s="33"/>
      <c r="N387" s="33"/>
      <c r="O387" s="29"/>
      <c r="P387" s="29"/>
      <c r="Q387" s="35" t="str">
        <f t="shared" ca="1" si="93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4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1"/>
        <v/>
      </c>
      <c r="K388" s="28" t="str">
        <f t="shared" si="92"/>
        <v/>
      </c>
      <c r="L388" s="26"/>
      <c r="M388" s="26"/>
      <c r="N388" s="26"/>
      <c r="O388" s="29"/>
      <c r="P388" s="29"/>
      <c r="Q388" s="30" t="str">
        <f t="shared" ca="1" si="93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4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1"/>
        <v/>
      </c>
      <c r="K389" s="34" t="str">
        <f t="shared" si="92"/>
        <v/>
      </c>
      <c r="L389" s="33"/>
      <c r="M389" s="33"/>
      <c r="N389" s="33"/>
      <c r="O389" s="29"/>
      <c r="P389" s="29"/>
      <c r="Q389" s="35" t="str">
        <f t="shared" ca="1" si="93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4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1"/>
        <v/>
      </c>
      <c r="K390" s="28" t="str">
        <f t="shared" si="92"/>
        <v/>
      </c>
      <c r="L390" s="26"/>
      <c r="M390" s="26"/>
      <c r="N390" s="26"/>
      <c r="O390" s="29"/>
      <c r="P390" s="29"/>
      <c r="Q390" s="30" t="str">
        <f t="shared" ca="1" si="93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4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1"/>
        <v/>
      </c>
      <c r="K391" s="34" t="str">
        <f t="shared" si="92"/>
        <v/>
      </c>
      <c r="L391" s="33"/>
      <c r="M391" s="33"/>
      <c r="N391" s="33"/>
      <c r="O391" s="29"/>
      <c r="P391" s="29"/>
      <c r="Q391" s="35" t="str">
        <f t="shared" ca="1" si="93"/>
        <v/>
      </c>
      <c r="R391" s="46"/>
      <c r="S391" s="47"/>
    </row>
    <row r="392" spans="1:20" ht="15.75" customHeight="1" thickBot="1" x14ac:dyDescent="0.3">
      <c r="A392" s="149" t="s">
        <v>241</v>
      </c>
      <c r="B392" s="150"/>
      <c r="C392" s="150"/>
      <c r="D392" s="150"/>
      <c r="E392" s="150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5">IFERROR(IF($H393="","",$H393*$F393*$I393),"")</f>
        <v/>
      </c>
      <c r="K393" s="34" t="str">
        <f t="shared" ref="K393:K404" si="96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7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8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5"/>
        <v/>
      </c>
      <c r="K394" s="28" t="str">
        <f t="shared" si="96"/>
        <v/>
      </c>
      <c r="L394" s="26"/>
      <c r="M394" s="26"/>
      <c r="N394" s="26"/>
      <c r="O394" s="29"/>
      <c r="P394" s="29"/>
      <c r="Q394" s="30" t="str">
        <f t="shared" ca="1" si="97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8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5"/>
        <v/>
      </c>
      <c r="K395" s="34" t="str">
        <f t="shared" si="96"/>
        <v/>
      </c>
      <c r="L395" s="33"/>
      <c r="M395" s="33"/>
      <c r="N395" s="33"/>
      <c r="O395" s="29"/>
      <c r="P395" s="29"/>
      <c r="Q395" s="35" t="str">
        <f t="shared" ca="1" si="97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8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5"/>
        <v/>
      </c>
      <c r="K396" s="28" t="str">
        <f t="shared" si="96"/>
        <v/>
      </c>
      <c r="L396" s="26"/>
      <c r="M396" s="26"/>
      <c r="N396" s="26"/>
      <c r="O396" s="29"/>
      <c r="P396" s="29"/>
      <c r="Q396" s="30" t="str">
        <f t="shared" ca="1" si="97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8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5"/>
        <v/>
      </c>
      <c r="K397" s="34" t="str">
        <f t="shared" si="96"/>
        <v/>
      </c>
      <c r="L397" s="33"/>
      <c r="M397" s="33"/>
      <c r="N397" s="33"/>
      <c r="O397" s="29"/>
      <c r="P397" s="29"/>
      <c r="Q397" s="35" t="str">
        <f t="shared" ca="1" si="97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8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5"/>
        <v/>
      </c>
      <c r="K398" s="28" t="str">
        <f t="shared" si="96"/>
        <v/>
      </c>
      <c r="L398" s="26"/>
      <c r="M398" s="26"/>
      <c r="N398" s="26"/>
      <c r="O398" s="29"/>
      <c r="P398" s="29"/>
      <c r="Q398" s="30" t="str">
        <f t="shared" ca="1" si="97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8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5"/>
        <v/>
      </c>
      <c r="K399" s="34" t="str">
        <f t="shared" si="96"/>
        <v/>
      </c>
      <c r="L399" s="33"/>
      <c r="M399" s="33"/>
      <c r="N399" s="33"/>
      <c r="O399" s="29"/>
      <c r="P399" s="29"/>
      <c r="Q399" s="35" t="str">
        <f t="shared" ca="1" si="97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8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5"/>
        <v/>
      </c>
      <c r="K400" s="28" t="str">
        <f t="shared" si="96"/>
        <v/>
      </c>
      <c r="L400" s="26"/>
      <c r="M400" s="26"/>
      <c r="N400" s="26"/>
      <c r="O400" s="29"/>
      <c r="P400" s="29"/>
      <c r="Q400" s="30" t="str">
        <f t="shared" ca="1" si="97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8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5"/>
        <v/>
      </c>
      <c r="K401" s="34" t="str">
        <f t="shared" si="96"/>
        <v/>
      </c>
      <c r="L401" s="33"/>
      <c r="M401" s="33"/>
      <c r="N401" s="33"/>
      <c r="O401" s="29"/>
      <c r="P401" s="29"/>
      <c r="Q401" s="35" t="str">
        <f t="shared" ca="1" si="97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8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5"/>
        <v/>
      </c>
      <c r="K402" s="28" t="str">
        <f t="shared" si="96"/>
        <v/>
      </c>
      <c r="L402" s="26"/>
      <c r="M402" s="26"/>
      <c r="N402" s="26"/>
      <c r="O402" s="29"/>
      <c r="P402" s="29"/>
      <c r="Q402" s="30" t="str">
        <f t="shared" ca="1" si="97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8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5"/>
        <v/>
      </c>
      <c r="K403" s="34" t="str">
        <f t="shared" si="96"/>
        <v/>
      </c>
      <c r="L403" s="33"/>
      <c r="M403" s="33"/>
      <c r="N403" s="33"/>
      <c r="O403" s="29"/>
      <c r="P403" s="29"/>
      <c r="Q403" s="35" t="str">
        <f t="shared" ca="1" si="97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8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5"/>
        <v/>
      </c>
      <c r="K404" s="28" t="str">
        <f t="shared" si="96"/>
        <v/>
      </c>
      <c r="L404" s="26"/>
      <c r="M404" s="26"/>
      <c r="N404" s="26"/>
      <c r="O404" s="29"/>
      <c r="P404" s="29"/>
      <c r="Q404" s="30" t="str">
        <f t="shared" ca="1" si="97"/>
        <v/>
      </c>
      <c r="R404" s="46"/>
      <c r="S404" s="47"/>
    </row>
    <row r="405" spans="1:20" ht="15.75" customHeight="1" thickBot="1" x14ac:dyDescent="0.3">
      <c r="A405" s="149" t="s">
        <v>244</v>
      </c>
      <c r="B405" s="150"/>
      <c r="C405" s="150"/>
      <c r="D405" s="150"/>
      <c r="E405" s="150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 x14ac:dyDescent="0.25">
      <c r="A406" s="151" t="s">
        <v>245</v>
      </c>
      <c r="B406" s="152"/>
      <c r="C406" s="152"/>
      <c r="D406" s="152"/>
      <c r="E406" s="152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9">IFERROR(IF($H407="","",$H407*$F407*$I407),"")</f>
        <v/>
      </c>
      <c r="K407" s="34" t="str">
        <f t="shared" ref="K407:K418" si="100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1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2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9"/>
        <v/>
      </c>
      <c r="K408" s="28" t="str">
        <f t="shared" si="100"/>
        <v/>
      </c>
      <c r="L408" s="26"/>
      <c r="M408" s="26"/>
      <c r="N408" s="26"/>
      <c r="O408" s="29"/>
      <c r="P408" s="29"/>
      <c r="Q408" s="30" t="str">
        <f t="shared" ca="1" si="101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2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9"/>
        <v/>
      </c>
      <c r="K409" s="34" t="str">
        <f t="shared" si="100"/>
        <v/>
      </c>
      <c r="L409" s="33"/>
      <c r="M409" s="33"/>
      <c r="N409" s="33"/>
      <c r="O409" s="29"/>
      <c r="P409" s="29"/>
      <c r="Q409" s="35" t="str">
        <f t="shared" ca="1" si="101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2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9"/>
        <v/>
      </c>
      <c r="K410" s="28" t="str">
        <f t="shared" si="100"/>
        <v/>
      </c>
      <c r="L410" s="26"/>
      <c r="M410" s="26"/>
      <c r="N410" s="26"/>
      <c r="O410" s="29"/>
      <c r="P410" s="29"/>
      <c r="Q410" s="30" t="str">
        <f t="shared" ca="1" si="101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2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9"/>
        <v/>
      </c>
      <c r="K411" s="34" t="str">
        <f t="shared" si="100"/>
        <v/>
      </c>
      <c r="L411" s="33"/>
      <c r="M411" s="33"/>
      <c r="N411" s="33"/>
      <c r="O411" s="29"/>
      <c r="P411" s="29"/>
      <c r="Q411" s="35" t="str">
        <f t="shared" ca="1" si="101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2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9"/>
        <v/>
      </c>
      <c r="K412" s="34" t="str">
        <f t="shared" si="100"/>
        <v/>
      </c>
      <c r="L412" s="26"/>
      <c r="M412" s="26"/>
      <c r="N412" s="26"/>
      <c r="O412" s="29"/>
      <c r="P412" s="29"/>
      <c r="Q412" s="30" t="str">
        <f t="shared" ca="1" si="101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2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9"/>
        <v/>
      </c>
      <c r="K413" s="34" t="str">
        <f t="shared" si="100"/>
        <v/>
      </c>
      <c r="L413" s="33"/>
      <c r="M413" s="33"/>
      <c r="N413" s="33"/>
      <c r="O413" s="29"/>
      <c r="P413" s="29"/>
      <c r="Q413" s="35" t="str">
        <f t="shared" ca="1" si="101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2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9"/>
        <v/>
      </c>
      <c r="K414" s="34" t="str">
        <f t="shared" si="100"/>
        <v/>
      </c>
      <c r="L414" s="26"/>
      <c r="M414" s="26"/>
      <c r="N414" s="26"/>
      <c r="O414" s="29"/>
      <c r="P414" s="29"/>
      <c r="Q414" s="30" t="str">
        <f t="shared" ca="1" si="101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2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9"/>
        <v/>
      </c>
      <c r="K415" s="34" t="str">
        <f t="shared" si="100"/>
        <v/>
      </c>
      <c r="L415" s="33"/>
      <c r="M415" s="33"/>
      <c r="N415" s="33"/>
      <c r="O415" s="29"/>
      <c r="P415" s="29"/>
      <c r="Q415" s="35" t="str">
        <f t="shared" ca="1" si="101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2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9"/>
        <v/>
      </c>
      <c r="K416" s="28" t="str">
        <f t="shared" si="100"/>
        <v/>
      </c>
      <c r="L416" s="26"/>
      <c r="M416" s="26"/>
      <c r="N416" s="26"/>
      <c r="O416" s="29"/>
      <c r="P416" s="29"/>
      <c r="Q416" s="30" t="str">
        <f t="shared" ca="1" si="101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2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9"/>
        <v/>
      </c>
      <c r="K417" s="34" t="str">
        <f t="shared" si="100"/>
        <v/>
      </c>
      <c r="L417" s="33"/>
      <c r="M417" s="33"/>
      <c r="N417" s="33"/>
      <c r="O417" s="29"/>
      <c r="P417" s="29"/>
      <c r="Q417" s="35" t="str">
        <f t="shared" ca="1" si="101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2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9"/>
        <v/>
      </c>
      <c r="K418" s="28" t="str">
        <f t="shared" si="100"/>
        <v/>
      </c>
      <c r="L418" s="26"/>
      <c r="M418" s="26"/>
      <c r="N418" s="26"/>
      <c r="O418" s="29"/>
      <c r="P418" s="29"/>
      <c r="Q418" s="30" t="str">
        <f t="shared" ca="1" si="101"/>
        <v/>
      </c>
      <c r="R418" s="46"/>
      <c r="S418" s="47"/>
    </row>
    <row r="419" spans="1:20" ht="15.75" customHeight="1" thickBot="1" x14ac:dyDescent="0.3">
      <c r="A419" s="149" t="s">
        <v>241</v>
      </c>
      <c r="B419" s="150"/>
      <c r="C419" s="150"/>
      <c r="D419" s="150"/>
      <c r="E419" s="150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3">IFERROR(IF($H420="","",$H420*$F420*$I420),"")</f>
        <v/>
      </c>
      <c r="K420" s="28" t="str">
        <f t="shared" ref="K420:K431" si="104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5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6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3"/>
        <v/>
      </c>
      <c r="K421" s="34" t="str">
        <f t="shared" si="104"/>
        <v/>
      </c>
      <c r="L421" s="33"/>
      <c r="M421" s="33"/>
      <c r="N421" s="33"/>
      <c r="O421" s="29"/>
      <c r="P421" s="29"/>
      <c r="Q421" s="35" t="str">
        <f t="shared" ca="1" si="105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6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3"/>
        <v/>
      </c>
      <c r="K422" s="28" t="str">
        <f t="shared" si="104"/>
        <v/>
      </c>
      <c r="L422" s="26"/>
      <c r="M422" s="26"/>
      <c r="N422" s="26"/>
      <c r="O422" s="29"/>
      <c r="P422" s="29"/>
      <c r="Q422" s="30" t="str">
        <f t="shared" ca="1" si="105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6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3"/>
        <v/>
      </c>
      <c r="K423" s="34" t="str">
        <f t="shared" si="104"/>
        <v/>
      </c>
      <c r="L423" s="33"/>
      <c r="M423" s="33"/>
      <c r="N423" s="33"/>
      <c r="O423" s="29"/>
      <c r="P423" s="29"/>
      <c r="Q423" s="35" t="str">
        <f t="shared" ca="1" si="105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6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3"/>
        <v/>
      </c>
      <c r="K424" s="28" t="str">
        <f t="shared" si="104"/>
        <v/>
      </c>
      <c r="L424" s="26"/>
      <c r="M424" s="26"/>
      <c r="N424" s="26"/>
      <c r="O424" s="29"/>
      <c r="P424" s="29"/>
      <c r="Q424" s="30" t="str">
        <f t="shared" ca="1" si="105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6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3"/>
        <v/>
      </c>
      <c r="K425" s="34" t="str">
        <f t="shared" si="104"/>
        <v/>
      </c>
      <c r="L425" s="33"/>
      <c r="M425" s="33"/>
      <c r="N425" s="33"/>
      <c r="O425" s="29"/>
      <c r="P425" s="29"/>
      <c r="Q425" s="35" t="str">
        <f t="shared" ca="1" si="105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6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3"/>
        <v/>
      </c>
      <c r="K426" s="28" t="str">
        <f t="shared" si="104"/>
        <v/>
      </c>
      <c r="L426" s="26"/>
      <c r="M426" s="26"/>
      <c r="N426" s="26"/>
      <c r="O426" s="29"/>
      <c r="P426" s="29"/>
      <c r="Q426" s="30" t="str">
        <f t="shared" ca="1" si="105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6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3"/>
        <v/>
      </c>
      <c r="K427" s="34" t="str">
        <f t="shared" si="104"/>
        <v/>
      </c>
      <c r="L427" s="33"/>
      <c r="M427" s="33"/>
      <c r="N427" s="33"/>
      <c r="O427" s="29"/>
      <c r="P427" s="29"/>
      <c r="Q427" s="35" t="str">
        <f t="shared" ca="1" si="105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6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3"/>
        <v/>
      </c>
      <c r="K428" s="28" t="str">
        <f t="shared" si="104"/>
        <v/>
      </c>
      <c r="L428" s="26"/>
      <c r="M428" s="26"/>
      <c r="N428" s="26"/>
      <c r="O428" s="29"/>
      <c r="P428" s="29"/>
      <c r="Q428" s="30" t="str">
        <f t="shared" ca="1" si="105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6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3"/>
        <v/>
      </c>
      <c r="K429" s="34" t="str">
        <f t="shared" si="104"/>
        <v/>
      </c>
      <c r="L429" s="33"/>
      <c r="M429" s="33"/>
      <c r="N429" s="33"/>
      <c r="O429" s="29"/>
      <c r="P429" s="29"/>
      <c r="Q429" s="35" t="str">
        <f t="shared" ca="1" si="105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6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3"/>
        <v/>
      </c>
      <c r="K430" s="28" t="str">
        <f t="shared" si="104"/>
        <v/>
      </c>
      <c r="L430" s="26"/>
      <c r="M430" s="26"/>
      <c r="N430" s="26"/>
      <c r="O430" s="29"/>
      <c r="P430" s="29"/>
      <c r="Q430" s="30" t="str">
        <f t="shared" ca="1" si="105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6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3"/>
        <v/>
      </c>
      <c r="K431" s="34" t="str">
        <f t="shared" si="104"/>
        <v/>
      </c>
      <c r="L431" s="33"/>
      <c r="M431" s="33"/>
      <c r="N431" s="33"/>
      <c r="O431" s="29"/>
      <c r="P431" s="29"/>
      <c r="Q431" s="35" t="str">
        <f t="shared" ca="1" si="105"/>
        <v/>
      </c>
      <c r="R431" s="46"/>
      <c r="S431" s="47"/>
    </row>
    <row r="432" spans="1:20" ht="15.75" customHeight="1" thickBot="1" x14ac:dyDescent="0.3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 x14ac:dyDescent="0.25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7">IFERROR(IF($H434="","",$H434*$F434*$I434),"")</f>
        <v/>
      </c>
      <c r="K434" s="28" t="str">
        <f t="shared" ref="K434:K445" si="108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9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10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7"/>
        <v/>
      </c>
      <c r="K435" s="28" t="str">
        <f t="shared" si="108"/>
        <v/>
      </c>
      <c r="L435" s="33"/>
      <c r="M435" s="33"/>
      <c r="N435" s="33"/>
      <c r="O435" s="29"/>
      <c r="P435" s="29"/>
      <c r="Q435" s="35" t="str">
        <f t="shared" ca="1" si="109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10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7"/>
        <v/>
      </c>
      <c r="K436" s="28" t="str">
        <f t="shared" si="108"/>
        <v/>
      </c>
      <c r="L436" s="26"/>
      <c r="M436" s="26"/>
      <c r="N436" s="26"/>
      <c r="O436" s="29"/>
      <c r="P436" s="29"/>
      <c r="Q436" s="30" t="str">
        <f t="shared" ca="1" si="109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10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7"/>
        <v/>
      </c>
      <c r="K437" s="34" t="str">
        <f t="shared" si="108"/>
        <v/>
      </c>
      <c r="L437" s="33"/>
      <c r="M437" s="33"/>
      <c r="N437" s="33"/>
      <c r="O437" s="29"/>
      <c r="P437" s="29"/>
      <c r="Q437" s="35" t="str">
        <f t="shared" ca="1" si="109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10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7"/>
        <v/>
      </c>
      <c r="K438" s="28" t="str">
        <f t="shared" si="108"/>
        <v/>
      </c>
      <c r="L438" s="26"/>
      <c r="M438" s="26"/>
      <c r="N438" s="26"/>
      <c r="O438" s="29"/>
      <c r="P438" s="29"/>
      <c r="Q438" s="30" t="str">
        <f t="shared" ca="1" si="109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10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7"/>
        <v/>
      </c>
      <c r="K439" s="34" t="str">
        <f t="shared" si="108"/>
        <v/>
      </c>
      <c r="L439" s="33"/>
      <c r="M439" s="33"/>
      <c r="N439" s="33"/>
      <c r="O439" s="29"/>
      <c r="P439" s="29"/>
      <c r="Q439" s="35" t="str">
        <f t="shared" ca="1" si="109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10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7"/>
        <v/>
      </c>
      <c r="K440" s="28" t="str">
        <f t="shared" si="108"/>
        <v/>
      </c>
      <c r="L440" s="26"/>
      <c r="M440" s="26"/>
      <c r="N440" s="26"/>
      <c r="O440" s="29"/>
      <c r="P440" s="29"/>
      <c r="Q440" s="30" t="str">
        <f t="shared" ca="1" si="109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10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7"/>
        <v/>
      </c>
      <c r="K441" s="34" t="str">
        <f t="shared" si="108"/>
        <v/>
      </c>
      <c r="L441" s="33"/>
      <c r="M441" s="33"/>
      <c r="N441" s="33"/>
      <c r="O441" s="29"/>
      <c r="P441" s="29"/>
      <c r="Q441" s="35" t="str">
        <f t="shared" ca="1" si="109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10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7"/>
        <v/>
      </c>
      <c r="K442" s="28" t="str">
        <f t="shared" si="108"/>
        <v/>
      </c>
      <c r="L442" s="26"/>
      <c r="M442" s="26"/>
      <c r="N442" s="26"/>
      <c r="O442" s="29"/>
      <c r="P442" s="29"/>
      <c r="Q442" s="30" t="str">
        <f t="shared" ca="1" si="109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10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7"/>
        <v/>
      </c>
      <c r="K443" s="34" t="str">
        <f t="shared" si="108"/>
        <v/>
      </c>
      <c r="L443" s="33"/>
      <c r="M443" s="33"/>
      <c r="N443" s="33"/>
      <c r="O443" s="29"/>
      <c r="P443" s="29"/>
      <c r="Q443" s="35" t="str">
        <f t="shared" ca="1" si="109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10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7"/>
        <v/>
      </c>
      <c r="K444" s="28" t="str">
        <f t="shared" si="108"/>
        <v/>
      </c>
      <c r="L444" s="26"/>
      <c r="M444" s="26"/>
      <c r="N444" s="26"/>
      <c r="O444" s="29"/>
      <c r="P444" s="29"/>
      <c r="Q444" s="30" t="str">
        <f t="shared" ca="1" si="109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10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7"/>
        <v/>
      </c>
      <c r="K445" s="34" t="str">
        <f t="shared" si="108"/>
        <v/>
      </c>
      <c r="L445" s="33"/>
      <c r="M445" s="33"/>
      <c r="N445" s="33"/>
      <c r="O445" s="29"/>
      <c r="P445" s="29"/>
      <c r="Q445" s="35" t="str">
        <f t="shared" ca="1" si="109"/>
        <v/>
      </c>
      <c r="R445" s="46"/>
      <c r="S445" s="47"/>
    </row>
    <row r="446" spans="1:20" ht="15.75" customHeight="1" thickBot="1" x14ac:dyDescent="0.3">
      <c r="A446" s="149" t="s">
        <v>241</v>
      </c>
      <c r="B446" s="150"/>
      <c r="C446" s="150"/>
      <c r="D446" s="150"/>
      <c r="E446" s="150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1">IFERROR(IF($H447="","",$H447*$F447*$I447),"")</f>
        <v/>
      </c>
      <c r="K447" s="34" t="str">
        <f t="shared" ref="K447:K458" si="112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3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4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1"/>
        <v/>
      </c>
      <c r="K448" s="28" t="str">
        <f t="shared" si="112"/>
        <v/>
      </c>
      <c r="L448" s="26"/>
      <c r="M448" s="26"/>
      <c r="N448" s="26"/>
      <c r="O448" s="29"/>
      <c r="P448" s="29"/>
      <c r="Q448" s="30" t="str">
        <f t="shared" ca="1" si="113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4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1"/>
        <v/>
      </c>
      <c r="K449" s="34" t="str">
        <f t="shared" si="112"/>
        <v/>
      </c>
      <c r="L449" s="33"/>
      <c r="M449" s="33"/>
      <c r="N449" s="33"/>
      <c r="O449" s="29"/>
      <c r="P449" s="29"/>
      <c r="Q449" s="35" t="str">
        <f t="shared" ca="1" si="113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4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1"/>
        <v/>
      </c>
      <c r="K450" s="28" t="str">
        <f t="shared" si="112"/>
        <v/>
      </c>
      <c r="L450" s="26"/>
      <c r="M450" s="26"/>
      <c r="N450" s="26"/>
      <c r="O450" s="29"/>
      <c r="P450" s="29"/>
      <c r="Q450" s="30" t="str">
        <f t="shared" ca="1" si="113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4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1"/>
        <v/>
      </c>
      <c r="K451" s="34" t="str">
        <f t="shared" si="112"/>
        <v/>
      </c>
      <c r="L451" s="33"/>
      <c r="M451" s="33"/>
      <c r="N451" s="33"/>
      <c r="O451" s="29"/>
      <c r="P451" s="29"/>
      <c r="Q451" s="35" t="str">
        <f t="shared" ca="1" si="113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4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1"/>
        <v/>
      </c>
      <c r="K452" s="28" t="str">
        <f t="shared" si="112"/>
        <v/>
      </c>
      <c r="L452" s="26"/>
      <c r="M452" s="26"/>
      <c r="N452" s="26"/>
      <c r="O452" s="29"/>
      <c r="P452" s="29"/>
      <c r="Q452" s="30" t="str">
        <f t="shared" ca="1" si="113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4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1"/>
        <v/>
      </c>
      <c r="K453" s="34" t="str">
        <f t="shared" si="112"/>
        <v/>
      </c>
      <c r="L453" s="33"/>
      <c r="M453" s="33"/>
      <c r="N453" s="33"/>
      <c r="O453" s="29"/>
      <c r="P453" s="29"/>
      <c r="Q453" s="35" t="str">
        <f t="shared" ca="1" si="113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4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1"/>
        <v/>
      </c>
      <c r="K454" s="28" t="str">
        <f t="shared" si="112"/>
        <v/>
      </c>
      <c r="L454" s="26"/>
      <c r="M454" s="26"/>
      <c r="N454" s="26"/>
      <c r="O454" s="29"/>
      <c r="P454" s="29"/>
      <c r="Q454" s="30" t="str">
        <f t="shared" ca="1" si="113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4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1"/>
        <v/>
      </c>
      <c r="K455" s="34" t="str">
        <f t="shared" si="112"/>
        <v/>
      </c>
      <c r="L455" s="33"/>
      <c r="M455" s="33"/>
      <c r="N455" s="33"/>
      <c r="O455" s="29"/>
      <c r="P455" s="29"/>
      <c r="Q455" s="35" t="str">
        <f t="shared" ca="1" si="113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4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1"/>
        <v/>
      </c>
      <c r="K456" s="28" t="str">
        <f t="shared" si="112"/>
        <v/>
      </c>
      <c r="L456" s="26"/>
      <c r="M456" s="26"/>
      <c r="N456" s="26"/>
      <c r="O456" s="29"/>
      <c r="P456" s="29"/>
      <c r="Q456" s="30" t="str">
        <f t="shared" ca="1" si="113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4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1"/>
        <v/>
      </c>
      <c r="K457" s="34" t="str">
        <f t="shared" si="112"/>
        <v/>
      </c>
      <c r="L457" s="33"/>
      <c r="M457" s="33"/>
      <c r="N457" s="33"/>
      <c r="O457" s="29"/>
      <c r="P457" s="29"/>
      <c r="Q457" s="35" t="str">
        <f t="shared" ca="1" si="113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4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1"/>
        <v/>
      </c>
      <c r="K458" s="28" t="str">
        <f t="shared" si="112"/>
        <v/>
      </c>
      <c r="L458" s="26"/>
      <c r="M458" s="26"/>
      <c r="N458" s="26"/>
      <c r="O458" s="29"/>
      <c r="P458" s="29"/>
      <c r="Q458" s="30" t="str">
        <f t="shared" ca="1" si="113"/>
        <v/>
      </c>
      <c r="R458" s="46"/>
      <c r="S458" s="47"/>
    </row>
    <row r="459" spans="1:20" ht="15.75" customHeight="1" thickBot="1" x14ac:dyDescent="0.3">
      <c r="A459" s="149" t="s">
        <v>244</v>
      </c>
      <c r="B459" s="150"/>
      <c r="C459" s="150"/>
      <c r="D459" s="150"/>
      <c r="E459" s="15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 x14ac:dyDescent="0.25">
      <c r="A460" s="151" t="s">
        <v>245</v>
      </c>
      <c r="B460" s="152"/>
      <c r="C460" s="152"/>
      <c r="D460" s="152"/>
      <c r="E460" s="15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5">IFERROR(IF($H461="","",$H461*$F461*$I461),"")</f>
        <v/>
      </c>
      <c r="K461" s="34" t="str">
        <f t="shared" ref="K461:K472" si="116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7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8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5"/>
        <v/>
      </c>
      <c r="K462" s="28" t="str">
        <f t="shared" si="116"/>
        <v/>
      </c>
      <c r="L462" s="26"/>
      <c r="M462" s="26"/>
      <c r="N462" s="26"/>
      <c r="O462" s="29"/>
      <c r="P462" s="29"/>
      <c r="Q462" s="30" t="str">
        <f t="shared" ca="1" si="117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8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5"/>
        <v/>
      </c>
      <c r="K463" s="34" t="str">
        <f t="shared" si="116"/>
        <v/>
      </c>
      <c r="L463" s="33"/>
      <c r="M463" s="33"/>
      <c r="N463" s="33"/>
      <c r="O463" s="29"/>
      <c r="P463" s="29"/>
      <c r="Q463" s="35" t="str">
        <f t="shared" ca="1" si="117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8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5"/>
        <v/>
      </c>
      <c r="K464" s="28" t="str">
        <f t="shared" si="116"/>
        <v/>
      </c>
      <c r="L464" s="26"/>
      <c r="M464" s="26"/>
      <c r="N464" s="26"/>
      <c r="O464" s="29"/>
      <c r="P464" s="29"/>
      <c r="Q464" s="30" t="str">
        <f t="shared" ca="1" si="117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8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5"/>
        <v/>
      </c>
      <c r="K465" s="34" t="str">
        <f t="shared" si="116"/>
        <v/>
      </c>
      <c r="L465" s="33"/>
      <c r="M465" s="33"/>
      <c r="N465" s="33"/>
      <c r="O465" s="29"/>
      <c r="P465" s="29"/>
      <c r="Q465" s="35" t="str">
        <f t="shared" ca="1" si="117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8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5"/>
        <v/>
      </c>
      <c r="K466" s="28" t="str">
        <f t="shared" si="116"/>
        <v/>
      </c>
      <c r="L466" s="26"/>
      <c r="M466" s="26"/>
      <c r="N466" s="26"/>
      <c r="O466" s="29"/>
      <c r="P466" s="29"/>
      <c r="Q466" s="30" t="str">
        <f t="shared" ca="1" si="117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8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5"/>
        <v/>
      </c>
      <c r="K467" s="34" t="str">
        <f t="shared" si="116"/>
        <v/>
      </c>
      <c r="L467" s="33"/>
      <c r="M467" s="33"/>
      <c r="N467" s="33"/>
      <c r="O467" s="29"/>
      <c r="P467" s="29"/>
      <c r="Q467" s="35" t="str">
        <f t="shared" ca="1" si="117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8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5"/>
        <v/>
      </c>
      <c r="K468" s="28" t="str">
        <f t="shared" si="116"/>
        <v/>
      </c>
      <c r="L468" s="26"/>
      <c r="M468" s="26"/>
      <c r="N468" s="26"/>
      <c r="O468" s="29"/>
      <c r="P468" s="29"/>
      <c r="Q468" s="30" t="str">
        <f t="shared" ca="1" si="117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8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5"/>
        <v/>
      </c>
      <c r="K469" s="34" t="str">
        <f t="shared" si="116"/>
        <v/>
      </c>
      <c r="L469" s="33"/>
      <c r="M469" s="33"/>
      <c r="N469" s="33"/>
      <c r="O469" s="29"/>
      <c r="P469" s="29"/>
      <c r="Q469" s="35" t="str">
        <f t="shared" ca="1" si="117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8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8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8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46"/>
      <c r="S472" s="47"/>
    </row>
    <row r="473" spans="1:20" ht="15.75" customHeight="1" thickBot="1" x14ac:dyDescent="0.3">
      <c r="A473" s="149" t="s">
        <v>241</v>
      </c>
      <c r="B473" s="150"/>
      <c r="C473" s="150"/>
      <c r="D473" s="150"/>
      <c r="E473" s="15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2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2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2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2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2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2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2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2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2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2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2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46"/>
      <c r="S485" s="47"/>
    </row>
    <row r="486" spans="1:20" ht="15.75" customHeight="1" thickBot="1" x14ac:dyDescent="0.3">
      <c r="A486" s="149" t="s">
        <v>244</v>
      </c>
      <c r="B486" s="150"/>
      <c r="C486" s="150"/>
      <c r="D486" s="150"/>
      <c r="E486" s="15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 x14ac:dyDescent="0.25">
      <c r="A487" s="151" t="s">
        <v>245</v>
      </c>
      <c r="B487" s="152"/>
      <c r="C487" s="152"/>
      <c r="D487" s="152"/>
      <c r="E487" s="15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5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6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t="shared" ca="1" si="125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6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t="shared" ca="1" si="125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6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t="shared" ca="1" si="125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6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 t="str">
        <f t="shared" ca="1" si="125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6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ca="1" si="125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6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6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6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6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6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6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46"/>
      <c r="S499" s="47"/>
    </row>
    <row r="500" spans="1:20" ht="15.75" customHeight="1" thickBot="1" x14ac:dyDescent="0.3">
      <c r="A500" s="149" t="s">
        <v>241</v>
      </c>
      <c r="B500" s="150"/>
      <c r="C500" s="150"/>
      <c r="D500" s="150"/>
      <c r="E500" s="15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46"/>
      <c r="S512" s="47"/>
    </row>
    <row r="513" spans="1:20" ht="15.75" customHeight="1" thickBot="1" x14ac:dyDescent="0.3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 x14ac:dyDescent="0.25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46"/>
      <c r="S526" s="47"/>
    </row>
    <row r="527" spans="1:20" ht="15.75" customHeight="1" thickBot="1" x14ac:dyDescent="0.3">
      <c r="A527" s="149" t="s">
        <v>241</v>
      </c>
      <c r="B527" s="150"/>
      <c r="C527" s="150"/>
      <c r="D527" s="150"/>
      <c r="E527" s="15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46"/>
      <c r="S539" s="47"/>
    </row>
    <row r="540" spans="1:20" ht="15.75" customHeight="1" thickBot="1" x14ac:dyDescent="0.3">
      <c r="A540" s="149" t="s">
        <v>244</v>
      </c>
      <c r="B540" s="150"/>
      <c r="C540" s="150"/>
      <c r="D540" s="150"/>
      <c r="E540" s="15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 x14ac:dyDescent="0.25">
      <c r="A541" s="151" t="s">
        <v>245</v>
      </c>
      <c r="B541" s="152"/>
      <c r="C541" s="152"/>
      <c r="D541" s="152"/>
      <c r="E541" s="15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46"/>
      <c r="S553" s="47"/>
    </row>
    <row r="554" spans="1:20" ht="15.75" customHeight="1" thickBot="1" x14ac:dyDescent="0.3">
      <c r="A554" s="149" t="s">
        <v>241</v>
      </c>
      <c r="B554" s="150"/>
      <c r="C554" s="150"/>
      <c r="D554" s="150"/>
      <c r="E554" s="15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5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6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ca="1" si="145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6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6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6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6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6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6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6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6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6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6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46"/>
      <c r="S566" s="47"/>
    </row>
    <row r="567" spans="1:20" ht="15.75" customHeight="1" thickBot="1" x14ac:dyDescent="0.3">
      <c r="A567" s="149" t="s">
        <v>244</v>
      </c>
      <c r="B567" s="150"/>
      <c r="C567" s="150"/>
      <c r="D567" s="150"/>
      <c r="E567" s="15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 x14ac:dyDescent="0.25">
      <c r="A568" s="151" t="s">
        <v>245</v>
      </c>
      <c r="B568" s="152"/>
      <c r="C568" s="152"/>
      <c r="D568" s="152"/>
      <c r="E568" s="15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9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 t="str">
        <f t="shared" ca="1" si="149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t="shared" ca="1" si="149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t="shared" ca="1" si="149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t="shared" ca="1" si="149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t="shared" ca="1" si="149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t="shared" ca="1" si="149"/>
        <v/>
      </c>
      <c r="R580" s="46"/>
      <c r="S580" s="47"/>
    </row>
    <row r="581" spans="1:20" ht="15.75" customHeight="1" thickBot="1" x14ac:dyDescent="0.3">
      <c r="A581" s="149" t="s">
        <v>241</v>
      </c>
      <c r="B581" s="150"/>
      <c r="C581" s="150"/>
      <c r="D581" s="150"/>
      <c r="E581" s="15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46"/>
      <c r="S593" s="47"/>
    </row>
    <row r="594" spans="1:20" ht="15.75" customHeight="1" thickBot="1" x14ac:dyDescent="0.3">
      <c r="A594" s="149" t="s">
        <v>244</v>
      </c>
      <c r="B594" s="150"/>
      <c r="C594" s="150"/>
      <c r="D594" s="150"/>
      <c r="E594" s="15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 x14ac:dyDescent="0.25">
      <c r="A595" s="151" t="s">
        <v>245</v>
      </c>
      <c r="B595" s="152"/>
      <c r="C595" s="152"/>
      <c r="D595" s="152"/>
      <c r="E595" s="15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46"/>
      <c r="S607" s="47"/>
    </row>
    <row r="608" spans="1:20" ht="15.75" customHeight="1" thickBot="1" x14ac:dyDescent="0.3">
      <c r="A608" s="149" t="s">
        <v>241</v>
      </c>
      <c r="B608" s="150"/>
      <c r="C608" s="150"/>
      <c r="D608" s="150"/>
      <c r="E608" s="15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46"/>
      <c r="S620" s="47"/>
    </row>
    <row r="621" spans="1:20" ht="15.75" customHeight="1" thickBot="1" x14ac:dyDescent="0.3">
      <c r="A621" s="149" t="s">
        <v>244</v>
      </c>
      <c r="B621" s="150"/>
      <c r="C621" s="150"/>
      <c r="D621" s="150"/>
      <c r="E621" s="15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 x14ac:dyDescent="0.25">
      <c r="A622" s="151" t="s">
        <v>245</v>
      </c>
      <c r="B622" s="152"/>
      <c r="C622" s="152"/>
      <c r="D622" s="152"/>
      <c r="E622" s="15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46"/>
      <c r="S634" s="47"/>
    </row>
    <row r="635" spans="1:20" ht="15.75" customHeight="1" thickBot="1" x14ac:dyDescent="0.3">
      <c r="A635" s="149" t="s">
        <v>241</v>
      </c>
      <c r="B635" s="150"/>
      <c r="C635" s="150"/>
      <c r="D635" s="150"/>
      <c r="E635" s="15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46"/>
      <c r="S647" s="47"/>
    </row>
    <row r="648" spans="1:20" ht="15.75" customHeight="1" thickBot="1" x14ac:dyDescent="0.3">
      <c r="A648" s="149" t="s">
        <v>244</v>
      </c>
      <c r="B648" s="150"/>
      <c r="C648" s="150"/>
      <c r="D648" s="150"/>
      <c r="E648" s="15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 x14ac:dyDescent="0.25">
      <c r="A649" s="151" t="s">
        <v>245</v>
      </c>
      <c r="B649" s="152"/>
      <c r="C649" s="152"/>
      <c r="D649" s="152"/>
      <c r="E649" s="15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46"/>
      <c r="S661" s="47"/>
    </row>
    <row r="662" spans="1:20" ht="15.75" customHeight="1" thickBot="1" x14ac:dyDescent="0.3">
      <c r="A662" s="149" t="s">
        <v>241</v>
      </c>
      <c r="B662" s="150"/>
      <c r="C662" s="150"/>
      <c r="D662" s="150"/>
      <c r="E662" s="15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46"/>
      <c r="S674" s="47"/>
    </row>
    <row r="675" spans="1:20" ht="15.75" customHeight="1" thickBot="1" x14ac:dyDescent="0.3">
      <c r="A675" s="149" t="s">
        <v>244</v>
      </c>
      <c r="B675" s="150"/>
      <c r="C675" s="150"/>
      <c r="D675" s="150"/>
      <c r="E675" s="15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 x14ac:dyDescent="0.25">
      <c r="A676" s="151" t="s">
        <v>245</v>
      </c>
      <c r="B676" s="152"/>
      <c r="C676" s="152"/>
      <c r="D676" s="152"/>
      <c r="E676" s="15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5" t="str">
        <f t="shared" ca="1" si="181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5" t="str">
        <f t="shared" ca="1" si="181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5" t="str">
        <f t="shared" ca="1" si="181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46"/>
      <c r="S688" s="47"/>
    </row>
    <row r="689" spans="1:20" ht="15.75" customHeight="1" thickBot="1" x14ac:dyDescent="0.3">
      <c r="A689" s="149" t="s">
        <v>241</v>
      </c>
      <c r="B689" s="150"/>
      <c r="C689" s="150"/>
      <c r="D689" s="150"/>
      <c r="E689" s="15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46"/>
      <c r="S701" s="47"/>
    </row>
    <row r="702" spans="1:20" ht="15.75" customHeight="1" thickBot="1" x14ac:dyDescent="0.3">
      <c r="A702" s="149" t="s">
        <v>244</v>
      </c>
      <c r="B702" s="150"/>
      <c r="C702" s="150"/>
      <c r="D702" s="150"/>
      <c r="E702" s="15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 x14ac:dyDescent="0.25">
      <c r="A703" s="151" t="s">
        <v>245</v>
      </c>
      <c r="B703" s="152"/>
      <c r="C703" s="152"/>
      <c r="D703" s="152"/>
      <c r="E703" s="15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46"/>
      <c r="S715" s="47"/>
    </row>
    <row r="716" spans="1:20" ht="15.75" customHeight="1" thickBot="1" x14ac:dyDescent="0.3">
      <c r="A716" s="149" t="s">
        <v>241</v>
      </c>
      <c r="B716" s="150"/>
      <c r="C716" s="150"/>
      <c r="D716" s="150"/>
      <c r="E716" s="15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46"/>
      <c r="S728" s="47"/>
    </row>
    <row r="729" spans="1:20" ht="15.75" customHeight="1" thickBot="1" x14ac:dyDescent="0.3">
      <c r="A729" s="149" t="s">
        <v>244</v>
      </c>
      <c r="B729" s="150"/>
      <c r="C729" s="150"/>
      <c r="D729" s="150"/>
      <c r="E729" s="15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 x14ac:dyDescent="0.25">
      <c r="A730" s="151" t="s">
        <v>245</v>
      </c>
      <c r="B730" s="152"/>
      <c r="C730" s="152"/>
      <c r="D730" s="152"/>
      <c r="E730" s="15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46"/>
      <c r="S742" s="47"/>
    </row>
    <row r="743" spans="1:20" ht="15.75" customHeight="1" thickBot="1" x14ac:dyDescent="0.3">
      <c r="A743" s="149" t="s">
        <v>241</v>
      </c>
      <c r="B743" s="150"/>
      <c r="C743" s="150"/>
      <c r="D743" s="150"/>
      <c r="E743" s="15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46"/>
      <c r="S755" s="47"/>
    </row>
    <row r="756" spans="1:20" ht="15.75" customHeight="1" thickBot="1" x14ac:dyDescent="0.3">
      <c r="A756" s="149" t="s">
        <v>244</v>
      </c>
      <c r="B756" s="150"/>
      <c r="C756" s="150"/>
      <c r="D756" s="150"/>
      <c r="E756" s="15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1" t="s">
        <v>245</v>
      </c>
      <c r="B757" s="152"/>
      <c r="C757" s="152"/>
      <c r="D757" s="152"/>
      <c r="E757" s="15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46"/>
      <c r="S769" s="47"/>
    </row>
    <row r="770" spans="1:20" ht="15.75" customHeight="1" thickBot="1" x14ac:dyDescent="0.3">
      <c r="A770" s="149" t="s">
        <v>241</v>
      </c>
      <c r="B770" s="150"/>
      <c r="C770" s="150"/>
      <c r="D770" s="150"/>
      <c r="E770" s="15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46"/>
      <c r="S782" s="47"/>
    </row>
    <row r="783" spans="1:20" ht="15.75" customHeight="1" thickBot="1" x14ac:dyDescent="0.3">
      <c r="A783" s="149" t="s">
        <v>244</v>
      </c>
      <c r="B783" s="150"/>
      <c r="C783" s="150"/>
      <c r="D783" s="150"/>
      <c r="E783" s="15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1" t="s">
        <v>245</v>
      </c>
      <c r="B784" s="152"/>
      <c r="C784" s="152"/>
      <c r="D784" s="152"/>
      <c r="E784" s="15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46"/>
      <c r="S796" s="47"/>
    </row>
    <row r="797" spans="1:20" ht="15.75" customHeight="1" thickBot="1" x14ac:dyDescent="0.3">
      <c r="A797" s="149" t="s">
        <v>241</v>
      </c>
      <c r="B797" s="150"/>
      <c r="C797" s="150"/>
      <c r="D797" s="150"/>
      <c r="E797" s="15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46"/>
      <c r="S809" s="47"/>
    </row>
    <row r="810" spans="1:20" ht="15.75" customHeight="1" thickBot="1" x14ac:dyDescent="0.3">
      <c r="A810" s="149" t="s">
        <v>244</v>
      </c>
      <c r="B810" s="150"/>
      <c r="C810" s="150"/>
      <c r="D810" s="150"/>
      <c r="E810" s="15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1" t="s">
        <v>245</v>
      </c>
      <c r="B811" s="152"/>
      <c r="C811" s="152"/>
      <c r="D811" s="152"/>
      <c r="E811" s="15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20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0" t="str">
        <f t="shared" ca="1" si="220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5" t="str">
        <f t="shared" ca="1" si="220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0" t="str">
        <f t="shared" ca="1" si="220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5" t="str">
        <f t="shared" ca="1" si="220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0" t="str">
        <f t="shared" ca="1" si="220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5" t="str">
        <f t="shared" ca="1" si="220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0" t="str">
        <f t="shared" ca="1" si="220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5" t="str">
        <f t="shared" ca="1" si="220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0" t="str">
        <f t="shared" ca="1" si="220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5" t="str">
        <f t="shared" ca="1" si="220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0" t="str">
        <f t="shared" ca="1" si="220"/>
        <v/>
      </c>
      <c r="R823" s="46"/>
      <c r="S823" s="31"/>
    </row>
    <row r="824" spans="1:20" ht="15.75" customHeight="1" thickBot="1" x14ac:dyDescent="0.3">
      <c r="A824" s="149" t="s">
        <v>241</v>
      </c>
      <c r="B824" s="150"/>
      <c r="C824" s="150"/>
      <c r="D824" s="150"/>
      <c r="E824" s="15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4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0" t="str">
        <f t="shared" ca="1" si="224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0" t="str">
        <f t="shared" ca="1" si="224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0" t="str">
        <f t="shared" ca="1" si="224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0" t="str">
        <f t="shared" ca="1" si="224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0" t="str">
        <f t="shared" ca="1" si="224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0" t="str">
        <f t="shared" ca="1" si="224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0" t="str">
        <f t="shared" ca="1" si="224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0" t="str">
        <f t="shared" ca="1" si="224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0" t="str">
        <f t="shared" ca="1" si="224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0" t="str">
        <f t="shared" ca="1" si="224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0" t="str">
        <f t="shared" ca="1" si="224"/>
        <v/>
      </c>
      <c r="R836" s="46"/>
      <c r="S836" s="31"/>
    </row>
    <row r="837" spans="1:20" ht="15.75" customHeight="1" thickBot="1" x14ac:dyDescent="0.3">
      <c r="A837" s="149" t="s">
        <v>244</v>
      </c>
      <c r="B837" s="150"/>
      <c r="C837" s="150"/>
      <c r="D837" s="150"/>
      <c r="E837" s="15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 x14ac:dyDescent="0.25">
      <c r="A838" s="151" t="s">
        <v>245</v>
      </c>
      <c r="B838" s="152"/>
      <c r="C838" s="152"/>
      <c r="D838" s="152"/>
      <c r="E838" s="15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4" activePane="bottomLeft" state="frozen"/>
      <selection pane="bottomLeft" activeCell="N322" sqref="N322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263</v>
      </c>
      <c r="I1" s="133" t="s">
        <v>18</v>
      </c>
      <c r="J1" s="133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49" t="s">
        <v>241</v>
      </c>
      <c r="B14" s="150"/>
      <c r="C14" s="150"/>
      <c r="D14" s="150"/>
      <c r="E14" s="15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268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49" t="s">
        <v>244</v>
      </c>
      <c r="B27" s="150"/>
      <c r="C27" s="150"/>
      <c r="D27" s="150"/>
      <c r="E27" s="15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 x14ac:dyDescent="0.25">
      <c r="A28" s="151" t="s">
        <v>245</v>
      </c>
      <c r="B28" s="152"/>
      <c r="C28" s="152"/>
      <c r="D28" s="152"/>
      <c r="E28" s="15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49" t="s">
        <v>241</v>
      </c>
      <c r="B41" s="150"/>
      <c r="C41" s="150"/>
      <c r="D41" s="150"/>
      <c r="E41" s="15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274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49" t="s">
        <v>244</v>
      </c>
      <c r="B54" s="150"/>
      <c r="C54" s="150"/>
      <c r="D54" s="150"/>
      <c r="E54" s="15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 x14ac:dyDescent="0.25">
      <c r="A55" s="151" t="s">
        <v>245</v>
      </c>
      <c r="B55" s="152"/>
      <c r="C55" s="152"/>
      <c r="D55" s="152"/>
      <c r="E55" s="15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49" t="s">
        <v>241</v>
      </c>
      <c r="B68" s="150"/>
      <c r="C68" s="150"/>
      <c r="D68" s="150"/>
      <c r="E68" s="15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49" t="s">
        <v>244</v>
      </c>
      <c r="B81" s="150"/>
      <c r="C81" s="150"/>
      <c r="D81" s="150"/>
      <c r="E81" s="15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 x14ac:dyDescent="0.25">
      <c r="A82" s="151" t="s">
        <v>245</v>
      </c>
      <c r="B82" s="152"/>
      <c r="C82" s="152"/>
      <c r="D82" s="152"/>
      <c r="E82" s="15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49" t="s">
        <v>241</v>
      </c>
      <c r="B95" s="150"/>
      <c r="C95" s="150"/>
      <c r="D95" s="150"/>
      <c r="E95" s="15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49" t="s">
        <v>244</v>
      </c>
      <c r="B108" s="150"/>
      <c r="C108" s="150"/>
      <c r="D108" s="150"/>
      <c r="E108" s="15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 x14ac:dyDescent="0.25">
      <c r="A109" s="151" t="s">
        <v>245</v>
      </c>
      <c r="B109" s="152"/>
      <c r="C109" s="152"/>
      <c r="D109" s="152"/>
      <c r="E109" s="15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49" t="s">
        <v>241</v>
      </c>
      <c r="B122" s="150"/>
      <c r="C122" s="150"/>
      <c r="D122" s="150"/>
      <c r="E122" s="15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49" t="s">
        <v>244</v>
      </c>
      <c r="B135" s="150"/>
      <c r="C135" s="150"/>
      <c r="D135" s="150"/>
      <c r="E135" s="15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 x14ac:dyDescent="0.25">
      <c r="A136" s="151" t="s">
        <v>245</v>
      </c>
      <c r="B136" s="152"/>
      <c r="C136" s="152"/>
      <c r="D136" s="152"/>
      <c r="E136" s="15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282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49" t="s">
        <v>241</v>
      </c>
      <c r="B149" s="150"/>
      <c r="C149" s="150"/>
      <c r="D149" s="150"/>
      <c r="E149" s="15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274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49" t="s">
        <v>244</v>
      </c>
      <c r="B162" s="150"/>
      <c r="C162" s="150"/>
      <c r="D162" s="150"/>
      <c r="E162" s="15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 x14ac:dyDescent="0.25">
      <c r="A163" s="151" t="s">
        <v>245</v>
      </c>
      <c r="B163" s="152"/>
      <c r="C163" s="152"/>
      <c r="D163" s="152"/>
      <c r="E163" s="15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49" t="s">
        <v>241</v>
      </c>
      <c r="B176" s="150"/>
      <c r="C176" s="150"/>
      <c r="D176" s="150"/>
      <c r="E176" s="15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285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285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49" t="s">
        <v>244</v>
      </c>
      <c r="B189" s="150"/>
      <c r="C189" s="150"/>
      <c r="D189" s="150"/>
      <c r="E189" s="15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 x14ac:dyDescent="0.25">
      <c r="A190" s="151" t="s">
        <v>245</v>
      </c>
      <c r="B190" s="152"/>
      <c r="C190" s="152"/>
      <c r="D190" s="152"/>
      <c r="E190" s="15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49" t="s">
        <v>241</v>
      </c>
      <c r="B203" s="150"/>
      <c r="C203" s="150"/>
      <c r="D203" s="150"/>
      <c r="E203" s="15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49" t="s">
        <v>244</v>
      </c>
      <c r="B216" s="150"/>
      <c r="C216" s="150"/>
      <c r="D216" s="150"/>
      <c r="E216" s="15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 x14ac:dyDescent="0.25">
      <c r="A217" s="151" t="s">
        <v>245</v>
      </c>
      <c r="B217" s="152"/>
      <c r="C217" s="152"/>
      <c r="D217" s="152"/>
      <c r="E217" s="15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49" t="s">
        <v>241</v>
      </c>
      <c r="B230" s="150"/>
      <c r="C230" s="150"/>
      <c r="D230" s="150"/>
      <c r="E230" s="15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49" t="s">
        <v>244</v>
      </c>
      <c r="B243" s="150"/>
      <c r="C243" s="150"/>
      <c r="D243" s="150"/>
      <c r="E243" s="15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 x14ac:dyDescent="0.25">
      <c r="A244" s="151" t="s">
        <v>245</v>
      </c>
      <c r="B244" s="152"/>
      <c r="C244" s="152"/>
      <c r="D244" s="152"/>
      <c r="E244" s="15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49" t="s">
        <v>241</v>
      </c>
      <c r="B257" s="150"/>
      <c r="C257" s="150"/>
      <c r="D257" s="150"/>
      <c r="E257" s="15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49" t="s">
        <v>244</v>
      </c>
      <c r="B270" s="150"/>
      <c r="C270" s="150"/>
      <c r="D270" s="150"/>
      <c r="E270" s="15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 x14ac:dyDescent="0.25">
      <c r="A271" s="151" t="s">
        <v>245</v>
      </c>
      <c r="B271" s="152"/>
      <c r="C271" s="152"/>
      <c r="D271" s="152"/>
      <c r="E271" s="15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49" t="s">
        <v>241</v>
      </c>
      <c r="B284" s="150"/>
      <c r="C284" s="150"/>
      <c r="D284" s="150"/>
      <c r="E284" s="15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49" t="s">
        <v>244</v>
      </c>
      <c r="B297" s="150"/>
      <c r="C297" s="150"/>
      <c r="D297" s="150"/>
      <c r="E297" s="15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 x14ac:dyDescent="0.25">
      <c r="A298" s="151" t="s">
        <v>245</v>
      </c>
      <c r="B298" s="152"/>
      <c r="C298" s="152"/>
      <c r="D298" s="152"/>
      <c r="E298" s="15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8</v>
      </c>
      <c r="H299" s="34" t="str">
        <f t="shared" ref="H299:H310" si="65"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8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10</v>
      </c>
      <c r="H300" s="28" t="str">
        <f t="shared" si="65"/>
        <v/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8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14</v>
      </c>
      <c r="H301" s="34" t="str">
        <f t="shared" si="65"/>
        <v/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8"/>
        <v>1.1111111111111183E-2</v>
      </c>
      <c r="R301" s="27" t="s">
        <v>32</v>
      </c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15</v>
      </c>
      <c r="H302" s="28" t="str">
        <f t="shared" si="65"/>
        <v/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11</v>
      </c>
      <c r="H303" s="34" t="str">
        <f t="shared" si="65"/>
        <v/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16</v>
      </c>
      <c r="H304" s="28" t="str">
        <f t="shared" si="65"/>
        <v/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5</v>
      </c>
      <c r="H305" s="34" t="str">
        <f t="shared" si="65"/>
        <v/>
      </c>
      <c r="I305" s="135">
        <f>IFERROR(IF($D305="","",VLOOKUP($D305,Cadastro!$C$4:$G$7,5,FALSE)),"")</f>
        <v>0.6</v>
      </c>
      <c r="J305" s="136" t="str">
        <f t="shared" si="66"/>
        <v/>
      </c>
      <c r="K305" s="34">
        <f t="shared" si="67"/>
        <v>21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27">
        <v>6</v>
      </c>
      <c r="H306" s="28" t="str">
        <f t="shared" si="65"/>
        <v/>
      </c>
      <c r="I306" s="135">
        <f>IFERROR(IF($D306="","",VLOOKUP($D306,Cadastro!$C$4:$G$7,5,FALSE)),"")</f>
        <v>0.6</v>
      </c>
      <c r="J306" s="136" t="str">
        <f t="shared" si="66"/>
        <v/>
      </c>
      <c r="K306" s="28">
        <f t="shared" si="67"/>
        <v>25.200000000000003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27">
        <v>10</v>
      </c>
      <c r="H307" s="34" t="str">
        <f t="shared" si="65"/>
        <v/>
      </c>
      <c r="I307" s="135">
        <f>IFERROR(IF($D307="","",VLOOKUP($D307,Cadastro!$C$4:$G$7,5,FALSE)),"")</f>
        <v>0.6</v>
      </c>
      <c r="J307" s="136" t="str">
        <f t="shared" si="66"/>
        <v/>
      </c>
      <c r="K307" s="34">
        <f t="shared" si="67"/>
        <v>42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27">
        <v>16</v>
      </c>
      <c r="H308" s="28" t="str">
        <f t="shared" si="65"/>
        <v/>
      </c>
      <c r="I308" s="135">
        <f>IFERROR(IF($D308="","",VLOOKUP($D308,Cadastro!$C$4:$G$7,5,FALSE)),"")</f>
        <v>0.6</v>
      </c>
      <c r="J308" s="136" t="str">
        <f t="shared" si="66"/>
        <v/>
      </c>
      <c r="K308" s="28">
        <f t="shared" si="67"/>
        <v>67.2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27">
        <v>7</v>
      </c>
      <c r="H309" s="34" t="str">
        <f t="shared" si="65"/>
        <v/>
      </c>
      <c r="I309" s="135">
        <f>IFERROR(IF($D309="","",VLOOKUP($D309,Cadastro!$C$4:$G$7,5,FALSE)),"")</f>
        <v>0.6</v>
      </c>
      <c r="J309" s="136" t="str">
        <f t="shared" si="66"/>
        <v/>
      </c>
      <c r="K309" s="34">
        <f t="shared" si="67"/>
        <v>29.400000000000002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27">
        <v>5</v>
      </c>
      <c r="H310" s="28" t="str">
        <f t="shared" si="65"/>
        <v/>
      </c>
      <c r="I310" s="138">
        <f>IFERROR(IF($D310="","",VLOOKUP($D310,Cadastro!$C$4:$G$7,5,FALSE)),"")</f>
        <v>0.6</v>
      </c>
      <c r="J310" s="139" t="str">
        <f t="shared" si="66"/>
        <v/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47"/>
    </row>
    <row r="311" spans="1:20" ht="15.75" customHeight="1" thickBot="1" x14ac:dyDescent="0.3">
      <c r="A311" s="149" t="s">
        <v>241</v>
      </c>
      <c r="B311" s="150"/>
      <c r="C311" s="150"/>
      <c r="D311" s="150"/>
      <c r="E311" s="150">
        <f>SUM(E299:E310)</f>
        <v>0</v>
      </c>
      <c r="F311" s="110"/>
      <c r="G311" s="80">
        <f>SUM(G299:G310)</f>
        <v>123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0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27">
        <v>8</v>
      </c>
      <c r="H312" s="28" t="str">
        <f t="shared" ref="H312:H323" si="70"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1">IFERROR(IF($H312="","",$H312*$F312*$I312),"")</f>
        <v/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2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27">
        <v>4</v>
      </c>
      <c r="H313" s="34" t="str">
        <f t="shared" si="70"/>
        <v/>
      </c>
      <c r="I313" s="135">
        <f>IFERROR(IF($D313="","",VLOOKUP($D313,Cadastro!$C$4:$G$7,5,FALSE)),"")</f>
        <v>0.6</v>
      </c>
      <c r="J313" s="136" t="str">
        <f t="shared" si="71"/>
        <v/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2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27">
        <v>10</v>
      </c>
      <c r="H314" s="28" t="str">
        <f t="shared" si="70"/>
        <v/>
      </c>
      <c r="I314" s="135">
        <f>IFERROR(IF($D314="","",VLOOKUP($D314,Cadastro!$C$4:$G$7,5,FALSE)),"")</f>
        <v>0.6</v>
      </c>
      <c r="J314" s="136" t="str">
        <f t="shared" si="71"/>
        <v/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27">
        <v>6</v>
      </c>
      <c r="H315" s="34" t="str">
        <f t="shared" si="70"/>
        <v/>
      </c>
      <c r="I315" s="135">
        <f>IFERROR(IF($D315="","",VLOOKUP($D315,Cadastro!$C$4:$G$7,5,FALSE)),"")</f>
        <v>0.6</v>
      </c>
      <c r="J315" s="136" t="str">
        <f t="shared" si="71"/>
        <v/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2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27">
        <v>6</v>
      </c>
      <c r="H316" s="28" t="str">
        <f t="shared" si="70"/>
        <v/>
      </c>
      <c r="I316" s="135">
        <f>IFERROR(IF($D316="","",VLOOKUP($D316,Cadastro!$C$4:$G$7,5,FALSE)),"")</f>
        <v>0.6</v>
      </c>
      <c r="J316" s="136" t="str">
        <f t="shared" si="71"/>
        <v/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2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27">
        <v>8</v>
      </c>
      <c r="H317" s="34" t="str">
        <f t="shared" si="70"/>
        <v/>
      </c>
      <c r="I317" s="135">
        <f>IFERROR(IF($D317="","",VLOOKUP($D317,Cadastro!$C$4:$G$7,5,FALSE)),"")</f>
        <v>0.6</v>
      </c>
      <c r="J317" s="136" t="str">
        <f t="shared" si="71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27">
        <v>3</v>
      </c>
      <c r="H318" s="28" t="str">
        <f t="shared" si="70"/>
        <v/>
      </c>
      <c r="I318" s="135">
        <f>IFERROR(IF($D318="","",VLOOKUP($D318,Cadastro!$C$4:$G$7,5,FALSE)),"")</f>
        <v>0.6</v>
      </c>
      <c r="J318" s="136" t="str">
        <f t="shared" si="71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27">
        <v>6</v>
      </c>
      <c r="H319" s="34" t="str">
        <f t="shared" si="70"/>
        <v/>
      </c>
      <c r="I319" s="135">
        <f>IFERROR(IF($D319="","",VLOOKUP($D319,Cadastro!$C$4:$G$7,5,FALSE)),"")</f>
        <v>0.6</v>
      </c>
      <c r="J319" s="136" t="str">
        <f t="shared" si="71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27">
        <v>4</v>
      </c>
      <c r="H320" s="28" t="str">
        <f t="shared" si="70"/>
        <v/>
      </c>
      <c r="I320" s="135">
        <f>IFERROR(IF($D320="","",VLOOKUP($D320,Cadastro!$C$4:$G$7,5,FALSE)),"")</f>
        <v>0.6</v>
      </c>
      <c r="J320" s="136" t="str">
        <f t="shared" si="71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27">
        <v>5</v>
      </c>
      <c r="H321" s="34" t="str">
        <f t="shared" si="70"/>
        <v/>
      </c>
      <c r="I321" s="135">
        <f>IFERROR(IF($D321="","",VLOOKUP($D321,Cadastro!$C$4:$G$7,5,FALSE)),"")</f>
        <v>0.6</v>
      </c>
      <c r="J321" s="136" t="str">
        <f t="shared" si="71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27">
        <v>2</v>
      </c>
      <c r="H322" s="28" t="str">
        <f t="shared" si="70"/>
        <v/>
      </c>
      <c r="I322" s="135">
        <f>IFERROR(IF($D322="","",VLOOKUP($D322,Cadastro!$C$4:$G$7,5,FALSE)),"")</f>
        <v>0.6</v>
      </c>
      <c r="J322" s="136" t="str">
        <f t="shared" si="71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27">
        <v>0</v>
      </c>
      <c r="H323" s="34" t="str">
        <f t="shared" si="70"/>
        <v/>
      </c>
      <c r="I323" s="138">
        <f>IFERROR(IF($D323="","",VLOOKUP($D323,Cadastro!$C$4:$G$7,5,FALSE)),"")</f>
        <v>0.6</v>
      </c>
      <c r="J323" s="139" t="str">
        <f t="shared" si="71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47"/>
    </row>
    <row r="324" spans="1:20" ht="15.75" customHeight="1" thickBot="1" x14ac:dyDescent="0.3">
      <c r="A324" s="149" t="s">
        <v>244</v>
      </c>
      <c r="B324" s="150"/>
      <c r="C324" s="150"/>
      <c r="D324" s="150"/>
      <c r="E324" s="150">
        <f>SUM(E312:E323)</f>
        <v>0</v>
      </c>
      <c r="F324" s="111"/>
      <c r="G324" s="80">
        <f>SUM(G312:G323)</f>
        <v>62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0</v>
      </c>
    </row>
    <row r="325" spans="1:20" ht="18" customHeight="1" x14ac:dyDescent="0.25">
      <c r="A325" s="151" t="s">
        <v>245</v>
      </c>
      <c r="B325" s="152"/>
      <c r="C325" s="152"/>
      <c r="D325" s="152"/>
      <c r="E325" s="152">
        <f>E311+E324</f>
        <v>0</v>
      </c>
      <c r="F325" s="112"/>
      <c r="G325" s="91">
        <f>G311+G324</f>
        <v>185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0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/>
      <c r="F326" s="140">
        <f>IFERROR(IF($D326="","",VLOOKUP($D326,Cadastro!$C$4:$E$7,3,FALSE)),"")</f>
        <v>0.23</v>
      </c>
      <c r="G326" s="105"/>
      <c r="H326" s="140" t="str">
        <f>IFERROR(IF($G326="","",$G326*$S$338/$G$338/Cadastro!$E$33),"")</f>
        <v/>
      </c>
      <c r="I326" s="141">
        <f>IFERROR(IF($D326="","",VLOOKUP($D326,Cadastro!$C$4:$G$7,5,FALSE)),"")</f>
        <v>0.6</v>
      </c>
      <c r="J326" s="142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27"/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/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 t="str">
        <f t="shared" si="75"/>
        <v/>
      </c>
      <c r="L327" s="26"/>
      <c r="M327" s="26"/>
      <c r="N327" s="26"/>
      <c r="O327" s="29"/>
      <c r="P327" s="29"/>
      <c r="Q327" s="35" t="str">
        <f t="shared" ca="1" si="76"/>
        <v/>
      </c>
      <c r="R327" s="27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/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27"/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/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27"/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27"/>
      <c r="S337" s="47"/>
    </row>
    <row r="338" spans="1:20" ht="15.75" customHeight="1" thickBot="1" x14ac:dyDescent="0.3">
      <c r="A338" s="149" t="s">
        <v>241</v>
      </c>
      <c r="B338" s="150"/>
      <c r="C338" s="150"/>
      <c r="D338" s="150"/>
      <c r="E338" s="150">
        <f>SUM(E326:E337)</f>
        <v>0</v>
      </c>
      <c r="F338" s="110"/>
      <c r="G338" s="80">
        <f>SUM(G326:G337)</f>
        <v>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47"/>
    </row>
    <row r="351" spans="1:20" ht="15.75" customHeight="1" thickBot="1" x14ac:dyDescent="0.3">
      <c r="A351" s="149" t="s">
        <v>244</v>
      </c>
      <c r="B351" s="150"/>
      <c r="C351" s="150"/>
      <c r="D351" s="150"/>
      <c r="E351" s="150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1" t="s">
        <v>245</v>
      </c>
      <c r="B352" s="152"/>
      <c r="C352" s="152"/>
      <c r="D352" s="152"/>
      <c r="E352" s="152">
        <f>E338+E351</f>
        <v>0</v>
      </c>
      <c r="F352" s="112"/>
      <c r="G352" s="91">
        <f>G338+G351</f>
        <v>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47"/>
    </row>
    <row r="365" spans="1:20" ht="15.75" customHeight="1" thickBot="1" x14ac:dyDescent="0.3">
      <c r="A365" s="149" t="s">
        <v>241</v>
      </c>
      <c r="B365" s="150"/>
      <c r="C365" s="150"/>
      <c r="D365" s="150"/>
      <c r="E365" s="150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47"/>
    </row>
    <row r="378" spans="1:20" ht="15.75" customHeight="1" thickBot="1" x14ac:dyDescent="0.3">
      <c r="A378" s="149" t="s">
        <v>244</v>
      </c>
      <c r="B378" s="150"/>
      <c r="C378" s="150"/>
      <c r="D378" s="150"/>
      <c r="E378" s="150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1" t="s">
        <v>245</v>
      </c>
      <c r="B379" s="152"/>
      <c r="C379" s="152"/>
      <c r="D379" s="152"/>
      <c r="E379" s="152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/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47"/>
    </row>
    <row r="392" spans="1:20" ht="15.75" customHeight="1" thickBot="1" x14ac:dyDescent="0.3">
      <c r="A392" s="149" t="s">
        <v>241</v>
      </c>
      <c r="B392" s="150"/>
      <c r="C392" s="150"/>
      <c r="D392" s="150"/>
      <c r="E392" s="150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47"/>
    </row>
    <row r="405" spans="1:20" ht="15.75" customHeight="1" thickBot="1" x14ac:dyDescent="0.3">
      <c r="A405" s="149" t="s">
        <v>244</v>
      </c>
      <c r="B405" s="150"/>
      <c r="C405" s="150"/>
      <c r="D405" s="150"/>
      <c r="E405" s="150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1" t="s">
        <v>245</v>
      </c>
      <c r="B406" s="152"/>
      <c r="C406" s="152"/>
      <c r="D406" s="152"/>
      <c r="E406" s="152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</row>
    <row r="419" spans="1:20" ht="15.75" customHeight="1" thickBot="1" x14ac:dyDescent="0.3">
      <c r="A419" s="149" t="s">
        <v>241</v>
      </c>
      <c r="B419" s="150"/>
      <c r="C419" s="150"/>
      <c r="D419" s="150"/>
      <c r="E419" s="150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85" t="str">
        <f t="shared" ca="1" si="104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47"/>
    </row>
    <row r="432" spans="1:20" ht="15.75" customHeight="1" thickBot="1" x14ac:dyDescent="0.3">
      <c r="A432" s="149" t="s">
        <v>244</v>
      </c>
      <c r="B432" s="150"/>
      <c r="C432" s="150"/>
      <c r="D432" s="150"/>
      <c r="E432" s="150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 x14ac:dyDescent="0.25">
      <c r="A433" s="151" t="s">
        <v>245</v>
      </c>
      <c r="B433" s="152"/>
      <c r="C433" s="152"/>
      <c r="D433" s="152"/>
      <c r="E433" s="152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47"/>
    </row>
    <row r="446" spans="1:20" ht="15.75" customHeight="1" thickBot="1" x14ac:dyDescent="0.3">
      <c r="A446" s="149" t="s">
        <v>241</v>
      </c>
      <c r="B446" s="150"/>
      <c r="C446" s="150"/>
      <c r="D446" s="150"/>
      <c r="E446" s="150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47"/>
    </row>
    <row r="459" spans="1:20" ht="15.75" customHeight="1" thickBot="1" x14ac:dyDescent="0.3">
      <c r="A459" s="149" t="s">
        <v>244</v>
      </c>
      <c r="B459" s="150"/>
      <c r="C459" s="150"/>
      <c r="D459" s="150"/>
      <c r="E459" s="15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1" t="s">
        <v>245</v>
      </c>
      <c r="B460" s="152"/>
      <c r="C460" s="152"/>
      <c r="D460" s="152"/>
      <c r="E460" s="15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47"/>
    </row>
    <row r="473" spans="1:20" ht="15.75" customHeight="1" thickBot="1" x14ac:dyDescent="0.3">
      <c r="A473" s="149" t="s">
        <v>241</v>
      </c>
      <c r="B473" s="150"/>
      <c r="C473" s="150"/>
      <c r="D473" s="150"/>
      <c r="E473" s="15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47"/>
    </row>
    <row r="486" spans="1:20" ht="15.75" customHeight="1" thickBot="1" x14ac:dyDescent="0.3">
      <c r="A486" s="149" t="s">
        <v>244</v>
      </c>
      <c r="B486" s="150"/>
      <c r="C486" s="150"/>
      <c r="D486" s="150"/>
      <c r="E486" s="15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1" t="s">
        <v>245</v>
      </c>
      <c r="B487" s="152"/>
      <c r="C487" s="152"/>
      <c r="D487" s="152"/>
      <c r="E487" s="15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27"/>
      <c r="S499" s="47"/>
    </row>
    <row r="500" spans="1:20" ht="15.75" customHeight="1" thickBot="1" x14ac:dyDescent="0.3">
      <c r="A500" s="149" t="s">
        <v>241</v>
      </c>
      <c r="B500" s="150"/>
      <c r="C500" s="150"/>
      <c r="D500" s="150"/>
      <c r="E500" s="15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47"/>
    </row>
    <row r="513" spans="1:20" ht="15.75" customHeight="1" thickBot="1" x14ac:dyDescent="0.3">
      <c r="A513" s="149" t="s">
        <v>244</v>
      </c>
      <c r="B513" s="150"/>
      <c r="C513" s="150"/>
      <c r="D513" s="150"/>
      <c r="E513" s="15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1" t="s">
        <v>245</v>
      </c>
      <c r="B514" s="152"/>
      <c r="C514" s="152"/>
      <c r="D514" s="152"/>
      <c r="E514" s="15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47"/>
    </row>
    <row r="527" spans="1:20" ht="15.75" customHeight="1" thickBot="1" x14ac:dyDescent="0.3">
      <c r="A527" s="149" t="s">
        <v>241</v>
      </c>
      <c r="B527" s="150"/>
      <c r="C527" s="150"/>
      <c r="D527" s="150"/>
      <c r="E527" s="15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47"/>
    </row>
    <row r="540" spans="1:20" ht="15.75" customHeight="1" thickBot="1" x14ac:dyDescent="0.3">
      <c r="A540" s="149" t="s">
        <v>244</v>
      </c>
      <c r="B540" s="150"/>
      <c r="C540" s="150"/>
      <c r="D540" s="150"/>
      <c r="E540" s="15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1" t="s">
        <v>245</v>
      </c>
      <c r="B541" s="152"/>
      <c r="C541" s="152"/>
      <c r="D541" s="152"/>
      <c r="E541" s="15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47"/>
    </row>
    <row r="554" spans="1:20" ht="15.75" customHeight="1" thickBot="1" x14ac:dyDescent="0.3">
      <c r="A554" s="149" t="s">
        <v>241</v>
      </c>
      <c r="B554" s="150"/>
      <c r="C554" s="150"/>
      <c r="D554" s="150"/>
      <c r="E554" s="15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27"/>
      <c r="S566" s="47"/>
    </row>
    <row r="567" spans="1:20" ht="15.75" customHeight="1" thickBot="1" x14ac:dyDescent="0.3">
      <c r="A567" s="149" t="s">
        <v>244</v>
      </c>
      <c r="B567" s="150"/>
      <c r="C567" s="150"/>
      <c r="D567" s="150"/>
      <c r="E567" s="15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1" t="s">
        <v>245</v>
      </c>
      <c r="B568" s="152"/>
      <c r="C568" s="152"/>
      <c r="D568" s="152"/>
      <c r="E568" s="15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27"/>
      <c r="S580" s="47"/>
    </row>
    <row r="581" spans="1:20" ht="15.75" customHeight="1" thickBot="1" x14ac:dyDescent="0.3">
      <c r="A581" s="149" t="s">
        <v>241</v>
      </c>
      <c r="B581" s="150"/>
      <c r="C581" s="150"/>
      <c r="D581" s="150"/>
      <c r="E581" s="15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47"/>
    </row>
    <row r="590" spans="1:20" ht="15" customHeight="1" x14ac:dyDescent="0.25"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47"/>
    </row>
    <row r="594" spans="1:20" ht="15.75" customHeight="1" thickBot="1" x14ac:dyDescent="0.3">
      <c r="A594" s="149" t="s">
        <v>244</v>
      </c>
      <c r="B594" s="150"/>
      <c r="C594" s="150"/>
      <c r="D594" s="150"/>
      <c r="E594" s="15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1" t="s">
        <v>245</v>
      </c>
      <c r="B595" s="152"/>
      <c r="C595" s="152"/>
      <c r="D595" s="152"/>
      <c r="E595" s="15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47"/>
    </row>
    <row r="608" spans="1:20" ht="15.75" customHeight="1" thickBot="1" x14ac:dyDescent="0.3">
      <c r="A608" s="149" t="s">
        <v>241</v>
      </c>
      <c r="B608" s="150"/>
      <c r="C608" s="150"/>
      <c r="D608" s="150"/>
      <c r="E608" s="15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47"/>
    </row>
    <row r="621" spans="1:20" ht="15.75" customHeight="1" thickBot="1" x14ac:dyDescent="0.3">
      <c r="A621" s="149" t="s">
        <v>244</v>
      </c>
      <c r="B621" s="150"/>
      <c r="C621" s="150"/>
      <c r="D621" s="150"/>
      <c r="E621" s="15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1" t="s">
        <v>245</v>
      </c>
      <c r="B622" s="152"/>
      <c r="C622" s="152"/>
      <c r="D622" s="152"/>
      <c r="E622" s="15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47"/>
    </row>
    <row r="635" spans="1:20" ht="15.75" customHeight="1" thickBot="1" x14ac:dyDescent="0.3">
      <c r="A635" s="149" t="s">
        <v>241</v>
      </c>
      <c r="B635" s="150"/>
      <c r="C635" s="150"/>
      <c r="D635" s="150"/>
      <c r="E635" s="15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47"/>
    </row>
    <row r="648" spans="1:20" ht="15.75" customHeight="1" thickBot="1" x14ac:dyDescent="0.3">
      <c r="A648" s="149" t="s">
        <v>244</v>
      </c>
      <c r="B648" s="150"/>
      <c r="C648" s="150"/>
      <c r="D648" s="150"/>
      <c r="E648" s="15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1" t="s">
        <v>245</v>
      </c>
      <c r="B649" s="152"/>
      <c r="C649" s="152"/>
      <c r="D649" s="152"/>
      <c r="E649" s="15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47"/>
    </row>
    <row r="662" spans="1:20" ht="15.75" customHeight="1" thickBot="1" x14ac:dyDescent="0.3">
      <c r="A662" s="149" t="s">
        <v>241</v>
      </c>
      <c r="B662" s="150"/>
      <c r="C662" s="150"/>
      <c r="D662" s="150"/>
      <c r="E662" s="15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47"/>
    </row>
    <row r="675" spans="1:20" ht="15.75" customHeight="1" thickBot="1" x14ac:dyDescent="0.3">
      <c r="A675" s="149" t="s">
        <v>244</v>
      </c>
      <c r="B675" s="150"/>
      <c r="C675" s="150"/>
      <c r="D675" s="150"/>
      <c r="E675" s="15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1" t="s">
        <v>245</v>
      </c>
      <c r="B676" s="152"/>
      <c r="C676" s="152"/>
      <c r="D676" s="152"/>
      <c r="E676" s="15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47"/>
    </row>
    <row r="689" spans="1:20" ht="15.75" customHeight="1" thickBot="1" x14ac:dyDescent="0.3">
      <c r="A689" s="149" t="s">
        <v>241</v>
      </c>
      <c r="B689" s="150"/>
      <c r="C689" s="150"/>
      <c r="D689" s="150"/>
      <c r="E689" s="15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47"/>
    </row>
    <row r="702" spans="1:20" ht="15.75" customHeight="1" thickBot="1" x14ac:dyDescent="0.3">
      <c r="A702" s="149" t="s">
        <v>244</v>
      </c>
      <c r="B702" s="150"/>
      <c r="C702" s="150"/>
      <c r="D702" s="150"/>
      <c r="E702" s="15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1" t="s">
        <v>245</v>
      </c>
      <c r="B703" s="152"/>
      <c r="C703" s="152"/>
      <c r="D703" s="152"/>
      <c r="E703" s="15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47"/>
    </row>
    <row r="716" spans="1:20" ht="15.75" customHeight="1" thickBot="1" x14ac:dyDescent="0.3">
      <c r="A716" s="149" t="s">
        <v>241</v>
      </c>
      <c r="B716" s="150"/>
      <c r="C716" s="150"/>
      <c r="D716" s="150"/>
      <c r="E716" s="15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47"/>
    </row>
    <row r="729" spans="1:20" ht="15.75" customHeight="1" thickBot="1" x14ac:dyDescent="0.3">
      <c r="A729" s="149" t="s">
        <v>244</v>
      </c>
      <c r="B729" s="150"/>
      <c r="C729" s="150"/>
      <c r="D729" s="150"/>
      <c r="E729" s="15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1" t="s">
        <v>245</v>
      </c>
      <c r="B730" s="152"/>
      <c r="C730" s="152"/>
      <c r="D730" s="152"/>
      <c r="E730" s="15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47"/>
    </row>
    <row r="743" spans="1:20" ht="15.75" customHeight="1" thickBot="1" x14ac:dyDescent="0.3">
      <c r="A743" s="149" t="s">
        <v>241</v>
      </c>
      <c r="B743" s="150"/>
      <c r="C743" s="150"/>
      <c r="D743" s="150"/>
      <c r="E743" s="15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47"/>
    </row>
    <row r="756" spans="1:20" ht="15.75" customHeight="1" thickBot="1" x14ac:dyDescent="0.3">
      <c r="A756" s="149" t="s">
        <v>244</v>
      </c>
      <c r="B756" s="150"/>
      <c r="C756" s="150"/>
      <c r="D756" s="150"/>
      <c r="E756" s="15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1" t="s">
        <v>245</v>
      </c>
      <c r="B757" s="152"/>
      <c r="C757" s="152"/>
      <c r="D757" s="152"/>
      <c r="E757" s="15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47"/>
    </row>
    <row r="770" spans="1:20" ht="15.75" customHeight="1" thickBot="1" x14ac:dyDescent="0.3">
      <c r="A770" s="149" t="s">
        <v>241</v>
      </c>
      <c r="B770" s="150"/>
      <c r="C770" s="150"/>
      <c r="D770" s="150"/>
      <c r="E770" s="15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47"/>
    </row>
    <row r="783" spans="1:20" ht="15.75" customHeight="1" thickBot="1" x14ac:dyDescent="0.3">
      <c r="A783" s="149" t="s">
        <v>244</v>
      </c>
      <c r="B783" s="150"/>
      <c r="C783" s="150"/>
      <c r="D783" s="150"/>
      <c r="E783" s="15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1" t="s">
        <v>245</v>
      </c>
      <c r="B784" s="152"/>
      <c r="C784" s="152"/>
      <c r="D784" s="152"/>
      <c r="E784" s="15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47"/>
    </row>
    <row r="797" spans="1:20" ht="15.75" customHeight="1" thickBot="1" x14ac:dyDescent="0.3">
      <c r="A797" s="149" t="s">
        <v>241</v>
      </c>
      <c r="B797" s="150"/>
      <c r="C797" s="150"/>
      <c r="D797" s="150"/>
      <c r="E797" s="15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47"/>
    </row>
    <row r="810" spans="1:20" ht="15.75" customHeight="1" thickBot="1" x14ac:dyDescent="0.3">
      <c r="A810" s="149" t="s">
        <v>244</v>
      </c>
      <c r="B810" s="150"/>
      <c r="C810" s="150"/>
      <c r="D810" s="150"/>
      <c r="E810" s="15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1" t="s">
        <v>245</v>
      </c>
      <c r="B811" s="152"/>
      <c r="C811" s="152"/>
      <c r="D811" s="152"/>
      <c r="E811" s="15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9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33"/>
      <c r="M813" s="26"/>
      <c r="N813" s="26"/>
      <c r="O813" s="29"/>
      <c r="P813" s="29"/>
      <c r="Q813" s="30" t="str">
        <f t="shared" ca="1" si="219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M814" s="33"/>
      <c r="N814" s="33"/>
      <c r="O814" s="29"/>
      <c r="P814" s="29"/>
      <c r="Q814" s="35" t="str">
        <f t="shared" ca="1" si="219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27"/>
      <c r="S823" s="31"/>
    </row>
    <row r="824" spans="1:20" ht="15.75" customHeight="1" thickBot="1" x14ac:dyDescent="0.3">
      <c r="A824" s="149" t="s">
        <v>241</v>
      </c>
      <c r="B824" s="150"/>
      <c r="C824" s="150"/>
      <c r="D824" s="150"/>
      <c r="E824" s="15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31"/>
    </row>
    <row r="837" spans="1:20" ht="15.75" customHeight="1" thickBot="1" x14ac:dyDescent="0.3">
      <c r="A837" s="149" t="s">
        <v>244</v>
      </c>
      <c r="B837" s="150"/>
      <c r="C837" s="150"/>
      <c r="D837" s="150"/>
      <c r="E837" s="15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1" t="s">
        <v>245</v>
      </c>
      <c r="B838" s="152"/>
      <c r="C838" s="152"/>
      <c r="D838" s="152"/>
      <c r="E838" s="15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YvJKzP3G0kEWbCsSn+fQjrs5rXNUE0anvyuu7KGCQXhFu+14vgnWe3OqmJAIQenaDu3G2FFxwExBvNQmd6Irmw==" saltValue="mBcCXubrA1LE19qjzzAcLA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6" activePane="bottomLeft" state="frozen"/>
      <selection pane="bottomLeft" activeCell="P314" sqref="P314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263</v>
      </c>
      <c r="I1" s="133" t="s">
        <v>18</v>
      </c>
      <c r="J1" s="133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49" t="s">
        <v>241</v>
      </c>
      <c r="B14" s="150"/>
      <c r="C14" s="150"/>
      <c r="D14" s="150"/>
      <c r="E14" s="15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271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49" t="s">
        <v>244</v>
      </c>
      <c r="B27" s="150"/>
      <c r="C27" s="150"/>
      <c r="D27" s="150"/>
      <c r="E27" s="15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 x14ac:dyDescent="0.25">
      <c r="A28" s="151" t="s">
        <v>245</v>
      </c>
      <c r="B28" s="152"/>
      <c r="C28" s="152"/>
      <c r="D28" s="152"/>
      <c r="E28" s="15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49" t="s">
        <v>241</v>
      </c>
      <c r="B41" s="150"/>
      <c r="C41" s="150"/>
      <c r="D41" s="150"/>
      <c r="E41" s="15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49" t="s">
        <v>244</v>
      </c>
      <c r="B54" s="150"/>
      <c r="C54" s="150"/>
      <c r="D54" s="150"/>
      <c r="E54" s="15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 x14ac:dyDescent="0.25">
      <c r="A55" s="151" t="s">
        <v>245</v>
      </c>
      <c r="B55" s="152"/>
      <c r="C55" s="152"/>
      <c r="D55" s="152"/>
      <c r="E55" s="15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49" t="s">
        <v>241</v>
      </c>
      <c r="B68" s="150"/>
      <c r="C68" s="150"/>
      <c r="D68" s="150"/>
      <c r="E68" s="15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49" t="s">
        <v>244</v>
      </c>
      <c r="B81" s="150"/>
      <c r="C81" s="150"/>
      <c r="D81" s="150"/>
      <c r="E81" s="15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 x14ac:dyDescent="0.25">
      <c r="A82" s="151" t="s">
        <v>245</v>
      </c>
      <c r="B82" s="152"/>
      <c r="C82" s="152"/>
      <c r="D82" s="152"/>
      <c r="E82" s="15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49" t="s">
        <v>241</v>
      </c>
      <c r="B95" s="150"/>
      <c r="C95" s="150"/>
      <c r="D95" s="150"/>
      <c r="E95" s="15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49" t="s">
        <v>244</v>
      </c>
      <c r="B108" s="150"/>
      <c r="C108" s="150"/>
      <c r="D108" s="150"/>
      <c r="E108" s="15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 x14ac:dyDescent="0.25">
      <c r="A109" s="151" t="s">
        <v>245</v>
      </c>
      <c r="B109" s="152"/>
      <c r="C109" s="152"/>
      <c r="D109" s="152"/>
      <c r="E109" s="15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49" t="s">
        <v>241</v>
      </c>
      <c r="B122" s="150"/>
      <c r="C122" s="150"/>
      <c r="D122" s="150"/>
      <c r="E122" s="15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274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49" t="s">
        <v>244</v>
      </c>
      <c r="B135" s="150"/>
      <c r="C135" s="150"/>
      <c r="D135" s="150"/>
      <c r="E135" s="15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 x14ac:dyDescent="0.25">
      <c r="A136" s="151" t="s">
        <v>245</v>
      </c>
      <c r="B136" s="152"/>
      <c r="C136" s="152"/>
      <c r="D136" s="152"/>
      <c r="E136" s="15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317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282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49" t="s">
        <v>244</v>
      </c>
      <c r="B162" s="150"/>
      <c r="C162" s="150"/>
      <c r="D162" s="150"/>
      <c r="E162" s="15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 x14ac:dyDescent="0.25">
      <c r="A163" s="151" t="s">
        <v>245</v>
      </c>
      <c r="B163" s="152"/>
      <c r="C163" s="152"/>
      <c r="D163" s="152"/>
      <c r="E163" s="15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49" t="s">
        <v>241</v>
      </c>
      <c r="B176" s="150"/>
      <c r="C176" s="150"/>
      <c r="D176" s="150"/>
      <c r="E176" s="15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49" t="s">
        <v>244</v>
      </c>
      <c r="B189" s="150"/>
      <c r="C189" s="150"/>
      <c r="D189" s="150"/>
      <c r="E189" s="15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 x14ac:dyDescent="0.25">
      <c r="A190" s="151" t="s">
        <v>245</v>
      </c>
      <c r="B190" s="152"/>
      <c r="C190" s="152"/>
      <c r="D190" s="152"/>
      <c r="E190" s="15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49" t="s">
        <v>241</v>
      </c>
      <c r="B203" s="150"/>
      <c r="C203" s="150"/>
      <c r="D203" s="150"/>
      <c r="E203" s="15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49" t="s">
        <v>244</v>
      </c>
      <c r="B216" s="150"/>
      <c r="C216" s="150"/>
      <c r="D216" s="150"/>
      <c r="E216" s="15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 x14ac:dyDescent="0.25">
      <c r="A217" s="151" t="s">
        <v>245</v>
      </c>
      <c r="B217" s="152"/>
      <c r="C217" s="152"/>
      <c r="D217" s="152"/>
      <c r="E217" s="15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49" t="s">
        <v>241</v>
      </c>
      <c r="B230" s="150"/>
      <c r="C230" s="150"/>
      <c r="D230" s="150"/>
      <c r="E230" s="15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49" t="s">
        <v>244</v>
      </c>
      <c r="B243" s="150"/>
      <c r="C243" s="150"/>
      <c r="D243" s="150"/>
      <c r="E243" s="15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 x14ac:dyDescent="0.25">
      <c r="A244" s="151" t="s">
        <v>245</v>
      </c>
      <c r="B244" s="152"/>
      <c r="C244" s="152"/>
      <c r="D244" s="152"/>
      <c r="E244" s="15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330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49" t="s">
        <v>241</v>
      </c>
      <c r="B257" s="150"/>
      <c r="C257" s="150"/>
      <c r="D257" s="150"/>
      <c r="E257" s="15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49" t="s">
        <v>244</v>
      </c>
      <c r="B270" s="150"/>
      <c r="C270" s="150"/>
      <c r="D270" s="150"/>
      <c r="E270" s="15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 x14ac:dyDescent="0.25">
      <c r="A271" s="151" t="s">
        <v>245</v>
      </c>
      <c r="B271" s="152"/>
      <c r="C271" s="152"/>
      <c r="D271" s="152"/>
      <c r="E271" s="15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49" t="s">
        <v>241</v>
      </c>
      <c r="B284" s="150"/>
      <c r="C284" s="150"/>
      <c r="D284" s="150"/>
      <c r="E284" s="15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49" t="s">
        <v>244</v>
      </c>
      <c r="B297" s="150"/>
      <c r="C297" s="150"/>
      <c r="D297" s="150"/>
      <c r="E297" s="15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 x14ac:dyDescent="0.25">
      <c r="A298" s="151" t="s">
        <v>245</v>
      </c>
      <c r="B298" s="152"/>
      <c r="C298" s="152"/>
      <c r="D298" s="152"/>
      <c r="E298" s="15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15</v>
      </c>
      <c r="H299" s="34" t="str">
        <f t="shared" ref="H299:H310" si="66"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36" t="str">
        <f t="shared" ref="J299:J310" si="67">IFERROR(IF($H299="","",$H299*$F299*$I299),"")</f>
        <v/>
      </c>
      <c r="K299" s="34">
        <f t="shared" ref="K299:K310" si="68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9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70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17</v>
      </c>
      <c r="H300" s="28" t="str">
        <f t="shared" si="66"/>
        <v/>
      </c>
      <c r="I300" s="135">
        <f>IFERROR(IF($D300="","",VLOOKUP($D300,Cadastro!$C$4:$G$7,5,FALSE)),"")</f>
        <v>0.6</v>
      </c>
      <c r="J300" s="136" t="str">
        <f t="shared" si="67"/>
        <v/>
      </c>
      <c r="K300" s="28">
        <f t="shared" si="68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9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70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22</v>
      </c>
      <c r="H301" s="34" t="str">
        <f t="shared" si="66"/>
        <v/>
      </c>
      <c r="I301" s="135">
        <f>IFERROR(IF($D301="","",VLOOKUP($D301,Cadastro!$C$4:$G$7,5,FALSE)),"")</f>
        <v>0.6</v>
      </c>
      <c r="J301" s="136" t="str">
        <f t="shared" si="67"/>
        <v/>
      </c>
      <c r="K301" s="34">
        <f t="shared" si="68"/>
        <v>92.4</v>
      </c>
      <c r="L301" s="33" t="s">
        <v>21</v>
      </c>
      <c r="M301" s="33"/>
      <c r="N301" s="33" t="s">
        <v>91</v>
      </c>
      <c r="O301" s="170">
        <v>0.66249999999999998</v>
      </c>
      <c r="P301" s="29">
        <v>0.71527777777777779</v>
      </c>
      <c r="Q301" s="35">
        <f t="shared" ca="1" si="69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70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10</v>
      </c>
      <c r="H302" s="28" t="str">
        <f t="shared" si="66"/>
        <v/>
      </c>
      <c r="I302" s="135">
        <f>IFERROR(IF($D302="","",VLOOKUP($D302,Cadastro!$C$4:$G$7,5,FALSE)),"")</f>
        <v>0.6</v>
      </c>
      <c r="J302" s="136" t="str">
        <f t="shared" si="67"/>
        <v/>
      </c>
      <c r="K302" s="28">
        <f t="shared" si="68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9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70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29</v>
      </c>
      <c r="H303" s="34" t="str">
        <f t="shared" si="66"/>
        <v/>
      </c>
      <c r="I303" s="135">
        <f>IFERROR(IF($D303="","",VLOOKUP($D303,Cadastro!$C$4:$G$7,5,FALSE)),"")</f>
        <v>0.6</v>
      </c>
      <c r="J303" s="136" t="str">
        <f t="shared" si="67"/>
        <v/>
      </c>
      <c r="K303" s="34">
        <f t="shared" si="68"/>
        <v>121.80000000000001</v>
      </c>
      <c r="L303" s="33"/>
      <c r="M303" s="33"/>
      <c r="N303" s="33"/>
      <c r="O303" s="29"/>
      <c r="P303" s="29"/>
      <c r="Q303" s="35" t="str">
        <f t="shared" ca="1" si="69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70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30</v>
      </c>
      <c r="H304" s="28" t="str">
        <f t="shared" si="66"/>
        <v/>
      </c>
      <c r="I304" s="135">
        <f>IFERROR(IF($D304="","",VLOOKUP($D304,Cadastro!$C$4:$G$7,5,FALSE)),"")</f>
        <v>0.6</v>
      </c>
      <c r="J304" s="136" t="str">
        <f t="shared" si="67"/>
        <v/>
      </c>
      <c r="K304" s="28">
        <f t="shared" si="68"/>
        <v>126</v>
      </c>
      <c r="L304" s="26"/>
      <c r="M304" s="26"/>
      <c r="N304" s="26"/>
      <c r="O304" s="29"/>
      <c r="P304" s="29"/>
      <c r="Q304" s="30" t="str">
        <f t="shared" ca="1" si="69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70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20</v>
      </c>
      <c r="H305" s="34" t="str">
        <f t="shared" si="66"/>
        <v/>
      </c>
      <c r="I305" s="135">
        <f>IFERROR(IF($D305="","",VLOOKUP($D305,Cadastro!$C$4:$G$7,5,FALSE)),"")</f>
        <v>0.6</v>
      </c>
      <c r="J305" s="136" t="str">
        <f t="shared" si="67"/>
        <v/>
      </c>
      <c r="K305" s="34">
        <f t="shared" si="68"/>
        <v>84</v>
      </c>
      <c r="L305" s="33"/>
      <c r="M305" s="33"/>
      <c r="N305" s="33"/>
      <c r="O305" s="29"/>
      <c r="P305" s="29"/>
      <c r="Q305" s="35" t="str">
        <f t="shared" ca="1" si="69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70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27">
        <v>10</v>
      </c>
      <c r="H306" s="28" t="str">
        <f t="shared" si="66"/>
        <v/>
      </c>
      <c r="I306" s="135">
        <f>IFERROR(IF($D306="","",VLOOKUP($D306,Cadastro!$C$4:$G$7,5,FALSE)),"")</f>
        <v>0.6</v>
      </c>
      <c r="J306" s="136" t="str">
        <f t="shared" si="67"/>
        <v/>
      </c>
      <c r="K306" s="28">
        <f t="shared" si="68"/>
        <v>42</v>
      </c>
      <c r="L306" s="26"/>
      <c r="M306" s="26"/>
      <c r="N306" s="26"/>
      <c r="O306" s="29"/>
      <c r="P306" s="29"/>
      <c r="Q306" s="30" t="str">
        <f t="shared" ca="1" si="69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70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27">
        <v>15</v>
      </c>
      <c r="H307" s="34" t="str">
        <f t="shared" si="66"/>
        <v/>
      </c>
      <c r="I307" s="135">
        <f>IFERROR(IF($D307="","",VLOOKUP($D307,Cadastro!$C$4:$G$7,5,FALSE)),"")</f>
        <v>0.6</v>
      </c>
      <c r="J307" s="136" t="str">
        <f t="shared" si="67"/>
        <v/>
      </c>
      <c r="K307" s="34">
        <f t="shared" si="68"/>
        <v>63</v>
      </c>
      <c r="L307" s="33"/>
      <c r="M307" s="33"/>
      <c r="N307" s="33"/>
      <c r="O307" s="29"/>
      <c r="P307" s="29"/>
      <c r="Q307" s="35" t="str">
        <f t="shared" ca="1" si="69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70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27">
        <v>0</v>
      </c>
      <c r="H308" s="28" t="str">
        <f t="shared" si="66"/>
        <v/>
      </c>
      <c r="I308" s="135">
        <f>IFERROR(IF($D308="","",VLOOKUP($D308,Cadastro!$C$4:$G$7,5,FALSE)),"")</f>
        <v>0.6</v>
      </c>
      <c r="J308" s="136" t="str">
        <f t="shared" si="67"/>
        <v/>
      </c>
      <c r="K308" s="28">
        <f t="shared" si="68"/>
        <v>0</v>
      </c>
      <c r="L308" s="26"/>
      <c r="M308" s="26"/>
      <c r="N308" s="26"/>
      <c r="O308" s="29"/>
      <c r="P308" s="29"/>
      <c r="Q308" s="30" t="str">
        <f t="shared" ca="1" si="69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70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27">
        <v>14</v>
      </c>
      <c r="H309" s="34" t="str">
        <f t="shared" si="66"/>
        <v/>
      </c>
      <c r="I309" s="135">
        <f>IFERROR(IF($D309="","",VLOOKUP($D309,Cadastro!$C$4:$G$7,5,FALSE)),"")</f>
        <v>0.6</v>
      </c>
      <c r="J309" s="136" t="str">
        <f t="shared" si="67"/>
        <v/>
      </c>
      <c r="K309" s="34">
        <f t="shared" si="68"/>
        <v>58.800000000000004</v>
      </c>
      <c r="L309" s="33"/>
      <c r="M309" s="33"/>
      <c r="N309" s="33"/>
      <c r="O309" s="29"/>
      <c r="P309" s="29"/>
      <c r="Q309" s="35" t="str">
        <f t="shared" ca="1" si="69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70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27">
        <v>10</v>
      </c>
      <c r="H310" s="28" t="str">
        <f t="shared" si="66"/>
        <v/>
      </c>
      <c r="I310" s="138">
        <f>IFERROR(IF($D310="","",VLOOKUP($D310,Cadastro!$C$4:$G$7,5,FALSE)),"")</f>
        <v>0.6</v>
      </c>
      <c r="J310" s="139" t="str">
        <f t="shared" si="67"/>
        <v/>
      </c>
      <c r="K310" s="28">
        <f t="shared" si="68"/>
        <v>42</v>
      </c>
      <c r="L310" s="26"/>
      <c r="M310" s="26"/>
      <c r="N310" s="26"/>
      <c r="O310" s="29"/>
      <c r="P310" s="29"/>
      <c r="Q310" s="30" t="str">
        <f t="shared" ca="1" si="69"/>
        <v/>
      </c>
      <c r="R310" s="27"/>
      <c r="S310" s="60"/>
    </row>
    <row r="311" spans="1:20" ht="15.75" customHeight="1" thickBot="1" x14ac:dyDescent="0.3">
      <c r="A311" s="149" t="s">
        <v>241</v>
      </c>
      <c r="B311" s="150"/>
      <c r="C311" s="150"/>
      <c r="D311" s="150"/>
      <c r="E311" s="150">
        <f>SUM(E299:E310)</f>
        <v>0</v>
      </c>
      <c r="F311" s="110"/>
      <c r="G311" s="80">
        <f>SUM(G299:G310)</f>
        <v>192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0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27">
        <v>23</v>
      </c>
      <c r="H312" s="28" t="str">
        <f t="shared" ref="H312:H323" si="71"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2">IFERROR(IF($H312="","",$H312*$F312*$I312),"")</f>
        <v/>
      </c>
      <c r="K312" s="28">
        <f t="shared" ref="K312:K323" si="73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4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5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27">
        <v>17</v>
      </c>
      <c r="H313" s="34" t="str">
        <f t="shared" si="71"/>
        <v/>
      </c>
      <c r="I313" s="135">
        <f>IFERROR(IF($D313="","",VLOOKUP($D313,Cadastro!$C$4:$G$7,5,FALSE)),"")</f>
        <v>0.6</v>
      </c>
      <c r="J313" s="136" t="str">
        <f t="shared" si="72"/>
        <v/>
      </c>
      <c r="K313" s="34">
        <f t="shared" si="73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4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5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27">
        <v>35</v>
      </c>
      <c r="H314" s="28" t="str">
        <f t="shared" si="71"/>
        <v/>
      </c>
      <c r="I314" s="135">
        <f>IFERROR(IF($D314="","",VLOOKUP($D314,Cadastro!$C$4:$G$7,5,FALSE)),"")</f>
        <v>0.6</v>
      </c>
      <c r="J314" s="136" t="str">
        <f t="shared" si="72"/>
        <v/>
      </c>
      <c r="K314" s="28">
        <f t="shared" si="73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4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5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27">
        <v>3</v>
      </c>
      <c r="H315" s="34" t="str">
        <f t="shared" si="71"/>
        <v/>
      </c>
      <c r="I315" s="135">
        <f>IFERROR(IF($D315="","",VLOOKUP($D315,Cadastro!$C$4:$G$7,5,FALSE)),"")</f>
        <v>0.6</v>
      </c>
      <c r="J315" s="136" t="str">
        <f t="shared" si="72"/>
        <v/>
      </c>
      <c r="K315" s="34">
        <f t="shared" si="73"/>
        <v>12.600000000000001</v>
      </c>
      <c r="L315" s="33"/>
      <c r="M315" s="33"/>
      <c r="N315" s="33"/>
      <c r="O315" s="29"/>
      <c r="P315" s="29"/>
      <c r="Q315" s="35" t="str">
        <f t="shared" ca="1" si="74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5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27">
        <v>20</v>
      </c>
      <c r="H316" s="28" t="str">
        <f t="shared" si="71"/>
        <v/>
      </c>
      <c r="I316" s="135">
        <f>IFERROR(IF($D316="","",VLOOKUP($D316,Cadastro!$C$4:$G$7,5,FALSE)),"")</f>
        <v>0.6</v>
      </c>
      <c r="J316" s="136" t="str">
        <f t="shared" si="72"/>
        <v/>
      </c>
      <c r="K316" s="28">
        <f t="shared" si="73"/>
        <v>84</v>
      </c>
      <c r="L316" s="26"/>
      <c r="M316" s="26"/>
      <c r="N316" s="26"/>
      <c r="O316" s="29"/>
      <c r="P316" s="29"/>
      <c r="Q316" s="30" t="str">
        <f t="shared" ca="1" si="74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5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27">
        <v>24</v>
      </c>
      <c r="H317" s="34" t="str">
        <f t="shared" si="71"/>
        <v/>
      </c>
      <c r="I317" s="135">
        <f>IFERROR(IF($D317="","",VLOOKUP($D317,Cadastro!$C$4:$G$7,5,FALSE)),"")</f>
        <v>0.6</v>
      </c>
      <c r="J317" s="136" t="str">
        <f t="shared" si="72"/>
        <v/>
      </c>
      <c r="K317" s="34">
        <f t="shared" si="73"/>
        <v>100.80000000000001</v>
      </c>
      <c r="L317" s="33"/>
      <c r="M317" s="33"/>
      <c r="N317" s="33"/>
      <c r="O317" s="29"/>
      <c r="P317" s="29"/>
      <c r="Q317" s="35" t="str">
        <f t="shared" ca="1" si="74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5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27">
        <v>14</v>
      </c>
      <c r="H318" s="28" t="str">
        <f t="shared" si="71"/>
        <v/>
      </c>
      <c r="I318" s="135">
        <f>IFERROR(IF($D318="","",VLOOKUP($D318,Cadastro!$C$4:$G$7,5,FALSE)),"")</f>
        <v>0.6</v>
      </c>
      <c r="J318" s="136" t="str">
        <f t="shared" si="72"/>
        <v/>
      </c>
      <c r="K318" s="28">
        <f t="shared" si="73"/>
        <v>58.800000000000004</v>
      </c>
      <c r="L318" s="26"/>
      <c r="M318" s="26"/>
      <c r="N318" s="26"/>
      <c r="O318" s="29"/>
      <c r="P318" s="29"/>
      <c r="Q318" s="30" t="str">
        <f t="shared" ca="1" si="74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5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27">
        <v>24</v>
      </c>
      <c r="H319" s="34" t="str">
        <f t="shared" si="71"/>
        <v/>
      </c>
      <c r="I319" s="135">
        <f>IFERROR(IF($D319="","",VLOOKUP($D319,Cadastro!$C$4:$G$7,5,FALSE)),"")</f>
        <v>0.6</v>
      </c>
      <c r="J319" s="136" t="str">
        <f t="shared" si="72"/>
        <v/>
      </c>
      <c r="K319" s="34">
        <f t="shared" si="73"/>
        <v>100.80000000000001</v>
      </c>
      <c r="L319" s="33"/>
      <c r="M319" s="33"/>
      <c r="N319" s="33"/>
      <c r="O319" s="29"/>
      <c r="P319" s="29"/>
      <c r="Q319" s="35" t="str">
        <f t="shared" ca="1" si="74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5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27">
        <v>17</v>
      </c>
      <c r="H320" s="28" t="str">
        <f t="shared" si="71"/>
        <v/>
      </c>
      <c r="I320" s="135">
        <f>IFERROR(IF($D320="","",VLOOKUP($D320,Cadastro!$C$4:$G$7,5,FALSE)),"")</f>
        <v>0.6</v>
      </c>
      <c r="J320" s="136" t="str">
        <f t="shared" si="72"/>
        <v/>
      </c>
      <c r="K320" s="28">
        <f t="shared" si="73"/>
        <v>71.400000000000006</v>
      </c>
      <c r="L320" s="26"/>
      <c r="M320" s="26"/>
      <c r="N320" s="26"/>
      <c r="O320" s="29"/>
      <c r="P320" s="29"/>
      <c r="Q320" s="30" t="str">
        <f t="shared" ca="1" si="74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5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27">
        <v>16</v>
      </c>
      <c r="H321" s="34" t="str">
        <f t="shared" si="71"/>
        <v/>
      </c>
      <c r="I321" s="135">
        <f>IFERROR(IF($D321="","",VLOOKUP($D321,Cadastro!$C$4:$G$7,5,FALSE)),"")</f>
        <v>0.6</v>
      </c>
      <c r="J321" s="136" t="str">
        <f t="shared" si="72"/>
        <v/>
      </c>
      <c r="K321" s="34">
        <f t="shared" si="73"/>
        <v>67.2</v>
      </c>
      <c r="L321" s="33"/>
      <c r="M321" s="33"/>
      <c r="N321" s="33"/>
      <c r="O321" s="29"/>
      <c r="P321" s="29"/>
      <c r="Q321" s="35" t="str">
        <f t="shared" ca="1" si="74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5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27">
        <v>20</v>
      </c>
      <c r="H322" s="28" t="str">
        <f t="shared" si="71"/>
        <v/>
      </c>
      <c r="I322" s="135">
        <f>IFERROR(IF($D322="","",VLOOKUP($D322,Cadastro!$C$4:$G$7,5,FALSE)),"")</f>
        <v>0.6</v>
      </c>
      <c r="J322" s="136" t="str">
        <f t="shared" si="72"/>
        <v/>
      </c>
      <c r="K322" s="28">
        <f t="shared" si="73"/>
        <v>84</v>
      </c>
      <c r="L322" s="26"/>
      <c r="M322" s="26"/>
      <c r="N322" s="26"/>
      <c r="O322" s="29"/>
      <c r="P322" s="29"/>
      <c r="Q322" s="30" t="str">
        <f t="shared" ca="1" si="74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5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27">
        <v>18</v>
      </c>
      <c r="H323" s="34" t="str">
        <f t="shared" si="71"/>
        <v/>
      </c>
      <c r="I323" s="138">
        <f>IFERROR(IF($D323="","",VLOOKUP($D323,Cadastro!$C$4:$G$7,5,FALSE)),"")</f>
        <v>0.6</v>
      </c>
      <c r="J323" s="139" t="str">
        <f t="shared" si="72"/>
        <v/>
      </c>
      <c r="K323" s="34">
        <f t="shared" si="73"/>
        <v>75.600000000000009</v>
      </c>
      <c r="L323" s="33"/>
      <c r="M323" s="33"/>
      <c r="N323" s="33"/>
      <c r="O323" s="29"/>
      <c r="P323" s="29"/>
      <c r="Q323" s="35" t="str">
        <f t="shared" ca="1" si="74"/>
        <v/>
      </c>
      <c r="R323" s="27"/>
      <c r="S323" s="60"/>
    </row>
    <row r="324" spans="1:20" ht="15.75" customHeight="1" thickBot="1" x14ac:dyDescent="0.3">
      <c r="A324" s="149" t="s">
        <v>244</v>
      </c>
      <c r="B324" s="150"/>
      <c r="C324" s="150"/>
      <c r="D324" s="150"/>
      <c r="E324" s="150">
        <f>SUM(E312:E323)</f>
        <v>0</v>
      </c>
      <c r="F324" s="111"/>
      <c r="G324" s="80">
        <f>SUM(G312:G323)</f>
        <v>231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0</v>
      </c>
    </row>
    <row r="325" spans="1:20" ht="18" customHeight="1" x14ac:dyDescent="0.25">
      <c r="A325" s="151" t="s">
        <v>245</v>
      </c>
      <c r="B325" s="152"/>
      <c r="C325" s="152"/>
      <c r="D325" s="152"/>
      <c r="E325" s="152">
        <f>E311+E324</f>
        <v>0</v>
      </c>
      <c r="F325" s="112"/>
      <c r="G325" s="91">
        <f>G311+G324</f>
        <v>423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0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256</v>
      </c>
      <c r="F326" s="140">
        <f>IFERROR(IF($D326="","",VLOOKUP($D326,Cadastro!$C$4:$E$7,3,FALSE)),"")</f>
        <v>0.23</v>
      </c>
      <c r="G326" s="105"/>
      <c r="H326" s="140" t="str">
        <f>IFERROR(IF($G326="","",$G326*$S$338/$G$338/Cadastro!$E$33),"")</f>
        <v/>
      </c>
      <c r="I326" s="141">
        <f>IFERROR(IF($D326="","",VLOOKUP($D326,Cadastro!$C$4:$G$7,5,FALSE)),"")</f>
        <v>0.6</v>
      </c>
      <c r="J326" s="142" t="str">
        <f t="shared" ref="J326:J337" si="76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7">IFERROR(IF(O326="","",IF(P326="",MOD(NOW()-O326,1),IF(P326&gt;=O326,P326-O326,P326+1-O326))),"")</f>
        <v/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8">B326+TIME(0,60,0)</f>
        <v>0.37499999999999967</v>
      </c>
      <c r="C327" s="26" t="s">
        <v>34</v>
      </c>
      <c r="D327" s="59" t="s">
        <v>35</v>
      </c>
      <c r="E327" s="108" t="s">
        <v>256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6"/>
        <v/>
      </c>
      <c r="K327" s="34"/>
      <c r="L327" s="33"/>
      <c r="M327" s="33"/>
      <c r="N327" s="33"/>
      <c r="O327" s="29"/>
      <c r="P327" s="29"/>
      <c r="Q327" s="35" t="str">
        <f t="shared" ca="1" si="77"/>
        <v/>
      </c>
      <c r="R327" s="27"/>
      <c r="S327" s="60"/>
    </row>
    <row r="328" spans="1:20" ht="15" customHeight="1" x14ac:dyDescent="0.25">
      <c r="A328" s="67">
        <v>46247</v>
      </c>
      <c r="B328" s="25">
        <f t="shared" si="78"/>
        <v>0.41666666666666635</v>
      </c>
      <c r="C328" s="26" t="s">
        <v>34</v>
      </c>
      <c r="D328" s="59" t="s">
        <v>35</v>
      </c>
      <c r="E328" s="108" t="s">
        <v>256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6"/>
        <v/>
      </c>
      <c r="K328" s="28" t="str">
        <f t="shared" ref="K328:K337" si="79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7"/>
        <v/>
      </c>
      <c r="R328" s="27"/>
      <c r="S328" s="60"/>
    </row>
    <row r="329" spans="1:20" ht="15" customHeight="1" x14ac:dyDescent="0.25">
      <c r="A329" s="68">
        <v>46247</v>
      </c>
      <c r="B329" s="32">
        <f t="shared" si="78"/>
        <v>0.45833333333333304</v>
      </c>
      <c r="C329" s="26" t="s">
        <v>34</v>
      </c>
      <c r="D329" s="59" t="s">
        <v>35</v>
      </c>
      <c r="E329" s="108" t="s">
        <v>256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6"/>
        <v/>
      </c>
      <c r="K329" s="34" t="str">
        <f t="shared" si="79"/>
        <v/>
      </c>
      <c r="L329" s="33"/>
      <c r="M329" s="33"/>
      <c r="N329" s="33"/>
      <c r="O329" s="29"/>
      <c r="P329" s="29"/>
      <c r="Q329" s="35" t="str">
        <f t="shared" ca="1" si="77"/>
        <v/>
      </c>
      <c r="R329" s="27"/>
      <c r="S329" s="60"/>
    </row>
    <row r="330" spans="1:20" ht="15" customHeight="1" x14ac:dyDescent="0.25">
      <c r="A330" s="67">
        <v>46247</v>
      </c>
      <c r="B330" s="25">
        <f t="shared" si="78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6"/>
        <v/>
      </c>
      <c r="K330" s="28" t="str">
        <f t="shared" si="79"/>
        <v/>
      </c>
      <c r="L330" s="26"/>
      <c r="M330" s="26"/>
      <c r="N330" s="26"/>
      <c r="O330" s="29"/>
      <c r="P330" s="29"/>
      <c r="Q330" s="30" t="str">
        <f t="shared" ca="1" si="77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8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6"/>
        <v/>
      </c>
      <c r="K331" s="34" t="str">
        <f t="shared" si="79"/>
        <v/>
      </c>
      <c r="L331" s="33"/>
      <c r="M331" s="33"/>
      <c r="N331" s="33"/>
      <c r="O331" s="29"/>
      <c r="P331" s="29"/>
      <c r="Q331" s="35" t="str">
        <f t="shared" ca="1" si="77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8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6"/>
        <v/>
      </c>
      <c r="K332" s="28" t="str">
        <f t="shared" si="79"/>
        <v/>
      </c>
      <c r="L332" s="26"/>
      <c r="M332" s="26"/>
      <c r="N332" s="26"/>
      <c r="O332" s="29"/>
      <c r="P332" s="29"/>
      <c r="Q332" s="30" t="str">
        <f t="shared" ca="1" si="77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8"/>
        <v>0.62499999999999967</v>
      </c>
      <c r="C333" s="26" t="s">
        <v>34</v>
      </c>
      <c r="D333" s="59" t="s">
        <v>43</v>
      </c>
      <c r="E333" s="108"/>
      <c r="F333" s="134">
        <f>IFERROR(IF($D333="","",VLOOKUP($D333,Cadastro!$C$4:$E$7,3,FALSE)),"")</f>
        <v>0.21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0.55000000000000004</v>
      </c>
      <c r="J333" s="136" t="str">
        <f t="shared" si="76"/>
        <v/>
      </c>
      <c r="K333" s="34" t="str">
        <f t="shared" si="79"/>
        <v/>
      </c>
      <c r="L333" s="33"/>
      <c r="M333" s="33"/>
      <c r="N333" s="33"/>
      <c r="O333" s="29"/>
      <c r="P333" s="29"/>
      <c r="Q333" s="35" t="str">
        <f t="shared" ca="1" si="77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8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6"/>
        <v/>
      </c>
      <c r="K334" s="28" t="str">
        <f t="shared" si="79"/>
        <v/>
      </c>
      <c r="L334" s="26"/>
      <c r="M334" s="26"/>
      <c r="N334" s="26"/>
      <c r="O334" s="29"/>
      <c r="P334" s="29"/>
      <c r="Q334" s="30" t="str">
        <f t="shared" ca="1" si="77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8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6"/>
        <v/>
      </c>
      <c r="K335" s="34" t="str">
        <f t="shared" si="79"/>
        <v/>
      </c>
      <c r="L335" s="33"/>
      <c r="M335" s="33"/>
      <c r="N335" s="33"/>
      <c r="O335" s="29"/>
      <c r="P335" s="29"/>
      <c r="Q335" s="35" t="str">
        <f t="shared" ca="1" si="77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8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6"/>
        <v/>
      </c>
      <c r="K336" s="28" t="str">
        <f t="shared" si="79"/>
        <v/>
      </c>
      <c r="L336" s="26"/>
      <c r="M336" s="26"/>
      <c r="N336" s="26"/>
      <c r="O336" s="29"/>
      <c r="P336" s="29"/>
      <c r="Q336" s="30" t="str">
        <f t="shared" ca="1" si="77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8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6"/>
        <v/>
      </c>
      <c r="K337" s="34" t="str">
        <f t="shared" si="79"/>
        <v/>
      </c>
      <c r="L337" s="33"/>
      <c r="M337" s="33"/>
      <c r="N337" s="33"/>
      <c r="O337" s="29"/>
      <c r="P337" s="29"/>
      <c r="Q337" s="35" t="str">
        <f t="shared" ca="1" si="77"/>
        <v/>
      </c>
      <c r="R337" s="27"/>
      <c r="S337" s="60"/>
    </row>
    <row r="338" spans="1:20" ht="15.75" customHeight="1" thickBot="1" x14ac:dyDescent="0.3">
      <c r="A338" s="149" t="s">
        <v>241</v>
      </c>
      <c r="B338" s="150"/>
      <c r="C338" s="150"/>
      <c r="D338" s="150"/>
      <c r="E338" s="150">
        <f>SUM(E327:E337)</f>
        <v>0</v>
      </c>
      <c r="F338" s="110"/>
      <c r="G338" s="80">
        <f>SUM(G326:G337)</f>
        <v>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80">IFERROR(IF($H339="","",$H339*$F339*$I339),"")</f>
        <v/>
      </c>
      <c r="K339" s="34" t="str">
        <f t="shared" ref="K339:K350" si="81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2">IFERROR(IF(O339="","",IF(P339="",MOD(NOW()-O339,1),IF(P339&gt;=O339,P339-O339,P339+1-O339))),"")</f>
        <v/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3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80"/>
        <v/>
      </c>
      <c r="K340" s="28" t="str">
        <f t="shared" si="81"/>
        <v/>
      </c>
      <c r="L340" s="26"/>
      <c r="M340" s="26"/>
      <c r="N340" s="26"/>
      <c r="O340" s="29"/>
      <c r="P340" s="29"/>
      <c r="Q340" s="30" t="str">
        <f t="shared" ca="1" si="82"/>
        <v/>
      </c>
      <c r="R340" s="27"/>
      <c r="S340" s="60"/>
    </row>
    <row r="341" spans="1:20" ht="15" customHeight="1" x14ac:dyDescent="0.25">
      <c r="A341" s="68">
        <v>46247</v>
      </c>
      <c r="B341" s="32">
        <f t="shared" si="83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80"/>
        <v/>
      </c>
      <c r="K341" s="34" t="str">
        <f t="shared" si="81"/>
        <v/>
      </c>
      <c r="L341" s="33"/>
      <c r="M341" s="33"/>
      <c r="N341" s="33"/>
      <c r="O341" s="29"/>
      <c r="P341" s="29"/>
      <c r="Q341" s="35" t="str">
        <f t="shared" ca="1" si="82"/>
        <v/>
      </c>
      <c r="R341" s="27"/>
      <c r="S341" s="60"/>
    </row>
    <row r="342" spans="1:20" ht="15" customHeight="1" x14ac:dyDescent="0.25">
      <c r="A342" s="67">
        <v>46247</v>
      </c>
      <c r="B342" s="25">
        <f t="shared" si="83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80"/>
        <v/>
      </c>
      <c r="K342" s="28" t="str">
        <f t="shared" si="81"/>
        <v/>
      </c>
      <c r="L342" s="26"/>
      <c r="M342" s="26"/>
      <c r="N342" s="26"/>
      <c r="O342" s="29"/>
      <c r="P342" s="29"/>
      <c r="Q342" s="30" t="str">
        <f t="shared" ca="1" si="82"/>
        <v/>
      </c>
      <c r="R342" s="27"/>
      <c r="S342" s="60"/>
    </row>
    <row r="343" spans="1:20" ht="15" customHeight="1" x14ac:dyDescent="0.25">
      <c r="A343" s="68">
        <v>46247</v>
      </c>
      <c r="B343" s="32">
        <f t="shared" si="83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80"/>
        <v/>
      </c>
      <c r="K343" s="34" t="str">
        <f t="shared" si="81"/>
        <v/>
      </c>
      <c r="L343" s="33"/>
      <c r="M343" s="33"/>
      <c r="N343" s="33"/>
      <c r="O343" s="29"/>
      <c r="P343" s="29"/>
      <c r="Q343" s="35" t="str">
        <f t="shared" ca="1" si="82"/>
        <v/>
      </c>
      <c r="R343" s="27"/>
      <c r="S343" s="60"/>
    </row>
    <row r="344" spans="1:20" ht="15" customHeight="1" x14ac:dyDescent="0.25">
      <c r="A344" s="67">
        <v>46247</v>
      </c>
      <c r="B344" s="25">
        <f t="shared" si="83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80"/>
        <v/>
      </c>
      <c r="K344" s="28" t="str">
        <f t="shared" si="81"/>
        <v/>
      </c>
      <c r="L344" s="26"/>
      <c r="M344" s="26"/>
      <c r="N344" s="26"/>
      <c r="O344" s="29"/>
      <c r="P344" s="29"/>
      <c r="Q344" s="30" t="str">
        <f t="shared" ca="1" si="82"/>
        <v/>
      </c>
      <c r="R344" s="27"/>
      <c r="S344" s="60"/>
    </row>
    <row r="345" spans="1:20" ht="15" customHeight="1" x14ac:dyDescent="0.25">
      <c r="A345" s="68">
        <v>46247</v>
      </c>
      <c r="B345" s="32">
        <f t="shared" si="83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80"/>
        <v/>
      </c>
      <c r="K345" s="34" t="str">
        <f t="shared" si="81"/>
        <v/>
      </c>
      <c r="L345" s="33"/>
      <c r="M345" s="33"/>
      <c r="N345" s="33"/>
      <c r="O345" s="29"/>
      <c r="P345" s="29"/>
      <c r="Q345" s="35" t="str">
        <f t="shared" ca="1" si="82"/>
        <v/>
      </c>
      <c r="R345" s="27"/>
      <c r="S345" s="60"/>
    </row>
    <row r="346" spans="1:20" ht="15" customHeight="1" x14ac:dyDescent="0.25">
      <c r="A346" s="67">
        <v>46247</v>
      </c>
      <c r="B346" s="25">
        <f t="shared" si="83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80"/>
        <v/>
      </c>
      <c r="K346" s="28" t="str">
        <f t="shared" si="81"/>
        <v/>
      </c>
      <c r="L346" s="26"/>
      <c r="M346" s="26"/>
      <c r="N346" s="26"/>
      <c r="O346" s="29"/>
      <c r="P346" s="29"/>
      <c r="Q346" s="30" t="str">
        <f t="shared" ca="1" si="82"/>
        <v/>
      </c>
      <c r="R346" s="27"/>
      <c r="S346" s="60"/>
    </row>
    <row r="347" spans="1:20" ht="15" customHeight="1" x14ac:dyDescent="0.25">
      <c r="A347" s="68">
        <v>46247</v>
      </c>
      <c r="B347" s="32">
        <f t="shared" si="83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80"/>
        <v/>
      </c>
      <c r="K347" s="34" t="str">
        <f t="shared" si="81"/>
        <v/>
      </c>
      <c r="L347" s="33"/>
      <c r="M347" s="33"/>
      <c r="N347" s="33"/>
      <c r="O347" s="29"/>
      <c r="P347" s="29"/>
      <c r="Q347" s="35" t="str">
        <f t="shared" ca="1" si="82"/>
        <v/>
      </c>
      <c r="R347" s="27"/>
      <c r="S347" s="60"/>
    </row>
    <row r="348" spans="1:20" ht="15" customHeight="1" x14ac:dyDescent="0.25">
      <c r="A348" s="67">
        <v>46247</v>
      </c>
      <c r="B348" s="25">
        <f t="shared" si="83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80"/>
        <v/>
      </c>
      <c r="K348" s="28" t="str">
        <f t="shared" si="81"/>
        <v/>
      </c>
      <c r="L348" s="26"/>
      <c r="M348" s="26"/>
      <c r="N348" s="26"/>
      <c r="O348" s="29"/>
      <c r="P348" s="29"/>
      <c r="Q348" s="30" t="str">
        <f t="shared" ca="1" si="82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3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80"/>
        <v/>
      </c>
      <c r="K349" s="34" t="str">
        <f t="shared" si="81"/>
        <v/>
      </c>
      <c r="L349" s="33"/>
      <c r="M349" s="33"/>
      <c r="N349" s="33"/>
      <c r="O349" s="29"/>
      <c r="P349" s="29"/>
      <c r="Q349" s="35" t="str">
        <f t="shared" ca="1" si="82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3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80"/>
        <v/>
      </c>
      <c r="K350" s="28" t="str">
        <f t="shared" si="81"/>
        <v/>
      </c>
      <c r="L350" s="26"/>
      <c r="M350" s="26"/>
      <c r="N350" s="26"/>
      <c r="O350" s="29"/>
      <c r="P350" s="29"/>
      <c r="Q350" s="30" t="str">
        <f t="shared" ca="1" si="82"/>
        <v/>
      </c>
      <c r="R350" s="27"/>
      <c r="S350" s="60"/>
    </row>
    <row r="351" spans="1:20" ht="15.75" customHeight="1" thickBot="1" x14ac:dyDescent="0.3">
      <c r="A351" s="149" t="s">
        <v>244</v>
      </c>
      <c r="B351" s="150"/>
      <c r="C351" s="150"/>
      <c r="D351" s="150"/>
      <c r="E351" s="150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1" t="s">
        <v>245</v>
      </c>
      <c r="B352" s="152"/>
      <c r="C352" s="152"/>
      <c r="D352" s="152"/>
      <c r="E352" s="152">
        <f>E338+E351</f>
        <v>0</v>
      </c>
      <c r="F352" s="112"/>
      <c r="G352" s="91">
        <f>G338+G351</f>
        <v>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4">IFERROR(IF($H353="","",$H353*$F353*$I353),"")</f>
        <v/>
      </c>
      <c r="K353" s="34" t="str">
        <f t="shared" ref="K353:K364" si="85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6">IFERROR(IF(O353="","",IF(P353="",MOD(NOW()-O353,1),IF(P353&gt;=O353,P353-O353,P353+1-O353))),"")</f>
        <v/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7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4"/>
        <v/>
      </c>
      <c r="K354" s="28" t="str">
        <f t="shared" si="85"/>
        <v/>
      </c>
      <c r="L354" s="33"/>
      <c r="M354" s="26"/>
      <c r="N354" s="33"/>
      <c r="O354" s="29"/>
      <c r="P354" s="29"/>
      <c r="Q354" s="30" t="str">
        <f t="shared" ca="1" si="86"/>
        <v/>
      </c>
      <c r="R354" s="27"/>
      <c r="S354" s="60"/>
    </row>
    <row r="355" spans="1:20" ht="15" customHeight="1" x14ac:dyDescent="0.25">
      <c r="A355" s="68">
        <v>46248</v>
      </c>
      <c r="B355" s="32">
        <f t="shared" si="87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4"/>
        <v/>
      </c>
      <c r="K355" s="34" t="str">
        <f t="shared" si="85"/>
        <v/>
      </c>
      <c r="L355" s="33"/>
      <c r="M355" s="33"/>
      <c r="N355" s="33"/>
      <c r="O355" s="29"/>
      <c r="P355" s="29"/>
      <c r="Q355" s="35" t="str">
        <f t="shared" ca="1" si="86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7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4"/>
        <v/>
      </c>
      <c r="K356" s="28" t="str">
        <f t="shared" si="85"/>
        <v/>
      </c>
      <c r="L356" s="26"/>
      <c r="M356" s="26"/>
      <c r="N356" s="26"/>
      <c r="O356" s="29"/>
      <c r="P356" s="29"/>
      <c r="Q356" s="30" t="str">
        <f t="shared" ca="1" si="86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7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4"/>
        <v/>
      </c>
      <c r="K357" s="34" t="str">
        <f t="shared" si="85"/>
        <v/>
      </c>
      <c r="L357" s="33"/>
      <c r="M357" s="33"/>
      <c r="N357" s="33"/>
      <c r="O357" s="29"/>
      <c r="P357" s="29"/>
      <c r="Q357" s="35" t="str">
        <f t="shared" ca="1" si="86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7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4"/>
        <v/>
      </c>
      <c r="K358" s="28" t="str">
        <f t="shared" si="85"/>
        <v/>
      </c>
      <c r="L358" s="26"/>
      <c r="M358" s="26"/>
      <c r="N358" s="26"/>
      <c r="O358" s="29"/>
      <c r="P358" s="29"/>
      <c r="Q358" s="30" t="str">
        <f t="shared" ca="1" si="86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7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4"/>
        <v/>
      </c>
      <c r="K359" s="34" t="str">
        <f t="shared" si="85"/>
        <v/>
      </c>
      <c r="L359" s="33"/>
      <c r="M359" s="33"/>
      <c r="N359" s="33"/>
      <c r="O359" s="29"/>
      <c r="P359" s="29"/>
      <c r="Q359" s="35" t="str">
        <f t="shared" ca="1" si="86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7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4"/>
        <v/>
      </c>
      <c r="K360" s="28" t="str">
        <f t="shared" si="85"/>
        <v/>
      </c>
      <c r="L360" s="26"/>
      <c r="M360" s="26"/>
      <c r="N360" s="26"/>
      <c r="O360" s="29"/>
      <c r="P360" s="29"/>
      <c r="Q360" s="30" t="str">
        <f t="shared" ca="1" si="86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7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4"/>
        <v/>
      </c>
      <c r="K361" s="34" t="str">
        <f t="shared" si="85"/>
        <v/>
      </c>
      <c r="L361" s="33"/>
      <c r="M361" s="33"/>
      <c r="N361" s="33"/>
      <c r="O361" s="29"/>
      <c r="P361" s="29"/>
      <c r="Q361" s="35" t="str">
        <f t="shared" ca="1" si="86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7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4"/>
        <v/>
      </c>
      <c r="K362" s="28" t="str">
        <f t="shared" si="85"/>
        <v/>
      </c>
      <c r="L362" s="26"/>
      <c r="M362" s="26"/>
      <c r="N362" s="26"/>
      <c r="O362" s="29"/>
      <c r="P362" s="29"/>
      <c r="Q362" s="30" t="str">
        <f t="shared" ca="1" si="86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7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4"/>
        <v/>
      </c>
      <c r="K363" s="34" t="str">
        <f t="shared" si="85"/>
        <v/>
      </c>
      <c r="L363" s="33"/>
      <c r="M363" s="33"/>
      <c r="N363" s="33"/>
      <c r="O363" s="29"/>
      <c r="P363" s="29"/>
      <c r="Q363" s="35" t="str">
        <f t="shared" ca="1" si="86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7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4"/>
        <v/>
      </c>
      <c r="K364" s="28" t="str">
        <f t="shared" si="85"/>
        <v/>
      </c>
      <c r="L364" s="26"/>
      <c r="M364" s="26"/>
      <c r="N364" s="26"/>
      <c r="O364" s="29"/>
      <c r="P364" s="29"/>
      <c r="Q364" s="30" t="str">
        <f t="shared" ca="1" si="86"/>
        <v/>
      </c>
      <c r="R364" s="27"/>
      <c r="S364" s="60"/>
    </row>
    <row r="365" spans="1:20" ht="15.75" customHeight="1" thickBot="1" x14ac:dyDescent="0.3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8">IFERROR(IF($H366="","",$H366*$F366*$I366),"")</f>
        <v/>
      </c>
      <c r="K366" s="28" t="str">
        <f t="shared" ref="K366:K377" si="89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90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91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8"/>
        <v/>
      </c>
      <c r="K367" s="34" t="str">
        <f t="shared" si="89"/>
        <v/>
      </c>
      <c r="L367" s="33"/>
      <c r="M367" s="33"/>
      <c r="N367" s="33"/>
      <c r="O367" s="29"/>
      <c r="P367" s="29"/>
      <c r="Q367" s="35" t="str">
        <f t="shared" ca="1" si="90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91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8"/>
        <v/>
      </c>
      <c r="K368" s="28" t="str">
        <f t="shared" si="89"/>
        <v/>
      </c>
      <c r="L368" s="26"/>
      <c r="M368" s="26"/>
      <c r="N368" s="26"/>
      <c r="O368" s="29"/>
      <c r="P368" s="29"/>
      <c r="Q368" s="30" t="str">
        <f t="shared" ca="1" si="90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91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8"/>
        <v/>
      </c>
      <c r="K369" s="34" t="str">
        <f t="shared" si="89"/>
        <v/>
      </c>
      <c r="L369" s="33"/>
      <c r="M369" s="33"/>
      <c r="N369" s="33"/>
      <c r="O369" s="29"/>
      <c r="P369" s="29"/>
      <c r="Q369" s="35" t="str">
        <f t="shared" ca="1" si="90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91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8"/>
        <v/>
      </c>
      <c r="K370" s="28" t="str">
        <f t="shared" si="89"/>
        <v/>
      </c>
      <c r="L370" s="26"/>
      <c r="M370" s="26"/>
      <c r="N370" s="26"/>
      <c r="O370" s="29"/>
      <c r="P370" s="29"/>
      <c r="Q370" s="30" t="str">
        <f t="shared" ca="1" si="90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91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8"/>
        <v/>
      </c>
      <c r="K371" s="34" t="str">
        <f t="shared" si="89"/>
        <v/>
      </c>
      <c r="L371" s="33"/>
      <c r="M371" s="33"/>
      <c r="N371" s="33"/>
      <c r="O371" s="29"/>
      <c r="P371" s="29"/>
      <c r="Q371" s="35" t="str">
        <f t="shared" ca="1" si="90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91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8"/>
        <v/>
      </c>
      <c r="K372" s="28" t="str">
        <f t="shared" si="89"/>
        <v/>
      </c>
      <c r="L372" s="26"/>
      <c r="M372" s="26"/>
      <c r="N372" s="26"/>
      <c r="O372" s="29"/>
      <c r="P372" s="29"/>
      <c r="Q372" s="30" t="str">
        <f t="shared" ca="1" si="90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91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8"/>
        <v/>
      </c>
      <c r="K373" s="34" t="str">
        <f t="shared" si="89"/>
        <v/>
      </c>
      <c r="L373" s="33"/>
      <c r="M373" s="33"/>
      <c r="N373" s="33"/>
      <c r="O373" s="29"/>
      <c r="P373" s="29"/>
      <c r="Q373" s="35" t="str">
        <f t="shared" ca="1" si="90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91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8"/>
        <v/>
      </c>
      <c r="K374" s="28" t="str">
        <f t="shared" si="89"/>
        <v/>
      </c>
      <c r="L374" s="26"/>
      <c r="M374" s="26"/>
      <c r="N374" s="26"/>
      <c r="O374" s="29"/>
      <c r="P374" s="29"/>
      <c r="Q374" s="30" t="str">
        <f t="shared" ca="1" si="90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91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8"/>
        <v/>
      </c>
      <c r="K375" s="34" t="str">
        <f t="shared" si="89"/>
        <v/>
      </c>
      <c r="L375" s="33"/>
      <c r="M375" s="33"/>
      <c r="N375" s="33"/>
      <c r="O375" s="29"/>
      <c r="P375" s="29"/>
      <c r="Q375" s="35" t="str">
        <f t="shared" ca="1" si="90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91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8"/>
        <v/>
      </c>
      <c r="K376" s="28" t="str">
        <f t="shared" si="89"/>
        <v/>
      </c>
      <c r="L376" s="26"/>
      <c r="M376" s="26"/>
      <c r="N376" s="26"/>
      <c r="O376" s="29"/>
      <c r="P376" s="29"/>
      <c r="Q376" s="30" t="str">
        <f t="shared" ca="1" si="90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91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8"/>
        <v/>
      </c>
      <c r="K377" s="34" t="str">
        <f t="shared" si="89"/>
        <v/>
      </c>
      <c r="L377" s="33"/>
      <c r="M377" s="33"/>
      <c r="N377" s="33"/>
      <c r="O377" s="29"/>
      <c r="P377" s="29"/>
      <c r="Q377" s="35" t="str">
        <f t="shared" ca="1" si="90"/>
        <v/>
      </c>
      <c r="R377" s="27"/>
      <c r="S377" s="60"/>
    </row>
    <row r="378" spans="1:20" ht="15.75" customHeight="1" thickBot="1" x14ac:dyDescent="0.3">
      <c r="A378" s="149" t="s">
        <v>244</v>
      </c>
      <c r="B378" s="150"/>
      <c r="C378" s="150"/>
      <c r="D378" s="150"/>
      <c r="E378" s="150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1" t="s">
        <v>245</v>
      </c>
      <c r="B379" s="152"/>
      <c r="C379" s="152"/>
      <c r="D379" s="152"/>
      <c r="E379" s="152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2">IFERROR(IF($H380="","",$H380*$F380*$I380),"")</f>
        <v/>
      </c>
      <c r="K380" s="28" t="str">
        <f t="shared" ref="K380:K391" si="93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4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5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2"/>
        <v/>
      </c>
      <c r="K381" s="34" t="str">
        <f t="shared" si="93"/>
        <v/>
      </c>
      <c r="L381" s="33"/>
      <c r="M381" s="33"/>
      <c r="N381" s="33"/>
      <c r="O381" s="29"/>
      <c r="P381" s="29"/>
      <c r="Q381" s="35" t="str">
        <f t="shared" ca="1" si="94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5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2"/>
        <v/>
      </c>
      <c r="K382" s="28" t="str">
        <f t="shared" si="93"/>
        <v/>
      </c>
      <c r="L382" s="26"/>
      <c r="M382" s="26"/>
      <c r="N382" s="33"/>
      <c r="O382" s="29"/>
      <c r="P382" s="29"/>
      <c r="Q382" s="30" t="str">
        <f t="shared" ca="1" si="94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5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2"/>
        <v/>
      </c>
      <c r="K383" s="34" t="str">
        <f t="shared" si="93"/>
        <v/>
      </c>
      <c r="L383" s="33"/>
      <c r="M383" s="33"/>
      <c r="N383" s="33"/>
      <c r="O383" s="29"/>
      <c r="P383" s="29"/>
      <c r="Q383" s="35" t="str">
        <f t="shared" ca="1" si="94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5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2"/>
        <v/>
      </c>
      <c r="K384" s="28" t="str">
        <f t="shared" si="93"/>
        <v/>
      </c>
      <c r="L384" s="26"/>
      <c r="M384" s="26"/>
      <c r="N384" s="26"/>
      <c r="O384" s="29"/>
      <c r="P384" s="29"/>
      <c r="Q384" s="30" t="str">
        <f t="shared" ca="1" si="94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5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2"/>
        <v/>
      </c>
      <c r="K385" s="34" t="str">
        <f t="shared" si="93"/>
        <v/>
      </c>
      <c r="L385" s="33"/>
      <c r="M385" s="33"/>
      <c r="N385" s="33"/>
      <c r="O385" s="29"/>
      <c r="P385" s="29"/>
      <c r="Q385" s="35" t="str">
        <f t="shared" ca="1" si="94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5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2"/>
        <v/>
      </c>
      <c r="K386" s="28" t="str">
        <f t="shared" si="93"/>
        <v/>
      </c>
      <c r="L386" s="26"/>
      <c r="M386" s="26"/>
      <c r="N386" s="26"/>
      <c r="O386" s="29"/>
      <c r="P386" s="29"/>
      <c r="Q386" s="30" t="str">
        <f t="shared" ca="1" si="94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5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2"/>
        <v/>
      </c>
      <c r="K387" s="34" t="str">
        <f t="shared" si="93"/>
        <v/>
      </c>
      <c r="L387" s="33"/>
      <c r="M387" s="33"/>
      <c r="N387" s="33"/>
      <c r="O387" s="29"/>
      <c r="P387" s="29"/>
      <c r="Q387" s="35" t="str">
        <f t="shared" ca="1" si="94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5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2"/>
        <v/>
      </c>
      <c r="K388" s="28" t="str">
        <f t="shared" si="93"/>
        <v/>
      </c>
      <c r="L388" s="26"/>
      <c r="M388" s="26"/>
      <c r="N388" s="26"/>
      <c r="O388" s="29"/>
      <c r="P388" s="29"/>
      <c r="Q388" s="30" t="str">
        <f t="shared" ca="1" si="94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5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2"/>
        <v/>
      </c>
      <c r="K389" s="34" t="str">
        <f t="shared" si="93"/>
        <v/>
      </c>
      <c r="L389" s="33"/>
      <c r="M389" s="33"/>
      <c r="N389" s="33"/>
      <c r="O389" s="29"/>
      <c r="P389" s="29"/>
      <c r="Q389" s="35" t="str">
        <f t="shared" ca="1" si="94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5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2"/>
        <v/>
      </c>
      <c r="K390" s="28" t="str">
        <f t="shared" si="93"/>
        <v/>
      </c>
      <c r="L390" s="26"/>
      <c r="M390" s="26"/>
      <c r="N390" s="26"/>
      <c r="O390" s="29"/>
      <c r="P390" s="29"/>
      <c r="Q390" s="30" t="str">
        <f t="shared" ca="1" si="94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5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2"/>
        <v/>
      </c>
      <c r="K391" s="34" t="str">
        <f t="shared" si="93"/>
        <v/>
      </c>
      <c r="L391" s="33"/>
      <c r="M391" s="33"/>
      <c r="N391" s="33"/>
      <c r="O391" s="29"/>
      <c r="P391" s="29"/>
      <c r="Q391" s="35" t="str">
        <f t="shared" ca="1" si="94"/>
        <v/>
      </c>
      <c r="R391" s="27"/>
      <c r="S391" s="60"/>
    </row>
    <row r="392" spans="1:20" ht="15.75" customHeight="1" thickBot="1" x14ac:dyDescent="0.3">
      <c r="A392" s="149" t="s">
        <v>241</v>
      </c>
      <c r="B392" s="150"/>
      <c r="C392" s="150"/>
      <c r="D392" s="150"/>
      <c r="E392" s="150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6">IFERROR(IF($H393="","",$H393*$F393*$I393),"")</f>
        <v/>
      </c>
      <c r="K393" s="34" t="str">
        <f t="shared" ref="K393:K404" si="97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8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9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6"/>
        <v/>
      </c>
      <c r="K394" s="28" t="str">
        <f t="shared" si="97"/>
        <v/>
      </c>
      <c r="L394" s="26"/>
      <c r="M394" s="26"/>
      <c r="N394" s="26"/>
      <c r="O394" s="29"/>
      <c r="P394" s="29"/>
      <c r="Q394" s="30" t="str">
        <f t="shared" ca="1" si="98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9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6"/>
        <v/>
      </c>
      <c r="K395" s="34" t="str">
        <f t="shared" si="97"/>
        <v/>
      </c>
      <c r="L395" s="33"/>
      <c r="M395" s="33"/>
      <c r="N395" s="33"/>
      <c r="O395" s="29"/>
      <c r="P395" s="29"/>
      <c r="Q395" s="35" t="str">
        <f t="shared" ca="1" si="98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9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6"/>
        <v/>
      </c>
      <c r="K396" s="28" t="str">
        <f t="shared" si="97"/>
        <v/>
      </c>
      <c r="L396" s="26"/>
      <c r="M396" s="26"/>
      <c r="N396" s="26"/>
      <c r="O396" s="29"/>
      <c r="P396" s="29"/>
      <c r="Q396" s="30" t="str">
        <f t="shared" ca="1" si="98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9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6"/>
        <v/>
      </c>
      <c r="K397" s="34" t="str">
        <f t="shared" si="97"/>
        <v/>
      </c>
      <c r="L397" s="33"/>
      <c r="M397" s="33"/>
      <c r="N397" s="33"/>
      <c r="O397" s="29"/>
      <c r="P397" s="29"/>
      <c r="Q397" s="35" t="str">
        <f t="shared" ca="1" si="98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9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6"/>
        <v/>
      </c>
      <c r="K398" s="28" t="str">
        <f t="shared" si="97"/>
        <v/>
      </c>
      <c r="L398" s="26"/>
      <c r="M398" s="26"/>
      <c r="N398" s="26"/>
      <c r="O398" s="29"/>
      <c r="P398" s="29"/>
      <c r="Q398" s="30" t="str">
        <f t="shared" ca="1" si="98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9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6"/>
        <v/>
      </c>
      <c r="K399" s="34" t="str">
        <f t="shared" si="97"/>
        <v/>
      </c>
      <c r="L399" s="33"/>
      <c r="M399" s="33"/>
      <c r="N399" s="33"/>
      <c r="O399" s="29"/>
      <c r="P399" s="29"/>
      <c r="Q399" s="35" t="str">
        <f t="shared" ca="1" si="98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9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6"/>
        <v/>
      </c>
      <c r="K400" s="28" t="str">
        <f t="shared" si="97"/>
        <v/>
      </c>
      <c r="L400" s="26"/>
      <c r="M400" s="26"/>
      <c r="N400" s="26"/>
      <c r="O400" s="29"/>
      <c r="P400" s="29"/>
      <c r="Q400" s="30" t="str">
        <f t="shared" ca="1" si="98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9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6"/>
        <v/>
      </c>
      <c r="K401" s="34" t="str">
        <f t="shared" si="97"/>
        <v/>
      </c>
      <c r="L401" s="33"/>
      <c r="M401" s="33"/>
      <c r="N401" s="33"/>
      <c r="O401" s="29"/>
      <c r="P401" s="29"/>
      <c r="Q401" s="35" t="str">
        <f t="shared" ca="1" si="98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9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6"/>
        <v/>
      </c>
      <c r="K402" s="28" t="str">
        <f t="shared" si="97"/>
        <v/>
      </c>
      <c r="L402" s="26"/>
      <c r="M402" s="26"/>
      <c r="N402" s="26"/>
      <c r="O402" s="29"/>
      <c r="P402" s="29"/>
      <c r="Q402" s="30" t="str">
        <f t="shared" ca="1" si="98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9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6"/>
        <v/>
      </c>
      <c r="K403" s="34" t="str">
        <f t="shared" si="97"/>
        <v/>
      </c>
      <c r="L403" s="33"/>
      <c r="M403" s="33"/>
      <c r="N403" s="33"/>
      <c r="O403" s="29"/>
      <c r="P403" s="29"/>
      <c r="Q403" s="35" t="str">
        <f t="shared" ca="1" si="98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9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6"/>
        <v/>
      </c>
      <c r="K404" s="28" t="str">
        <f t="shared" si="97"/>
        <v/>
      </c>
      <c r="L404" s="26"/>
      <c r="M404" s="26"/>
      <c r="N404" s="26"/>
      <c r="O404" s="29"/>
      <c r="P404" s="29"/>
      <c r="Q404" s="30" t="str">
        <f t="shared" ca="1" si="98"/>
        <v/>
      </c>
      <c r="R404" s="27"/>
      <c r="S404" s="60"/>
    </row>
    <row r="405" spans="1:20" ht="15.75" customHeight="1" thickBot="1" x14ac:dyDescent="0.3">
      <c r="A405" s="149" t="s">
        <v>244</v>
      </c>
      <c r="B405" s="150"/>
      <c r="C405" s="150"/>
      <c r="D405" s="150"/>
      <c r="E405" s="150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1" t="s">
        <v>245</v>
      </c>
      <c r="B406" s="152"/>
      <c r="C406" s="152"/>
      <c r="D406" s="152"/>
      <c r="E406" s="152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100">IFERROR(IF($H407="","",$H407*$F407*$I407),"")</f>
        <v/>
      </c>
      <c r="K407" s="34" t="str">
        <f t="shared" ref="K407:K418" si="101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2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3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100"/>
        <v/>
      </c>
      <c r="K408" s="28" t="str">
        <f t="shared" si="101"/>
        <v/>
      </c>
      <c r="L408" s="26"/>
      <c r="M408" s="26"/>
      <c r="N408" s="26"/>
      <c r="O408" s="29"/>
      <c r="P408" s="29"/>
      <c r="Q408" s="30" t="str">
        <f t="shared" ca="1" si="102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3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100"/>
        <v/>
      </c>
      <c r="K409" s="34" t="str">
        <f t="shared" si="101"/>
        <v/>
      </c>
      <c r="L409" s="33"/>
      <c r="M409" s="33"/>
      <c r="N409" s="33"/>
      <c r="O409" s="29"/>
      <c r="P409" s="29"/>
      <c r="Q409" s="35" t="str">
        <f t="shared" ca="1" si="102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3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100"/>
        <v/>
      </c>
      <c r="K410" s="28" t="str">
        <f t="shared" si="101"/>
        <v/>
      </c>
      <c r="L410" s="26"/>
      <c r="M410" s="26"/>
      <c r="N410" s="26"/>
      <c r="O410" s="29"/>
      <c r="P410" s="29"/>
      <c r="Q410" s="30" t="str">
        <f t="shared" ca="1" si="102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3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100"/>
        <v/>
      </c>
      <c r="K411" s="34" t="str">
        <f t="shared" si="101"/>
        <v/>
      </c>
      <c r="L411" s="33"/>
      <c r="M411" s="33"/>
      <c r="N411" s="33"/>
      <c r="O411" s="29"/>
      <c r="P411" s="29"/>
      <c r="Q411" s="35" t="str">
        <f t="shared" ca="1" si="102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3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100"/>
        <v/>
      </c>
      <c r="K412" s="28" t="str">
        <f t="shared" si="101"/>
        <v/>
      </c>
      <c r="L412" s="26"/>
      <c r="M412" s="26"/>
      <c r="N412" s="26"/>
      <c r="O412" s="29"/>
      <c r="P412" s="29"/>
      <c r="Q412" s="30" t="str">
        <f t="shared" ca="1" si="102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3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100"/>
        <v/>
      </c>
      <c r="K413" s="34" t="str">
        <f t="shared" si="101"/>
        <v/>
      </c>
      <c r="L413" s="33"/>
      <c r="M413" s="33"/>
      <c r="N413" s="33"/>
      <c r="O413" s="29"/>
      <c r="P413" s="29"/>
      <c r="Q413" s="35" t="str">
        <f t="shared" ca="1" si="102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3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100"/>
        <v/>
      </c>
      <c r="K414" s="28" t="str">
        <f t="shared" si="101"/>
        <v/>
      </c>
      <c r="L414" s="26"/>
      <c r="M414" s="26"/>
      <c r="N414" s="26"/>
      <c r="O414" s="29"/>
      <c r="P414" s="29"/>
      <c r="Q414" s="30" t="str">
        <f t="shared" ca="1" si="102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3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100"/>
        <v/>
      </c>
      <c r="K415" s="34" t="str">
        <f t="shared" si="101"/>
        <v/>
      </c>
      <c r="L415" s="33"/>
      <c r="M415" s="33"/>
      <c r="N415" s="33"/>
      <c r="O415" s="29"/>
      <c r="P415" s="29"/>
      <c r="Q415" s="35" t="str">
        <f t="shared" ca="1" si="102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3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100"/>
        <v/>
      </c>
      <c r="K416" s="28" t="str">
        <f t="shared" si="101"/>
        <v/>
      </c>
      <c r="L416" s="26"/>
      <c r="M416" s="26"/>
      <c r="N416" s="26"/>
      <c r="O416" s="29"/>
      <c r="P416" s="29"/>
      <c r="Q416" s="30" t="str">
        <f t="shared" ca="1" si="102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3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100"/>
        <v/>
      </c>
      <c r="K417" s="34" t="str">
        <f t="shared" si="101"/>
        <v/>
      </c>
      <c r="L417" s="33"/>
      <c r="M417" s="33"/>
      <c r="N417" s="33"/>
      <c r="O417" s="29"/>
      <c r="P417" s="29"/>
      <c r="Q417" s="35" t="str">
        <f t="shared" ca="1" si="102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3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100"/>
        <v/>
      </c>
      <c r="K418" s="28" t="str">
        <f t="shared" si="101"/>
        <v/>
      </c>
      <c r="L418" s="26"/>
      <c r="M418" s="26"/>
      <c r="N418" s="26"/>
      <c r="O418" s="29"/>
      <c r="P418" s="29"/>
      <c r="Q418" s="30" t="str">
        <f t="shared" ca="1" si="102"/>
        <v/>
      </c>
      <c r="R418" s="27"/>
      <c r="S418" s="60"/>
    </row>
    <row r="419" spans="1:20" ht="15.75" customHeight="1" thickBot="1" x14ac:dyDescent="0.3">
      <c r="A419" s="149" t="s">
        <v>241</v>
      </c>
      <c r="B419" s="150"/>
      <c r="C419" s="150"/>
      <c r="D419" s="150"/>
      <c r="E419" s="150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4">IFERROR(IF($H420="","",$H420*$F420*$I420),"")</f>
        <v/>
      </c>
      <c r="K420" s="28" t="str">
        <f t="shared" ref="K420:K431" si="105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6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7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4"/>
        <v/>
      </c>
      <c r="K421" s="34" t="str">
        <f t="shared" si="105"/>
        <v/>
      </c>
      <c r="L421" s="33"/>
      <c r="M421" s="33"/>
      <c r="N421" s="33"/>
      <c r="O421" s="29"/>
      <c r="P421" s="29"/>
      <c r="Q421" s="35" t="str">
        <f t="shared" ca="1" si="106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7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4"/>
        <v/>
      </c>
      <c r="K422" s="28" t="str">
        <f t="shared" si="105"/>
        <v/>
      </c>
      <c r="L422" s="26"/>
      <c r="M422" s="26"/>
      <c r="N422" s="26"/>
      <c r="O422" s="29"/>
      <c r="P422" s="29"/>
      <c r="Q422" s="30" t="str">
        <f t="shared" ca="1" si="106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7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4"/>
        <v/>
      </c>
      <c r="K423" s="34" t="str">
        <f t="shared" si="105"/>
        <v/>
      </c>
      <c r="L423" s="33"/>
      <c r="M423" s="33"/>
      <c r="N423" s="33"/>
      <c r="O423" s="29"/>
      <c r="P423" s="29"/>
      <c r="Q423" s="35" t="str">
        <f t="shared" ca="1" si="106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7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4"/>
        <v/>
      </c>
      <c r="K424" s="28" t="str">
        <f t="shared" si="105"/>
        <v/>
      </c>
      <c r="L424" s="26"/>
      <c r="M424" s="26"/>
      <c r="N424" s="26"/>
      <c r="O424" s="29"/>
      <c r="P424" s="29"/>
      <c r="Q424" s="30" t="str">
        <f t="shared" ca="1" si="106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7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4"/>
        <v/>
      </c>
      <c r="K425" s="34" t="str">
        <f t="shared" si="105"/>
        <v/>
      </c>
      <c r="L425" s="33"/>
      <c r="M425" s="33"/>
      <c r="N425" s="33"/>
      <c r="O425" s="29"/>
      <c r="P425" s="29"/>
      <c r="Q425" s="35" t="str">
        <f t="shared" ca="1" si="106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7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4"/>
        <v/>
      </c>
      <c r="K426" s="28" t="str">
        <f t="shared" si="105"/>
        <v/>
      </c>
      <c r="L426" s="26"/>
      <c r="M426" s="26"/>
      <c r="N426" s="26"/>
      <c r="O426" s="29"/>
      <c r="P426" s="29"/>
      <c r="Q426" s="30" t="str">
        <f t="shared" ca="1" si="106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7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4"/>
        <v/>
      </c>
      <c r="K427" s="34" t="str">
        <f t="shared" si="105"/>
        <v/>
      </c>
      <c r="L427" s="33"/>
      <c r="M427" s="33"/>
      <c r="N427" s="33"/>
      <c r="O427" s="29"/>
      <c r="P427" s="29"/>
      <c r="Q427" s="35" t="str">
        <f t="shared" ca="1" si="106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7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4"/>
        <v/>
      </c>
      <c r="K428" s="28" t="str">
        <f t="shared" si="105"/>
        <v/>
      </c>
      <c r="L428" s="26"/>
      <c r="M428" s="26"/>
      <c r="N428" s="26"/>
      <c r="O428" s="29"/>
      <c r="P428" s="29"/>
      <c r="Q428" s="30" t="str">
        <f t="shared" ca="1" si="106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7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4"/>
        <v/>
      </c>
      <c r="K429" s="34" t="str">
        <f t="shared" si="105"/>
        <v/>
      </c>
      <c r="L429" s="33"/>
      <c r="M429" s="33"/>
      <c r="N429" s="33"/>
      <c r="O429" s="29"/>
      <c r="P429" s="29"/>
      <c r="Q429" s="35" t="str">
        <f t="shared" ca="1" si="106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7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4"/>
        <v/>
      </c>
      <c r="K430" s="28" t="str">
        <f t="shared" si="105"/>
        <v/>
      </c>
      <c r="L430" s="26"/>
      <c r="M430" s="26"/>
      <c r="N430" s="26"/>
      <c r="O430" s="29"/>
      <c r="P430" s="29"/>
      <c r="Q430" s="30" t="str">
        <f t="shared" ca="1" si="106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7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4"/>
        <v/>
      </c>
      <c r="K431" s="34" t="str">
        <f t="shared" si="105"/>
        <v/>
      </c>
      <c r="L431" s="33"/>
      <c r="M431" s="33"/>
      <c r="N431" s="33"/>
      <c r="O431" s="29"/>
      <c r="P431" s="29"/>
      <c r="Q431" s="35" t="str">
        <f t="shared" ca="1" si="106"/>
        <v/>
      </c>
      <c r="R431" s="27"/>
      <c r="S431" s="60"/>
    </row>
    <row r="432" spans="1:20" ht="15.75" customHeight="1" thickBot="1" x14ac:dyDescent="0.3">
      <c r="A432" s="149" t="s">
        <v>244</v>
      </c>
      <c r="B432" s="150"/>
      <c r="C432" s="150"/>
      <c r="D432" s="150"/>
      <c r="E432" s="150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 x14ac:dyDescent="0.25">
      <c r="A433" s="151" t="s">
        <v>245</v>
      </c>
      <c r="B433" s="152"/>
      <c r="C433" s="152"/>
      <c r="D433" s="152"/>
      <c r="E433" s="152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8">IFERROR(IF($H434="","",$H434*$F434*$I434),"")</f>
        <v/>
      </c>
      <c r="K434" s="28" t="str">
        <f t="shared" ref="K434:K445" si="109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10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11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8"/>
        <v/>
      </c>
      <c r="K435" s="28" t="str">
        <f t="shared" si="109"/>
        <v/>
      </c>
      <c r="L435" s="33"/>
      <c r="M435" s="33"/>
      <c r="N435" s="33"/>
      <c r="O435" s="29"/>
      <c r="P435" s="29"/>
      <c r="Q435" s="35" t="str">
        <f t="shared" ca="1" si="110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11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8"/>
        <v/>
      </c>
      <c r="K436" s="28" t="str">
        <f t="shared" si="109"/>
        <v/>
      </c>
      <c r="L436" s="26"/>
      <c r="M436" s="26"/>
      <c r="N436" s="26"/>
      <c r="O436" s="29"/>
      <c r="P436" s="29"/>
      <c r="Q436" s="30" t="str">
        <f t="shared" ca="1" si="110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11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8"/>
        <v/>
      </c>
      <c r="K437" s="34" t="str">
        <f t="shared" si="109"/>
        <v/>
      </c>
      <c r="L437" s="33"/>
      <c r="M437" s="33"/>
      <c r="N437" s="33"/>
      <c r="O437" s="29"/>
      <c r="P437" s="29"/>
      <c r="Q437" s="35" t="str">
        <f t="shared" ca="1" si="110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11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8"/>
        <v/>
      </c>
      <c r="K438" s="28" t="str">
        <f t="shared" si="109"/>
        <v/>
      </c>
      <c r="L438" s="26"/>
      <c r="M438" s="26"/>
      <c r="N438" s="26"/>
      <c r="O438" s="29"/>
      <c r="P438" s="29"/>
      <c r="Q438" s="30" t="str">
        <f t="shared" ca="1" si="110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11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8"/>
        <v/>
      </c>
      <c r="K439" s="34" t="str">
        <f t="shared" si="109"/>
        <v/>
      </c>
      <c r="L439" s="33"/>
      <c r="M439" s="33"/>
      <c r="N439" s="33"/>
      <c r="O439" s="29"/>
      <c r="P439" s="29"/>
      <c r="Q439" s="35" t="str">
        <f t="shared" ca="1" si="110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11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8"/>
        <v/>
      </c>
      <c r="K440" s="28" t="str">
        <f t="shared" si="109"/>
        <v/>
      </c>
      <c r="L440" s="26"/>
      <c r="M440" s="26"/>
      <c r="N440" s="26"/>
      <c r="O440" s="29"/>
      <c r="P440" s="29"/>
      <c r="Q440" s="30" t="str">
        <f t="shared" ca="1" si="110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11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8"/>
        <v/>
      </c>
      <c r="K441" s="34" t="str">
        <f t="shared" si="109"/>
        <v/>
      </c>
      <c r="L441" s="33"/>
      <c r="M441" s="33"/>
      <c r="N441" s="33"/>
      <c r="O441" s="29"/>
      <c r="P441" s="29"/>
      <c r="Q441" s="35" t="str">
        <f t="shared" ca="1" si="110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11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8"/>
        <v/>
      </c>
      <c r="K442" s="28" t="str">
        <f t="shared" si="109"/>
        <v/>
      </c>
      <c r="L442" s="26"/>
      <c r="M442" s="26"/>
      <c r="N442" s="26"/>
      <c r="O442" s="29"/>
      <c r="P442" s="29"/>
      <c r="Q442" s="30" t="str">
        <f t="shared" ca="1" si="110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11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8"/>
        <v/>
      </c>
      <c r="K443" s="34" t="str">
        <f t="shared" si="109"/>
        <v/>
      </c>
      <c r="L443" s="33"/>
      <c r="M443" s="33"/>
      <c r="N443" s="33"/>
      <c r="O443" s="29"/>
      <c r="P443" s="29"/>
      <c r="Q443" s="35" t="str">
        <f t="shared" ca="1" si="110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11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8"/>
        <v/>
      </c>
      <c r="K444" s="28" t="str">
        <f t="shared" si="109"/>
        <v/>
      </c>
      <c r="L444" s="26"/>
      <c r="M444" s="26"/>
      <c r="N444" s="26"/>
      <c r="O444" s="29"/>
      <c r="P444" s="29"/>
      <c r="Q444" s="30" t="str">
        <f t="shared" ca="1" si="110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11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8"/>
        <v/>
      </c>
      <c r="K445" s="34" t="str">
        <f t="shared" si="109"/>
        <v/>
      </c>
      <c r="L445" s="33"/>
      <c r="M445" s="33"/>
      <c r="N445" s="33"/>
      <c r="O445" s="29"/>
      <c r="P445" s="29"/>
      <c r="Q445" s="35" t="str">
        <f t="shared" ca="1" si="110"/>
        <v/>
      </c>
      <c r="R445" s="27"/>
      <c r="S445" s="60"/>
    </row>
    <row r="446" spans="1:21" ht="15.75" customHeight="1" thickBot="1" x14ac:dyDescent="0.3">
      <c r="A446" s="149" t="s">
        <v>241</v>
      </c>
      <c r="B446" s="150"/>
      <c r="C446" s="150"/>
      <c r="D446" s="150"/>
      <c r="E446" s="150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2">IFERROR(IF($H447="","",$H447*$F447*$I447),"")</f>
        <v/>
      </c>
      <c r="K447" s="34" t="str">
        <f t="shared" ref="K447:K458" si="113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4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5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2"/>
        <v/>
      </c>
      <c r="K448" s="28" t="str">
        <f t="shared" si="113"/>
        <v/>
      </c>
      <c r="L448" s="26"/>
      <c r="M448" s="26"/>
      <c r="N448" s="26"/>
      <c r="O448" s="29"/>
      <c r="P448" s="29"/>
      <c r="Q448" s="30" t="str">
        <f t="shared" ca="1" si="114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5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2"/>
        <v/>
      </c>
      <c r="K449" s="34" t="str">
        <f t="shared" si="113"/>
        <v/>
      </c>
      <c r="L449" s="33"/>
      <c r="M449" s="33"/>
      <c r="N449" s="33"/>
      <c r="O449" s="29"/>
      <c r="P449" s="29"/>
      <c r="Q449" s="35" t="str">
        <f t="shared" ca="1" si="114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5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2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4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5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2"/>
        <v/>
      </c>
      <c r="K451" s="34"/>
      <c r="L451" s="33"/>
      <c r="M451" s="33"/>
      <c r="N451" s="33"/>
      <c r="O451" s="29"/>
      <c r="P451" s="29"/>
      <c r="Q451" s="35" t="str">
        <f t="shared" ca="1" si="114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5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2"/>
        <v/>
      </c>
      <c r="K452" s="28" t="str">
        <f t="shared" si="113"/>
        <v/>
      </c>
      <c r="L452" s="26"/>
      <c r="M452" s="26"/>
      <c r="N452" s="26"/>
      <c r="O452" s="29"/>
      <c r="P452" s="29"/>
      <c r="Q452" s="30" t="str">
        <f t="shared" ca="1" si="114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5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2"/>
        <v/>
      </c>
      <c r="K453" s="34" t="str">
        <f t="shared" si="113"/>
        <v/>
      </c>
      <c r="L453" s="33"/>
      <c r="M453" s="33"/>
      <c r="N453" s="33"/>
      <c r="O453" s="29"/>
      <c r="P453" s="29"/>
      <c r="Q453" s="35" t="str">
        <f t="shared" ca="1" si="114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5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2"/>
        <v/>
      </c>
      <c r="K454" s="28" t="str">
        <f t="shared" si="113"/>
        <v/>
      </c>
      <c r="L454" s="26"/>
      <c r="M454" s="26"/>
      <c r="N454" s="26"/>
      <c r="O454" s="29"/>
      <c r="P454" s="29"/>
      <c r="Q454" s="30" t="str">
        <f t="shared" ca="1" si="114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5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2"/>
        <v/>
      </c>
      <c r="K455" s="34" t="str">
        <f t="shared" si="113"/>
        <v/>
      </c>
      <c r="L455" s="33"/>
      <c r="M455" s="33"/>
      <c r="N455" s="33"/>
      <c r="O455" s="29"/>
      <c r="P455" s="29"/>
      <c r="Q455" s="35" t="str">
        <f t="shared" ca="1" si="114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5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2"/>
        <v/>
      </c>
      <c r="K456" s="28" t="str">
        <f t="shared" si="113"/>
        <v/>
      </c>
      <c r="L456" s="26"/>
      <c r="M456" s="26"/>
      <c r="N456" s="26"/>
      <c r="O456" s="29"/>
      <c r="P456" s="29"/>
      <c r="Q456" s="30" t="str">
        <f t="shared" ca="1" si="114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5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2"/>
        <v/>
      </c>
      <c r="K457" s="34" t="str">
        <f t="shared" si="113"/>
        <v/>
      </c>
      <c r="L457" s="33"/>
      <c r="M457" s="33"/>
      <c r="N457" s="33"/>
      <c r="O457" s="29"/>
      <c r="P457" s="29"/>
      <c r="Q457" s="35" t="str">
        <f t="shared" ca="1" si="114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5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2"/>
        <v/>
      </c>
      <c r="K458" s="28" t="str">
        <f t="shared" si="113"/>
        <v/>
      </c>
      <c r="L458" s="26"/>
      <c r="M458" s="26"/>
      <c r="N458" s="26"/>
      <c r="O458" s="29"/>
      <c r="P458" s="29"/>
      <c r="Q458" s="30" t="str">
        <f t="shared" ca="1" si="114"/>
        <v/>
      </c>
      <c r="R458" s="27"/>
      <c r="S458" s="60"/>
    </row>
    <row r="459" spans="1:20" ht="15.75" customHeight="1" thickBot="1" x14ac:dyDescent="0.3">
      <c r="A459" s="149" t="s">
        <v>244</v>
      </c>
      <c r="B459" s="150"/>
      <c r="C459" s="150"/>
      <c r="D459" s="150"/>
      <c r="E459" s="15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1" t="s">
        <v>245</v>
      </c>
      <c r="B460" s="152"/>
      <c r="C460" s="152"/>
      <c r="D460" s="152"/>
      <c r="E460" s="15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6">IFERROR(IF($H461="","",$H461*$F461*$I461),"")</f>
        <v/>
      </c>
      <c r="K461" s="34" t="str">
        <f t="shared" ref="K461:K472" si="117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8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9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6"/>
        <v/>
      </c>
      <c r="K462" s="28" t="str">
        <f t="shared" si="117"/>
        <v/>
      </c>
      <c r="L462" s="26"/>
      <c r="M462" s="26"/>
      <c r="N462" s="26"/>
      <c r="O462" s="29"/>
      <c r="P462" s="29"/>
      <c r="Q462" s="30" t="str">
        <f t="shared" ca="1" si="118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9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6"/>
        <v/>
      </c>
      <c r="K463" s="34" t="str">
        <f t="shared" si="117"/>
        <v/>
      </c>
      <c r="L463" s="33"/>
      <c r="M463" s="33"/>
      <c r="N463" s="33"/>
      <c r="O463" s="29"/>
      <c r="P463" s="29"/>
      <c r="Q463" s="35" t="str">
        <f t="shared" ca="1" si="118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9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6"/>
        <v/>
      </c>
      <c r="K464" s="28" t="str">
        <f t="shared" si="117"/>
        <v/>
      </c>
      <c r="L464" s="26"/>
      <c r="M464" s="26"/>
      <c r="N464" s="26"/>
      <c r="O464" s="29"/>
      <c r="P464" s="29"/>
      <c r="Q464" s="30" t="str">
        <f t="shared" ca="1" si="118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9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6"/>
        <v/>
      </c>
      <c r="K465" s="34" t="str">
        <f t="shared" si="117"/>
        <v/>
      </c>
      <c r="L465" s="33"/>
      <c r="M465" s="33"/>
      <c r="N465" s="33"/>
      <c r="O465" s="29"/>
      <c r="P465" s="29"/>
      <c r="Q465" s="35" t="str">
        <f t="shared" ca="1" si="118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9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6"/>
        <v/>
      </c>
      <c r="K466" s="28" t="str">
        <f t="shared" si="117"/>
        <v/>
      </c>
      <c r="L466" s="26"/>
      <c r="M466" s="26"/>
      <c r="N466" s="26"/>
      <c r="O466" s="29"/>
      <c r="P466" s="29"/>
      <c r="Q466" s="30" t="str">
        <f t="shared" ca="1" si="118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9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6"/>
        <v/>
      </c>
      <c r="K467" s="34" t="str">
        <f t="shared" si="117"/>
        <v/>
      </c>
      <c r="L467" s="33"/>
      <c r="M467" s="33"/>
      <c r="N467" s="33"/>
      <c r="O467" s="29"/>
      <c r="P467" s="29"/>
      <c r="Q467" s="35" t="str">
        <f t="shared" ca="1" si="118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9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6"/>
        <v/>
      </c>
      <c r="K468" s="28" t="str">
        <f t="shared" si="117"/>
        <v/>
      </c>
      <c r="L468" s="26"/>
      <c r="M468" s="26"/>
      <c r="N468" s="26"/>
      <c r="O468" s="29"/>
      <c r="P468" s="29"/>
      <c r="Q468" s="30" t="str">
        <f t="shared" ca="1" si="118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9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6"/>
        <v/>
      </c>
      <c r="K469" s="34" t="str">
        <f t="shared" si="117"/>
        <v/>
      </c>
      <c r="L469" s="33"/>
      <c r="M469" s="33"/>
      <c r="N469" s="33"/>
      <c r="O469" s="29"/>
      <c r="P469" s="29"/>
      <c r="Q469" s="35" t="str">
        <f t="shared" ca="1" si="118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9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6"/>
        <v/>
      </c>
      <c r="K470" s="28" t="str">
        <f t="shared" si="117"/>
        <v/>
      </c>
      <c r="L470" s="26"/>
      <c r="M470" s="26"/>
      <c r="N470" s="26"/>
      <c r="O470" s="29"/>
      <c r="P470" s="29"/>
      <c r="Q470" s="30" t="str">
        <f t="shared" ca="1" si="118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9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6"/>
        <v/>
      </c>
      <c r="K471" s="34" t="str">
        <f t="shared" si="117"/>
        <v/>
      </c>
      <c r="L471" s="33"/>
      <c r="M471" s="33"/>
      <c r="N471" s="33"/>
      <c r="O471" s="29"/>
      <c r="P471" s="29"/>
      <c r="Q471" s="35" t="str">
        <f t="shared" ca="1" si="118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9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6"/>
        <v/>
      </c>
      <c r="K472" s="28" t="str">
        <f t="shared" si="117"/>
        <v/>
      </c>
      <c r="L472" s="26"/>
      <c r="M472" s="26"/>
      <c r="N472" s="26"/>
      <c r="O472" s="29"/>
      <c r="P472" s="29"/>
      <c r="Q472" s="30" t="str">
        <f t="shared" ca="1" si="118"/>
        <v/>
      </c>
      <c r="R472" s="27"/>
      <c r="S472" s="60"/>
    </row>
    <row r="473" spans="1:20" ht="15.75" customHeight="1" thickBot="1" x14ac:dyDescent="0.3">
      <c r="A473" s="149" t="s">
        <v>241</v>
      </c>
      <c r="B473" s="150"/>
      <c r="C473" s="150"/>
      <c r="D473" s="150"/>
      <c r="E473" s="15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20">IFERROR(IF($H474="","",$H474*$F474*$I474),"")</f>
        <v/>
      </c>
      <c r="K474" s="28" t="str">
        <f t="shared" ref="K474:K485" si="121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2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3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20"/>
        <v/>
      </c>
      <c r="K475" s="34" t="str">
        <f t="shared" si="121"/>
        <v/>
      </c>
      <c r="L475" s="33"/>
      <c r="M475" s="33"/>
      <c r="N475" s="33"/>
      <c r="O475" s="29"/>
      <c r="P475" s="29"/>
      <c r="Q475" s="35" t="str">
        <f t="shared" ca="1" si="122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3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20"/>
        <v/>
      </c>
      <c r="K476" s="28" t="str">
        <f t="shared" si="121"/>
        <v/>
      </c>
      <c r="L476" s="26"/>
      <c r="M476" s="26"/>
      <c r="N476" s="26"/>
      <c r="O476" s="29"/>
      <c r="P476" s="29"/>
      <c r="Q476" s="30" t="str">
        <f t="shared" ca="1" si="122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3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20"/>
        <v/>
      </c>
      <c r="K477" s="34" t="str">
        <f t="shared" si="121"/>
        <v/>
      </c>
      <c r="L477" s="33"/>
      <c r="M477" s="33"/>
      <c r="N477" s="33"/>
      <c r="O477" s="29"/>
      <c r="P477" s="29"/>
      <c r="Q477" s="35" t="str">
        <f t="shared" ca="1" si="122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3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20"/>
        <v/>
      </c>
      <c r="K478" s="28" t="str">
        <f t="shared" si="121"/>
        <v/>
      </c>
      <c r="L478" s="26"/>
      <c r="M478" s="26"/>
      <c r="N478" s="26"/>
      <c r="O478" s="29"/>
      <c r="P478" s="29"/>
      <c r="Q478" s="30" t="str">
        <f t="shared" ca="1" si="122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3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20"/>
        <v/>
      </c>
      <c r="K479" s="34" t="str">
        <f t="shared" si="121"/>
        <v/>
      </c>
      <c r="L479" s="33"/>
      <c r="M479" s="33"/>
      <c r="N479" s="33"/>
      <c r="O479" s="29"/>
      <c r="P479" s="29"/>
      <c r="Q479" s="35" t="str">
        <f t="shared" ca="1" si="122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3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20"/>
        <v/>
      </c>
      <c r="K480" s="28" t="str">
        <f t="shared" si="121"/>
        <v/>
      </c>
      <c r="L480" s="26"/>
      <c r="M480" s="26"/>
      <c r="N480" s="26"/>
      <c r="O480" s="29"/>
      <c r="P480" s="29"/>
      <c r="Q480" s="30" t="str">
        <f t="shared" ca="1" si="122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3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20"/>
        <v/>
      </c>
      <c r="K481" s="34" t="str">
        <f t="shared" si="121"/>
        <v/>
      </c>
      <c r="L481" s="33"/>
      <c r="M481" s="33"/>
      <c r="N481" s="33"/>
      <c r="O481" s="29"/>
      <c r="P481" s="29"/>
      <c r="Q481" s="35" t="str">
        <f t="shared" ca="1" si="122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3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20"/>
        <v/>
      </c>
      <c r="K482" s="28" t="str">
        <f t="shared" si="121"/>
        <v/>
      </c>
      <c r="L482" s="26"/>
      <c r="M482" s="26"/>
      <c r="N482" s="26"/>
      <c r="O482" s="29"/>
      <c r="P482" s="29"/>
      <c r="Q482" s="30" t="str">
        <f t="shared" ca="1" si="122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3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20"/>
        <v/>
      </c>
      <c r="K483" s="34" t="str">
        <f t="shared" si="121"/>
        <v/>
      </c>
      <c r="L483" s="33"/>
      <c r="M483" s="33"/>
      <c r="N483" s="33"/>
      <c r="O483" s="29"/>
      <c r="P483" s="29"/>
      <c r="Q483" s="35" t="str">
        <f t="shared" ca="1" si="122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3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20"/>
        <v/>
      </c>
      <c r="K484" s="28" t="str">
        <f t="shared" si="121"/>
        <v/>
      </c>
      <c r="L484" s="26"/>
      <c r="M484" s="26"/>
      <c r="N484" s="26"/>
      <c r="O484" s="29"/>
      <c r="P484" s="29"/>
      <c r="Q484" s="30" t="str">
        <f t="shared" ca="1" si="122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3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20"/>
        <v/>
      </c>
      <c r="K485" s="34" t="str">
        <f t="shared" si="121"/>
        <v/>
      </c>
      <c r="L485" s="33"/>
      <c r="M485" s="33"/>
      <c r="N485" s="33"/>
      <c r="O485" s="29"/>
      <c r="P485" s="29"/>
      <c r="Q485" s="35" t="str">
        <f t="shared" ca="1" si="122"/>
        <v/>
      </c>
      <c r="R485" s="27"/>
      <c r="S485" s="60"/>
    </row>
    <row r="486" spans="1:20" ht="15.75" customHeight="1" thickBot="1" x14ac:dyDescent="0.3">
      <c r="A486" s="149" t="s">
        <v>244</v>
      </c>
      <c r="B486" s="150"/>
      <c r="C486" s="150"/>
      <c r="D486" s="150"/>
      <c r="E486" s="15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1" t="s">
        <v>245</v>
      </c>
      <c r="B487" s="152"/>
      <c r="C487" s="152"/>
      <c r="D487" s="152"/>
      <c r="E487" s="15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4">IFERROR(IF($H488="","",$H488*$F488*$I488),"")</f>
        <v/>
      </c>
      <c r="K488" s="28" t="str">
        <f t="shared" ref="K488:K499" si="125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6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4"/>
        <v/>
      </c>
      <c r="K489" s="34" t="str">
        <f t="shared" si="125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6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4"/>
        <v/>
      </c>
      <c r="K490" s="28" t="str">
        <f t="shared" si="125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6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4"/>
        <v/>
      </c>
      <c r="K491" s="34" t="str">
        <f t="shared" si="125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6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4"/>
        <v/>
      </c>
      <c r="K492" s="28" t="str">
        <f t="shared" si="125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6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4"/>
        <v/>
      </c>
      <c r="K493" s="34" t="str">
        <f t="shared" si="125"/>
        <v/>
      </c>
      <c r="L493" s="33"/>
      <c r="M493" s="33"/>
      <c r="N493" s="33"/>
      <c r="O493" s="29"/>
      <c r="P493" s="29"/>
      <c r="Q493" s="35" t="str">
        <f t="shared" ref="Q493:Q499" ca="1" si="127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6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4"/>
        <v/>
      </c>
      <c r="K494" s="28" t="str">
        <f t="shared" si="125"/>
        <v/>
      </c>
      <c r="L494" s="26"/>
      <c r="M494" s="26"/>
      <c r="N494" s="26"/>
      <c r="O494" s="29"/>
      <c r="P494" s="29"/>
      <c r="Q494" s="30" t="str">
        <f t="shared" ca="1" si="127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6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4"/>
        <v/>
      </c>
      <c r="K495" s="34" t="str">
        <f t="shared" si="125"/>
        <v/>
      </c>
      <c r="L495" s="33"/>
      <c r="M495" s="33"/>
      <c r="N495" s="33"/>
      <c r="O495" s="29"/>
      <c r="P495" s="29"/>
      <c r="Q495" s="35" t="str">
        <f t="shared" ca="1" si="127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6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4"/>
        <v/>
      </c>
      <c r="K496" s="28" t="str">
        <f t="shared" si="125"/>
        <v/>
      </c>
      <c r="L496" s="26"/>
      <c r="M496" s="26"/>
      <c r="N496" s="26"/>
      <c r="O496" s="29"/>
      <c r="P496" s="29"/>
      <c r="Q496" s="30" t="str">
        <f t="shared" ca="1" si="127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6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4"/>
        <v/>
      </c>
      <c r="K497" s="34" t="str">
        <f t="shared" si="125"/>
        <v/>
      </c>
      <c r="L497" s="33"/>
      <c r="M497" s="33"/>
      <c r="N497" s="33"/>
      <c r="O497" s="29"/>
      <c r="P497" s="29"/>
      <c r="Q497" s="35" t="str">
        <f t="shared" ca="1" si="127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6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4"/>
        <v/>
      </c>
      <c r="K498" s="28" t="str">
        <f t="shared" si="125"/>
        <v/>
      </c>
      <c r="L498" s="26"/>
      <c r="M498" s="26"/>
      <c r="N498" s="26"/>
      <c r="O498" s="29"/>
      <c r="P498" s="29"/>
      <c r="Q498" s="30" t="str">
        <f t="shared" ca="1" si="127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6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4"/>
        <v/>
      </c>
      <c r="K499" s="34" t="str">
        <f t="shared" si="125"/>
        <v/>
      </c>
      <c r="L499" s="33"/>
      <c r="M499" s="33"/>
      <c r="N499" s="33"/>
      <c r="O499" s="29"/>
      <c r="P499" s="29"/>
      <c r="Q499" s="35" t="str">
        <f t="shared" ca="1" si="127"/>
        <v/>
      </c>
      <c r="R499" s="27"/>
      <c r="S499" s="60"/>
    </row>
    <row r="500" spans="1:20" ht="15.75" customHeight="1" thickBot="1" x14ac:dyDescent="0.3">
      <c r="A500" s="149" t="s">
        <v>241</v>
      </c>
      <c r="B500" s="150"/>
      <c r="C500" s="150"/>
      <c r="D500" s="150"/>
      <c r="E500" s="15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8">IFERROR(IF($H501="","",$H501*$F501*$I501),"")</f>
        <v/>
      </c>
      <c r="K501" s="34" t="str">
        <f t="shared" ref="K501:K512" si="129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30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31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8"/>
        <v/>
      </c>
      <c r="K502" s="28" t="str">
        <f t="shared" si="129"/>
        <v/>
      </c>
      <c r="L502" s="26"/>
      <c r="M502" s="26"/>
      <c r="N502" s="26"/>
      <c r="O502" s="29"/>
      <c r="P502" s="29"/>
      <c r="Q502" s="30" t="str">
        <f t="shared" ca="1" si="130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31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8"/>
        <v/>
      </c>
      <c r="K503" s="34" t="str">
        <f t="shared" si="129"/>
        <v/>
      </c>
      <c r="L503" s="33"/>
      <c r="M503" s="33"/>
      <c r="N503" s="33"/>
      <c r="O503" s="29"/>
      <c r="P503" s="29"/>
      <c r="Q503" s="35" t="str">
        <f t="shared" ca="1" si="130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31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8"/>
        <v/>
      </c>
      <c r="K504" s="28" t="str">
        <f t="shared" si="129"/>
        <v/>
      </c>
      <c r="L504" s="26"/>
      <c r="M504" s="26"/>
      <c r="N504" s="26"/>
      <c r="O504" s="29"/>
      <c r="P504" s="29"/>
      <c r="Q504" s="30" t="str">
        <f t="shared" ca="1" si="130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31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8"/>
        <v/>
      </c>
      <c r="K505" s="34" t="str">
        <f t="shared" si="129"/>
        <v/>
      </c>
      <c r="L505" s="33"/>
      <c r="M505" s="33"/>
      <c r="N505" s="33"/>
      <c r="O505" s="29"/>
      <c r="P505" s="29"/>
      <c r="Q505" s="35" t="str">
        <f t="shared" ca="1" si="130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31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8"/>
        <v/>
      </c>
      <c r="K506" s="28" t="str">
        <f t="shared" si="129"/>
        <v/>
      </c>
      <c r="L506" s="26"/>
      <c r="M506" s="26"/>
      <c r="N506" s="26"/>
      <c r="O506" s="29"/>
      <c r="P506" s="29"/>
      <c r="Q506" s="30" t="str">
        <f t="shared" ca="1" si="130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31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8"/>
        <v/>
      </c>
      <c r="K507" s="34" t="str">
        <f t="shared" si="129"/>
        <v/>
      </c>
      <c r="L507" s="33"/>
      <c r="M507" s="33"/>
      <c r="N507" s="33"/>
      <c r="O507" s="29"/>
      <c r="P507" s="29"/>
      <c r="Q507" s="35" t="str">
        <f t="shared" ca="1" si="130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31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8"/>
        <v/>
      </c>
      <c r="K508" s="28" t="str">
        <f t="shared" si="129"/>
        <v/>
      </c>
      <c r="L508" s="26"/>
      <c r="M508" s="26"/>
      <c r="N508" s="26"/>
      <c r="O508" s="29"/>
      <c r="P508" s="29"/>
      <c r="Q508" s="30" t="str">
        <f t="shared" ca="1" si="130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31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8"/>
        <v/>
      </c>
      <c r="K509" s="34" t="str">
        <f t="shared" si="129"/>
        <v/>
      </c>
      <c r="L509" s="33"/>
      <c r="M509" s="33"/>
      <c r="N509" s="33"/>
      <c r="O509" s="29"/>
      <c r="P509" s="29"/>
      <c r="Q509" s="35" t="str">
        <f t="shared" ca="1" si="130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31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8"/>
        <v/>
      </c>
      <c r="K510" s="28" t="str">
        <f t="shared" si="129"/>
        <v/>
      </c>
      <c r="L510" s="26"/>
      <c r="M510" s="26"/>
      <c r="N510" s="26"/>
      <c r="O510" s="29"/>
      <c r="P510" s="29"/>
      <c r="Q510" s="30" t="str">
        <f t="shared" ca="1" si="130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31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8"/>
        <v/>
      </c>
      <c r="K511" s="34" t="str">
        <f t="shared" si="129"/>
        <v/>
      </c>
      <c r="L511" s="33"/>
      <c r="M511" s="33"/>
      <c r="N511" s="33"/>
      <c r="O511" s="29"/>
      <c r="P511" s="29"/>
      <c r="Q511" s="35" t="str">
        <f t="shared" ca="1" si="130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31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8"/>
        <v/>
      </c>
      <c r="K512" s="28" t="str">
        <f t="shared" si="129"/>
        <v/>
      </c>
      <c r="L512" s="26"/>
      <c r="M512" s="26"/>
      <c r="N512" s="26"/>
      <c r="O512" s="29"/>
      <c r="P512" s="29"/>
      <c r="Q512" s="30" t="str">
        <f t="shared" ca="1" si="130"/>
        <v/>
      </c>
      <c r="R512" s="27"/>
      <c r="S512" s="60"/>
    </row>
    <row r="513" spans="1:20" ht="15.75" customHeight="1" thickBot="1" x14ac:dyDescent="0.3">
      <c r="A513" s="149" t="s">
        <v>244</v>
      </c>
      <c r="B513" s="150"/>
      <c r="C513" s="150"/>
      <c r="D513" s="150"/>
      <c r="E513" s="15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1" t="s">
        <v>245</v>
      </c>
      <c r="B514" s="152"/>
      <c r="C514" s="152"/>
      <c r="D514" s="152"/>
      <c r="E514" s="15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2">IFERROR(IF($H515="","",$H515*$F515*$I515),"")</f>
        <v/>
      </c>
      <c r="K515" s="34" t="str">
        <f t="shared" ref="K515:K526" si="133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4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5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2"/>
        <v/>
      </c>
      <c r="K516" s="28" t="str">
        <f t="shared" si="133"/>
        <v/>
      </c>
      <c r="L516" s="49"/>
      <c r="M516" s="26"/>
      <c r="N516" s="49"/>
      <c r="O516" s="29"/>
      <c r="P516" s="29"/>
      <c r="Q516" s="30" t="str">
        <f t="shared" ca="1" si="134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5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2"/>
        <v/>
      </c>
      <c r="K517" s="34" t="str">
        <f t="shared" si="133"/>
        <v/>
      </c>
      <c r="L517" s="33"/>
      <c r="M517" s="33"/>
      <c r="N517" s="33"/>
      <c r="O517" s="29"/>
      <c r="P517" s="29"/>
      <c r="Q517" s="35" t="str">
        <f t="shared" ca="1" si="134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5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2"/>
        <v/>
      </c>
      <c r="K518" s="28" t="str">
        <f t="shared" si="133"/>
        <v/>
      </c>
      <c r="L518" s="33"/>
      <c r="M518" s="26"/>
      <c r="N518" s="26"/>
      <c r="O518" s="29"/>
      <c r="P518" s="29"/>
      <c r="Q518" s="30" t="str">
        <f t="shared" ca="1" si="134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5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2"/>
        <v/>
      </c>
      <c r="K519" s="34" t="str">
        <f t="shared" si="133"/>
        <v/>
      </c>
      <c r="L519" s="33"/>
      <c r="M519" s="33"/>
      <c r="N519" s="33"/>
      <c r="O519" s="29"/>
      <c r="P519" s="29"/>
      <c r="Q519" s="35" t="str">
        <f t="shared" ca="1" si="134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5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2"/>
        <v/>
      </c>
      <c r="K520" s="28" t="str">
        <f t="shared" si="133"/>
        <v/>
      </c>
      <c r="L520" s="26"/>
      <c r="M520" s="26"/>
      <c r="N520" s="26"/>
      <c r="O520" s="29"/>
      <c r="P520" s="29"/>
      <c r="Q520" s="30" t="str">
        <f t="shared" ca="1" si="134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5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2"/>
        <v/>
      </c>
      <c r="K521" s="34" t="str">
        <f t="shared" si="133"/>
        <v/>
      </c>
      <c r="L521" s="33"/>
      <c r="M521" s="33"/>
      <c r="N521" s="33"/>
      <c r="O521" s="29"/>
      <c r="P521" s="29"/>
      <c r="Q521" s="35" t="str">
        <f t="shared" ca="1" si="134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5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2"/>
        <v/>
      </c>
      <c r="K522" s="28" t="str">
        <f t="shared" si="133"/>
        <v/>
      </c>
      <c r="L522" s="26"/>
      <c r="M522" s="26"/>
      <c r="N522" s="26"/>
      <c r="O522" s="29"/>
      <c r="P522" s="29"/>
      <c r="Q522" s="30" t="str">
        <f t="shared" ca="1" si="134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5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2"/>
        <v/>
      </c>
      <c r="K523" s="34" t="str">
        <f t="shared" si="133"/>
        <v/>
      </c>
      <c r="L523" s="33"/>
      <c r="M523" s="33"/>
      <c r="N523" s="33"/>
      <c r="O523" s="29"/>
      <c r="P523" s="29"/>
      <c r="Q523" s="35" t="str">
        <f t="shared" ca="1" si="134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5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2"/>
        <v/>
      </c>
      <c r="K524" s="28" t="str">
        <f t="shared" si="133"/>
        <v/>
      </c>
      <c r="L524" s="26"/>
      <c r="M524" s="26"/>
      <c r="N524" s="26"/>
      <c r="O524" s="29"/>
      <c r="P524" s="29"/>
      <c r="Q524" s="30" t="str">
        <f t="shared" ca="1" si="134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5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2"/>
        <v/>
      </c>
      <c r="K525" s="34" t="str">
        <f t="shared" si="133"/>
        <v/>
      </c>
      <c r="L525" s="33"/>
      <c r="M525" s="33"/>
      <c r="N525" s="33"/>
      <c r="O525" s="29"/>
      <c r="P525" s="29"/>
      <c r="Q525" s="35" t="str">
        <f t="shared" ca="1" si="134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5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2"/>
        <v/>
      </c>
      <c r="K526" s="28" t="str">
        <f t="shared" si="133"/>
        <v/>
      </c>
      <c r="L526" s="26"/>
      <c r="M526" s="26"/>
      <c r="N526" s="26"/>
      <c r="O526" s="29"/>
      <c r="P526" s="29"/>
      <c r="Q526" s="30" t="str">
        <f t="shared" ca="1" si="134"/>
        <v/>
      </c>
      <c r="R526" s="27"/>
      <c r="S526" s="60"/>
    </row>
    <row r="527" spans="1:20" ht="15.75" customHeight="1" thickBot="1" x14ac:dyDescent="0.3">
      <c r="A527" s="149" t="s">
        <v>241</v>
      </c>
      <c r="B527" s="150"/>
      <c r="C527" s="150"/>
      <c r="D527" s="150"/>
      <c r="E527" s="15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6">IFERROR(IF($H528="","",$H528*$F528*$I528),"")</f>
        <v/>
      </c>
      <c r="K528" s="28" t="str">
        <f t="shared" ref="K528:K539" si="137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8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9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6"/>
        <v/>
      </c>
      <c r="K529" s="34" t="str">
        <f t="shared" si="137"/>
        <v/>
      </c>
      <c r="L529" s="33"/>
      <c r="M529" s="33"/>
      <c r="N529" s="33"/>
      <c r="O529" s="29"/>
      <c r="P529" s="29"/>
      <c r="Q529" s="35" t="str">
        <f t="shared" ca="1" si="138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9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6"/>
        <v/>
      </c>
      <c r="K530" s="28" t="str">
        <f t="shared" si="137"/>
        <v/>
      </c>
      <c r="L530" s="26"/>
      <c r="M530" s="26"/>
      <c r="N530" s="26"/>
      <c r="O530" s="29"/>
      <c r="P530" s="29"/>
      <c r="Q530" s="30" t="str">
        <f t="shared" ca="1" si="138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9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6"/>
        <v/>
      </c>
      <c r="K531" s="34" t="str">
        <f t="shared" si="137"/>
        <v/>
      </c>
      <c r="L531" s="33"/>
      <c r="M531" s="33"/>
      <c r="N531" s="33"/>
      <c r="O531" s="29"/>
      <c r="P531" s="29"/>
      <c r="Q531" s="35" t="str">
        <f t="shared" ca="1" si="138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9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6"/>
        <v/>
      </c>
      <c r="K532" s="28" t="str">
        <f t="shared" si="137"/>
        <v/>
      </c>
      <c r="L532" s="26"/>
      <c r="M532" s="26"/>
      <c r="N532" s="26"/>
      <c r="O532" s="29"/>
      <c r="P532" s="29"/>
      <c r="Q532" s="30" t="str">
        <f t="shared" ca="1" si="138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9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6"/>
        <v/>
      </c>
      <c r="K533" s="34" t="str">
        <f t="shared" si="137"/>
        <v/>
      </c>
      <c r="L533" s="33"/>
      <c r="M533" s="33"/>
      <c r="N533" s="33"/>
      <c r="O533" s="29"/>
      <c r="P533" s="29"/>
      <c r="Q533" s="35" t="str">
        <f t="shared" ca="1" si="138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9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6"/>
        <v/>
      </c>
      <c r="K534" s="28" t="str">
        <f t="shared" si="137"/>
        <v/>
      </c>
      <c r="L534" s="26"/>
      <c r="M534" s="26"/>
      <c r="N534" s="26"/>
      <c r="O534" s="29"/>
      <c r="P534" s="29"/>
      <c r="Q534" s="30" t="str">
        <f t="shared" ca="1" si="138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9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6"/>
        <v/>
      </c>
      <c r="K535" s="34" t="str">
        <f t="shared" si="137"/>
        <v/>
      </c>
      <c r="L535" s="33"/>
      <c r="M535" s="33"/>
      <c r="N535" s="33"/>
      <c r="O535" s="29"/>
      <c r="P535" s="29"/>
      <c r="Q535" s="35" t="str">
        <f t="shared" ca="1" si="138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9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6"/>
        <v/>
      </c>
      <c r="K536" s="28" t="str">
        <f t="shared" si="137"/>
        <v/>
      </c>
      <c r="L536" s="26"/>
      <c r="M536" s="26"/>
      <c r="N536" s="26"/>
      <c r="O536" s="29"/>
      <c r="P536" s="29"/>
      <c r="Q536" s="30" t="str">
        <f t="shared" ca="1" si="138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9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6"/>
        <v/>
      </c>
      <c r="K537" s="34" t="str">
        <f t="shared" si="137"/>
        <v/>
      </c>
      <c r="L537" s="33"/>
      <c r="M537" s="33"/>
      <c r="N537" s="33"/>
      <c r="O537" s="29"/>
      <c r="P537" s="29"/>
      <c r="Q537" s="35" t="str">
        <f t="shared" ca="1" si="138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9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6"/>
        <v/>
      </c>
      <c r="K538" s="28" t="str">
        <f t="shared" si="137"/>
        <v/>
      </c>
      <c r="L538" s="26"/>
      <c r="M538" s="26"/>
      <c r="N538" s="26"/>
      <c r="O538" s="29"/>
      <c r="P538" s="29"/>
      <c r="Q538" s="30" t="str">
        <f t="shared" ca="1" si="138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9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6"/>
        <v/>
      </c>
      <c r="K539" s="34" t="str">
        <f t="shared" si="137"/>
        <v/>
      </c>
      <c r="L539" s="33"/>
      <c r="M539" s="33"/>
      <c r="N539" s="33"/>
      <c r="O539" s="29"/>
      <c r="P539" s="29"/>
      <c r="Q539" s="35" t="str">
        <f t="shared" ca="1" si="138"/>
        <v/>
      </c>
      <c r="R539" s="27"/>
      <c r="S539" s="60"/>
    </row>
    <row r="540" spans="1:20" ht="15.75" customHeight="1" thickBot="1" x14ac:dyDescent="0.3">
      <c r="A540" s="149" t="s">
        <v>244</v>
      </c>
      <c r="B540" s="150"/>
      <c r="C540" s="150"/>
      <c r="D540" s="150"/>
      <c r="E540" s="15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1" t="s">
        <v>245</v>
      </c>
      <c r="B541" s="152"/>
      <c r="C541" s="152"/>
      <c r="D541" s="152"/>
      <c r="E541" s="15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40">IFERROR(IF($H542="","",$H542*$F542*$I542),"")</f>
        <v/>
      </c>
      <c r="K542" s="28" t="str">
        <f t="shared" ref="K542:K553" si="141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2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3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40"/>
        <v/>
      </c>
      <c r="K543" s="34" t="str">
        <f t="shared" si="141"/>
        <v/>
      </c>
      <c r="L543" s="33"/>
      <c r="M543" s="33"/>
      <c r="N543" s="33"/>
      <c r="O543" s="29"/>
      <c r="P543" s="29"/>
      <c r="Q543" s="35" t="str">
        <f t="shared" ca="1" si="142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3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40"/>
        <v/>
      </c>
      <c r="K544" s="28" t="str">
        <f t="shared" si="141"/>
        <v/>
      </c>
      <c r="L544" s="26"/>
      <c r="M544" s="26"/>
      <c r="N544" s="26"/>
      <c r="O544" s="29"/>
      <c r="P544" s="29"/>
      <c r="Q544" s="30" t="str">
        <f t="shared" ca="1" si="142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3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40"/>
        <v/>
      </c>
      <c r="K545" s="34" t="str">
        <f t="shared" si="141"/>
        <v/>
      </c>
      <c r="L545" s="33"/>
      <c r="M545" s="33"/>
      <c r="N545" s="33"/>
      <c r="O545" s="29"/>
      <c r="P545" s="29"/>
      <c r="Q545" s="35" t="str">
        <f t="shared" ca="1" si="142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3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40"/>
        <v/>
      </c>
      <c r="K546" s="28" t="str">
        <f t="shared" si="141"/>
        <v/>
      </c>
      <c r="L546" s="26"/>
      <c r="M546" s="26"/>
      <c r="N546" s="26"/>
      <c r="O546" s="29"/>
      <c r="P546" s="29"/>
      <c r="Q546" s="30" t="str">
        <f t="shared" ca="1" si="142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3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40"/>
        <v/>
      </c>
      <c r="K547" s="34" t="str">
        <f t="shared" si="141"/>
        <v/>
      </c>
      <c r="L547" s="33"/>
      <c r="M547" s="33"/>
      <c r="N547" s="33"/>
      <c r="O547" s="29"/>
      <c r="P547" s="29"/>
      <c r="Q547" s="35" t="str">
        <f t="shared" ca="1" si="142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3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40"/>
        <v/>
      </c>
      <c r="K548" s="28" t="str">
        <f t="shared" si="141"/>
        <v/>
      </c>
      <c r="L548" s="26"/>
      <c r="M548" s="26"/>
      <c r="N548" s="26"/>
      <c r="O548" s="29"/>
      <c r="P548" s="29"/>
      <c r="Q548" s="30" t="str">
        <f t="shared" ca="1" si="142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3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40"/>
        <v/>
      </c>
      <c r="K549" s="34" t="str">
        <f t="shared" si="141"/>
        <v/>
      </c>
      <c r="L549" s="33"/>
      <c r="M549" s="33"/>
      <c r="N549" s="33"/>
      <c r="O549" s="29"/>
      <c r="P549" s="29"/>
      <c r="Q549" s="35" t="str">
        <f t="shared" ca="1" si="142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3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40"/>
        <v/>
      </c>
      <c r="K550" s="28" t="str">
        <f t="shared" si="141"/>
        <v/>
      </c>
      <c r="L550" s="26"/>
      <c r="M550" s="26"/>
      <c r="N550" s="26"/>
      <c r="O550" s="29"/>
      <c r="P550" s="29"/>
      <c r="Q550" s="30" t="str">
        <f t="shared" ca="1" si="142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3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40"/>
        <v/>
      </c>
      <c r="K551" s="34" t="str">
        <f t="shared" si="141"/>
        <v/>
      </c>
      <c r="L551" s="33"/>
      <c r="M551" s="33"/>
      <c r="N551" s="33"/>
      <c r="O551" s="29"/>
      <c r="P551" s="29"/>
      <c r="Q551" s="35" t="str">
        <f t="shared" ca="1" si="142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3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40"/>
        <v/>
      </c>
      <c r="K552" s="28" t="str">
        <f t="shared" si="141"/>
        <v/>
      </c>
      <c r="L552" s="26"/>
      <c r="M552" s="26"/>
      <c r="N552" s="26"/>
      <c r="O552" s="29"/>
      <c r="P552" s="29"/>
      <c r="Q552" s="30" t="str">
        <f t="shared" ca="1" si="142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3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40"/>
        <v/>
      </c>
      <c r="K553" s="34" t="str">
        <f t="shared" si="141"/>
        <v/>
      </c>
      <c r="L553" s="33"/>
      <c r="M553" s="33"/>
      <c r="N553" s="33"/>
      <c r="O553" s="29"/>
      <c r="P553" s="29"/>
      <c r="Q553" s="35" t="str">
        <f t="shared" ca="1" si="142"/>
        <v/>
      </c>
      <c r="R553" s="27"/>
      <c r="S553" s="60"/>
    </row>
    <row r="554" spans="1:20" ht="15.75" customHeight="1" thickBot="1" x14ac:dyDescent="0.3">
      <c r="A554" s="149" t="s">
        <v>241</v>
      </c>
      <c r="B554" s="150"/>
      <c r="C554" s="150"/>
      <c r="D554" s="150"/>
      <c r="E554" s="15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4">IFERROR(IF($H555="","",$H555*$F555*$I555),"")</f>
        <v/>
      </c>
      <c r="K555" s="34" t="str">
        <f t="shared" ref="K555:K566" si="145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6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4"/>
        <v/>
      </c>
      <c r="K556" s="28" t="str">
        <f t="shared" si="145"/>
        <v/>
      </c>
      <c r="L556" s="26"/>
      <c r="M556" s="26"/>
      <c r="N556" s="26"/>
      <c r="O556" s="29"/>
      <c r="P556" s="29"/>
      <c r="Q556" s="30" t="str">
        <f t="shared" ref="Q556:Q566" ca="1" si="147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6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4"/>
        <v/>
      </c>
      <c r="K557" s="34" t="str">
        <f t="shared" si="145"/>
        <v/>
      </c>
      <c r="L557" s="33"/>
      <c r="M557" s="33"/>
      <c r="N557" s="33"/>
      <c r="O557" s="29"/>
      <c r="P557" s="29"/>
      <c r="Q557" s="35" t="str">
        <f t="shared" ca="1" si="147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6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4"/>
        <v/>
      </c>
      <c r="K558" s="28" t="str">
        <f t="shared" si="145"/>
        <v/>
      </c>
      <c r="L558" s="26"/>
      <c r="M558" s="26"/>
      <c r="N558" s="26"/>
      <c r="O558" s="29"/>
      <c r="P558" s="29"/>
      <c r="Q558" s="30" t="str">
        <f t="shared" ca="1" si="147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6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4"/>
        <v/>
      </c>
      <c r="K559" s="34" t="str">
        <f t="shared" si="145"/>
        <v/>
      </c>
      <c r="L559" s="33"/>
      <c r="M559" s="33"/>
      <c r="N559" s="33"/>
      <c r="O559" s="29"/>
      <c r="P559" s="29"/>
      <c r="Q559" s="35" t="str">
        <f t="shared" ca="1" si="147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6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4"/>
        <v/>
      </c>
      <c r="K560" s="28" t="str">
        <f t="shared" si="145"/>
        <v/>
      </c>
      <c r="L560" s="26"/>
      <c r="M560" s="26"/>
      <c r="N560" s="26"/>
      <c r="O560" s="29"/>
      <c r="P560" s="29"/>
      <c r="Q560" s="30" t="str">
        <f t="shared" ca="1" si="147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6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4"/>
        <v/>
      </c>
      <c r="K561" s="34" t="str">
        <f t="shared" si="145"/>
        <v/>
      </c>
      <c r="L561" s="33"/>
      <c r="M561" s="33"/>
      <c r="N561" s="33"/>
      <c r="O561" s="29"/>
      <c r="P561" s="29"/>
      <c r="Q561" s="35" t="str">
        <f t="shared" ca="1" si="147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6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4"/>
        <v/>
      </c>
      <c r="K562" s="28" t="str">
        <f t="shared" si="145"/>
        <v/>
      </c>
      <c r="L562" s="26"/>
      <c r="M562" s="26"/>
      <c r="N562" s="26"/>
      <c r="O562" s="29"/>
      <c r="P562" s="29"/>
      <c r="Q562" s="30" t="str">
        <f t="shared" ca="1" si="147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6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4"/>
        <v/>
      </c>
      <c r="K563" s="34" t="str">
        <f t="shared" si="145"/>
        <v/>
      </c>
      <c r="L563" s="33"/>
      <c r="M563" s="33"/>
      <c r="N563" s="33"/>
      <c r="O563" s="29"/>
      <c r="P563" s="29"/>
      <c r="Q563" s="35" t="str">
        <f t="shared" ca="1" si="147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6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4"/>
        <v/>
      </c>
      <c r="K564" s="28" t="str">
        <f t="shared" si="145"/>
        <v/>
      </c>
      <c r="L564" s="26"/>
      <c r="M564" s="26"/>
      <c r="N564" s="26"/>
      <c r="O564" s="29"/>
      <c r="P564" s="29"/>
      <c r="Q564" s="30" t="str">
        <f t="shared" ca="1" si="147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6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4"/>
        <v/>
      </c>
      <c r="K565" s="34" t="str">
        <f t="shared" si="145"/>
        <v/>
      </c>
      <c r="L565" s="33"/>
      <c r="M565" s="33"/>
      <c r="N565" s="33"/>
      <c r="O565" s="29"/>
      <c r="P565" s="29"/>
      <c r="Q565" s="35" t="str">
        <f t="shared" ca="1" si="147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6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4"/>
        <v/>
      </c>
      <c r="K566" s="28" t="str">
        <f t="shared" si="145"/>
        <v/>
      </c>
      <c r="L566" s="26"/>
      <c r="M566" s="26"/>
      <c r="N566" s="26"/>
      <c r="O566" s="29"/>
      <c r="P566" s="29"/>
      <c r="Q566" s="30" t="str">
        <f t="shared" ca="1" si="147"/>
        <v/>
      </c>
      <c r="R566" s="27"/>
      <c r="S566" s="60"/>
    </row>
    <row r="567" spans="1:20" ht="15.75" customHeight="1" thickBot="1" x14ac:dyDescent="0.3">
      <c r="A567" s="149" t="s">
        <v>244</v>
      </c>
      <c r="B567" s="150"/>
      <c r="C567" s="150"/>
      <c r="D567" s="150"/>
      <c r="E567" s="15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1" t="s">
        <v>245</v>
      </c>
      <c r="B568" s="152"/>
      <c r="C568" s="152"/>
      <c r="D568" s="152"/>
      <c r="E568" s="15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8">IFERROR(IF($H569="","",$H569*$F569*$I569),"")</f>
        <v/>
      </c>
      <c r="K569" s="34" t="str">
        <f t="shared" ref="K569:K580" si="149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50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51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8"/>
        <v/>
      </c>
      <c r="K570" s="34" t="str">
        <f t="shared" si="149"/>
        <v/>
      </c>
      <c r="L570" s="26"/>
      <c r="M570" s="26"/>
      <c r="N570" s="26"/>
      <c r="O570" s="29"/>
      <c r="P570" s="29"/>
      <c r="Q570" s="30" t="str">
        <f t="shared" ca="1" si="150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51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8"/>
        <v/>
      </c>
      <c r="K571" s="34" t="str">
        <f t="shared" si="149"/>
        <v/>
      </c>
      <c r="L571" s="33"/>
      <c r="M571" s="33"/>
      <c r="N571" s="33"/>
      <c r="O571" s="29"/>
      <c r="P571" s="29"/>
      <c r="Q571" s="35" t="str">
        <f t="shared" ca="1" si="150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51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8"/>
        <v/>
      </c>
      <c r="K572" s="34" t="str">
        <f t="shared" si="149"/>
        <v/>
      </c>
      <c r="L572" s="26"/>
      <c r="M572" s="26"/>
      <c r="N572" s="26"/>
      <c r="O572" s="29"/>
      <c r="P572" s="29"/>
      <c r="Q572" s="30" t="str">
        <f t="shared" ca="1" si="150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51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8"/>
        <v/>
      </c>
      <c r="K573" s="34" t="str">
        <f t="shared" si="149"/>
        <v/>
      </c>
      <c r="L573" s="33"/>
      <c r="M573" s="33"/>
      <c r="N573" s="33"/>
      <c r="O573" s="29"/>
      <c r="P573" s="29"/>
      <c r="Q573" s="35" t="str">
        <f t="shared" ca="1" si="150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51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8"/>
        <v/>
      </c>
      <c r="K574" s="34" t="str">
        <f t="shared" si="149"/>
        <v/>
      </c>
      <c r="L574" s="26"/>
      <c r="M574" s="26"/>
      <c r="N574" s="26"/>
      <c r="O574" s="29"/>
      <c r="P574" s="29"/>
      <c r="Q574" s="30" t="str">
        <f t="shared" ca="1" si="150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51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8"/>
        <v/>
      </c>
      <c r="K575" s="34" t="str">
        <f t="shared" si="149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51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8"/>
        <v/>
      </c>
      <c r="K576" s="34" t="str">
        <f t="shared" si="149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51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8"/>
        <v/>
      </c>
      <c r="K577" s="34" t="str">
        <f t="shared" si="149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51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8"/>
        <v/>
      </c>
      <c r="K578" s="34" t="str">
        <f t="shared" si="149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51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8"/>
        <v/>
      </c>
      <c r="K579" s="34" t="str">
        <f t="shared" si="149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51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8"/>
        <v/>
      </c>
      <c r="K580" s="34" t="str">
        <f t="shared" si="149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49" t="s">
        <v>241</v>
      </c>
      <c r="B581" s="150"/>
      <c r="C581" s="150"/>
      <c r="D581" s="150"/>
      <c r="E581" s="15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2">IFERROR(IF($H582="","",$H582*$F582*$I582),"")</f>
        <v/>
      </c>
      <c r="K582" s="28" t="str">
        <f t="shared" ref="K582:K593" si="153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4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5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2"/>
        <v/>
      </c>
      <c r="K583" s="34" t="str">
        <f t="shared" si="153"/>
        <v/>
      </c>
      <c r="L583" s="33"/>
      <c r="M583" s="33"/>
      <c r="N583" s="33"/>
      <c r="O583" s="29"/>
      <c r="P583" s="29"/>
      <c r="Q583" s="35" t="str">
        <f t="shared" ca="1" si="154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5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2"/>
        <v/>
      </c>
      <c r="K584" s="28" t="str">
        <f t="shared" si="153"/>
        <v/>
      </c>
      <c r="L584" s="26"/>
      <c r="M584" s="26"/>
      <c r="N584" s="26"/>
      <c r="O584" s="29"/>
      <c r="P584" s="29"/>
      <c r="Q584" s="30" t="str">
        <f t="shared" ca="1" si="154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5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2"/>
        <v/>
      </c>
      <c r="K585" s="34" t="str">
        <f t="shared" si="153"/>
        <v/>
      </c>
      <c r="L585" s="33"/>
      <c r="M585" s="33"/>
      <c r="N585" s="33"/>
      <c r="O585" s="29"/>
      <c r="P585" s="29"/>
      <c r="Q585" s="35" t="str">
        <f t="shared" ca="1" si="154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5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2"/>
        <v/>
      </c>
      <c r="K586" s="28" t="str">
        <f t="shared" si="153"/>
        <v/>
      </c>
      <c r="L586" s="26"/>
      <c r="M586" s="26"/>
      <c r="N586" s="26"/>
      <c r="O586" s="29"/>
      <c r="P586" s="29"/>
      <c r="Q586" s="30" t="str">
        <f t="shared" ca="1" si="154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5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2"/>
        <v/>
      </c>
      <c r="K587" s="34" t="str">
        <f t="shared" si="153"/>
        <v/>
      </c>
      <c r="L587" s="33"/>
      <c r="M587" s="33"/>
      <c r="N587" s="33"/>
      <c r="O587" s="29"/>
      <c r="P587" s="29"/>
      <c r="Q587" s="35" t="str">
        <f t="shared" ca="1" si="154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5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2"/>
        <v/>
      </c>
      <c r="K588" s="28" t="str">
        <f t="shared" si="153"/>
        <v/>
      </c>
      <c r="L588" s="26"/>
      <c r="M588" s="26"/>
      <c r="N588" s="26"/>
      <c r="O588" s="29"/>
      <c r="P588" s="29"/>
      <c r="Q588" s="30" t="str">
        <f t="shared" ca="1" si="154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5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2"/>
        <v/>
      </c>
      <c r="K589" s="34" t="str">
        <f t="shared" si="153"/>
        <v/>
      </c>
      <c r="L589" s="33"/>
      <c r="M589" s="33"/>
      <c r="N589" s="33"/>
      <c r="O589" s="29"/>
      <c r="P589" s="29"/>
      <c r="Q589" s="35" t="str">
        <f t="shared" ca="1" si="154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5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2"/>
        <v/>
      </c>
      <c r="K590" s="28" t="str">
        <f t="shared" si="153"/>
        <v/>
      </c>
      <c r="L590" s="26"/>
      <c r="M590" s="26"/>
      <c r="N590" s="26"/>
      <c r="O590" s="29"/>
      <c r="P590" s="29"/>
      <c r="Q590" s="30" t="str">
        <f t="shared" ca="1" si="154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5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2"/>
        <v/>
      </c>
      <c r="K591" s="34" t="str">
        <f t="shared" si="153"/>
        <v/>
      </c>
      <c r="L591" s="33"/>
      <c r="M591" s="33"/>
      <c r="N591" s="33"/>
      <c r="O591" s="29"/>
      <c r="P591" s="29"/>
      <c r="Q591" s="35" t="str">
        <f t="shared" ca="1" si="154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5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2"/>
        <v/>
      </c>
      <c r="K592" s="28" t="str">
        <f t="shared" si="153"/>
        <v/>
      </c>
      <c r="L592" s="26"/>
      <c r="M592" s="26"/>
      <c r="N592" s="26"/>
      <c r="O592" s="29"/>
      <c r="P592" s="29"/>
      <c r="Q592" s="30" t="str">
        <f t="shared" ca="1" si="154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5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2"/>
        <v/>
      </c>
      <c r="K593" s="34" t="str">
        <f t="shared" si="153"/>
        <v/>
      </c>
      <c r="L593" s="33"/>
      <c r="M593" s="33"/>
      <c r="N593" s="33"/>
      <c r="O593" s="29"/>
      <c r="P593" s="29"/>
      <c r="Q593" s="35" t="str">
        <f t="shared" ca="1" si="154"/>
        <v/>
      </c>
      <c r="R593" s="27"/>
      <c r="S593" s="60"/>
    </row>
    <row r="594" spans="1:20" ht="15.75" customHeight="1" thickBot="1" x14ac:dyDescent="0.3">
      <c r="A594" s="149" t="s">
        <v>244</v>
      </c>
      <c r="B594" s="150"/>
      <c r="C594" s="150"/>
      <c r="D594" s="150"/>
      <c r="E594" s="15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1" t="s">
        <v>245</v>
      </c>
      <c r="B595" s="152"/>
      <c r="C595" s="152"/>
      <c r="D595" s="152"/>
      <c r="E595" s="15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6">IFERROR(IF($H596="","",$H596*$F596*$I596),"")</f>
        <v/>
      </c>
      <c r="K596" s="28" t="str">
        <f t="shared" ref="K596:K607" si="157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8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9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6"/>
        <v/>
      </c>
      <c r="K597" s="34" t="str">
        <f t="shared" si="157"/>
        <v/>
      </c>
      <c r="L597" s="33"/>
      <c r="M597" s="33"/>
      <c r="N597" s="33"/>
      <c r="O597" s="29"/>
      <c r="P597" s="29"/>
      <c r="Q597" s="35" t="str">
        <f t="shared" ca="1" si="158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9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6"/>
        <v/>
      </c>
      <c r="K598" s="28" t="str">
        <f t="shared" si="157"/>
        <v/>
      </c>
      <c r="L598" s="26"/>
      <c r="M598" s="26"/>
      <c r="N598" s="26"/>
      <c r="O598" s="29"/>
      <c r="P598" s="29"/>
      <c r="Q598" s="30" t="str">
        <f t="shared" ca="1" si="158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9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6"/>
        <v/>
      </c>
      <c r="K599" s="34" t="str">
        <f t="shared" si="157"/>
        <v/>
      </c>
      <c r="L599" s="33"/>
      <c r="M599" s="33"/>
      <c r="N599" s="33"/>
      <c r="O599" s="29"/>
      <c r="P599" s="29"/>
      <c r="Q599" s="35" t="str">
        <f t="shared" ca="1" si="158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9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6"/>
        <v/>
      </c>
      <c r="K600" s="28" t="str">
        <f t="shared" si="157"/>
        <v/>
      </c>
      <c r="L600" s="26"/>
      <c r="M600" s="26"/>
      <c r="N600" s="26"/>
      <c r="O600" s="29"/>
      <c r="P600" s="29"/>
      <c r="Q600" s="30" t="str">
        <f t="shared" ca="1" si="158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9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6"/>
        <v/>
      </c>
      <c r="K601" s="34" t="str">
        <f t="shared" si="157"/>
        <v/>
      </c>
      <c r="L601" s="33"/>
      <c r="M601" s="33"/>
      <c r="N601" s="33"/>
      <c r="O601" s="29"/>
      <c r="P601" s="29"/>
      <c r="Q601" s="35" t="str">
        <f t="shared" ca="1" si="158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9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6"/>
        <v/>
      </c>
      <c r="K602" s="28" t="str">
        <f t="shared" si="157"/>
        <v/>
      </c>
      <c r="L602" s="26"/>
      <c r="M602" s="26"/>
      <c r="N602" s="26"/>
      <c r="O602" s="29"/>
      <c r="P602" s="29"/>
      <c r="Q602" s="30" t="str">
        <f t="shared" ca="1" si="158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9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6"/>
        <v/>
      </c>
      <c r="K603" s="34" t="str">
        <f t="shared" si="157"/>
        <v/>
      </c>
      <c r="L603" s="33"/>
      <c r="M603" s="33"/>
      <c r="N603" s="33"/>
      <c r="O603" s="29"/>
      <c r="P603" s="29"/>
      <c r="Q603" s="35" t="str">
        <f t="shared" ca="1" si="158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9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6"/>
        <v/>
      </c>
      <c r="K604" s="28" t="str">
        <f t="shared" si="157"/>
        <v/>
      </c>
      <c r="L604" s="26"/>
      <c r="M604" s="26"/>
      <c r="N604" s="26"/>
      <c r="O604" s="29"/>
      <c r="P604" s="29"/>
      <c r="Q604" s="30" t="str">
        <f t="shared" ca="1" si="158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9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6"/>
        <v/>
      </c>
      <c r="K605" s="34" t="str">
        <f t="shared" si="157"/>
        <v/>
      </c>
      <c r="L605" s="33"/>
      <c r="M605" s="33"/>
      <c r="N605" s="33"/>
      <c r="O605" s="29"/>
      <c r="P605" s="29"/>
      <c r="Q605" s="35" t="str">
        <f t="shared" ca="1" si="158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9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6"/>
        <v/>
      </c>
      <c r="K606" s="28" t="str">
        <f t="shared" si="157"/>
        <v/>
      </c>
      <c r="L606" s="26"/>
      <c r="M606" s="26"/>
      <c r="N606" s="26"/>
      <c r="O606" s="29"/>
      <c r="P606" s="29"/>
      <c r="Q606" s="30" t="str">
        <f t="shared" ca="1" si="158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9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6"/>
        <v/>
      </c>
      <c r="K607" s="34" t="str">
        <f t="shared" si="157"/>
        <v/>
      </c>
      <c r="L607" s="33"/>
      <c r="M607" s="33"/>
      <c r="N607" s="33"/>
      <c r="O607" s="29"/>
      <c r="P607" s="29"/>
      <c r="Q607" s="35" t="str">
        <f t="shared" ca="1" si="158"/>
        <v/>
      </c>
      <c r="R607" s="27"/>
      <c r="S607" s="60"/>
    </row>
    <row r="608" spans="1:20" ht="15.75" customHeight="1" thickBot="1" x14ac:dyDescent="0.3">
      <c r="A608" s="149" t="s">
        <v>241</v>
      </c>
      <c r="B608" s="150"/>
      <c r="C608" s="150"/>
      <c r="D608" s="150"/>
      <c r="E608" s="15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60">IFERROR(IF($H609="","",$H609*$F609*$I609),"")</f>
        <v/>
      </c>
      <c r="K609" s="34" t="str">
        <f t="shared" ref="K609:K614" si="161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2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3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60"/>
        <v/>
      </c>
      <c r="K610" s="28" t="str">
        <f t="shared" si="161"/>
        <v/>
      </c>
      <c r="L610" s="26"/>
      <c r="M610" s="26"/>
      <c r="N610" s="26"/>
      <c r="O610" s="29"/>
      <c r="P610" s="29"/>
      <c r="Q610" s="30" t="str">
        <f t="shared" ca="1" si="162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3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60"/>
        <v/>
      </c>
      <c r="K611" s="34" t="str">
        <f t="shared" si="161"/>
        <v/>
      </c>
      <c r="L611" s="33"/>
      <c r="M611" s="33"/>
      <c r="N611" s="33"/>
      <c r="O611" s="29"/>
      <c r="P611" s="29"/>
      <c r="Q611" s="35" t="str">
        <f t="shared" ca="1" si="162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3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60"/>
        <v/>
      </c>
      <c r="K612" s="28" t="str">
        <f t="shared" si="161"/>
        <v/>
      </c>
      <c r="L612" s="26"/>
      <c r="M612" s="26"/>
      <c r="N612" s="26"/>
      <c r="O612" s="29"/>
      <c r="P612" s="29"/>
      <c r="Q612" s="30" t="str">
        <f t="shared" ca="1" si="162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3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60"/>
        <v/>
      </c>
      <c r="K613" s="34" t="str">
        <f t="shared" si="161"/>
        <v/>
      </c>
      <c r="L613" s="33"/>
      <c r="M613" s="33"/>
      <c r="N613" s="33"/>
      <c r="O613" s="29"/>
      <c r="P613" s="29"/>
      <c r="Q613" s="35" t="str">
        <f t="shared" ca="1" si="162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3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60"/>
        <v/>
      </c>
      <c r="K614" s="28" t="str">
        <f t="shared" si="161"/>
        <v/>
      </c>
      <c r="L614" s="26"/>
      <c r="M614" s="26"/>
      <c r="N614" s="26"/>
      <c r="O614" s="29"/>
      <c r="P614" s="29"/>
      <c r="Q614" s="30" t="str">
        <f t="shared" ca="1" si="162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3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60"/>
        <v/>
      </c>
      <c r="K615" s="34"/>
      <c r="L615" s="33"/>
      <c r="M615" s="33"/>
      <c r="N615" s="33"/>
      <c r="O615" s="29"/>
      <c r="P615" s="29"/>
      <c r="Q615" s="35" t="str">
        <f t="shared" ca="1" si="162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3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60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2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3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60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2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3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60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2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3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60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2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3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60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2"/>
        <v/>
      </c>
      <c r="R620" s="27"/>
      <c r="S620" s="60"/>
    </row>
    <row r="621" spans="1:20" ht="15.75" customHeight="1" thickBot="1" x14ac:dyDescent="0.3">
      <c r="A621" s="149" t="s">
        <v>244</v>
      </c>
      <c r="B621" s="150"/>
      <c r="C621" s="150"/>
      <c r="D621" s="150"/>
      <c r="E621" s="15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1" t="s">
        <v>245</v>
      </c>
      <c r="B622" s="152"/>
      <c r="C622" s="152"/>
      <c r="D622" s="152"/>
      <c r="E622" s="15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4">IFERROR(IF($H623="","",$H623*$F623*$I623),"")</f>
        <v/>
      </c>
      <c r="K623" s="34" t="str">
        <f t="shared" ref="K623:K634" si="165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6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7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4"/>
        <v/>
      </c>
      <c r="K624" s="28" t="str">
        <f t="shared" si="165"/>
        <v/>
      </c>
      <c r="L624" s="26"/>
      <c r="M624" s="26"/>
      <c r="N624" s="26"/>
      <c r="O624" s="29"/>
      <c r="P624" s="29"/>
      <c r="Q624" s="30" t="str">
        <f t="shared" ca="1" si="166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7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4"/>
        <v/>
      </c>
      <c r="K625" s="34" t="str">
        <f t="shared" si="165"/>
        <v/>
      </c>
      <c r="L625" s="33"/>
      <c r="M625" s="33"/>
      <c r="N625" s="33"/>
      <c r="O625" s="29"/>
      <c r="P625" s="29"/>
      <c r="Q625" s="35" t="str">
        <f t="shared" ca="1" si="166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7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4"/>
        <v/>
      </c>
      <c r="K626" s="28" t="str">
        <f t="shared" si="165"/>
        <v/>
      </c>
      <c r="L626" s="26"/>
      <c r="M626" s="26"/>
      <c r="N626" s="26"/>
      <c r="O626" s="29"/>
      <c r="P626" s="29"/>
      <c r="Q626" s="30" t="str">
        <f t="shared" ca="1" si="166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7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4"/>
        <v/>
      </c>
      <c r="K627" s="34" t="str">
        <f t="shared" si="165"/>
        <v/>
      </c>
      <c r="L627" s="33"/>
      <c r="M627" s="33"/>
      <c r="N627" s="33"/>
      <c r="O627" s="29"/>
      <c r="P627" s="29"/>
      <c r="Q627" s="35" t="str">
        <f t="shared" ca="1" si="166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7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4"/>
        <v/>
      </c>
      <c r="K628" s="28" t="str">
        <f t="shared" si="165"/>
        <v/>
      </c>
      <c r="L628" s="26"/>
      <c r="M628" s="26"/>
      <c r="N628" s="26"/>
      <c r="O628" s="29"/>
      <c r="P628" s="29"/>
      <c r="Q628" s="30" t="str">
        <f t="shared" ca="1" si="166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7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4"/>
        <v/>
      </c>
      <c r="K629" s="34" t="str">
        <f t="shared" si="165"/>
        <v/>
      </c>
      <c r="L629" s="33"/>
      <c r="M629" s="33"/>
      <c r="N629" s="33"/>
      <c r="O629" s="29"/>
      <c r="P629" s="29"/>
      <c r="Q629" s="35" t="str">
        <f t="shared" ca="1" si="166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7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4"/>
        <v/>
      </c>
      <c r="K630" s="28" t="str">
        <f t="shared" si="165"/>
        <v/>
      </c>
      <c r="L630" s="26"/>
      <c r="M630" s="26"/>
      <c r="N630" s="26"/>
      <c r="O630" s="29"/>
      <c r="P630" s="29"/>
      <c r="Q630" s="30" t="str">
        <f t="shared" ca="1" si="166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7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4"/>
        <v/>
      </c>
      <c r="K631" s="34" t="str">
        <f t="shared" si="165"/>
        <v/>
      </c>
      <c r="L631" s="33"/>
      <c r="M631" s="33"/>
      <c r="N631" s="33"/>
      <c r="O631" s="29"/>
      <c r="P631" s="29"/>
      <c r="Q631" s="35" t="str">
        <f t="shared" ca="1" si="166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7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4"/>
        <v/>
      </c>
      <c r="K632" s="28" t="str">
        <f t="shared" si="165"/>
        <v/>
      </c>
      <c r="L632" s="26"/>
      <c r="M632" s="26"/>
      <c r="N632" s="26"/>
      <c r="O632" s="29"/>
      <c r="P632" s="29"/>
      <c r="Q632" s="30" t="str">
        <f t="shared" ca="1" si="166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7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4"/>
        <v/>
      </c>
      <c r="K633" s="34" t="str">
        <f t="shared" si="165"/>
        <v/>
      </c>
      <c r="L633" s="33"/>
      <c r="M633" s="33"/>
      <c r="N633" s="33"/>
      <c r="O633" s="29"/>
      <c r="P633" s="29"/>
      <c r="Q633" s="35" t="str">
        <f t="shared" ca="1" si="166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7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4"/>
        <v/>
      </c>
      <c r="K634" s="28" t="str">
        <f t="shared" si="165"/>
        <v/>
      </c>
      <c r="L634" s="26"/>
      <c r="M634" s="26"/>
      <c r="N634" s="26"/>
      <c r="O634" s="29"/>
      <c r="P634" s="29"/>
      <c r="Q634" s="30" t="str">
        <f t="shared" ca="1" si="166"/>
        <v/>
      </c>
      <c r="R634" s="27"/>
      <c r="S634" s="60"/>
    </row>
    <row r="635" spans="1:20" ht="15.75" customHeight="1" thickBot="1" x14ac:dyDescent="0.3">
      <c r="A635" s="149" t="s">
        <v>241</v>
      </c>
      <c r="B635" s="150"/>
      <c r="C635" s="150"/>
      <c r="D635" s="150"/>
      <c r="E635" s="15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8">IFERROR(IF($H636="","",$H636*$F636*$I636),"")</f>
        <v/>
      </c>
      <c r="K636" s="28" t="str">
        <f t="shared" ref="K636:K647" si="169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70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71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8"/>
        <v/>
      </c>
      <c r="K637" s="34" t="str">
        <f t="shared" si="169"/>
        <v/>
      </c>
      <c r="L637" s="33"/>
      <c r="M637" s="33"/>
      <c r="N637" s="33"/>
      <c r="O637" s="29"/>
      <c r="P637" s="29"/>
      <c r="Q637" s="35" t="str">
        <f t="shared" ca="1" si="170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71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8"/>
        <v/>
      </c>
      <c r="K638" s="28" t="str">
        <f t="shared" si="169"/>
        <v/>
      </c>
      <c r="L638" s="26"/>
      <c r="M638" s="26"/>
      <c r="N638" s="26"/>
      <c r="O638" s="29"/>
      <c r="P638" s="29"/>
      <c r="Q638" s="30" t="str">
        <f t="shared" ca="1" si="170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71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8"/>
        <v/>
      </c>
      <c r="K639" s="34" t="str">
        <f t="shared" si="169"/>
        <v/>
      </c>
      <c r="L639" s="33"/>
      <c r="M639" s="33"/>
      <c r="N639" s="33"/>
      <c r="O639" s="29"/>
      <c r="P639" s="29"/>
      <c r="Q639" s="35" t="str">
        <f t="shared" ca="1" si="170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71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8"/>
        <v/>
      </c>
      <c r="K640" s="28" t="str">
        <f t="shared" si="169"/>
        <v/>
      </c>
      <c r="L640" s="26"/>
      <c r="M640" s="26"/>
      <c r="N640" s="26"/>
      <c r="O640" s="29"/>
      <c r="P640" s="29"/>
      <c r="Q640" s="30" t="str">
        <f t="shared" ca="1" si="170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71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8"/>
        <v/>
      </c>
      <c r="K641" s="34" t="str">
        <f t="shared" si="169"/>
        <v/>
      </c>
      <c r="L641" s="33"/>
      <c r="M641" s="33"/>
      <c r="N641" s="33"/>
      <c r="O641" s="29"/>
      <c r="P641" s="29"/>
      <c r="Q641" s="35" t="str">
        <f t="shared" ca="1" si="170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71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8"/>
        <v/>
      </c>
      <c r="K642" s="28" t="str">
        <f t="shared" si="169"/>
        <v/>
      </c>
      <c r="L642" s="26"/>
      <c r="M642" s="26"/>
      <c r="N642" s="26"/>
      <c r="O642" s="29"/>
      <c r="P642" s="29"/>
      <c r="Q642" s="30" t="str">
        <f t="shared" ca="1" si="170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71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8"/>
        <v/>
      </c>
      <c r="K643" s="34" t="str">
        <f t="shared" si="169"/>
        <v/>
      </c>
      <c r="L643" s="33"/>
      <c r="M643" s="33"/>
      <c r="N643" s="33"/>
      <c r="O643" s="29"/>
      <c r="P643" s="29"/>
      <c r="Q643" s="35" t="str">
        <f t="shared" ca="1" si="170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71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8"/>
        <v/>
      </c>
      <c r="K644" s="28" t="str">
        <f t="shared" si="169"/>
        <v/>
      </c>
      <c r="L644" s="26"/>
      <c r="M644" s="26"/>
      <c r="N644" s="26"/>
      <c r="O644" s="29"/>
      <c r="P644" s="29"/>
      <c r="Q644" s="30" t="str">
        <f t="shared" ca="1" si="170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71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8"/>
        <v/>
      </c>
      <c r="K645" s="34" t="str">
        <f t="shared" si="169"/>
        <v/>
      </c>
      <c r="L645" s="33"/>
      <c r="M645" s="33"/>
      <c r="N645" s="33"/>
      <c r="O645" s="29"/>
      <c r="P645" s="29"/>
      <c r="Q645" s="35" t="str">
        <f t="shared" ca="1" si="170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71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8"/>
        <v/>
      </c>
      <c r="K646" s="28" t="str">
        <f t="shared" si="169"/>
        <v/>
      </c>
      <c r="L646" s="26"/>
      <c r="M646" s="26"/>
      <c r="N646" s="26"/>
      <c r="O646" s="29"/>
      <c r="P646" s="29"/>
      <c r="Q646" s="30" t="str">
        <f t="shared" ca="1" si="170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71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8"/>
        <v/>
      </c>
      <c r="K647" s="34" t="str">
        <f t="shared" si="169"/>
        <v/>
      </c>
      <c r="L647" s="33"/>
      <c r="M647" s="33"/>
      <c r="N647" s="33"/>
      <c r="O647" s="29"/>
      <c r="P647" s="29"/>
      <c r="Q647" s="35" t="str">
        <f t="shared" ca="1" si="170"/>
        <v/>
      </c>
      <c r="R647" s="27"/>
      <c r="S647" s="60"/>
    </row>
    <row r="648" spans="1:20" ht="15.75" customHeight="1" thickBot="1" x14ac:dyDescent="0.3">
      <c r="A648" s="149" t="s">
        <v>244</v>
      </c>
      <c r="B648" s="150"/>
      <c r="C648" s="150"/>
      <c r="D648" s="150"/>
      <c r="E648" s="15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1" t="s">
        <v>245</v>
      </c>
      <c r="B649" s="152"/>
      <c r="C649" s="152"/>
      <c r="D649" s="152"/>
      <c r="E649" s="15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2">IFERROR(IF($H650="","",$H650*$F650*$I650),"")</f>
        <v/>
      </c>
      <c r="K650" s="28" t="str">
        <f t="shared" ref="K650:K661" si="173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4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5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2"/>
        <v/>
      </c>
      <c r="K651" s="34" t="str">
        <f t="shared" si="173"/>
        <v/>
      </c>
      <c r="L651" s="33"/>
      <c r="M651" s="33"/>
      <c r="N651" s="33"/>
      <c r="O651" s="29"/>
      <c r="P651" s="29"/>
      <c r="Q651" s="35" t="str">
        <f t="shared" ca="1" si="174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5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2"/>
        <v/>
      </c>
      <c r="K652" s="34" t="str">
        <f t="shared" si="173"/>
        <v/>
      </c>
      <c r="L652" s="26"/>
      <c r="M652" s="26"/>
      <c r="N652" s="26"/>
      <c r="O652" s="29"/>
      <c r="P652" s="29"/>
      <c r="Q652" s="30" t="str">
        <f t="shared" ca="1" si="174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5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2"/>
        <v/>
      </c>
      <c r="K653" s="34" t="str">
        <f t="shared" si="173"/>
        <v/>
      </c>
      <c r="L653" s="33"/>
      <c r="M653" s="33"/>
      <c r="N653" s="33"/>
      <c r="O653" s="29"/>
      <c r="P653" s="29"/>
      <c r="Q653" s="35" t="str">
        <f t="shared" ca="1" si="174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5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2"/>
        <v/>
      </c>
      <c r="K654" s="28" t="str">
        <f t="shared" si="173"/>
        <v/>
      </c>
      <c r="L654" s="26"/>
      <c r="M654" s="26"/>
      <c r="N654" s="26"/>
      <c r="O654" s="29"/>
      <c r="P654" s="29"/>
      <c r="Q654" s="30" t="str">
        <f t="shared" ca="1" si="174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5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2"/>
        <v/>
      </c>
      <c r="K655" s="34" t="str">
        <f t="shared" si="173"/>
        <v/>
      </c>
      <c r="L655" s="33"/>
      <c r="M655" s="33"/>
      <c r="N655" s="33"/>
      <c r="O655" s="29"/>
      <c r="P655" s="29"/>
      <c r="Q655" s="35" t="str">
        <f t="shared" ca="1" si="174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5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2"/>
        <v/>
      </c>
      <c r="K656" s="28" t="str">
        <f t="shared" si="173"/>
        <v/>
      </c>
      <c r="L656" s="26"/>
      <c r="M656" s="26"/>
      <c r="N656" s="26"/>
      <c r="O656" s="29"/>
      <c r="P656" s="29"/>
      <c r="Q656" s="30" t="str">
        <f t="shared" ca="1" si="174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5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2"/>
        <v/>
      </c>
      <c r="K657" s="34" t="str">
        <f t="shared" si="173"/>
        <v/>
      </c>
      <c r="L657" s="33"/>
      <c r="M657" s="33"/>
      <c r="N657" s="33"/>
      <c r="O657" s="29"/>
      <c r="P657" s="29"/>
      <c r="Q657" s="35" t="str">
        <f t="shared" ca="1" si="174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5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2"/>
        <v/>
      </c>
      <c r="K658" s="28" t="str">
        <f t="shared" si="173"/>
        <v/>
      </c>
      <c r="L658" s="26"/>
      <c r="M658" s="26"/>
      <c r="N658" s="26"/>
      <c r="O658" s="29"/>
      <c r="P658" s="29"/>
      <c r="Q658" s="30" t="str">
        <f t="shared" ca="1" si="174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5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2"/>
        <v/>
      </c>
      <c r="K659" s="34" t="str">
        <f t="shared" si="173"/>
        <v/>
      </c>
      <c r="L659" s="33"/>
      <c r="M659" s="33"/>
      <c r="N659" s="33"/>
      <c r="O659" s="29"/>
      <c r="P659" s="29"/>
      <c r="Q659" s="35" t="str">
        <f t="shared" ca="1" si="174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5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2"/>
        <v/>
      </c>
      <c r="K660" s="28" t="str">
        <f t="shared" si="173"/>
        <v/>
      </c>
      <c r="L660" s="26"/>
      <c r="M660" s="26"/>
      <c r="N660" s="26"/>
      <c r="O660" s="29"/>
      <c r="P660" s="29"/>
      <c r="Q660" s="30" t="str">
        <f t="shared" ca="1" si="174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5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2"/>
        <v/>
      </c>
      <c r="K661" s="34" t="str">
        <f t="shared" si="173"/>
        <v/>
      </c>
      <c r="L661" s="33"/>
      <c r="M661" s="33"/>
      <c r="N661" s="33"/>
      <c r="O661" s="29"/>
      <c r="P661" s="29"/>
      <c r="Q661" s="35" t="str">
        <f t="shared" ca="1" si="174"/>
        <v/>
      </c>
      <c r="R661" s="27"/>
      <c r="S661" s="60"/>
    </row>
    <row r="662" spans="1:20" ht="15.75" customHeight="1" thickBot="1" x14ac:dyDescent="0.3">
      <c r="A662" s="149" t="s">
        <v>241</v>
      </c>
      <c r="B662" s="150"/>
      <c r="C662" s="150"/>
      <c r="D662" s="150"/>
      <c r="E662" s="15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6">IFERROR(IF($H663="","",$H663*$F663*$I663),"")</f>
        <v/>
      </c>
      <c r="K663" s="34" t="str">
        <f t="shared" ref="K663:K674" si="177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8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9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6"/>
        <v/>
      </c>
      <c r="K664" s="28" t="str">
        <f t="shared" si="177"/>
        <v/>
      </c>
      <c r="L664" s="26"/>
      <c r="M664" s="26"/>
      <c r="N664" s="26"/>
      <c r="O664" s="29"/>
      <c r="P664" s="29"/>
      <c r="Q664" s="30" t="str">
        <f t="shared" ca="1" si="178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9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6"/>
        <v/>
      </c>
      <c r="K665" s="34" t="str">
        <f t="shared" si="177"/>
        <v/>
      </c>
      <c r="L665" s="33"/>
      <c r="M665" s="33"/>
      <c r="N665" s="33"/>
      <c r="O665" s="29"/>
      <c r="P665" s="29"/>
      <c r="Q665" s="35" t="str">
        <f t="shared" ca="1" si="178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9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6"/>
        <v/>
      </c>
      <c r="K666" s="28" t="str">
        <f t="shared" si="177"/>
        <v/>
      </c>
      <c r="L666" s="26"/>
      <c r="M666" s="26"/>
      <c r="N666" s="26"/>
      <c r="O666" s="29"/>
      <c r="P666" s="29"/>
      <c r="Q666" s="30" t="str">
        <f t="shared" ca="1" si="178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9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6"/>
        <v/>
      </c>
      <c r="K667" s="34" t="str">
        <f t="shared" si="177"/>
        <v/>
      </c>
      <c r="L667" s="33"/>
      <c r="M667" s="33"/>
      <c r="N667" s="33"/>
      <c r="O667" s="29"/>
      <c r="P667" s="29"/>
      <c r="Q667" s="35" t="str">
        <f t="shared" ca="1" si="178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9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6"/>
        <v/>
      </c>
      <c r="K668" s="28" t="str">
        <f t="shared" si="177"/>
        <v/>
      </c>
      <c r="L668" s="26"/>
      <c r="M668" s="26"/>
      <c r="N668" s="26"/>
      <c r="O668" s="29"/>
      <c r="P668" s="29"/>
      <c r="Q668" s="30" t="str">
        <f t="shared" ca="1" si="178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9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6"/>
        <v/>
      </c>
      <c r="K669" s="34" t="str">
        <f t="shared" si="177"/>
        <v/>
      </c>
      <c r="L669" s="33"/>
      <c r="M669" s="33"/>
      <c r="N669" s="33"/>
      <c r="O669" s="29"/>
      <c r="P669" s="29"/>
      <c r="Q669" s="35" t="str">
        <f t="shared" ca="1" si="178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9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6"/>
        <v/>
      </c>
      <c r="K670" s="28" t="str">
        <f t="shared" si="177"/>
        <v/>
      </c>
      <c r="L670" s="26"/>
      <c r="M670" s="26"/>
      <c r="N670" s="26"/>
      <c r="O670" s="29"/>
      <c r="P670" s="29"/>
      <c r="Q670" s="30" t="str">
        <f t="shared" ca="1" si="178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9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6"/>
        <v/>
      </c>
      <c r="K671" s="34" t="str">
        <f t="shared" si="177"/>
        <v/>
      </c>
      <c r="L671" s="33"/>
      <c r="M671" s="33"/>
      <c r="N671" s="33"/>
      <c r="O671" s="29"/>
      <c r="P671" s="29"/>
      <c r="Q671" s="35" t="str">
        <f t="shared" ca="1" si="178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9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6"/>
        <v/>
      </c>
      <c r="K672" s="28" t="str">
        <f t="shared" si="177"/>
        <v/>
      </c>
      <c r="L672" s="26"/>
      <c r="M672" s="26"/>
      <c r="N672" s="26"/>
      <c r="O672" s="29"/>
      <c r="P672" s="29"/>
      <c r="Q672" s="30" t="str">
        <f t="shared" ca="1" si="178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9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6"/>
        <v/>
      </c>
      <c r="K673" s="34" t="str">
        <f t="shared" si="177"/>
        <v/>
      </c>
      <c r="L673" s="33"/>
      <c r="M673" s="33"/>
      <c r="N673" s="33"/>
      <c r="O673" s="29"/>
      <c r="P673" s="29"/>
      <c r="Q673" s="35" t="str">
        <f t="shared" ca="1" si="178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9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6"/>
        <v/>
      </c>
      <c r="K674" s="28" t="str">
        <f t="shared" si="177"/>
        <v/>
      </c>
      <c r="L674" s="26"/>
      <c r="M674" s="26"/>
      <c r="N674" s="26"/>
      <c r="O674" s="29"/>
      <c r="P674" s="29"/>
      <c r="Q674" s="30" t="str">
        <f t="shared" ca="1" si="178"/>
        <v/>
      </c>
      <c r="R674" s="27"/>
      <c r="S674" s="60"/>
    </row>
    <row r="675" spans="1:20" ht="15.75" customHeight="1" thickBot="1" x14ac:dyDescent="0.3">
      <c r="A675" s="149" t="s">
        <v>244</v>
      </c>
      <c r="B675" s="150"/>
      <c r="C675" s="150"/>
      <c r="D675" s="150"/>
      <c r="E675" s="15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1" t="s">
        <v>245</v>
      </c>
      <c r="B676" s="152"/>
      <c r="C676" s="152"/>
      <c r="D676" s="152"/>
      <c r="E676" s="15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80">IFERROR(IF($H677="","",$H677*$F677*$I677),"")</f>
        <v/>
      </c>
      <c r="K677" s="34" t="str">
        <f t="shared" ref="K677:K688" si="181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2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3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80"/>
        <v/>
      </c>
      <c r="K678" s="28" t="str">
        <f t="shared" si="181"/>
        <v/>
      </c>
      <c r="L678" s="26"/>
      <c r="M678" s="26"/>
      <c r="N678" s="26"/>
      <c r="O678" s="29"/>
      <c r="P678" s="29"/>
      <c r="Q678" s="30" t="str">
        <f t="shared" ca="1" si="182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3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80"/>
        <v/>
      </c>
      <c r="K679" s="34" t="str">
        <f t="shared" si="181"/>
        <v/>
      </c>
      <c r="L679" s="33"/>
      <c r="M679" s="33"/>
      <c r="N679" s="33"/>
      <c r="O679" s="29"/>
      <c r="P679" s="29"/>
      <c r="Q679" s="35" t="str">
        <f t="shared" ca="1" si="182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3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80"/>
        <v/>
      </c>
      <c r="K680" s="28" t="str">
        <f t="shared" si="181"/>
        <v/>
      </c>
      <c r="L680" s="26"/>
      <c r="M680" s="26"/>
      <c r="N680" s="26"/>
      <c r="O680" s="29"/>
      <c r="P680" s="29"/>
      <c r="Q680" s="30" t="str">
        <f t="shared" ca="1" si="182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3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80"/>
        <v/>
      </c>
      <c r="K681" s="34" t="str">
        <f t="shared" si="181"/>
        <v/>
      </c>
      <c r="L681" s="33"/>
      <c r="M681" s="33"/>
      <c r="N681" s="33"/>
      <c r="O681" s="29"/>
      <c r="P681" s="29"/>
      <c r="Q681" s="35" t="str">
        <f t="shared" ca="1" si="182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3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80"/>
        <v/>
      </c>
      <c r="K682" s="28" t="str">
        <f t="shared" si="181"/>
        <v/>
      </c>
      <c r="L682" s="26"/>
      <c r="M682" s="26"/>
      <c r="N682" s="26"/>
      <c r="O682" s="29"/>
      <c r="P682" s="29"/>
      <c r="Q682" s="30" t="str">
        <f t="shared" ca="1" si="182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3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80"/>
        <v/>
      </c>
      <c r="K683" s="34" t="str">
        <f t="shared" si="181"/>
        <v/>
      </c>
      <c r="L683" s="33"/>
      <c r="M683" s="33"/>
      <c r="N683" s="33"/>
      <c r="O683" s="29"/>
      <c r="P683" s="29"/>
      <c r="Q683" s="35" t="str">
        <f t="shared" ca="1" si="182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3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80"/>
        <v/>
      </c>
      <c r="K684" s="28" t="str">
        <f t="shared" si="181"/>
        <v/>
      </c>
      <c r="L684" s="26"/>
      <c r="M684" s="26"/>
      <c r="N684" s="26"/>
      <c r="O684" s="29"/>
      <c r="P684" s="29"/>
      <c r="Q684" s="30" t="str">
        <f t="shared" ca="1" si="182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3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80"/>
        <v/>
      </c>
      <c r="K685" s="34" t="str">
        <f t="shared" si="181"/>
        <v/>
      </c>
      <c r="L685" s="33"/>
      <c r="M685" s="33"/>
      <c r="N685" s="33"/>
      <c r="O685" s="29"/>
      <c r="P685" s="29"/>
      <c r="Q685" s="35" t="str">
        <f t="shared" ca="1" si="182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3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80"/>
        <v/>
      </c>
      <c r="K686" s="28" t="str">
        <f t="shared" si="181"/>
        <v/>
      </c>
      <c r="L686" s="26"/>
      <c r="M686" s="26"/>
      <c r="N686" s="26"/>
      <c r="O686" s="29"/>
      <c r="P686" s="29"/>
      <c r="Q686" s="30" t="str">
        <f t="shared" ca="1" si="182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3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80"/>
        <v/>
      </c>
      <c r="K687" s="34" t="str">
        <f t="shared" si="181"/>
        <v/>
      </c>
      <c r="L687" s="33"/>
      <c r="M687" s="33"/>
      <c r="N687" s="33"/>
      <c r="O687" s="29"/>
      <c r="P687" s="29"/>
      <c r="Q687" s="35" t="str">
        <f t="shared" ca="1" si="182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3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80"/>
        <v/>
      </c>
      <c r="K688" s="28" t="str">
        <f t="shared" si="181"/>
        <v/>
      </c>
      <c r="L688" s="26"/>
      <c r="M688" s="26"/>
      <c r="N688" s="26"/>
      <c r="O688" s="29"/>
      <c r="P688" s="29"/>
      <c r="Q688" s="30" t="str">
        <f t="shared" ca="1" si="182"/>
        <v/>
      </c>
      <c r="R688" s="27"/>
      <c r="S688" s="60"/>
    </row>
    <row r="689" spans="1:20" ht="15.75" customHeight="1" thickBot="1" x14ac:dyDescent="0.3">
      <c r="A689" s="149" t="s">
        <v>241</v>
      </c>
      <c r="B689" s="150"/>
      <c r="C689" s="150"/>
      <c r="D689" s="150"/>
      <c r="E689" s="15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4">IFERROR(IF($H690="","",$H690*$F690*$I690),"")</f>
        <v/>
      </c>
      <c r="K690" s="28" t="str">
        <f t="shared" ref="K690:K701" si="185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6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7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4"/>
        <v/>
      </c>
      <c r="K691" s="34" t="str">
        <f t="shared" si="185"/>
        <v/>
      </c>
      <c r="L691" s="33"/>
      <c r="M691" s="33"/>
      <c r="N691" s="33"/>
      <c r="O691" s="29"/>
      <c r="P691" s="29"/>
      <c r="Q691" s="35" t="str">
        <f t="shared" ca="1" si="186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7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4"/>
        <v/>
      </c>
      <c r="K692" s="28" t="str">
        <f t="shared" si="185"/>
        <v/>
      </c>
      <c r="L692" s="26"/>
      <c r="M692" s="26"/>
      <c r="N692" s="26"/>
      <c r="O692" s="29"/>
      <c r="P692" s="29"/>
      <c r="Q692" s="30" t="str">
        <f t="shared" ca="1" si="186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7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4"/>
        <v/>
      </c>
      <c r="K693" s="34" t="str">
        <f t="shared" si="185"/>
        <v/>
      </c>
      <c r="L693" s="33"/>
      <c r="M693" s="33"/>
      <c r="N693" s="33"/>
      <c r="O693" s="29"/>
      <c r="P693" s="29"/>
      <c r="Q693" s="35" t="str">
        <f t="shared" ca="1" si="186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7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4"/>
        <v/>
      </c>
      <c r="K694" s="28" t="str">
        <f t="shared" si="185"/>
        <v/>
      </c>
      <c r="L694" s="26"/>
      <c r="M694" s="26"/>
      <c r="N694" s="26"/>
      <c r="O694" s="29"/>
      <c r="P694" s="29"/>
      <c r="Q694" s="30" t="str">
        <f t="shared" ca="1" si="186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7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4"/>
        <v/>
      </c>
      <c r="K695" s="34" t="str">
        <f t="shared" si="185"/>
        <v/>
      </c>
      <c r="L695" s="33"/>
      <c r="M695" s="33"/>
      <c r="N695" s="33"/>
      <c r="O695" s="29"/>
      <c r="P695" s="29"/>
      <c r="Q695" s="35" t="str">
        <f t="shared" ca="1" si="186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7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4"/>
        <v/>
      </c>
      <c r="K696" s="28" t="str">
        <f t="shared" si="185"/>
        <v/>
      </c>
      <c r="L696" s="26"/>
      <c r="M696" s="26"/>
      <c r="N696" s="26"/>
      <c r="O696" s="29"/>
      <c r="P696" s="29"/>
      <c r="Q696" s="30" t="str">
        <f t="shared" ca="1" si="186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7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4"/>
        <v/>
      </c>
      <c r="K697" s="34" t="str">
        <f t="shared" si="185"/>
        <v/>
      </c>
      <c r="L697" s="33"/>
      <c r="M697" s="33"/>
      <c r="N697" s="33"/>
      <c r="O697" s="29"/>
      <c r="P697" s="29"/>
      <c r="Q697" s="35" t="str">
        <f t="shared" ca="1" si="186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7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4"/>
        <v/>
      </c>
      <c r="K698" s="28" t="str">
        <f t="shared" si="185"/>
        <v/>
      </c>
      <c r="L698" s="26"/>
      <c r="M698" s="26"/>
      <c r="N698" s="26"/>
      <c r="O698" s="29"/>
      <c r="P698" s="29"/>
      <c r="Q698" s="30" t="str">
        <f t="shared" ca="1" si="186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7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4"/>
        <v/>
      </c>
      <c r="K699" s="34" t="str">
        <f t="shared" si="185"/>
        <v/>
      </c>
      <c r="L699" s="33"/>
      <c r="M699" s="33"/>
      <c r="N699" s="33"/>
      <c r="O699" s="29"/>
      <c r="P699" s="29"/>
      <c r="Q699" s="35" t="str">
        <f t="shared" ca="1" si="186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7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4"/>
        <v/>
      </c>
      <c r="K700" s="28" t="str">
        <f t="shared" si="185"/>
        <v/>
      </c>
      <c r="L700" s="26"/>
      <c r="M700" s="26"/>
      <c r="N700" s="26"/>
      <c r="O700" s="29"/>
      <c r="P700" s="29"/>
      <c r="Q700" s="30" t="str">
        <f t="shared" ca="1" si="186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7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4"/>
        <v/>
      </c>
      <c r="K701" s="34" t="str">
        <f t="shared" si="185"/>
        <v/>
      </c>
      <c r="L701" s="33"/>
      <c r="M701" s="33"/>
      <c r="N701" s="33"/>
      <c r="O701" s="29"/>
      <c r="P701" s="29"/>
      <c r="Q701" s="35" t="str">
        <f t="shared" ca="1" si="186"/>
        <v/>
      </c>
      <c r="R701" s="27"/>
      <c r="S701" s="60"/>
    </row>
    <row r="702" spans="1:20" ht="15.75" customHeight="1" thickBot="1" x14ac:dyDescent="0.3">
      <c r="A702" s="149" t="s">
        <v>244</v>
      </c>
      <c r="B702" s="150"/>
      <c r="C702" s="150"/>
      <c r="D702" s="150"/>
      <c r="E702" s="15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1" t="s">
        <v>245</v>
      </c>
      <c r="B703" s="152"/>
      <c r="C703" s="152"/>
      <c r="D703" s="152"/>
      <c r="E703" s="15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8">IFERROR(IF($H704="","",$H704*$F704*$I704),"")</f>
        <v/>
      </c>
      <c r="K704" s="28" t="str">
        <f t="shared" ref="K704:K715" si="189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90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91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8"/>
        <v/>
      </c>
      <c r="K705" s="34" t="str">
        <f t="shared" si="189"/>
        <v/>
      </c>
      <c r="L705" s="33"/>
      <c r="M705" s="33"/>
      <c r="N705" s="33"/>
      <c r="O705" s="29"/>
      <c r="P705" s="29"/>
      <c r="Q705" s="35" t="str">
        <f t="shared" ca="1" si="190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91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8"/>
        <v/>
      </c>
      <c r="K706" s="28" t="str">
        <f t="shared" si="189"/>
        <v/>
      </c>
      <c r="L706" s="26"/>
      <c r="M706" s="26"/>
      <c r="N706" s="26"/>
      <c r="O706" s="29"/>
      <c r="P706" s="29"/>
      <c r="Q706" s="30" t="str">
        <f t="shared" ca="1" si="190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91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8"/>
        <v/>
      </c>
      <c r="K707" s="34" t="str">
        <f t="shared" si="189"/>
        <v/>
      </c>
      <c r="L707" s="33"/>
      <c r="M707" s="33"/>
      <c r="N707" s="33"/>
      <c r="O707" s="29"/>
      <c r="P707" s="29"/>
      <c r="Q707" s="35" t="str">
        <f t="shared" ca="1" si="190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91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8"/>
        <v/>
      </c>
      <c r="K708" s="28" t="str">
        <f t="shared" si="189"/>
        <v/>
      </c>
      <c r="L708" s="26"/>
      <c r="M708" s="26"/>
      <c r="N708" s="26"/>
      <c r="O708" s="29"/>
      <c r="P708" s="29"/>
      <c r="Q708" s="30" t="str">
        <f t="shared" ca="1" si="190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91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8"/>
        <v/>
      </c>
      <c r="K709" s="34" t="str">
        <f t="shared" si="189"/>
        <v/>
      </c>
      <c r="L709" s="33"/>
      <c r="M709" s="33"/>
      <c r="N709" s="33"/>
      <c r="O709" s="29"/>
      <c r="P709" s="29"/>
      <c r="Q709" s="35" t="str">
        <f t="shared" ca="1" si="190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91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8"/>
        <v/>
      </c>
      <c r="K710" s="28" t="str">
        <f t="shared" si="189"/>
        <v/>
      </c>
      <c r="L710" s="26"/>
      <c r="M710" s="26"/>
      <c r="N710" s="26"/>
      <c r="O710" s="29"/>
      <c r="P710" s="29"/>
      <c r="Q710" s="30" t="str">
        <f t="shared" ca="1" si="190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91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8"/>
        <v/>
      </c>
      <c r="K711" s="34" t="str">
        <f t="shared" si="189"/>
        <v/>
      </c>
      <c r="L711" s="33"/>
      <c r="M711" s="33"/>
      <c r="N711" s="33"/>
      <c r="O711" s="29"/>
      <c r="P711" s="29"/>
      <c r="Q711" s="35" t="str">
        <f t="shared" ca="1" si="190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91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8"/>
        <v/>
      </c>
      <c r="K712" s="28" t="str">
        <f t="shared" si="189"/>
        <v/>
      </c>
      <c r="L712" s="26"/>
      <c r="M712" s="26"/>
      <c r="N712" s="26"/>
      <c r="O712" s="29"/>
      <c r="P712" s="29"/>
      <c r="Q712" s="30" t="str">
        <f t="shared" ca="1" si="190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91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8"/>
        <v/>
      </c>
      <c r="K713" s="34" t="str">
        <f t="shared" si="189"/>
        <v/>
      </c>
      <c r="L713" s="33"/>
      <c r="M713" s="33"/>
      <c r="N713" s="33"/>
      <c r="O713" s="29"/>
      <c r="P713" s="29"/>
      <c r="Q713" s="35" t="str">
        <f t="shared" ca="1" si="190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91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8"/>
        <v/>
      </c>
      <c r="K714" s="28" t="str">
        <f t="shared" si="189"/>
        <v/>
      </c>
      <c r="L714" s="26"/>
      <c r="M714" s="26"/>
      <c r="N714" s="26"/>
      <c r="O714" s="29"/>
      <c r="P714" s="29"/>
      <c r="Q714" s="30" t="str">
        <f t="shared" ca="1" si="190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91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8"/>
        <v/>
      </c>
      <c r="K715" s="34" t="str">
        <f t="shared" si="189"/>
        <v/>
      </c>
      <c r="L715" s="33"/>
      <c r="M715" s="33"/>
      <c r="N715" s="33"/>
      <c r="O715" s="29"/>
      <c r="P715" s="29"/>
      <c r="Q715" s="35" t="str">
        <f t="shared" ca="1" si="190"/>
        <v/>
      </c>
      <c r="R715" s="27"/>
      <c r="S715" s="60"/>
    </row>
    <row r="716" spans="1:20" ht="15.75" customHeight="1" thickBot="1" x14ac:dyDescent="0.3">
      <c r="A716" s="149" t="s">
        <v>241</v>
      </c>
      <c r="B716" s="150"/>
      <c r="C716" s="150"/>
      <c r="D716" s="150"/>
      <c r="E716" s="15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2">IFERROR(IF($H717="","",$H717*$F717*$I717),"")</f>
        <v/>
      </c>
      <c r="K717" s="34" t="str">
        <f t="shared" ref="K717:K728" si="193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4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5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2"/>
        <v/>
      </c>
      <c r="K718" s="28" t="str">
        <f t="shared" si="193"/>
        <v/>
      </c>
      <c r="L718" s="26"/>
      <c r="M718" s="26"/>
      <c r="N718" s="26"/>
      <c r="O718" s="29"/>
      <c r="P718" s="29"/>
      <c r="Q718" s="30" t="str">
        <f t="shared" ca="1" si="194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5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2"/>
        <v/>
      </c>
      <c r="K719" s="34" t="str">
        <f t="shared" si="193"/>
        <v/>
      </c>
      <c r="L719" s="33"/>
      <c r="M719" s="33"/>
      <c r="N719" s="33"/>
      <c r="O719" s="29"/>
      <c r="P719" s="29"/>
      <c r="Q719" s="35" t="str">
        <f t="shared" ca="1" si="194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5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2"/>
        <v/>
      </c>
      <c r="K720" s="28" t="str">
        <f t="shared" si="193"/>
        <v/>
      </c>
      <c r="L720" s="26"/>
      <c r="M720" s="26"/>
      <c r="N720" s="26"/>
      <c r="O720" s="29"/>
      <c r="P720" s="29"/>
      <c r="Q720" s="30" t="str">
        <f t="shared" ca="1" si="194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5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2"/>
        <v/>
      </c>
      <c r="K721" s="34" t="str">
        <f t="shared" si="193"/>
        <v/>
      </c>
      <c r="L721" s="33"/>
      <c r="M721" s="33"/>
      <c r="N721" s="33"/>
      <c r="O721" s="29"/>
      <c r="P721" s="29"/>
      <c r="Q721" s="35" t="str">
        <f t="shared" ca="1" si="194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5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2"/>
        <v/>
      </c>
      <c r="K722" s="28" t="str">
        <f t="shared" si="193"/>
        <v/>
      </c>
      <c r="L722" s="26"/>
      <c r="M722" s="26"/>
      <c r="N722" s="26"/>
      <c r="O722" s="29"/>
      <c r="P722" s="29"/>
      <c r="Q722" s="30" t="str">
        <f t="shared" ca="1" si="194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5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2"/>
        <v/>
      </c>
      <c r="K723" s="34" t="str">
        <f t="shared" si="193"/>
        <v/>
      </c>
      <c r="L723" s="33"/>
      <c r="M723" s="33"/>
      <c r="N723" s="33"/>
      <c r="O723" s="29"/>
      <c r="P723" s="29"/>
      <c r="Q723" s="35" t="str">
        <f t="shared" ca="1" si="194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5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2"/>
        <v/>
      </c>
      <c r="K724" s="28" t="str">
        <f t="shared" si="193"/>
        <v/>
      </c>
      <c r="L724" s="26"/>
      <c r="M724" s="26"/>
      <c r="N724" s="26"/>
      <c r="O724" s="29"/>
      <c r="P724" s="29"/>
      <c r="Q724" s="30" t="str">
        <f t="shared" ca="1" si="194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5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2"/>
        <v/>
      </c>
      <c r="K725" s="34" t="str">
        <f t="shared" si="193"/>
        <v/>
      </c>
      <c r="L725" s="33"/>
      <c r="M725" s="33"/>
      <c r="N725" s="33"/>
      <c r="O725" s="29"/>
      <c r="P725" s="29"/>
      <c r="Q725" s="35" t="str">
        <f t="shared" ca="1" si="194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5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2"/>
        <v/>
      </c>
      <c r="K726" s="28" t="str">
        <f t="shared" si="193"/>
        <v/>
      </c>
      <c r="L726" s="26"/>
      <c r="M726" s="26"/>
      <c r="N726" s="26"/>
      <c r="O726" s="29"/>
      <c r="P726" s="29"/>
      <c r="Q726" s="30" t="str">
        <f t="shared" ca="1" si="194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5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2"/>
        <v/>
      </c>
      <c r="K727" s="34" t="str">
        <f t="shared" si="193"/>
        <v/>
      </c>
      <c r="L727" s="33"/>
      <c r="M727" s="33"/>
      <c r="N727" s="33"/>
      <c r="O727" s="29"/>
      <c r="P727" s="29"/>
      <c r="Q727" s="35" t="str">
        <f t="shared" ca="1" si="194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5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2"/>
        <v/>
      </c>
      <c r="K728" s="28" t="str">
        <f t="shared" si="193"/>
        <v/>
      </c>
      <c r="L728" s="26"/>
      <c r="M728" s="26"/>
      <c r="N728" s="26"/>
      <c r="O728" s="29"/>
      <c r="P728" s="29"/>
      <c r="Q728" s="30" t="str">
        <f t="shared" ca="1" si="194"/>
        <v/>
      </c>
      <c r="R728" s="27"/>
      <c r="S728" s="60"/>
    </row>
    <row r="729" spans="1:20" ht="15.75" customHeight="1" thickBot="1" x14ac:dyDescent="0.3">
      <c r="A729" s="149" t="s">
        <v>244</v>
      </c>
      <c r="B729" s="150"/>
      <c r="C729" s="150"/>
      <c r="D729" s="150"/>
      <c r="E729" s="15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1" t="s">
        <v>245</v>
      </c>
      <c r="B730" s="152"/>
      <c r="C730" s="152"/>
      <c r="D730" s="152"/>
      <c r="E730" s="15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6">IFERROR(IF($H731="","",$H731*$F731*$I731),"")</f>
        <v/>
      </c>
      <c r="K731" s="34" t="str">
        <f t="shared" ref="K731:K742" si="197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8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9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6"/>
        <v/>
      </c>
      <c r="K732" s="28" t="str">
        <f t="shared" si="197"/>
        <v/>
      </c>
      <c r="L732" s="26"/>
      <c r="M732" s="26"/>
      <c r="N732" s="26"/>
      <c r="O732" s="29"/>
      <c r="P732" s="29"/>
      <c r="Q732" s="30" t="str">
        <f t="shared" ca="1" si="198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9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6"/>
        <v/>
      </c>
      <c r="K733" s="34" t="str">
        <f t="shared" si="197"/>
        <v/>
      </c>
      <c r="L733" s="33"/>
      <c r="M733" s="33"/>
      <c r="N733" s="33"/>
      <c r="O733" s="29"/>
      <c r="P733" s="29"/>
      <c r="Q733" s="35" t="str">
        <f t="shared" ca="1" si="198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9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6"/>
        <v/>
      </c>
      <c r="K734" s="28" t="str">
        <f t="shared" si="197"/>
        <v/>
      </c>
      <c r="L734" s="26"/>
      <c r="M734" s="26"/>
      <c r="N734" s="26"/>
      <c r="O734" s="29"/>
      <c r="P734" s="29"/>
      <c r="Q734" s="30" t="str">
        <f t="shared" ca="1" si="198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9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6"/>
        <v/>
      </c>
      <c r="K735" s="34" t="str">
        <f t="shared" si="197"/>
        <v/>
      </c>
      <c r="L735" s="33"/>
      <c r="M735" s="33"/>
      <c r="N735" s="33"/>
      <c r="O735" s="29"/>
      <c r="P735" s="29"/>
      <c r="Q735" s="35" t="str">
        <f t="shared" ca="1" si="198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9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6"/>
        <v/>
      </c>
      <c r="K736" s="28" t="str">
        <f t="shared" si="197"/>
        <v/>
      </c>
      <c r="L736" s="26"/>
      <c r="M736" s="26"/>
      <c r="N736" s="26"/>
      <c r="O736" s="29"/>
      <c r="P736" s="29"/>
      <c r="Q736" s="30" t="str">
        <f t="shared" ca="1" si="198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9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6"/>
        <v/>
      </c>
      <c r="K737" s="34" t="str">
        <f t="shared" si="197"/>
        <v/>
      </c>
      <c r="L737" s="33"/>
      <c r="M737" s="33"/>
      <c r="N737" s="33"/>
      <c r="O737" s="29"/>
      <c r="P737" s="29"/>
      <c r="Q737" s="35" t="str">
        <f t="shared" ca="1" si="198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9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6"/>
        <v/>
      </c>
      <c r="K738" s="28" t="str">
        <f t="shared" si="197"/>
        <v/>
      </c>
      <c r="L738" s="26"/>
      <c r="M738" s="26"/>
      <c r="N738" s="26"/>
      <c r="O738" s="29"/>
      <c r="P738" s="29"/>
      <c r="Q738" s="30" t="str">
        <f t="shared" ca="1" si="198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9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6"/>
        <v/>
      </c>
      <c r="K739" s="34" t="str">
        <f t="shared" si="197"/>
        <v/>
      </c>
      <c r="L739" s="33"/>
      <c r="M739" s="33"/>
      <c r="N739" s="33"/>
      <c r="O739" s="29"/>
      <c r="P739" s="29"/>
      <c r="Q739" s="35" t="str">
        <f t="shared" ca="1" si="198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9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6"/>
        <v/>
      </c>
      <c r="K740" s="28" t="str">
        <f t="shared" si="197"/>
        <v/>
      </c>
      <c r="L740" s="26"/>
      <c r="M740" s="26"/>
      <c r="N740" s="26"/>
      <c r="O740" s="29"/>
      <c r="P740" s="29"/>
      <c r="Q740" s="30" t="str">
        <f t="shared" ca="1" si="198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9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6"/>
        <v/>
      </c>
      <c r="K741" s="34" t="str">
        <f t="shared" si="197"/>
        <v/>
      </c>
      <c r="L741" s="33"/>
      <c r="M741" s="33"/>
      <c r="N741" s="33"/>
      <c r="O741" s="29"/>
      <c r="P741" s="29"/>
      <c r="Q741" s="35" t="str">
        <f t="shared" ca="1" si="198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9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6"/>
        <v/>
      </c>
      <c r="K742" s="28" t="str">
        <f t="shared" si="197"/>
        <v/>
      </c>
      <c r="L742" s="26"/>
      <c r="M742" s="26"/>
      <c r="N742" s="26"/>
      <c r="O742" s="29"/>
      <c r="P742" s="29"/>
      <c r="Q742" s="30" t="str">
        <f t="shared" ca="1" si="198"/>
        <v/>
      </c>
      <c r="R742" s="27"/>
      <c r="S742" s="60"/>
    </row>
    <row r="743" spans="1:20" ht="15.75" customHeight="1" thickBot="1" x14ac:dyDescent="0.3">
      <c r="A743" s="149" t="s">
        <v>241</v>
      </c>
      <c r="B743" s="150"/>
      <c r="C743" s="150"/>
      <c r="D743" s="150"/>
      <c r="E743" s="15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200">IFERROR(IF($H744="","",$H744*$F744*$I744),"")</f>
        <v/>
      </c>
      <c r="K744" s="28" t="str">
        <f t="shared" ref="K744:K755" si="201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2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3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200"/>
        <v/>
      </c>
      <c r="K745" s="34" t="str">
        <f t="shared" si="201"/>
        <v/>
      </c>
      <c r="L745" s="33"/>
      <c r="M745" s="33"/>
      <c r="N745" s="33"/>
      <c r="O745" s="29"/>
      <c r="P745" s="29"/>
      <c r="Q745" s="35" t="str">
        <f t="shared" ca="1" si="202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3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200"/>
        <v/>
      </c>
      <c r="K746" s="28" t="str">
        <f t="shared" si="201"/>
        <v/>
      </c>
      <c r="L746" s="26"/>
      <c r="M746" s="26"/>
      <c r="N746" s="26"/>
      <c r="O746" s="29"/>
      <c r="P746" s="29"/>
      <c r="Q746" s="30" t="str">
        <f t="shared" ca="1" si="202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3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200"/>
        <v/>
      </c>
      <c r="K747" s="34" t="str">
        <f t="shared" si="201"/>
        <v/>
      </c>
      <c r="L747" s="33"/>
      <c r="M747" s="33"/>
      <c r="N747" s="33"/>
      <c r="O747" s="29"/>
      <c r="P747" s="29"/>
      <c r="Q747" s="35" t="str">
        <f t="shared" ca="1" si="202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3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200"/>
        <v/>
      </c>
      <c r="K748" s="28" t="str">
        <f t="shared" si="201"/>
        <v/>
      </c>
      <c r="L748" s="26"/>
      <c r="M748" s="26"/>
      <c r="N748" s="26"/>
      <c r="O748" s="29"/>
      <c r="P748" s="29"/>
      <c r="Q748" s="30" t="str">
        <f t="shared" ca="1" si="202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3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200"/>
        <v/>
      </c>
      <c r="K749" s="34" t="str">
        <f t="shared" si="201"/>
        <v/>
      </c>
      <c r="L749" s="33"/>
      <c r="M749" s="33"/>
      <c r="N749" s="33"/>
      <c r="O749" s="29"/>
      <c r="P749" s="29"/>
      <c r="Q749" s="35" t="str">
        <f t="shared" ca="1" si="202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3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200"/>
        <v/>
      </c>
      <c r="K750" s="28" t="str">
        <f t="shared" si="201"/>
        <v/>
      </c>
      <c r="L750" s="26"/>
      <c r="M750" s="26"/>
      <c r="N750" s="26"/>
      <c r="O750" s="29"/>
      <c r="P750" s="29"/>
      <c r="Q750" s="30" t="str">
        <f t="shared" ca="1" si="202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3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200"/>
        <v/>
      </c>
      <c r="K751" s="34" t="str">
        <f t="shared" si="201"/>
        <v/>
      </c>
      <c r="L751" s="33"/>
      <c r="M751" s="33"/>
      <c r="N751" s="33"/>
      <c r="O751" s="29"/>
      <c r="P751" s="29"/>
      <c r="Q751" s="35" t="str">
        <f t="shared" ca="1" si="202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3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200"/>
        <v/>
      </c>
      <c r="K752" s="28" t="str">
        <f t="shared" si="201"/>
        <v/>
      </c>
      <c r="L752" s="26"/>
      <c r="M752" s="26"/>
      <c r="N752" s="26"/>
      <c r="O752" s="29"/>
      <c r="P752" s="29"/>
      <c r="Q752" s="30" t="str">
        <f t="shared" ca="1" si="202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3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200"/>
        <v/>
      </c>
      <c r="K753" s="34" t="str">
        <f t="shared" si="201"/>
        <v/>
      </c>
      <c r="L753" s="33"/>
      <c r="M753" s="33"/>
      <c r="N753" s="33"/>
      <c r="O753" s="29"/>
      <c r="P753" s="29"/>
      <c r="Q753" s="35" t="str">
        <f t="shared" ca="1" si="202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3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200"/>
        <v/>
      </c>
      <c r="K754" s="28" t="str">
        <f t="shared" si="201"/>
        <v/>
      </c>
      <c r="L754" s="26"/>
      <c r="M754" s="26"/>
      <c r="N754" s="26"/>
      <c r="O754" s="29"/>
      <c r="P754" s="29"/>
      <c r="Q754" s="30" t="str">
        <f t="shared" ca="1" si="202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3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200"/>
        <v/>
      </c>
      <c r="K755" s="34" t="str">
        <f t="shared" si="201"/>
        <v/>
      </c>
      <c r="L755" s="33"/>
      <c r="M755" s="33"/>
      <c r="N755" s="33"/>
      <c r="O755" s="29"/>
      <c r="P755" s="29"/>
      <c r="Q755" s="35" t="str">
        <f t="shared" ca="1" si="202"/>
        <v/>
      </c>
      <c r="R755" s="27"/>
      <c r="S755" s="60"/>
    </row>
    <row r="756" spans="1:20" ht="15.75" customHeight="1" thickBot="1" x14ac:dyDescent="0.3">
      <c r="A756" s="149" t="s">
        <v>244</v>
      </c>
      <c r="B756" s="150"/>
      <c r="C756" s="150"/>
      <c r="D756" s="150"/>
      <c r="E756" s="15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1" t="s">
        <v>245</v>
      </c>
      <c r="B757" s="152"/>
      <c r="C757" s="152"/>
      <c r="D757" s="152"/>
      <c r="E757" s="15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4">IFERROR(IF($H758="","",$H758*$F758*$I758),"")</f>
        <v/>
      </c>
      <c r="K758" s="28" t="str">
        <f t="shared" ref="K758:K769" si="205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6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7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4"/>
        <v/>
      </c>
      <c r="K759" s="34" t="str">
        <f t="shared" si="205"/>
        <v/>
      </c>
      <c r="L759" s="33"/>
      <c r="M759" s="33"/>
      <c r="N759" s="33"/>
      <c r="O759" s="29"/>
      <c r="P759" s="29"/>
      <c r="Q759" s="35" t="str">
        <f t="shared" ca="1" si="206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7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4"/>
        <v/>
      </c>
      <c r="K760" s="28" t="str">
        <f t="shared" si="205"/>
        <v/>
      </c>
      <c r="L760" s="26"/>
      <c r="M760" s="26"/>
      <c r="N760" s="26"/>
      <c r="O760" s="29"/>
      <c r="P760" s="29"/>
      <c r="Q760" s="30" t="str">
        <f t="shared" ca="1" si="206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7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4"/>
        <v/>
      </c>
      <c r="K761" s="34" t="str">
        <f t="shared" si="205"/>
        <v/>
      </c>
      <c r="L761" s="33"/>
      <c r="M761" s="33"/>
      <c r="N761" s="33"/>
      <c r="O761" s="29"/>
      <c r="P761" s="29"/>
      <c r="Q761" s="35" t="str">
        <f t="shared" ca="1" si="206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7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4"/>
        <v/>
      </c>
      <c r="K762" s="28" t="str">
        <f t="shared" si="205"/>
        <v/>
      </c>
      <c r="L762" s="26"/>
      <c r="M762" s="26"/>
      <c r="N762" s="26"/>
      <c r="O762" s="29"/>
      <c r="P762" s="29"/>
      <c r="Q762" s="30" t="str">
        <f t="shared" ca="1" si="206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7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4"/>
        <v/>
      </c>
      <c r="K763" s="34" t="str">
        <f t="shared" si="205"/>
        <v/>
      </c>
      <c r="L763" s="33"/>
      <c r="M763" s="33"/>
      <c r="N763" s="33"/>
      <c r="O763" s="29"/>
      <c r="P763" s="29"/>
      <c r="Q763" s="35" t="str">
        <f t="shared" ca="1" si="206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7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4"/>
        <v/>
      </c>
      <c r="K764" s="28" t="str">
        <f t="shared" si="205"/>
        <v/>
      </c>
      <c r="L764" s="26"/>
      <c r="M764" s="26"/>
      <c r="N764" s="26"/>
      <c r="O764" s="29"/>
      <c r="P764" s="29"/>
      <c r="Q764" s="30" t="str">
        <f t="shared" ca="1" si="206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7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4"/>
        <v/>
      </c>
      <c r="K765" s="34" t="str">
        <f t="shared" si="205"/>
        <v/>
      </c>
      <c r="L765" s="33"/>
      <c r="M765" s="33"/>
      <c r="N765" s="33"/>
      <c r="O765" s="29"/>
      <c r="P765" s="29"/>
      <c r="Q765" s="35" t="str">
        <f t="shared" ca="1" si="206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7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4"/>
        <v/>
      </c>
      <c r="K766" s="28" t="str">
        <f t="shared" si="205"/>
        <v/>
      </c>
      <c r="L766" s="26"/>
      <c r="M766" s="26"/>
      <c r="N766" s="26"/>
      <c r="O766" s="29"/>
      <c r="P766" s="29"/>
      <c r="Q766" s="30" t="str">
        <f t="shared" ca="1" si="206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7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4"/>
        <v/>
      </c>
      <c r="K767" s="34" t="str">
        <f t="shared" si="205"/>
        <v/>
      </c>
      <c r="L767" s="33"/>
      <c r="M767" s="33"/>
      <c r="N767" s="33"/>
      <c r="O767" s="29"/>
      <c r="P767" s="29"/>
      <c r="Q767" s="35" t="str">
        <f t="shared" ca="1" si="206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7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4"/>
        <v/>
      </c>
      <c r="K768" s="28" t="str">
        <f t="shared" si="205"/>
        <v/>
      </c>
      <c r="L768" s="26"/>
      <c r="M768" s="26"/>
      <c r="N768" s="26"/>
      <c r="O768" s="29"/>
      <c r="P768" s="29"/>
      <c r="Q768" s="30" t="str">
        <f t="shared" ca="1" si="206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7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4"/>
        <v/>
      </c>
      <c r="K769" s="34" t="str">
        <f t="shared" si="205"/>
        <v/>
      </c>
      <c r="L769" s="33"/>
      <c r="M769" s="33"/>
      <c r="N769" s="33"/>
      <c r="O769" s="29"/>
      <c r="P769" s="29"/>
      <c r="Q769" s="35" t="str">
        <f t="shared" ca="1" si="206"/>
        <v/>
      </c>
      <c r="R769" s="27"/>
      <c r="S769" s="60"/>
    </row>
    <row r="770" spans="1:20" ht="15.75" customHeight="1" thickBot="1" x14ac:dyDescent="0.3">
      <c r="A770" s="149" t="s">
        <v>241</v>
      </c>
      <c r="B770" s="150"/>
      <c r="C770" s="150"/>
      <c r="D770" s="150"/>
      <c r="E770" s="15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8">IFERROR(IF($H771="","",$H771*$F771*$I771),"")</f>
        <v/>
      </c>
      <c r="K771" s="34" t="str">
        <f t="shared" ref="K771:K782" si="209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10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11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8"/>
        <v/>
      </c>
      <c r="K772" s="28" t="str">
        <f t="shared" si="209"/>
        <v/>
      </c>
      <c r="L772" s="26"/>
      <c r="M772" s="26"/>
      <c r="N772" s="26"/>
      <c r="O772" s="29"/>
      <c r="P772" s="29"/>
      <c r="Q772" s="30" t="str">
        <f t="shared" ca="1" si="210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11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8"/>
        <v/>
      </c>
      <c r="K773" s="34" t="str">
        <f t="shared" si="209"/>
        <v/>
      </c>
      <c r="L773" s="33"/>
      <c r="M773" s="33"/>
      <c r="N773" s="33"/>
      <c r="O773" s="29"/>
      <c r="P773" s="29"/>
      <c r="Q773" s="35" t="str">
        <f t="shared" ca="1" si="210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11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8"/>
        <v/>
      </c>
      <c r="K774" s="28" t="str">
        <f t="shared" si="209"/>
        <v/>
      </c>
      <c r="L774" s="26"/>
      <c r="M774" s="26"/>
      <c r="N774" s="26"/>
      <c r="O774" s="29"/>
      <c r="P774" s="29"/>
      <c r="Q774" s="30" t="str">
        <f t="shared" ca="1" si="210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11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8"/>
        <v/>
      </c>
      <c r="K775" s="34" t="str">
        <f t="shared" si="209"/>
        <v/>
      </c>
      <c r="L775" s="33"/>
      <c r="M775" s="33"/>
      <c r="N775" s="33"/>
      <c r="O775" s="29"/>
      <c r="P775" s="29"/>
      <c r="Q775" s="35" t="str">
        <f t="shared" ca="1" si="210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11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8"/>
        <v/>
      </c>
      <c r="K776" s="28" t="str">
        <f t="shared" si="209"/>
        <v/>
      </c>
      <c r="L776" s="26"/>
      <c r="M776" s="26"/>
      <c r="N776" s="26"/>
      <c r="O776" s="29"/>
      <c r="P776" s="29"/>
      <c r="Q776" s="30" t="str">
        <f t="shared" ca="1" si="210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11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8"/>
        <v/>
      </c>
      <c r="K777" s="34" t="str">
        <f t="shared" si="209"/>
        <v/>
      </c>
      <c r="L777" s="33"/>
      <c r="M777" s="33"/>
      <c r="N777" s="33"/>
      <c r="O777" s="29"/>
      <c r="P777" s="29"/>
      <c r="Q777" s="35" t="str">
        <f t="shared" ca="1" si="210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11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8"/>
        <v/>
      </c>
      <c r="K778" s="28" t="str">
        <f t="shared" si="209"/>
        <v/>
      </c>
      <c r="L778" s="26"/>
      <c r="M778" s="26"/>
      <c r="N778" s="26"/>
      <c r="O778" s="29"/>
      <c r="P778" s="29"/>
      <c r="Q778" s="30" t="str">
        <f t="shared" ca="1" si="210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11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8"/>
        <v/>
      </c>
      <c r="K779" s="34" t="str">
        <f t="shared" si="209"/>
        <v/>
      </c>
      <c r="L779" s="33"/>
      <c r="M779" s="33"/>
      <c r="N779" s="33"/>
      <c r="O779" s="29"/>
      <c r="P779" s="29"/>
      <c r="Q779" s="35" t="str">
        <f t="shared" ca="1" si="210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11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8"/>
        <v/>
      </c>
      <c r="K780" s="28" t="str">
        <f t="shared" si="209"/>
        <v/>
      </c>
      <c r="L780" s="26"/>
      <c r="M780" s="26"/>
      <c r="N780" s="26"/>
      <c r="O780" s="29"/>
      <c r="P780" s="29"/>
      <c r="Q780" s="30" t="str">
        <f t="shared" ca="1" si="210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11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8"/>
        <v/>
      </c>
      <c r="K781" s="34" t="str">
        <f t="shared" si="209"/>
        <v/>
      </c>
      <c r="L781" s="33"/>
      <c r="M781" s="33"/>
      <c r="N781" s="33"/>
      <c r="O781" s="29"/>
      <c r="P781" s="29"/>
      <c r="Q781" s="35" t="str">
        <f t="shared" ca="1" si="210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11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8"/>
        <v/>
      </c>
      <c r="K782" s="28" t="str">
        <f t="shared" si="209"/>
        <v/>
      </c>
      <c r="L782" s="26"/>
      <c r="M782" s="26"/>
      <c r="N782" s="26"/>
      <c r="O782" s="29"/>
      <c r="P782" s="29"/>
      <c r="Q782" s="30" t="str">
        <f t="shared" ca="1" si="210"/>
        <v/>
      </c>
      <c r="R782" s="27"/>
      <c r="S782" s="60"/>
    </row>
    <row r="783" spans="1:20" ht="15.75" customHeight="1" thickBot="1" x14ac:dyDescent="0.3">
      <c r="A783" s="149" t="s">
        <v>244</v>
      </c>
      <c r="B783" s="150"/>
      <c r="C783" s="150"/>
      <c r="D783" s="150"/>
      <c r="E783" s="15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1" t="s">
        <v>245</v>
      </c>
      <c r="B784" s="152"/>
      <c r="C784" s="152"/>
      <c r="D784" s="152"/>
      <c r="E784" s="15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2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3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4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2"/>
        <v/>
      </c>
      <c r="K786" s="28"/>
      <c r="L786" s="26"/>
      <c r="M786" s="26"/>
      <c r="N786" s="26"/>
      <c r="O786" s="29"/>
      <c r="P786" s="29"/>
      <c r="Q786" s="30" t="str">
        <f t="shared" ca="1" si="213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4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2"/>
        <v/>
      </c>
      <c r="K787" s="34"/>
      <c r="L787" s="33"/>
      <c r="M787" s="33"/>
      <c r="N787" s="33"/>
      <c r="O787" s="29"/>
      <c r="P787" s="29"/>
      <c r="Q787" s="35" t="str">
        <f t="shared" ca="1" si="213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4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2"/>
        <v/>
      </c>
      <c r="K788" s="28"/>
      <c r="L788" s="26"/>
      <c r="M788" s="26"/>
      <c r="N788" s="26"/>
      <c r="O788" s="29"/>
      <c r="P788" s="29"/>
      <c r="Q788" s="30" t="str">
        <f t="shared" ca="1" si="213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4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2"/>
        <v/>
      </c>
      <c r="K789" s="34"/>
      <c r="L789" s="33"/>
      <c r="M789" s="33"/>
      <c r="N789" s="33"/>
      <c r="O789" s="29"/>
      <c r="P789" s="29"/>
      <c r="Q789" s="35" t="str">
        <f t="shared" ca="1" si="213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4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2"/>
        <v/>
      </c>
      <c r="K790" s="28"/>
      <c r="L790" s="26"/>
      <c r="M790" s="26"/>
      <c r="N790" s="26"/>
      <c r="O790" s="29"/>
      <c r="P790" s="29"/>
      <c r="Q790" s="30" t="str">
        <f t="shared" ca="1" si="213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4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2"/>
        <v/>
      </c>
      <c r="K791" s="34"/>
      <c r="L791" s="33"/>
      <c r="M791" s="33"/>
      <c r="N791" s="33"/>
      <c r="O791" s="29"/>
      <c r="P791" s="29"/>
      <c r="Q791" s="35" t="str">
        <f t="shared" ca="1" si="213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4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2"/>
        <v/>
      </c>
      <c r="K792" s="28"/>
      <c r="L792" s="26"/>
      <c r="M792" s="26"/>
      <c r="N792" s="26"/>
      <c r="O792" s="29"/>
      <c r="P792" s="29"/>
      <c r="Q792" s="30" t="str">
        <f t="shared" ca="1" si="213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4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2"/>
        <v/>
      </c>
      <c r="K793" s="34"/>
      <c r="L793" s="33"/>
      <c r="M793" s="33"/>
      <c r="N793" s="33"/>
      <c r="O793" s="29"/>
      <c r="P793" s="29"/>
      <c r="Q793" s="35" t="str">
        <f t="shared" ca="1" si="213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4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2"/>
        <v/>
      </c>
      <c r="K794" s="28"/>
      <c r="L794" s="26"/>
      <c r="M794" s="26"/>
      <c r="N794" s="26"/>
      <c r="O794" s="29"/>
      <c r="P794" s="29"/>
      <c r="Q794" s="30" t="str">
        <f t="shared" ca="1" si="213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4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2"/>
        <v/>
      </c>
      <c r="K795" s="34"/>
      <c r="L795" s="33"/>
      <c r="M795" s="33"/>
      <c r="N795" s="33"/>
      <c r="O795" s="29"/>
      <c r="P795" s="29"/>
      <c r="Q795" s="35" t="str">
        <f t="shared" ca="1" si="213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4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2"/>
        <v/>
      </c>
      <c r="K796" s="28"/>
      <c r="L796" s="26"/>
      <c r="M796" s="26"/>
      <c r="N796" s="26"/>
      <c r="O796" s="29"/>
      <c r="P796" s="29"/>
      <c r="Q796" s="30" t="str">
        <f t="shared" ca="1" si="213"/>
        <v/>
      </c>
      <c r="R796" s="27"/>
      <c r="S796" s="60"/>
    </row>
    <row r="797" spans="1:20" ht="15.75" customHeight="1" thickBot="1" x14ac:dyDescent="0.3">
      <c r="A797" s="149" t="s">
        <v>241</v>
      </c>
      <c r="B797" s="150"/>
      <c r="C797" s="150"/>
      <c r="D797" s="150"/>
      <c r="E797" s="15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5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6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7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5"/>
        <v/>
      </c>
      <c r="K799" s="34"/>
      <c r="L799" s="33"/>
      <c r="M799" s="33"/>
      <c r="N799" s="33"/>
      <c r="O799" s="29"/>
      <c r="P799" s="29"/>
      <c r="Q799" s="35" t="str">
        <f t="shared" ca="1" si="216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7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5"/>
        <v/>
      </c>
      <c r="K800" s="28"/>
      <c r="L800" s="26"/>
      <c r="M800" s="26"/>
      <c r="N800" s="26"/>
      <c r="O800" s="29"/>
      <c r="P800" s="29"/>
      <c r="Q800" s="30" t="str">
        <f t="shared" ca="1" si="216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7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5"/>
        <v/>
      </c>
      <c r="K801" s="34" t="str">
        <f t="shared" ref="K801:K809" si="218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6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7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5"/>
        <v/>
      </c>
      <c r="K802" s="28" t="str">
        <f t="shared" si="218"/>
        <v/>
      </c>
      <c r="L802" s="26"/>
      <c r="M802" s="26"/>
      <c r="N802" s="26"/>
      <c r="O802" s="29"/>
      <c r="P802" s="29"/>
      <c r="Q802" s="30" t="str">
        <f t="shared" ca="1" si="216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7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5"/>
        <v/>
      </c>
      <c r="K803" s="34" t="str">
        <f t="shared" si="218"/>
        <v/>
      </c>
      <c r="L803" s="33"/>
      <c r="M803" s="33"/>
      <c r="N803" s="33"/>
      <c r="O803" s="29"/>
      <c r="P803" s="29"/>
      <c r="Q803" s="35" t="str">
        <f t="shared" ca="1" si="216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7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5"/>
        <v/>
      </c>
      <c r="K804" s="28" t="str">
        <f t="shared" si="218"/>
        <v/>
      </c>
      <c r="L804" s="26"/>
      <c r="M804" s="26"/>
      <c r="N804" s="26"/>
      <c r="O804" s="29"/>
      <c r="P804" s="29"/>
      <c r="Q804" s="30" t="str">
        <f t="shared" ca="1" si="216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7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5"/>
        <v/>
      </c>
      <c r="K805" s="34" t="str">
        <f t="shared" si="218"/>
        <v/>
      </c>
      <c r="L805" s="33"/>
      <c r="M805" s="33"/>
      <c r="N805" s="33"/>
      <c r="O805" s="29"/>
      <c r="P805" s="29"/>
      <c r="Q805" s="35" t="str">
        <f t="shared" ca="1" si="216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7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5"/>
        <v/>
      </c>
      <c r="K806" s="28" t="str">
        <f t="shared" si="218"/>
        <v/>
      </c>
      <c r="L806" s="26"/>
      <c r="M806" s="26"/>
      <c r="N806" s="26"/>
      <c r="O806" s="29"/>
      <c r="P806" s="29"/>
      <c r="Q806" s="30" t="str">
        <f t="shared" ca="1" si="216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7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5"/>
        <v/>
      </c>
      <c r="K807" s="34" t="str">
        <f t="shared" si="218"/>
        <v/>
      </c>
      <c r="L807" s="33"/>
      <c r="M807" s="33"/>
      <c r="N807" s="33"/>
      <c r="O807" s="29"/>
      <c r="P807" s="29"/>
      <c r="Q807" s="35" t="str">
        <f t="shared" ca="1" si="216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7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5"/>
        <v/>
      </c>
      <c r="K808" s="28" t="str">
        <f t="shared" si="218"/>
        <v/>
      </c>
      <c r="L808" s="26"/>
      <c r="M808" s="26"/>
      <c r="N808" s="26"/>
      <c r="O808" s="29"/>
      <c r="P808" s="29"/>
      <c r="Q808" s="30" t="str">
        <f t="shared" ca="1" si="216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7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5"/>
        <v/>
      </c>
      <c r="K809" s="34" t="str">
        <f t="shared" si="218"/>
        <v/>
      </c>
      <c r="L809" s="33"/>
      <c r="M809" s="33"/>
      <c r="N809" s="33"/>
      <c r="O809" s="29"/>
      <c r="P809" s="29"/>
      <c r="Q809" s="35" t="str">
        <f t="shared" ca="1" si="216"/>
        <v/>
      </c>
      <c r="R809" s="27"/>
      <c r="S809" s="60"/>
    </row>
    <row r="810" spans="1:20" ht="15.75" customHeight="1" thickBot="1" x14ac:dyDescent="0.3">
      <c r="A810" s="149" t="s">
        <v>244</v>
      </c>
      <c r="B810" s="150"/>
      <c r="C810" s="150"/>
      <c r="D810" s="150"/>
      <c r="E810" s="15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1" t="s">
        <v>245</v>
      </c>
      <c r="B811" s="152"/>
      <c r="C811" s="152"/>
      <c r="D811" s="152"/>
      <c r="E811" s="15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9">IFERROR(IF($H812="","",$H812*$F812*$I812),"")</f>
        <v/>
      </c>
      <c r="K812" s="28" t="str">
        <f t="shared" ref="K812:K823" si="220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1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2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9"/>
        <v/>
      </c>
      <c r="K813" s="34" t="str">
        <f t="shared" si="220"/>
        <v/>
      </c>
      <c r="L813" s="26"/>
      <c r="M813" s="26"/>
      <c r="N813" s="26"/>
      <c r="O813" s="29"/>
      <c r="P813" s="29"/>
      <c r="Q813" s="35" t="str">
        <f t="shared" ca="1" si="221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2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9"/>
        <v/>
      </c>
      <c r="K814" s="28" t="str">
        <f t="shared" si="220"/>
        <v/>
      </c>
      <c r="L814" s="33"/>
      <c r="M814" s="33"/>
      <c r="N814" s="33"/>
      <c r="O814" s="29"/>
      <c r="P814" s="29"/>
      <c r="Q814" s="30" t="str">
        <f t="shared" ca="1" si="221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2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9"/>
        <v/>
      </c>
      <c r="K815" s="34" t="str">
        <f t="shared" si="220"/>
        <v/>
      </c>
      <c r="L815" s="26"/>
      <c r="M815" s="26"/>
      <c r="N815" s="26"/>
      <c r="O815" s="29"/>
      <c r="P815" s="29"/>
      <c r="Q815" s="35" t="str">
        <f t="shared" ca="1" si="221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2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9"/>
        <v/>
      </c>
      <c r="K816" s="28" t="str">
        <f t="shared" si="220"/>
        <v/>
      </c>
      <c r="L816" s="33"/>
      <c r="M816" s="33"/>
      <c r="N816" s="33"/>
      <c r="O816" s="29"/>
      <c r="P816" s="29"/>
      <c r="Q816" s="30" t="str">
        <f t="shared" ca="1" si="221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2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9"/>
        <v/>
      </c>
      <c r="K817" s="34" t="str">
        <f t="shared" si="220"/>
        <v/>
      </c>
      <c r="L817" s="26"/>
      <c r="M817" s="26"/>
      <c r="N817" s="26"/>
      <c r="O817" s="29"/>
      <c r="P817" s="29"/>
      <c r="Q817" s="35" t="str">
        <f t="shared" ca="1" si="221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2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9"/>
        <v/>
      </c>
      <c r="K818" s="28" t="str">
        <f t="shared" si="220"/>
        <v/>
      </c>
      <c r="L818" s="33"/>
      <c r="M818" s="33"/>
      <c r="N818" s="33"/>
      <c r="O818" s="29"/>
      <c r="P818" s="29"/>
      <c r="Q818" s="30" t="str">
        <f t="shared" ca="1" si="221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2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9"/>
        <v/>
      </c>
      <c r="K819" s="34" t="str">
        <f t="shared" si="220"/>
        <v/>
      </c>
      <c r="L819" s="26"/>
      <c r="M819" s="26"/>
      <c r="N819" s="26"/>
      <c r="O819" s="29"/>
      <c r="P819" s="29"/>
      <c r="Q819" s="35" t="str">
        <f t="shared" ca="1" si="221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2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9"/>
        <v/>
      </c>
      <c r="K820" s="28" t="str">
        <f t="shared" si="220"/>
        <v/>
      </c>
      <c r="L820" s="33"/>
      <c r="M820" s="33"/>
      <c r="N820" s="33"/>
      <c r="O820" s="29"/>
      <c r="P820" s="29"/>
      <c r="Q820" s="30" t="str">
        <f t="shared" ca="1" si="221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2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9"/>
        <v/>
      </c>
      <c r="K821" s="34" t="str">
        <f t="shared" si="220"/>
        <v/>
      </c>
      <c r="L821" s="26"/>
      <c r="M821" s="26"/>
      <c r="N821" s="26"/>
      <c r="O821" s="29"/>
      <c r="P821" s="29"/>
      <c r="Q821" s="35" t="str">
        <f t="shared" ca="1" si="221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2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9"/>
        <v/>
      </c>
      <c r="K822" s="28" t="str">
        <f t="shared" si="220"/>
        <v/>
      </c>
      <c r="L822" s="33"/>
      <c r="M822" s="33"/>
      <c r="N822" s="33"/>
      <c r="O822" s="29"/>
      <c r="P822" s="29"/>
      <c r="Q822" s="30" t="str">
        <f t="shared" ca="1" si="221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2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9"/>
        <v/>
      </c>
      <c r="K823" s="34" t="str">
        <f t="shared" si="220"/>
        <v/>
      </c>
      <c r="L823" s="26"/>
      <c r="M823" s="26"/>
      <c r="N823" s="26"/>
      <c r="O823" s="29"/>
      <c r="P823" s="29"/>
      <c r="Q823" s="35" t="str">
        <f t="shared" ca="1" si="221"/>
        <v/>
      </c>
      <c r="R823" s="27"/>
      <c r="S823" s="60"/>
    </row>
    <row r="824" spans="1:20" ht="15.75" customHeight="1" thickBot="1" x14ac:dyDescent="0.3">
      <c r="A824" s="149" t="s">
        <v>241</v>
      </c>
      <c r="B824" s="150"/>
      <c r="C824" s="150"/>
      <c r="D824" s="150"/>
      <c r="E824" s="15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3">IFERROR(IF($H825="","",$H825*$F825*$I825),"")</f>
        <v/>
      </c>
      <c r="K825" s="34" t="str">
        <f t="shared" ref="K825:K836" si="224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5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6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3"/>
        <v/>
      </c>
      <c r="K826" s="28" t="str">
        <f t="shared" si="224"/>
        <v/>
      </c>
      <c r="L826" s="33"/>
      <c r="M826" s="33"/>
      <c r="N826" s="33"/>
      <c r="O826" s="29"/>
      <c r="P826" s="29"/>
      <c r="Q826" s="35" t="str">
        <f t="shared" ca="1" si="225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6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3"/>
        <v/>
      </c>
      <c r="K827" s="34" t="str">
        <f t="shared" si="224"/>
        <v/>
      </c>
      <c r="L827" s="26"/>
      <c r="M827" s="26"/>
      <c r="N827" s="26"/>
      <c r="O827" s="29"/>
      <c r="P827" s="29"/>
      <c r="Q827" s="35" t="str">
        <f t="shared" ca="1" si="225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6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3"/>
        <v/>
      </c>
      <c r="K828" s="28" t="str">
        <f t="shared" si="224"/>
        <v/>
      </c>
      <c r="L828" s="33"/>
      <c r="M828" s="33"/>
      <c r="N828" s="33"/>
      <c r="O828" s="29"/>
      <c r="P828" s="29"/>
      <c r="Q828" s="35" t="str">
        <f t="shared" ca="1" si="225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6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3"/>
        <v/>
      </c>
      <c r="K829" s="34" t="str">
        <f t="shared" si="224"/>
        <v/>
      </c>
      <c r="L829" s="26"/>
      <c r="M829" s="26"/>
      <c r="N829" s="26"/>
      <c r="O829" s="29"/>
      <c r="P829" s="29"/>
      <c r="Q829" s="35" t="str">
        <f t="shared" ca="1" si="225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6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3"/>
        <v/>
      </c>
      <c r="K830" s="28" t="str">
        <f t="shared" si="224"/>
        <v/>
      </c>
      <c r="L830" s="33"/>
      <c r="M830" s="33"/>
      <c r="N830" s="33"/>
      <c r="O830" s="29"/>
      <c r="P830" s="29"/>
      <c r="Q830" s="35" t="str">
        <f t="shared" ca="1" si="225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6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3"/>
        <v/>
      </c>
      <c r="K831" s="34" t="str">
        <f t="shared" si="224"/>
        <v/>
      </c>
      <c r="L831" s="26"/>
      <c r="M831" s="26"/>
      <c r="N831" s="26"/>
      <c r="O831" s="29"/>
      <c r="P831" s="29"/>
      <c r="Q831" s="35" t="str">
        <f t="shared" ca="1" si="225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6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3"/>
        <v/>
      </c>
      <c r="K832" s="28" t="str">
        <f t="shared" si="224"/>
        <v/>
      </c>
      <c r="L832" s="33"/>
      <c r="M832" s="33"/>
      <c r="N832" s="33"/>
      <c r="O832" s="29"/>
      <c r="P832" s="29"/>
      <c r="Q832" s="35" t="str">
        <f t="shared" ca="1" si="225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6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3"/>
        <v/>
      </c>
      <c r="K833" s="34" t="str">
        <f t="shared" si="224"/>
        <v/>
      </c>
      <c r="L833" s="26"/>
      <c r="M833" s="26"/>
      <c r="N833" s="26"/>
      <c r="O833" s="29"/>
      <c r="P833" s="29"/>
      <c r="Q833" s="35" t="str">
        <f t="shared" ca="1" si="225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6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3"/>
        <v/>
      </c>
      <c r="K834" s="28" t="str">
        <f t="shared" si="224"/>
        <v/>
      </c>
      <c r="L834" s="33"/>
      <c r="M834" s="33"/>
      <c r="N834" s="33"/>
      <c r="O834" s="29"/>
      <c r="P834" s="29"/>
      <c r="Q834" s="35" t="str">
        <f t="shared" ca="1" si="225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6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3"/>
        <v/>
      </c>
      <c r="K835" s="34" t="str">
        <f t="shared" si="224"/>
        <v/>
      </c>
      <c r="L835" s="26"/>
      <c r="M835" s="26"/>
      <c r="N835" s="26"/>
      <c r="O835" s="29"/>
      <c r="P835" s="29"/>
      <c r="Q835" s="35" t="str">
        <f t="shared" ca="1" si="225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6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3"/>
        <v/>
      </c>
      <c r="K836" s="28" t="str">
        <f t="shared" si="224"/>
        <v/>
      </c>
      <c r="L836" s="33"/>
      <c r="M836" s="33"/>
      <c r="N836" s="33"/>
      <c r="O836" s="29"/>
      <c r="P836" s="29"/>
      <c r="Q836" s="35" t="str">
        <f t="shared" ca="1" si="225"/>
        <v/>
      </c>
      <c r="R836" s="27"/>
      <c r="S836" s="60"/>
    </row>
    <row r="837" spans="1:20" ht="15.75" customHeight="1" thickBot="1" x14ac:dyDescent="0.3">
      <c r="A837" s="149" t="s">
        <v>244</v>
      </c>
      <c r="B837" s="150"/>
      <c r="C837" s="150"/>
      <c r="D837" s="150"/>
      <c r="E837" s="15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1" t="s">
        <v>245</v>
      </c>
      <c r="B838" s="152"/>
      <c r="C838" s="152"/>
      <c r="D838" s="152"/>
      <c r="E838" s="15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Bob9hmERZRHa10qzfz4SiLLXsnHHeH1BEUD9raHYFXEmb6u/hs4f0FE4wq29MoGtrN4nRezQn5OrVoBHsBe/jg==" saltValue="sFamDCMnW64w0YZdv/uJiQ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2026-08-13T11:44:11Z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