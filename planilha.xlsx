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96" documentId="13_ncr:1_{A6DBCFB4-28D9-4249-9038-216934055CA6}" xr6:coauthVersionLast="47" xr6:coauthVersionMax="47" xr10:uidLastSave="{AB0152A6-3B51-4249-AFF2-DAE668EA8246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<sst xmlns="http://schemas.openxmlformats.org/spreadsheetml/2006/main" count="8827" uniqueCount="399">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</sst>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71829610</v>
      </c>
      <c r="D35" s="30">
        <f t="shared" si="2"/>
        <v>23300530</v>
      </c>
      <c r="E35" s="30">
        <f t="shared" si="2"/>
        <v>12268060</v>
      </c>
      <c r="F35" s="30">
        <f t="shared" si="2"/>
        <v>29707410</v>
      </c>
      <c r="G35" s="30">
        <f t="shared" si="2"/>
        <v>65276000</v>
      </c>
      <c r="H35" s="31">
        <f t="shared" si="2"/>
        <v>5486.9907825806804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4511.7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93" activePane="bottomLeft" state="frozen"/>
      <selection pane="bottomLeft" activeCell="F521" sqref="F52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144</v>
      </c>
      <c r="G527" s="2">
        <f>SUM(G515:G526)</f>
        <v>696.8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144</v>
      </c>
      <c r="G541" s="1">
        <f>G527+G540</f>
        <v>696.8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94" activePane="bottomLeft" state="frozen"/>
      <selection pane="bottomLeft" activeCell="G522" sqref="G52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0.46295231481053634</v>
      </c>
      <c r="R53" s="80" t="s">
        <v>305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0.60184120369942407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0.68656342592164687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67.2</v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30"/>
        <v>0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30"/>
        <v>0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108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470.40000000000003</v>
      </c>
      <c r="L527" s="72"/>
      <c r="M527" s="72"/>
      <c r="N527" s="72"/>
      <c r="O527" s="72"/>
      <c r="P527" s="72"/>
      <c r="Q527" s="73">
        <f ca="1">IFERROR(SUM(Q515:Q526),"")</f>
        <v>4.9999999999999989E-2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108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470.40000000000003</v>
      </c>
      <c r="L541" s="76"/>
      <c r="M541" s="76"/>
      <c r="N541" s="76"/>
      <c r="O541" s="76"/>
      <c r="P541" s="76"/>
      <c r="Q541" s="77">
        <f ca="1">IFERROR(Q527+Q540,"")</f>
        <v>4.9999999999999989E-2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96" activePane="bottomLeft" state="frozen"/>
      <selection pane="bottomLeft" activeCell="G522" sqref="G52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0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27"/>
        <v>0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27"/>
        <v>0</v>
      </c>
      <c r="K517" s="69">
        <f t="shared" si="130"/>
        <v>46.2</v>
      </c>
      <c r="L517" s="70"/>
      <c r="M517" s="70"/>
      <c r="N517" s="70"/>
      <c r="O517" s="65"/>
      <c r="P517" s="65"/>
      <c r="Q517" s="71" t="str">
        <f t="shared" ca="1" si="128"/>
        <v/>
      </c>
      <c r="R517" s="63"/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27"/>
        <v>0</v>
      </c>
      <c r="K518" s="64">
        <f t="shared" si="130"/>
        <v>16.8</v>
      </c>
      <c r="L518" s="70"/>
      <c r="M518" s="61"/>
      <c r="N518" s="61"/>
      <c r="O518" s="65"/>
      <c r="P518" s="65"/>
      <c r="Q518" s="66" t="str">
        <f t="shared" ca="1" si="128"/>
        <v/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27"/>
        <v>0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27"/>
        <v>0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27"/>
        <v>0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27"/>
        <v/>
      </c>
      <c r="K522" s="64" t="str">
        <f t="shared" si="130"/>
        <v/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27"/>
        <v/>
      </c>
      <c r="K523" s="69" t="str">
        <f t="shared" si="130"/>
        <v/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27"/>
        <v/>
      </c>
      <c r="K524" s="64" t="str">
        <f t="shared" si="130"/>
        <v/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27"/>
        <v/>
      </c>
      <c r="K525" s="69" t="str">
        <f t="shared" si="130"/>
        <v/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27"/>
        <v/>
      </c>
      <c r="K526" s="64" t="str">
        <f t="shared" si="130"/>
        <v/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52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224</v>
      </c>
      <c r="L527" s="72"/>
      <c r="M527" s="72"/>
      <c r="N527" s="72"/>
      <c r="O527" s="72"/>
      <c r="P527" s="72"/>
      <c r="Q527" s="73">
        <f ca="1">IFERROR(SUM(Q515:Q526),"")</f>
        <v>1.7361111111111105E-2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52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224</v>
      </c>
      <c r="L541" s="76"/>
      <c r="M541" s="76"/>
      <c r="N541" s="76"/>
      <c r="O541" s="76"/>
      <c r="P541" s="76"/>
      <c r="Q541" s="77">
        <f ca="1">IFERROR(Q527+Q540,"")</f>
        <v>1.7361111111111105E-2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85" activePane="bottomLeft" state="frozen"/>
      <selection pane="bottomLeft" activeCell="G522" sqref="G52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84</v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30"/>
        <v>0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30"/>
        <v>0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122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526</v>
      </c>
      <c r="L527" s="72"/>
      <c r="M527" s="72"/>
      <c r="N527" s="72"/>
      <c r="O527" s="134"/>
      <c r="P527" s="134"/>
      <c r="Q527" s="73">
        <f ca="1">IFERROR(SUM(Q515:Q526),"")</f>
        <v>4.5833333333333337E-2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122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526</v>
      </c>
      <c r="L541" s="76"/>
      <c r="M541" s="76"/>
      <c r="N541" s="76"/>
      <c r="O541" s="135"/>
      <c r="P541" s="135"/>
      <c r="Q541" s="77">
        <f ca="1">IFERROR(Q527+Q540,"")</f>
        <v>4.5833333333333337E-2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2026-08-20T18:01:56Z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