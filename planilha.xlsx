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4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1828" documentId="8_{AF585B22-221D-4780-BB9C-493D365A6A02}" xr6:coauthVersionLast="47" xr6:coauthVersionMax="47" xr10:uidLastSave="{2994F62E-80CE-4C7A-BCCD-FAB7C3C6F37F}"/>
  <bookViews>
    <workbookView xWindow="-110" yWindow="-110" windowWidth="25820" windowHeight="15500" tabRatio="500" firstSheet="4" activeTab="5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M44" i="4" l="1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6" i="3"/>
  <c r="G465" i="3"/>
  <c r="G464" i="3"/>
  <c r="G463" i="3"/>
  <c r="G462" i="3"/>
  <c r="G461" i="3"/>
  <c r="G473" i="3" s="1"/>
  <c r="F459" i="3"/>
  <c r="G458" i="3"/>
  <c r="G457" i="3"/>
  <c r="G456" i="3"/>
  <c r="G455" i="3"/>
  <c r="G454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F405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G323" i="3"/>
  <c r="G322" i="3"/>
  <c r="G321" i="3"/>
  <c r="G320" i="3"/>
  <c r="G319" i="3"/>
  <c r="G318" i="3"/>
  <c r="G317" i="3"/>
  <c r="G316" i="3"/>
  <c r="G315" i="3"/>
  <c r="G314" i="3"/>
  <c r="G313" i="3"/>
  <c r="G312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4" i="4"/>
  <c r="G413" i="4"/>
  <c r="G412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F270" i="4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2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84" i="5"/>
  <c r="F298" i="5" s="1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1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E513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E432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E433" i="4" s="1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3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6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5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8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O109" i="3"/>
  <c r="C7" i="1" s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25" i="1" s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M555" i="6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G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G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M225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G107" i="6"/>
  <c r="M106" i="6"/>
  <c r="G106" i="6"/>
  <c r="M105" i="6"/>
  <c r="G105" i="6"/>
  <c r="M104" i="6"/>
  <c r="G104" i="6"/>
  <c r="M103" i="6"/>
  <c r="G103" i="6"/>
  <c r="M102" i="6"/>
  <c r="G102" i="6"/>
  <c r="M101" i="6"/>
  <c r="G101" i="6"/>
  <c r="M100" i="6"/>
  <c r="G100" i="6"/>
  <c r="M99" i="6"/>
  <c r="G99" i="6"/>
  <c r="M98" i="6"/>
  <c r="G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8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514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<sst xmlns="http://schemas.openxmlformats.org/spreadsheetml/2006/main" count="2142" uniqueCount="224">
  <si>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</si>
  <si>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</si>
  <si>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</si>
  <si>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</si>
  <si>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</si>
  <si>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</si>
  <si>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</si>
  <si>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</si>
  <si>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</si>
  <si>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</si>
  <si>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</si>
  <si>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</si>
  <si>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</si>
  <si>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</si>
  <si>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</si>
  <si>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</si>
  <si>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</si>
  <si>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</si>
  <si>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</si>
  <si>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</si>
  <si>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</si>
  <si>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</si>
  <si>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</si>
  <si>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</si>
  <si>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</si>
  <si>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</si>
  <si>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</si>
  <si>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</si>
  <si>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</si>
  <si>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</si>
  <si>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</si>
  <si>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</si>
  <si>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</si>
  <si>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</si>
  <si>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</si>
  <si>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</si>
  <si>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</si>
  <si>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</si>
  <si>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</si>
  <si>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</si>
  <si>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</si>
  <si>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</si>
  <si>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</si>
  <si>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</si>
  <si>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</si>
  <si>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</si>
  <si>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</si>
  <si>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</si>
  <si>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</si>
  <si>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</si>
  <si>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</si>
  <si>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</si>
  <si>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</si>
  <si>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</si>
  <si>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</si>
  <si>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</si>
  <si>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</si>
  <si>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</si>
  <si>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</si>
  <si>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</si>
  <si>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</si>
  <si>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</si>
  <si>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</si>
  <si>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</si>
  <si>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</si>
  <si>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</si>
  <si>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</si>
  <si>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</si>
  <si>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</si>
  <si>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</si>
  <si>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</si>
  <si>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</si>
  <si>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</si>
  <si>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</si>
  <si>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</si>
  <si>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</si>
  <si>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</si>
  <si>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</si>
  <si>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</si>
  <si>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</si>
  <si>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</si>
  <si>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</si>
  <si>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</si>
  <si>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</si>
  <si>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</si>
  <si>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</si>
  <si>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</si>
  <si>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</si>
  <si>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</si>
  <si>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</si>
  <si>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</si>
  <si>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</si>
  <si>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</si>
  <si>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</si>
  <si>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</si>
  <si>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</si>
  <si>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Correia desalinhada / patinando</t>
  </si>
  <si>
    <t>arrebentou a orelha do martelo</t>
  </si>
  <si>
    <t>Obstrução da correia transportadora</t>
  </si>
  <si>
    <t>Centrífuga (RD) 05 L3</t>
  </si>
  <si>
    <t>Correia rasgada / danificada</t>
  </si>
  <si>
    <t>troca  de pino</t>
  </si>
  <si>
    <t>Obstrução no moinho de bola</t>
  </si>
  <si>
    <t>Centrífuga (RD) 06 L3 bola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</si>
  <si>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</si>
  <si>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</si>
  <si>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</si>
  <si>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</si>
  <si>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</si>
  <si>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</si>
  <si>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</si>
  <si>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</si>
  <si>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</si>
  <si>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</si>
  <si>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</si>
  <si>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</si>
  <si>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</si>
  <si>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</si>
  <si>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</si>
  <si>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</si>
  <si>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</si>
  <si>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</si>
  <si>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</si>
  <si>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</si>
  <si>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</si>
  <si>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</si>
  <si>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</si>
  <si>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</si>
  <si>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</si>
  <si>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</si>
  <si>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</si>
  <si>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</si>
  <si>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</si>
  <si>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</si>
  <si>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</si>
  <si>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</si>
  <si>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</si>
  <si>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</si>
  <si>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</si>
  <si>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</si>
  <si>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</si>
  <si>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</si>
  <si>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</si>
  <si>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</si>
  <si>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</si>
  <si>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</si>
  <si>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</si>
  <si>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</si>
  <si>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</si>
  <si>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</si>
  <si>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</si>
  <si>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</si>
  <si>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</si>
  <si>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</si>
  <si>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</si>
  <si>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</si>
  <si>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</si>
  <si>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</si>
  <si>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</si>
  <si>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</si>
  <si>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</si>
  <si>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</si>
  <si>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</si>
  <si>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</si>
  <si>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</si>
  <si>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</si>
  <si>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</si>
  <si>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</si>
  <si>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</si>
  <si>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</si>
  <si>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</si>
  <si>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</si>
  <si>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</si>
  <si>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</si>
  <si>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</si>
  <si>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</si>
  <si>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reforço de solda nas orelhas dos martelos</t>
  </si>
  <si>
    <t>TC3 travada</t>
  </si>
  <si>
    <t>ℹ  Cada coluna corresponde a um Tipo de Parada. Adicione descrições nas linhas vazias de cada coluna.</t>
  </si>
  <si>
    <t>anel de vedaçao encostando na trampa</t>
  </si>
  <si>
    <t>solda na luva do moinho</t>
  </si>
  <si>
    <t>Acoplamento solto</t>
  </si>
  <si>
    <t>Parafuso do acoplamento solto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</si>
  <si>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</si>
  <si>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</si>
  <si>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</si>
  <si>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</si>
  <si>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</si>
  <si>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</si>
  <si>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</si>
  <si>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</si>
  <si>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</si>
  <si>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</si>
  <si>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</si>
  <si>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</si>
  <si>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</si>
  <si>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</si>
  <si>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</si>
  <si>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</si>
  <si>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</si>
  <si>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</si>
  <si>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</si>
  <si>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</si>
  <si>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</si>
  <si>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17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</si>
  <si>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</si>
  <si>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</si>
  <si>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</si>
  <si>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</si>
  <si>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</si>
  <si>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</si>
  <si>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</si>
  <si>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</si>
  <si>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troca de martelo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</si>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</sst>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3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9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98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64" fontId="5" fillId="8" borderId="2" xfId="0" applyNumberFormat="1" applyFont="1" applyFill="1" applyBorder="1" applyAlignment="1" applyProtection="1">
      <alignment horizontal="center" vertical="center"/>
      <protection locked="0"/>
    </xf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6" sqref="G6"/>
    </sheetView>
  </sheetViews>
  <sheetFormatPr defaultColWidth="8.5703125" defaultRowHeight="14.45"/>
  <cols>
    <col min="2" max="2" width="17.42578125" style="71" customWidth="1"/>
    <col min="3" max="3" width="21.42578125" customWidth="1"/>
    <col min="4" max="6" width="16" hidden="1" customWidth="1"/>
    <col min="7" max="7" width="34" customWidth="1"/>
  </cols>
  <sheetData>
    <row r="1" spans="1:7" ht="31.5" customHeight="1">
      <c r="A1" s="87" t="s">
        <v>0</v>
      </c>
      <c r="B1" s="87"/>
      <c r="C1" s="87"/>
      <c r="D1" s="87"/>
      <c r="E1" s="87"/>
      <c r="F1" s="87"/>
      <c r="G1" s="87"/>
    </row>
    <row r="2" spans="1:7" ht="24.75" customHeight="1">
      <c r="A2" s="88"/>
      <c r="B2" s="88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2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3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4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3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4">
        <v>46207</v>
      </c>
      <c r="C7" s="11">
        <f>IFERROR(Britador!O109,"")</f>
        <v>0</v>
      </c>
      <c r="D7" s="11">
        <f>IFERROR('Linha 1'!O109,"")</f>
        <v>0</v>
      </c>
      <c r="E7" s="11">
        <f>IFERROR('Linha 2'!O109,"")</f>
        <v>0</v>
      </c>
      <c r="F7" s="11">
        <f>IFERROR('Linha 3'!O109,"")</f>
        <v>0</v>
      </c>
      <c r="G7" s="12">
        <f t="shared" si="0"/>
        <v>0</v>
      </c>
    </row>
    <row r="8" spans="1:7" ht="15.75" customHeight="1">
      <c r="A8" s="7">
        <v>5</v>
      </c>
      <c r="B8" s="73">
        <v>46208</v>
      </c>
      <c r="C8" s="8">
        <f>IFERROR(Britador!O136,"")</f>
        <v>0</v>
      </c>
      <c r="D8" s="8">
        <f>IFERROR('Linha 1'!O136,"")</f>
        <v>0</v>
      </c>
      <c r="E8" s="8">
        <f>IFERROR('Linha 2'!O136,"")</f>
        <v>0</v>
      </c>
      <c r="F8" s="8">
        <f>IFERROR('Linha 3'!O136,"")</f>
        <v>0</v>
      </c>
      <c r="G8" s="9">
        <f t="shared" si="0"/>
        <v>0</v>
      </c>
    </row>
    <row r="9" spans="1:7" ht="15.75" customHeight="1">
      <c r="A9" s="10">
        <v>6</v>
      </c>
      <c r="B9" s="74">
        <v>46209</v>
      </c>
      <c r="C9" s="11">
        <f>IFERROR(Britador!O163,"")</f>
        <v>0</v>
      </c>
      <c r="D9" s="11">
        <f>IFERROR('Linha 1'!O163,"")</f>
        <v>0</v>
      </c>
      <c r="E9" s="11">
        <f>IFERROR('Linha 2'!O163,"")</f>
        <v>0</v>
      </c>
      <c r="F9" s="11">
        <f>IFERROR('Linha 3'!O163,"")</f>
        <v>0</v>
      </c>
      <c r="G9" s="12">
        <f t="shared" si="0"/>
        <v>0</v>
      </c>
    </row>
    <row r="10" spans="1:7" ht="15.75" customHeight="1">
      <c r="A10" s="7">
        <v>7</v>
      </c>
      <c r="B10" s="73">
        <v>46210</v>
      </c>
      <c r="C10" s="8">
        <f>IFERROR(Britador!O190,"")</f>
        <v>0</v>
      </c>
      <c r="D10" s="8">
        <f>IFERROR('Linha 1'!O190,"")</f>
        <v>0</v>
      </c>
      <c r="E10" s="8">
        <f>IFERROR('Linha 2'!O190,"")</f>
        <v>0</v>
      </c>
      <c r="F10" s="8">
        <f>IFERROR('Linha 3'!O190,"")</f>
        <v>0</v>
      </c>
      <c r="G10" s="9">
        <f t="shared" si="0"/>
        <v>0</v>
      </c>
    </row>
    <row r="11" spans="1:7" ht="15.75" customHeight="1">
      <c r="A11" s="10">
        <v>8</v>
      </c>
      <c r="B11" s="74">
        <v>46211</v>
      </c>
      <c r="C11" s="11">
        <f>IFERROR(Britador!O217,"")</f>
        <v>0</v>
      </c>
      <c r="D11" s="11">
        <f>IFERROR('Linha 1'!O217,"")</f>
        <v>0</v>
      </c>
      <c r="E11" s="11">
        <f>IFERROR('Linha 2'!O217,"")</f>
        <v>0</v>
      </c>
      <c r="F11" s="11">
        <f>IFERROR('Linha 3'!O217,"")</f>
        <v>0</v>
      </c>
      <c r="G11" s="12">
        <f t="shared" si="0"/>
        <v>0</v>
      </c>
    </row>
    <row r="12" spans="1:7" ht="15.75" customHeight="1">
      <c r="A12" s="7">
        <v>9</v>
      </c>
      <c r="B12" s="73">
        <v>46212</v>
      </c>
      <c r="C12" s="8">
        <f>IFERROR(Britador!O244,"")</f>
        <v>0</v>
      </c>
      <c r="D12" s="8">
        <f>IFERROR('Linha 1'!O244,"")</f>
        <v>0</v>
      </c>
      <c r="E12" s="8">
        <f>IFERROR('Linha 2'!O244,"")</f>
        <v>0</v>
      </c>
      <c r="F12" s="8">
        <f>IFERROR('Linha 3'!O244,"")</f>
        <v>0</v>
      </c>
      <c r="G12" s="9">
        <f t="shared" si="0"/>
        <v>0</v>
      </c>
    </row>
    <row r="13" spans="1:7" ht="15.75" customHeight="1">
      <c r="A13" s="10">
        <v>10</v>
      </c>
      <c r="B13" s="74">
        <v>46213</v>
      </c>
      <c r="C13" s="11">
        <f>IFERROR(Britador!O271,"")</f>
        <v>0</v>
      </c>
      <c r="D13" s="11">
        <f>IFERROR('Linha 1'!O271,"")</f>
        <v>0</v>
      </c>
      <c r="E13" s="11">
        <f>IFERROR('Linha 2'!O271,"")</f>
        <v>0</v>
      </c>
      <c r="F13" s="11">
        <f>IFERROR('Linha 3'!O271,"")</f>
        <v>0</v>
      </c>
      <c r="G13" s="12">
        <f t="shared" si="0"/>
        <v>0</v>
      </c>
    </row>
    <row r="14" spans="1:7" ht="15.75" customHeight="1">
      <c r="A14" s="7">
        <v>11</v>
      </c>
      <c r="B14" s="73">
        <v>46214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4">
        <v>46215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3">
        <v>46216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4">
        <v>46217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3">
        <v>46218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 t="shared" si="0"/>
        <v>0</v>
      </c>
    </row>
    <row r="19" spans="1:7" ht="15.75" customHeight="1">
      <c r="A19" s="10">
        <v>16</v>
      </c>
      <c r="B19" s="74">
        <v>46219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3">
        <v>46220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4">
        <v>46221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3">
        <v>46222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4">
        <v>46223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3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4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3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4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3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4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3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4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3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4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4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89" t="s">
        <v>9</v>
      </c>
      <c r="B35" s="89"/>
      <c r="C35" s="13">
        <f>IFERROR(SUM(C4:C34),"")</f>
        <v>6571570</v>
      </c>
      <c r="D35" s="13">
        <f>IFERROR(SUM(D4:D34),"")</f>
        <v>2436420</v>
      </c>
      <c r="E35" s="13">
        <f>IFERROR(SUM(E4:E34),"")</f>
        <v>1768690</v>
      </c>
      <c r="F35" s="13">
        <f>IFERROR(SUM(F4:F34),"")</f>
        <v>2636690</v>
      </c>
      <c r="G35" s="13">
        <f>IFERROR(SUM(G4:G34),"")</f>
        <v>6841800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I33" zoomScale="85" zoomScaleNormal="85" workbookViewId="0">
      <selection activeCell="M47" sqref="M47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90" t="s">
        <v>10</v>
      </c>
      <c r="B1" s="90"/>
      <c r="C1" s="90"/>
      <c r="D1" s="90"/>
      <c r="E1" s="90"/>
      <c r="F1" s="90"/>
      <c r="G1" s="90"/>
      <c r="H1" s="91"/>
      <c r="I1" s="92" t="s">
        <v>11</v>
      </c>
      <c r="J1" s="92"/>
      <c r="K1" s="92"/>
      <c r="L1" s="92"/>
      <c r="M1" s="92"/>
    </row>
    <row r="2" spans="1:13" ht="4.5" customHeight="1">
      <c r="H2" s="91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91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91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91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91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91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91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91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91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91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91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91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91"/>
      <c r="I14" s="16"/>
      <c r="J14" s="16" t="s">
        <v>86</v>
      </c>
      <c r="K14" s="16" t="s">
        <v>87</v>
      </c>
      <c r="L14" s="16" t="s">
        <v>88</v>
      </c>
      <c r="M14" s="16" t="s">
        <v>89</v>
      </c>
    </row>
    <row r="15" spans="1:13" ht="15.75" customHeight="1">
      <c r="A15" s="17"/>
      <c r="C15" s="17"/>
      <c r="E15" s="17"/>
      <c r="G15" s="17" t="s">
        <v>90</v>
      </c>
      <c r="H15" s="91"/>
      <c r="I15" s="17"/>
      <c r="J15" s="17" t="s">
        <v>91</v>
      </c>
      <c r="K15" s="17" t="s">
        <v>92</v>
      </c>
      <c r="L15" s="17" t="s">
        <v>93</v>
      </c>
      <c r="M15" s="17" t="s">
        <v>94</v>
      </c>
    </row>
    <row r="16" spans="1:13" ht="15.75" customHeight="1">
      <c r="A16" s="16"/>
      <c r="C16" s="16"/>
      <c r="E16" s="16"/>
      <c r="G16" s="16" t="s">
        <v>95</v>
      </c>
      <c r="H16" s="91"/>
      <c r="I16" s="16"/>
      <c r="J16" s="16"/>
      <c r="K16" s="16" t="s">
        <v>96</v>
      </c>
      <c r="L16" s="16" t="s">
        <v>97</v>
      </c>
      <c r="M16" s="16" t="s">
        <v>98</v>
      </c>
    </row>
    <row r="17" spans="1:13" ht="15.75" customHeight="1">
      <c r="A17" s="17"/>
      <c r="C17" s="17"/>
      <c r="E17" s="17"/>
      <c r="G17" s="17" t="s">
        <v>99</v>
      </c>
      <c r="H17" s="91"/>
      <c r="I17" s="17"/>
      <c r="J17" s="17"/>
      <c r="K17" s="17" t="s">
        <v>100</v>
      </c>
      <c r="L17" s="17" t="s">
        <v>101</v>
      </c>
      <c r="M17" s="17" t="s">
        <v>102</v>
      </c>
    </row>
    <row r="18" spans="1:13" ht="15.75" customHeight="1">
      <c r="A18" s="16"/>
      <c r="C18" s="16"/>
      <c r="E18" s="16"/>
      <c r="G18" s="16" t="s">
        <v>103</v>
      </c>
      <c r="H18" s="91"/>
      <c r="I18" s="16"/>
      <c r="J18" s="16"/>
      <c r="K18" s="16" t="s">
        <v>104</v>
      </c>
      <c r="L18" s="16" t="s">
        <v>105</v>
      </c>
      <c r="M18" s="16" t="s">
        <v>106</v>
      </c>
    </row>
    <row r="19" spans="1:13" ht="15.75" customHeight="1">
      <c r="A19" s="17"/>
      <c r="C19" s="17"/>
      <c r="E19" s="17"/>
      <c r="G19" s="17" t="s">
        <v>107</v>
      </c>
      <c r="H19" s="91"/>
      <c r="I19" s="17"/>
      <c r="J19" s="17"/>
      <c r="K19" s="17" t="s">
        <v>108</v>
      </c>
      <c r="L19" s="17"/>
      <c r="M19" s="17" t="s">
        <v>109</v>
      </c>
    </row>
    <row r="20" spans="1:13" ht="15.75" customHeight="1">
      <c r="A20" s="16"/>
      <c r="C20" s="16"/>
      <c r="E20" s="16"/>
      <c r="G20" s="16" t="s">
        <v>110</v>
      </c>
      <c r="H20" s="91"/>
      <c r="I20" s="16"/>
      <c r="J20" s="16"/>
      <c r="K20" s="16" t="s">
        <v>111</v>
      </c>
      <c r="L20" s="16"/>
      <c r="M20" s="16" t="s">
        <v>112</v>
      </c>
    </row>
    <row r="21" spans="1:13" ht="15.75" customHeight="1">
      <c r="A21" s="17"/>
      <c r="C21" s="17"/>
      <c r="E21" s="17"/>
      <c r="G21" s="17" t="s">
        <v>113</v>
      </c>
      <c r="H21" s="91"/>
      <c r="I21" s="17"/>
      <c r="J21" s="17"/>
      <c r="K21" s="17" t="s">
        <v>114</v>
      </c>
      <c r="L21" s="17"/>
      <c r="M21" s="17" t="s">
        <v>115</v>
      </c>
    </row>
    <row r="22" spans="1:13" ht="15.75" customHeight="1">
      <c r="A22" s="16"/>
      <c r="C22" s="16"/>
      <c r="E22" s="16"/>
      <c r="G22" s="16" t="s">
        <v>116</v>
      </c>
      <c r="H22" s="91"/>
      <c r="I22" s="16"/>
      <c r="J22" s="16"/>
      <c r="K22" s="16" t="s">
        <v>117</v>
      </c>
      <c r="L22" s="16"/>
      <c r="M22" s="16" t="s">
        <v>118</v>
      </c>
    </row>
    <row r="23" spans="1:13" ht="15.75" customHeight="1">
      <c r="A23" s="17"/>
      <c r="C23" s="17"/>
      <c r="E23" s="17"/>
      <c r="G23" s="17" t="s">
        <v>119</v>
      </c>
      <c r="H23" s="91"/>
      <c r="I23" s="17"/>
      <c r="J23" s="17"/>
      <c r="K23" s="17" t="s">
        <v>120</v>
      </c>
      <c r="L23" s="17"/>
      <c r="M23" s="17" t="s">
        <v>121</v>
      </c>
    </row>
    <row r="24" spans="1:13" ht="15.75" customHeight="1">
      <c r="A24" s="16"/>
      <c r="C24" s="16"/>
      <c r="E24" s="16"/>
      <c r="G24" s="16" t="s">
        <v>122</v>
      </c>
      <c r="H24" s="91"/>
      <c r="I24" s="16"/>
      <c r="J24" s="16"/>
      <c r="K24" s="16" t="s">
        <v>123</v>
      </c>
      <c r="L24" s="16"/>
      <c r="M24" s="16" t="s">
        <v>124</v>
      </c>
    </row>
    <row r="25" spans="1:13" ht="15.75" customHeight="1">
      <c r="A25" s="17"/>
      <c r="C25" s="17"/>
      <c r="E25" s="17"/>
      <c r="G25" s="17" t="s">
        <v>125</v>
      </c>
      <c r="H25" s="91"/>
      <c r="I25" s="17"/>
      <c r="J25" s="17"/>
      <c r="K25" s="17" t="s">
        <v>126</v>
      </c>
      <c r="L25" s="17"/>
      <c r="M25" s="17" t="s">
        <v>127</v>
      </c>
    </row>
    <row r="26" spans="1:13" ht="15.75" customHeight="1">
      <c r="A26" s="16"/>
      <c r="C26" s="16"/>
      <c r="E26" s="16"/>
      <c r="G26" s="16" t="s">
        <v>128</v>
      </c>
      <c r="H26" s="91"/>
      <c r="I26" s="16"/>
      <c r="J26" s="16"/>
      <c r="K26" s="16" t="s">
        <v>129</v>
      </c>
      <c r="L26" s="16"/>
      <c r="M26" s="16"/>
    </row>
    <row r="27" spans="1:13" ht="15.75" customHeight="1">
      <c r="A27" s="17"/>
      <c r="C27" s="17"/>
      <c r="E27" s="17"/>
      <c r="G27" s="17" t="s">
        <v>130</v>
      </c>
      <c r="H27" s="91"/>
      <c r="I27" s="17"/>
      <c r="J27" s="17"/>
      <c r="K27" s="17" t="s">
        <v>121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131</v>
      </c>
      <c r="H28" s="91"/>
      <c r="I28" s="16"/>
      <c r="J28" s="16"/>
      <c r="K28" s="16" t="s">
        <v>124</v>
      </c>
      <c r="L28" s="16"/>
      <c r="M28" s="16" t="s">
        <v>132</v>
      </c>
    </row>
    <row r="29" spans="1:13" ht="15.75" customHeight="1">
      <c r="A29" s="17"/>
      <c r="C29" s="17"/>
      <c r="E29" s="17"/>
      <c r="G29" s="17" t="s">
        <v>133</v>
      </c>
      <c r="H29" s="91"/>
      <c r="I29" s="17"/>
      <c r="J29" s="17"/>
      <c r="K29" s="17" t="s">
        <v>134</v>
      </c>
      <c r="L29" s="17"/>
      <c r="M29" s="17" t="s">
        <v>135</v>
      </c>
    </row>
    <row r="30" spans="1:13" ht="15.75" customHeight="1">
      <c r="A30" s="16"/>
      <c r="C30" s="16"/>
      <c r="E30" s="16"/>
      <c r="G30" s="16" t="s">
        <v>136</v>
      </c>
      <c r="H30" s="91"/>
      <c r="I30" s="16"/>
      <c r="J30" s="16"/>
      <c r="K30" s="16" t="s">
        <v>137</v>
      </c>
      <c r="L30" s="16"/>
      <c r="M30" s="16" t="s">
        <v>138</v>
      </c>
    </row>
    <row r="31" spans="1:13" ht="15.75" customHeight="1">
      <c r="A31" s="17"/>
      <c r="C31" s="17"/>
      <c r="E31" s="17"/>
      <c r="G31" s="17" t="s">
        <v>139</v>
      </c>
      <c r="H31" s="91"/>
      <c r="I31" s="17"/>
      <c r="J31" s="17"/>
      <c r="K31" s="18" t="s">
        <v>140</v>
      </c>
      <c r="L31" s="17"/>
      <c r="M31" s="17" t="s">
        <v>141</v>
      </c>
    </row>
    <row r="32" spans="1:13" ht="15.75" customHeight="1">
      <c r="A32" s="16"/>
      <c r="C32" s="16"/>
      <c r="E32" s="16"/>
      <c r="G32" s="16" t="s">
        <v>142</v>
      </c>
      <c r="H32" s="91"/>
      <c r="I32" s="16"/>
      <c r="J32" s="16"/>
      <c r="K32" s="16" t="s">
        <v>143</v>
      </c>
      <c r="L32" s="16"/>
      <c r="M32" t="s">
        <v>144</v>
      </c>
    </row>
    <row r="33" spans="1:13" ht="15.75" customHeight="1">
      <c r="A33" s="17"/>
      <c r="C33" s="17"/>
      <c r="E33" s="17"/>
      <c r="G33" s="17" t="s">
        <v>145</v>
      </c>
      <c r="H33" s="91"/>
      <c r="I33" s="17"/>
      <c r="J33" s="17"/>
      <c r="K33" s="18" t="s">
        <v>146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147</v>
      </c>
      <c r="H34" s="91"/>
      <c r="I34" s="16"/>
      <c r="J34" s="16"/>
      <c r="K34" s="16" t="s">
        <v>79</v>
      </c>
      <c r="L34" s="16"/>
      <c r="M34" s="16" t="s">
        <v>148</v>
      </c>
    </row>
    <row r="35" spans="1:13" ht="15.75" customHeight="1">
      <c r="A35" s="17"/>
      <c r="C35" s="17"/>
      <c r="E35" s="17"/>
      <c r="G35" s="17" t="s">
        <v>149</v>
      </c>
      <c r="H35" s="91"/>
      <c r="I35" s="17"/>
      <c r="J35" s="17"/>
      <c r="K35" s="17" t="s">
        <v>150</v>
      </c>
      <c r="L35" s="17"/>
      <c r="M35" s="17" t="s">
        <v>151</v>
      </c>
    </row>
    <row r="36" spans="1:13" ht="15.75" customHeight="1">
      <c r="A36" s="16"/>
      <c r="C36" s="16"/>
      <c r="E36" s="16"/>
      <c r="G36" s="16" t="s">
        <v>152</v>
      </c>
      <c r="H36" s="91"/>
      <c r="I36" s="16"/>
      <c r="J36" s="16"/>
      <c r="K36" s="16" t="s">
        <v>153</v>
      </c>
      <c r="L36" s="16"/>
      <c r="M36" s="16" t="s">
        <v>154</v>
      </c>
    </row>
    <row r="37" spans="1:13" ht="15.75" customHeight="1">
      <c r="A37" s="17"/>
      <c r="C37" s="17"/>
      <c r="E37" s="17"/>
      <c r="G37" s="17" t="s">
        <v>155</v>
      </c>
      <c r="H37" s="91"/>
      <c r="I37" s="17"/>
      <c r="J37" s="17"/>
      <c r="K37" s="17" t="s">
        <v>156</v>
      </c>
      <c r="L37" s="17"/>
      <c r="M37" s="17" t="s">
        <v>157</v>
      </c>
    </row>
    <row r="38" spans="1:13" ht="15.75" customHeight="1">
      <c r="A38" s="16"/>
      <c r="C38" s="16"/>
      <c r="E38" s="16"/>
      <c r="G38" s="16"/>
      <c r="H38" s="91"/>
      <c r="I38" s="16"/>
      <c r="J38" s="16"/>
      <c r="K38" s="16" t="s">
        <v>158</v>
      </c>
      <c r="L38" s="16"/>
      <c r="M38" s="16" t="s">
        <v>159</v>
      </c>
    </row>
    <row r="39" spans="1:13" ht="15.75" customHeight="1">
      <c r="A39" s="17"/>
      <c r="C39" s="17"/>
      <c r="E39" s="17"/>
      <c r="G39" s="17"/>
      <c r="H39" s="91"/>
      <c r="I39" s="17"/>
      <c r="J39" s="17"/>
      <c r="K39" s="17" t="s">
        <v>160</v>
      </c>
      <c r="L39" s="17"/>
      <c r="M39" s="17" t="s">
        <v>161</v>
      </c>
    </row>
    <row r="40" spans="1:13" ht="15.75" customHeight="1">
      <c r="A40" s="16"/>
      <c r="C40" s="16"/>
      <c r="E40" s="16"/>
      <c r="G40" s="16"/>
      <c r="H40" s="91"/>
      <c r="I40" s="16"/>
      <c r="J40" s="16"/>
      <c r="K40" s="16" t="s">
        <v>162</v>
      </c>
      <c r="L40" s="16"/>
      <c r="M40" s="16" t="s">
        <v>163</v>
      </c>
    </row>
    <row r="41" spans="1:13" ht="15.75" customHeight="1">
      <c r="A41" s="17"/>
      <c r="C41" s="17"/>
      <c r="E41" s="17"/>
      <c r="G41" s="17"/>
      <c r="H41" s="91"/>
      <c r="I41" s="17"/>
      <c r="J41" s="17"/>
      <c r="K41" s="17" t="s">
        <v>164</v>
      </c>
      <c r="L41" s="17"/>
      <c r="M41" s="17" t="s">
        <v>165</v>
      </c>
    </row>
    <row r="42" spans="1:13" ht="15.75" customHeight="1">
      <c r="A42" s="16"/>
      <c r="C42" s="16"/>
      <c r="E42" s="16"/>
      <c r="G42" s="16"/>
      <c r="H42" s="91"/>
      <c r="I42" s="16"/>
      <c r="J42" s="16"/>
      <c r="K42" s="16" t="s">
        <v>166</v>
      </c>
      <c r="L42" s="16"/>
      <c r="M42" s="16" t="s">
        <v>167</v>
      </c>
    </row>
    <row r="43" spans="1:13" ht="15.75" customHeight="1">
      <c r="A43" s="17"/>
      <c r="C43" s="17"/>
      <c r="E43" s="17"/>
      <c r="G43" s="17"/>
      <c r="H43" s="91"/>
      <c r="I43" s="17"/>
      <c r="J43" s="17"/>
      <c r="K43" s="17" t="s">
        <v>168</v>
      </c>
      <c r="L43" s="17"/>
      <c r="M43" s="17" t="s">
        <v>169</v>
      </c>
    </row>
    <row r="44" spans="1:13" ht="15.75" customHeight="1">
      <c r="A44" s="16"/>
      <c r="C44" s="16"/>
      <c r="E44" s="16"/>
      <c r="G44" s="16"/>
      <c r="H44" s="91"/>
      <c r="I44" s="16"/>
      <c r="J44" s="16"/>
      <c r="K44" s="16" t="s">
        <v>170</v>
      </c>
      <c r="L44" s="16"/>
      <c r="M44" s="16" t="s">
        <v>171</v>
      </c>
    </row>
    <row r="45" spans="1:13" ht="15.75" customHeight="1">
      <c r="A45" s="17"/>
      <c r="C45" s="17"/>
      <c r="E45" s="17"/>
      <c r="G45" s="17"/>
      <c r="H45" s="91"/>
      <c r="I45" s="17"/>
      <c r="J45" s="17"/>
      <c r="K45" s="17"/>
      <c r="L45" s="17"/>
      <c r="M45" s="17" t="s">
        <v>172</v>
      </c>
    </row>
    <row r="46" spans="1:13" ht="15.75" customHeight="1">
      <c r="A46" s="16"/>
      <c r="C46" s="16"/>
      <c r="E46" s="16"/>
      <c r="G46" s="16"/>
      <c r="H46" s="91"/>
      <c r="I46" s="16"/>
      <c r="J46" s="16"/>
      <c r="K46" s="16" t="s">
        <v>173</v>
      </c>
      <c r="L46" s="16"/>
      <c r="M46" s="16" t="s">
        <v>174</v>
      </c>
    </row>
    <row r="47" spans="1:13" ht="15.75" customHeight="1">
      <c r="A47" s="17"/>
      <c r="C47" s="17"/>
      <c r="E47" s="17"/>
      <c r="G47" s="17"/>
      <c r="H47" s="91"/>
      <c r="I47" s="17"/>
      <c r="J47" s="17"/>
      <c r="K47" s="17" t="s">
        <v>175</v>
      </c>
      <c r="L47" s="17"/>
      <c r="M47" s="17"/>
    </row>
    <row r="48" spans="1:13" ht="15.75" customHeight="1">
      <c r="A48" s="16"/>
      <c r="C48" s="16"/>
      <c r="E48" s="16"/>
      <c r="G48" s="16"/>
      <c r="H48" s="91"/>
      <c r="I48" s="16"/>
      <c r="J48" s="16"/>
      <c r="K48" s="16" t="s">
        <v>176</v>
      </c>
      <c r="L48" s="16"/>
      <c r="M48" s="16"/>
    </row>
    <row r="49" spans="1:13" ht="18" customHeight="1">
      <c r="H49" s="91"/>
      <c r="I49" s="17"/>
      <c r="J49" s="17"/>
      <c r="K49" s="17" t="s">
        <v>177</v>
      </c>
      <c r="L49" s="17"/>
      <c r="M49" s="17"/>
    </row>
    <row r="50" spans="1:13" ht="21" customHeight="1">
      <c r="A50" s="19" t="s">
        <v>178</v>
      </c>
      <c r="B50" s="19"/>
      <c r="C50" s="19"/>
      <c r="D50" s="19"/>
      <c r="E50" s="19"/>
      <c r="F50" s="19"/>
      <c r="G50" s="19"/>
      <c r="H50" s="91"/>
      <c r="I50" s="16"/>
      <c r="J50" s="16"/>
      <c r="K50" s="16" t="s">
        <v>179</v>
      </c>
      <c r="L50" s="16"/>
      <c r="M50" s="16"/>
    </row>
    <row r="51" spans="1:13" ht="24" customHeight="1">
      <c r="H51" s="91"/>
      <c r="I51" s="17"/>
      <c r="J51" s="17"/>
      <c r="K51" s="17" t="s">
        <v>180</v>
      </c>
      <c r="L51" s="17"/>
      <c r="M51" s="17"/>
    </row>
    <row r="52" spans="1:13" ht="24" customHeight="1">
      <c r="H52" s="91"/>
      <c r="I52" s="16"/>
      <c r="J52" s="16"/>
      <c r="K52" s="16" t="s">
        <v>181</v>
      </c>
      <c r="L52" s="16"/>
      <c r="M52" s="16"/>
    </row>
    <row r="53" spans="1:13" ht="36" customHeight="1">
      <c r="H53" s="91"/>
      <c r="I53" s="17"/>
      <c r="J53" s="17"/>
      <c r="K53" s="17" t="s">
        <v>182</v>
      </c>
      <c r="L53" s="17"/>
      <c r="M53" s="17"/>
    </row>
    <row r="54" spans="1:13" ht="15" customHeight="1">
      <c r="H54" s="91"/>
      <c r="I54" s="16"/>
      <c r="J54" s="16"/>
      <c r="K54" s="16"/>
      <c r="L54" s="16"/>
      <c r="M54" s="16"/>
    </row>
    <row r="55" spans="1:13" ht="15" customHeight="1">
      <c r="H55" s="91"/>
      <c r="I55" s="17"/>
      <c r="J55" s="17"/>
      <c r="K55" s="17"/>
      <c r="L55" s="17"/>
      <c r="M55" s="17"/>
    </row>
    <row r="56" spans="1:13" ht="15" customHeight="1">
      <c r="H56" s="91"/>
      <c r="I56" s="16"/>
      <c r="J56" s="16"/>
      <c r="K56" s="16"/>
      <c r="L56" s="16"/>
      <c r="M56" s="16"/>
    </row>
    <row r="57" spans="1:13" ht="15" customHeight="1">
      <c r="H57" s="91"/>
      <c r="I57" s="17"/>
      <c r="J57" s="17"/>
      <c r="K57" s="17"/>
      <c r="L57" s="17"/>
      <c r="M57" s="17"/>
    </row>
    <row r="58" spans="1:13" ht="15" customHeight="1">
      <c r="H58" s="91"/>
      <c r="I58" s="16"/>
      <c r="J58" s="16"/>
      <c r="K58" s="16"/>
      <c r="L58" s="16"/>
      <c r="M58" s="16"/>
    </row>
    <row r="59" spans="1:13" ht="15" customHeight="1">
      <c r="H59" s="91"/>
      <c r="I59" s="17"/>
      <c r="J59" s="17"/>
      <c r="K59" s="17"/>
      <c r="L59" s="17"/>
      <c r="M59" s="17"/>
    </row>
    <row r="60" spans="1:13" ht="15" customHeight="1">
      <c r="H60" s="91"/>
      <c r="I60" s="16"/>
      <c r="J60" s="16"/>
      <c r="K60" s="16"/>
      <c r="L60" s="16"/>
      <c r="M60" s="16"/>
    </row>
    <row r="61" spans="1:13" ht="15" customHeight="1">
      <c r="H61" s="91"/>
      <c r="I61" s="17"/>
      <c r="J61" s="17"/>
      <c r="K61" s="17"/>
      <c r="L61" s="17"/>
      <c r="M61" s="17"/>
    </row>
    <row r="62" spans="1:13" ht="15" customHeight="1">
      <c r="H62" s="91"/>
      <c r="I62" s="16"/>
      <c r="J62" s="16"/>
      <c r="K62" s="16"/>
      <c r="L62" s="16"/>
      <c r="M62" s="16"/>
    </row>
    <row r="63" spans="1:13" ht="15" customHeight="1">
      <c r="H63" s="91"/>
      <c r="I63" s="17"/>
      <c r="J63" s="17"/>
      <c r="K63" s="17"/>
      <c r="L63" s="17"/>
      <c r="M63" s="17"/>
    </row>
    <row r="64" spans="1:13" ht="15" customHeight="1">
      <c r="H64" s="91"/>
      <c r="I64" s="16"/>
      <c r="J64" s="16"/>
      <c r="K64" s="16"/>
      <c r="L64" s="16"/>
      <c r="M64" s="16"/>
    </row>
    <row r="65" spans="8:13" ht="15" customHeight="1">
      <c r="H65" s="91"/>
      <c r="I65" s="17"/>
      <c r="J65" s="17"/>
      <c r="K65" s="17"/>
      <c r="L65" s="17"/>
      <c r="M65" s="17"/>
    </row>
    <row r="66" spans="8:13" ht="15" customHeight="1">
      <c r="H66" s="91"/>
      <c r="I66" s="16"/>
      <c r="J66" s="16"/>
      <c r="K66" s="16"/>
      <c r="L66" s="16"/>
      <c r="M66" s="16"/>
    </row>
    <row r="67" spans="8:13" ht="15" customHeight="1">
      <c r="H67" s="91"/>
      <c r="I67" s="17"/>
      <c r="J67" s="17"/>
      <c r="K67" s="17"/>
      <c r="L67" s="17"/>
      <c r="M67" s="17"/>
    </row>
    <row r="68" spans="8:13" ht="15" customHeight="1">
      <c r="H68" s="91"/>
      <c r="I68" s="16"/>
      <c r="J68" s="16"/>
      <c r="K68" s="16"/>
      <c r="L68" s="16"/>
      <c r="M68" s="16"/>
    </row>
    <row r="69" spans="8:13" ht="15" customHeight="1">
      <c r="H69" s="91"/>
      <c r="I69" s="17"/>
      <c r="J69" s="17"/>
      <c r="K69" s="17"/>
      <c r="L69" s="17"/>
      <c r="M69" s="17"/>
    </row>
    <row r="70" spans="8:13" ht="15" customHeight="1">
      <c r="H70" s="91"/>
      <c r="I70" s="16"/>
      <c r="J70" s="16"/>
      <c r="K70" s="16"/>
      <c r="L70" s="16"/>
      <c r="M70" s="16"/>
    </row>
    <row r="71" spans="8:13" ht="15" customHeight="1">
      <c r="H71" s="91"/>
      <c r="I71" s="17"/>
      <c r="J71" s="17"/>
      <c r="K71" s="17"/>
      <c r="L71" s="17"/>
      <c r="M71" s="17"/>
    </row>
    <row r="72" spans="8:13" ht="15" customHeight="1">
      <c r="H72" s="91"/>
      <c r="I72" s="16"/>
      <c r="J72" s="16"/>
      <c r="K72" s="16"/>
      <c r="L72" s="16"/>
      <c r="M72" s="16"/>
    </row>
    <row r="73" spans="8:13" ht="15" customHeight="1">
      <c r="H73" s="91"/>
      <c r="I73" s="17"/>
      <c r="J73" s="17"/>
      <c r="K73" s="17"/>
      <c r="L73" s="17"/>
      <c r="M73" s="17"/>
    </row>
    <row r="74" spans="8:13" ht="15" customHeight="1">
      <c r="H74" s="91"/>
      <c r="I74" s="16"/>
      <c r="J74" s="16"/>
      <c r="K74" s="16"/>
      <c r="L74" s="16"/>
      <c r="M74" s="16"/>
    </row>
    <row r="75" spans="8:13" ht="15" customHeight="1">
      <c r="H75" s="91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1"/>
  <sheetViews>
    <sheetView showGridLines="0" zoomScale="60" zoomScaleNormal="60" workbookViewId="0">
      <pane ySplit="1" topLeftCell="A66" activePane="bottomLeft" state="frozen"/>
      <selection pane="bottomLeft" activeCell="F84" sqref="F84"/>
    </sheetView>
  </sheetViews>
  <sheetFormatPr defaultColWidth="8.5703125" defaultRowHeight="14.45"/>
  <cols>
    <col min="1" max="1" width="13" style="71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50.42578125" style="20" customWidth="1"/>
    <col min="15" max="15" width="14" customWidth="1"/>
  </cols>
  <sheetData>
    <row r="1" spans="1:15" ht="37.5" customHeight="1">
      <c r="A1" s="68" t="s">
        <v>7</v>
      </c>
      <c r="B1" s="23" t="s">
        <v>183</v>
      </c>
      <c r="C1" s="23" t="s">
        <v>12</v>
      </c>
      <c r="D1" s="22" t="s">
        <v>13</v>
      </c>
      <c r="E1" s="22" t="s">
        <v>184</v>
      </c>
      <c r="F1" s="23" t="s">
        <v>185</v>
      </c>
      <c r="G1" s="23" t="s">
        <v>186</v>
      </c>
      <c r="H1" s="23" t="s">
        <v>14</v>
      </c>
      <c r="I1" s="23" t="s">
        <v>15</v>
      </c>
      <c r="J1" s="23" t="s">
        <v>187</v>
      </c>
      <c r="K1" s="23" t="s">
        <v>188</v>
      </c>
      <c r="L1" s="23" t="s">
        <v>189</v>
      </c>
      <c r="M1" s="24" t="s">
        <v>190</v>
      </c>
      <c r="N1" s="23" t="s">
        <v>191</v>
      </c>
      <c r="O1" s="23" t="s">
        <v>192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20" t="s">
        <v>193</v>
      </c>
      <c r="E2" s="59" t="s">
        <v>194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101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195</v>
      </c>
      <c r="O2" s="31"/>
    </row>
    <row r="3" spans="1:15" ht="15" customHeight="1">
      <c r="A3" s="70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194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135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9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194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70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194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9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194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70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194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9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194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70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194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9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194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70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194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9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194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70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194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81" t="s">
        <v>196</v>
      </c>
      <c r="B14" s="82"/>
      <c r="C14" s="82"/>
      <c r="D14" s="82"/>
      <c r="E14" s="83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197</v>
      </c>
      <c r="O14" s="39">
        <v>1489420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194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194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194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194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194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194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194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194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194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194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194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194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81" t="s">
        <v>198</v>
      </c>
      <c r="B27" s="82"/>
      <c r="C27" s="82"/>
      <c r="D27" s="82"/>
      <c r="E27" s="83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197</v>
      </c>
      <c r="O27" s="39">
        <v>1183060</v>
      </c>
    </row>
    <row r="28" spans="1:15" ht="18" customHeight="1">
      <c r="A28" s="84" t="s">
        <v>199</v>
      </c>
      <c r="B28" s="85"/>
      <c r="C28" s="85"/>
      <c r="D28" s="85"/>
      <c r="E28" s="86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200</v>
      </c>
      <c r="O28" s="43">
        <f>IFERROR(O14+O27,"")</f>
        <v>2672480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194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194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175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201</v>
      </c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194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194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194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194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194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194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194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194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194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194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81" t="s">
        <v>196</v>
      </c>
      <c r="B41" s="82"/>
      <c r="C41" s="82"/>
      <c r="D41" s="82"/>
      <c r="E41" s="83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197</v>
      </c>
      <c r="O41" s="39">
        <v>108620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194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194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194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194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194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194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194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194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194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194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194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194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81" t="s">
        <v>198</v>
      </c>
      <c r="B54" s="82"/>
      <c r="C54" s="82"/>
      <c r="D54" s="82"/>
      <c r="E54" s="83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197</v>
      </c>
      <c r="O54" s="39">
        <v>959290</v>
      </c>
    </row>
    <row r="55" spans="1:15" ht="18" customHeight="1">
      <c r="A55" s="84" t="s">
        <v>199</v>
      </c>
      <c r="B55" s="85"/>
      <c r="C55" s="85"/>
      <c r="D55" s="85"/>
      <c r="E55" s="86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200</v>
      </c>
      <c r="O55" s="43">
        <f>IFERROR(O41+O54,"")</f>
        <v>1067910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194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194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194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194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194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194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194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194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194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194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194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194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81" t="s">
        <v>196</v>
      </c>
      <c r="B68" s="82"/>
      <c r="C68" s="82"/>
      <c r="D68" s="82"/>
      <c r="E68" s="83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197</v>
      </c>
      <c r="O68" s="39">
        <v>1953130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194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172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194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124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202</v>
      </c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194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194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194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194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194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194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194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194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194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194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81" t="s">
        <v>198</v>
      </c>
      <c r="B81" s="82"/>
      <c r="C81" s="82"/>
      <c r="D81" s="82"/>
      <c r="E81" s="83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197</v>
      </c>
      <c r="O81" s="39">
        <v>878050</v>
      </c>
    </row>
    <row r="82" spans="1:15" ht="18" customHeight="1">
      <c r="A82" s="84" t="s">
        <v>199</v>
      </c>
      <c r="B82" s="85"/>
      <c r="C82" s="85"/>
      <c r="D82" s="85"/>
      <c r="E82" s="86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200</v>
      </c>
      <c r="O82" s="43">
        <f>IFERROR(O68+O81,"")</f>
        <v>2831180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194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158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203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194</v>
      </c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194</v>
      </c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194</v>
      </c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194</v>
      </c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194</v>
      </c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194</v>
      </c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194</v>
      </c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194</v>
      </c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194</v>
      </c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194</v>
      </c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194</v>
      </c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81" t="s">
        <v>196</v>
      </c>
      <c r="B95" s="82"/>
      <c r="C95" s="82"/>
      <c r="D95" s="82"/>
      <c r="E95" s="83">
        <f>SUM(E83:E94)</f>
        <v>0</v>
      </c>
      <c r="F95" s="36">
        <f>SUM(F83:F94)</f>
        <v>25</v>
      </c>
      <c r="G95" s="36">
        <f>SUM(G83:G94)</f>
        <v>125</v>
      </c>
      <c r="H95" s="37"/>
      <c r="I95" s="37"/>
      <c r="J95" s="37"/>
      <c r="K95" s="37"/>
      <c r="L95" s="37"/>
      <c r="M95" s="38">
        <f ca="1">IFERROR(SUM(M83:M94),"")</f>
        <v>1.5972222222222221E-2</v>
      </c>
      <c r="N95" s="36" t="s">
        <v>197</v>
      </c>
      <c r="O95" s="39"/>
    </row>
    <row r="96" spans="1:15" ht="15" customHeight="1">
      <c r="A96" s="70">
        <v>46207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81" t="s">
        <v>198</v>
      </c>
      <c r="B108" s="82"/>
      <c r="C108" s="82"/>
      <c r="D108" s="82"/>
      <c r="E108" s="83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197</v>
      </c>
      <c r="O108" s="39"/>
    </row>
    <row r="109" spans="1:15" ht="18" customHeight="1">
      <c r="A109" s="84" t="s">
        <v>199</v>
      </c>
      <c r="B109" s="85"/>
      <c r="C109" s="85"/>
      <c r="D109" s="85"/>
      <c r="E109" s="86">
        <f>E95+E108</f>
        <v>0</v>
      </c>
      <c r="F109" s="40">
        <f>F95+F108</f>
        <v>25</v>
      </c>
      <c r="G109" s="40">
        <f>G95+G108</f>
        <v>125</v>
      </c>
      <c r="H109" s="41"/>
      <c r="I109" s="41"/>
      <c r="J109" s="41"/>
      <c r="K109" s="41"/>
      <c r="L109" s="41"/>
      <c r="M109" s="42">
        <f ca="1">IFERROR(M95+M108,"")</f>
        <v>1.5972222222222221E-2</v>
      </c>
      <c r="N109" s="40" t="s">
        <v>200</v>
      </c>
      <c r="O109" s="43">
        <f>IFERROR(O95+O108,"")</f>
        <v>0</v>
      </c>
    </row>
    <row r="110" spans="1:15" ht="15" customHeight="1">
      <c r="A110" s="69">
        <v>46208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19",F110*5,"")))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81" t="s">
        <v>196</v>
      </c>
      <c r="B122" s="82"/>
      <c r="C122" s="82"/>
      <c r="D122" s="82"/>
      <c r="E122" s="83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197</v>
      </c>
      <c r="O122" s="39"/>
    </row>
    <row r="123" spans="1:15" ht="15" customHeight="1">
      <c r="A123" s="70">
        <v>46208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19",F123*5,"")))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81" t="s">
        <v>198</v>
      </c>
      <c r="B135" s="82"/>
      <c r="C135" s="82"/>
      <c r="D135" s="82"/>
      <c r="E135" s="83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197</v>
      </c>
      <c r="O135" s="39"/>
    </row>
    <row r="136" spans="1:15" ht="18" customHeight="1">
      <c r="A136" s="84" t="s">
        <v>199</v>
      </c>
      <c r="B136" s="85"/>
      <c r="C136" s="85"/>
      <c r="D136" s="85"/>
      <c r="E136" s="86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200</v>
      </c>
      <c r="O136" s="43">
        <f>IFERROR(O122+O135,"")</f>
        <v>0</v>
      </c>
    </row>
    <row r="137" spans="1:15" ht="15" customHeight="1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1" t="s">
        <v>196</v>
      </c>
      <c r="B149" s="82"/>
      <c r="C149" s="82"/>
      <c r="D149" s="82"/>
      <c r="E149" s="83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197</v>
      </c>
      <c r="O149" s="44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81" t="s">
        <v>198</v>
      </c>
      <c r="B162" s="82"/>
      <c r="C162" s="82"/>
      <c r="D162" s="82"/>
      <c r="E162" s="83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197</v>
      </c>
      <c r="O162" s="44"/>
    </row>
    <row r="163" spans="1:15" ht="18" customHeight="1">
      <c r="A163" s="84" t="s">
        <v>199</v>
      </c>
      <c r="B163" s="85"/>
      <c r="C163" s="85"/>
      <c r="D163" s="85"/>
      <c r="E163" s="86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200</v>
      </c>
      <c r="O163" s="4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81" t="s">
        <v>196</v>
      </c>
      <c r="B176" s="82"/>
      <c r="C176" s="82"/>
      <c r="D176" s="82"/>
      <c r="E176" s="83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197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81" t="s">
        <v>198</v>
      </c>
      <c r="B189" s="82"/>
      <c r="C189" s="82"/>
      <c r="D189" s="82"/>
      <c r="E189" s="83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197</v>
      </c>
      <c r="O189" s="39"/>
    </row>
    <row r="190" spans="1:15" ht="18" customHeight="1">
      <c r="A190" s="84" t="s">
        <v>199</v>
      </c>
      <c r="B190" s="85"/>
      <c r="C190" s="85"/>
      <c r="D190" s="85"/>
      <c r="E190" s="86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200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81" t="s">
        <v>196</v>
      </c>
      <c r="B203" s="82"/>
      <c r="C203" s="82"/>
      <c r="D203" s="82"/>
      <c r="E203" s="83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197</v>
      </c>
      <c r="O203" s="45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81" t="s">
        <v>198</v>
      </c>
      <c r="B216" s="82"/>
      <c r="C216" s="82"/>
      <c r="D216" s="82"/>
      <c r="E216" s="83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197</v>
      </c>
      <c r="O216" s="45"/>
    </row>
    <row r="217" spans="1:15" ht="18" customHeight="1">
      <c r="A217" s="84" t="s">
        <v>199</v>
      </c>
      <c r="B217" s="85"/>
      <c r="C217" s="85"/>
      <c r="D217" s="85"/>
      <c r="E217" s="86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200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1" t="s">
        <v>196</v>
      </c>
      <c r="B230" s="82"/>
      <c r="C230" s="82"/>
      <c r="D230" s="82"/>
      <c r="E230" s="83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197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81" t="s">
        <v>198</v>
      </c>
      <c r="B243" s="82"/>
      <c r="C243" s="82"/>
      <c r="D243" s="82"/>
      <c r="E243" s="83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197</v>
      </c>
      <c r="O243" s="39"/>
    </row>
    <row r="244" spans="1:15" ht="18" customHeight="1">
      <c r="A244" s="84" t="s">
        <v>199</v>
      </c>
      <c r="B244" s="85"/>
      <c r="C244" s="85"/>
      <c r="D244" s="85"/>
      <c r="E244" s="86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200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81" t="s">
        <v>196</v>
      </c>
      <c r="B257" s="82"/>
      <c r="C257" s="82"/>
      <c r="D257" s="82"/>
      <c r="E257" s="83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197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81" t="s">
        <v>198</v>
      </c>
      <c r="B270" s="82"/>
      <c r="C270" s="82"/>
      <c r="D270" s="82"/>
      <c r="E270" s="83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197</v>
      </c>
      <c r="O270" s="39"/>
    </row>
    <row r="271" spans="1:15" ht="18" customHeight="1">
      <c r="A271" s="84" t="s">
        <v>199</v>
      </c>
      <c r="B271" s="85"/>
      <c r="C271" s="85"/>
      <c r="D271" s="85"/>
      <c r="E271" s="86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200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81" t="s">
        <v>196</v>
      </c>
      <c r="B284" s="82"/>
      <c r="C284" s="82"/>
      <c r="D284" s="82"/>
      <c r="E284" s="8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197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81" t="s">
        <v>198</v>
      </c>
      <c r="B297" s="82"/>
      <c r="C297" s="82"/>
      <c r="D297" s="82"/>
      <c r="E297" s="8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197</v>
      </c>
      <c r="O297" s="39"/>
    </row>
    <row r="298" spans="1:15" ht="18" customHeight="1">
      <c r="A298" s="84" t="s">
        <v>199</v>
      </c>
      <c r="B298" s="85"/>
      <c r="C298" s="85"/>
      <c r="D298" s="85"/>
      <c r="E298" s="8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200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81" t="s">
        <v>196</v>
      </c>
      <c r="B311" s="82"/>
      <c r="C311" s="82"/>
      <c r="D311" s="82"/>
      <c r="E311" s="8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197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81" t="s">
        <v>198</v>
      </c>
      <c r="B324" s="82"/>
      <c r="C324" s="82"/>
      <c r="D324" s="82"/>
      <c r="E324" s="8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197</v>
      </c>
      <c r="O324" s="39"/>
    </row>
    <row r="325" spans="1:15" ht="18" customHeight="1">
      <c r="A325" s="84" t="s">
        <v>199</v>
      </c>
      <c r="B325" s="85"/>
      <c r="C325" s="85"/>
      <c r="D325" s="85"/>
      <c r="E325" s="8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200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81" t="s">
        <v>196</v>
      </c>
      <c r="B338" s="82"/>
      <c r="C338" s="82"/>
      <c r="D338" s="82"/>
      <c r="E338" s="8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197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81" t="s">
        <v>198</v>
      </c>
      <c r="B351" s="82"/>
      <c r="C351" s="82"/>
      <c r="D351" s="82"/>
      <c r="E351" s="8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197</v>
      </c>
      <c r="O351" s="39"/>
    </row>
    <row r="352" spans="1:15" ht="18" customHeight="1">
      <c r="A352" s="84" t="s">
        <v>199</v>
      </c>
      <c r="B352" s="85"/>
      <c r="C352" s="85"/>
      <c r="D352" s="85"/>
      <c r="E352" s="8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200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81" t="s">
        <v>196</v>
      </c>
      <c r="B365" s="82"/>
      <c r="C365" s="82"/>
      <c r="D365" s="82"/>
      <c r="E365" s="8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197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81" t="s">
        <v>198</v>
      </c>
      <c r="B378" s="82"/>
      <c r="C378" s="82"/>
      <c r="D378" s="82"/>
      <c r="E378" s="8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197</v>
      </c>
      <c r="O378" s="39"/>
    </row>
    <row r="379" spans="1:15" ht="18" customHeight="1">
      <c r="A379" s="84" t="s">
        <v>199</v>
      </c>
      <c r="B379" s="85"/>
      <c r="C379" s="85"/>
      <c r="D379" s="85"/>
      <c r="E379" s="8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200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81" t="s">
        <v>196</v>
      </c>
      <c r="B392" s="82"/>
      <c r="C392" s="82"/>
      <c r="D392" s="82"/>
      <c r="E392" s="8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197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81" t="s">
        <v>198</v>
      </c>
      <c r="B405" s="82"/>
      <c r="C405" s="82"/>
      <c r="D405" s="82"/>
      <c r="E405" s="8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197</v>
      </c>
      <c r="O405" s="39"/>
    </row>
    <row r="406" spans="1:15" ht="18" customHeight="1">
      <c r="A406" s="84" t="s">
        <v>199</v>
      </c>
      <c r="B406" s="85"/>
      <c r="C406" s="85"/>
      <c r="D406" s="85"/>
      <c r="E406" s="8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200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81" t="s">
        <v>196</v>
      </c>
      <c r="B419" s="82"/>
      <c r="C419" s="82"/>
      <c r="D419" s="82"/>
      <c r="E419" s="8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197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1" t="s">
        <v>198</v>
      </c>
      <c r="B432" s="82"/>
      <c r="C432" s="82"/>
      <c r="D432" s="82"/>
      <c r="E432" s="8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197</v>
      </c>
      <c r="O432" s="39"/>
    </row>
    <row r="433" spans="1:15" ht="18" customHeight="1">
      <c r="A433" s="84" t="s">
        <v>199</v>
      </c>
      <c r="B433" s="85"/>
      <c r="C433" s="85"/>
      <c r="D433" s="85"/>
      <c r="E433" s="8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200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81" t="s">
        <v>196</v>
      </c>
      <c r="B446" s="82"/>
      <c r="C446" s="82"/>
      <c r="D446" s="82"/>
      <c r="E446" s="8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197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81" t="s">
        <v>198</v>
      </c>
      <c r="B459" s="82"/>
      <c r="C459" s="82"/>
      <c r="D459" s="82"/>
      <c r="E459" s="8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197</v>
      </c>
      <c r="O459" s="39"/>
    </row>
    <row r="460" spans="1:15" ht="18" customHeight="1">
      <c r="A460" s="84" t="s">
        <v>199</v>
      </c>
      <c r="B460" s="85"/>
      <c r="C460" s="85"/>
      <c r="D460" s="85"/>
      <c r="E460" s="8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200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81" t="s">
        <v>196</v>
      </c>
      <c r="B473" s="82"/>
      <c r="C473" s="82"/>
      <c r="D473" s="82"/>
      <c r="E473" s="8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197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81" t="s">
        <v>198</v>
      </c>
      <c r="B486" s="82"/>
      <c r="C486" s="82"/>
      <c r="D486" s="82"/>
      <c r="E486" s="8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197</v>
      </c>
      <c r="O486" s="39"/>
    </row>
    <row r="487" spans="1:15" ht="18" customHeight="1">
      <c r="A487" s="84" t="s">
        <v>199</v>
      </c>
      <c r="B487" s="85"/>
      <c r="C487" s="85"/>
      <c r="D487" s="85"/>
      <c r="E487" s="8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200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81" t="s">
        <v>196</v>
      </c>
      <c r="B500" s="82"/>
      <c r="C500" s="82"/>
      <c r="D500" s="82"/>
      <c r="E500" s="8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197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1" t="s">
        <v>198</v>
      </c>
      <c r="B513" s="82"/>
      <c r="C513" s="82"/>
      <c r="D513" s="82"/>
      <c r="E513" s="8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197</v>
      </c>
      <c r="O513" s="39"/>
    </row>
    <row r="514" spans="1:15" ht="18" customHeight="1">
      <c r="A514" s="84" t="s">
        <v>199</v>
      </c>
      <c r="B514" s="85"/>
      <c r="C514" s="85"/>
      <c r="D514" s="85"/>
      <c r="E514" s="8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200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81" t="s">
        <v>196</v>
      </c>
      <c r="B527" s="82"/>
      <c r="C527" s="82"/>
      <c r="D527" s="82"/>
      <c r="E527" s="8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197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81" t="s">
        <v>198</v>
      </c>
      <c r="B540" s="82"/>
      <c r="C540" s="82"/>
      <c r="D540" s="82"/>
      <c r="E540" s="8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197</v>
      </c>
      <c r="O540" s="39"/>
    </row>
    <row r="541" spans="1:15" ht="18" customHeight="1">
      <c r="A541" s="84" t="s">
        <v>199</v>
      </c>
      <c r="B541" s="85"/>
      <c r="C541" s="85"/>
      <c r="D541" s="85"/>
      <c r="E541" s="8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200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81" t="s">
        <v>196</v>
      </c>
      <c r="B554" s="82"/>
      <c r="C554" s="82"/>
      <c r="D554" s="82"/>
      <c r="E554" s="8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197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81" t="s">
        <v>198</v>
      </c>
      <c r="B567" s="82"/>
      <c r="C567" s="82"/>
      <c r="D567" s="82"/>
      <c r="E567" s="8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197</v>
      </c>
      <c r="O567" s="39"/>
    </row>
    <row r="568" spans="1:15" ht="18" customHeight="1">
      <c r="A568" s="84" t="s">
        <v>199</v>
      </c>
      <c r="B568" s="85"/>
      <c r="C568" s="85"/>
      <c r="D568" s="85"/>
      <c r="E568" s="8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200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81" t="s">
        <v>196</v>
      </c>
      <c r="B581" s="82"/>
      <c r="C581" s="82"/>
      <c r="D581" s="82"/>
      <c r="E581" s="8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197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81" t="s">
        <v>198</v>
      </c>
      <c r="B594" s="82"/>
      <c r="C594" s="82"/>
      <c r="D594" s="82"/>
      <c r="E594" s="8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197</v>
      </c>
      <c r="O594" s="39"/>
    </row>
    <row r="595" spans="1:15" ht="18" customHeight="1">
      <c r="A595" s="84" t="s">
        <v>199</v>
      </c>
      <c r="B595" s="85"/>
      <c r="C595" s="85"/>
      <c r="D595" s="85"/>
      <c r="E595" s="8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200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81" t="s">
        <v>196</v>
      </c>
      <c r="B608" s="82"/>
      <c r="C608" s="82"/>
      <c r="D608" s="82"/>
      <c r="E608" s="8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197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81" t="s">
        <v>198</v>
      </c>
      <c r="B621" s="82"/>
      <c r="C621" s="82"/>
      <c r="D621" s="82"/>
      <c r="E621" s="8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197</v>
      </c>
      <c r="O621" s="39"/>
    </row>
    <row r="622" spans="1:15" ht="18" customHeight="1">
      <c r="A622" s="84" t="s">
        <v>199</v>
      </c>
      <c r="B622" s="85"/>
      <c r="C622" s="85"/>
      <c r="D622" s="85"/>
      <c r="E622" s="8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200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81" t="s">
        <v>196</v>
      </c>
      <c r="B635" s="82"/>
      <c r="C635" s="82"/>
      <c r="D635" s="82"/>
      <c r="E635" s="8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197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81" t="s">
        <v>198</v>
      </c>
      <c r="B648" s="82"/>
      <c r="C648" s="82"/>
      <c r="D648" s="82"/>
      <c r="E648" s="8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197</v>
      </c>
      <c r="O648" s="39"/>
    </row>
    <row r="649" spans="1:15" ht="18" customHeight="1">
      <c r="A649" s="84" t="s">
        <v>199</v>
      </c>
      <c r="B649" s="85"/>
      <c r="C649" s="85"/>
      <c r="D649" s="85"/>
      <c r="E649" s="8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200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81" t="s">
        <v>196</v>
      </c>
      <c r="B662" s="82"/>
      <c r="C662" s="82"/>
      <c r="D662" s="82"/>
      <c r="E662" s="8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197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81" t="s">
        <v>198</v>
      </c>
      <c r="B675" s="82"/>
      <c r="C675" s="82"/>
      <c r="D675" s="82"/>
      <c r="E675" s="8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197</v>
      </c>
      <c r="O675" s="39"/>
    </row>
    <row r="676" spans="1:15" ht="18" customHeight="1">
      <c r="A676" s="84" t="s">
        <v>199</v>
      </c>
      <c r="B676" s="85"/>
      <c r="C676" s="85"/>
      <c r="D676" s="85"/>
      <c r="E676" s="8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200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81" t="s">
        <v>196</v>
      </c>
      <c r="B689" s="82"/>
      <c r="C689" s="82"/>
      <c r="D689" s="82"/>
      <c r="E689" s="8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197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81" t="s">
        <v>198</v>
      </c>
      <c r="B702" s="82"/>
      <c r="C702" s="82"/>
      <c r="D702" s="82"/>
      <c r="E702" s="8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197</v>
      </c>
      <c r="O702" s="39"/>
    </row>
    <row r="703" spans="1:15" ht="18" customHeight="1">
      <c r="A703" s="84" t="s">
        <v>199</v>
      </c>
      <c r="B703" s="85"/>
      <c r="C703" s="85"/>
      <c r="D703" s="85"/>
      <c r="E703" s="8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200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81" t="s">
        <v>196</v>
      </c>
      <c r="B716" s="82"/>
      <c r="C716" s="82"/>
      <c r="D716" s="82"/>
      <c r="E716" s="8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197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81" t="s">
        <v>198</v>
      </c>
      <c r="B729" s="82"/>
      <c r="C729" s="82"/>
      <c r="D729" s="82"/>
      <c r="E729" s="8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197</v>
      </c>
      <c r="O729" s="39"/>
    </row>
    <row r="730" spans="1:15" ht="18" customHeight="1">
      <c r="A730" s="84" t="s">
        <v>199</v>
      </c>
      <c r="B730" s="85"/>
      <c r="C730" s="85"/>
      <c r="D730" s="85"/>
      <c r="E730" s="8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200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81" t="s">
        <v>196</v>
      </c>
      <c r="B743" s="82"/>
      <c r="C743" s="82"/>
      <c r="D743" s="82"/>
      <c r="E743" s="8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197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81" t="s">
        <v>198</v>
      </c>
      <c r="B756" s="82"/>
      <c r="C756" s="82"/>
      <c r="D756" s="82"/>
      <c r="E756" s="8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197</v>
      </c>
      <c r="O756" s="39"/>
    </row>
    <row r="757" spans="1:15" ht="18" customHeight="1">
      <c r="A757" s="84" t="s">
        <v>199</v>
      </c>
      <c r="B757" s="85"/>
      <c r="C757" s="85"/>
      <c r="D757" s="85"/>
      <c r="E757" s="8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200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81" t="s">
        <v>196</v>
      </c>
      <c r="B770" s="82"/>
      <c r="C770" s="82"/>
      <c r="D770" s="82"/>
      <c r="E770" s="8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197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81" t="s">
        <v>198</v>
      </c>
      <c r="B783" s="82"/>
      <c r="C783" s="82"/>
      <c r="D783" s="82"/>
      <c r="E783" s="8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197</v>
      </c>
      <c r="O783" s="39"/>
    </row>
    <row r="784" spans="1:15" ht="18" customHeight="1">
      <c r="A784" s="84" t="s">
        <v>199</v>
      </c>
      <c r="B784" s="85"/>
      <c r="C784" s="85"/>
      <c r="D784" s="85"/>
      <c r="E784" s="8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200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81" t="s">
        <v>196</v>
      </c>
      <c r="B797" s="82"/>
      <c r="C797" s="82"/>
      <c r="D797" s="82"/>
      <c r="E797" s="8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197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81" t="s">
        <v>198</v>
      </c>
      <c r="B810" s="82"/>
      <c r="C810" s="82"/>
      <c r="D810" s="82"/>
      <c r="E810" s="8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197</v>
      </c>
      <c r="O810" s="39"/>
    </row>
    <row r="811" spans="1:15" ht="18" customHeight="1">
      <c r="A811" s="84" t="s">
        <v>199</v>
      </c>
      <c r="B811" s="85"/>
      <c r="C811" s="85"/>
      <c r="D811" s="85"/>
      <c r="E811" s="8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200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8:E298"/>
    <mergeCell ref="A311:E311"/>
    <mergeCell ref="A324:E324"/>
    <mergeCell ref="A325:E325"/>
    <mergeCell ref="A338:E338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9:E811 E2:E13 E15:E26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68" activePane="bottomLeft" state="frozen"/>
      <selection pane="bottomLeft" activeCell="E89" sqref="E89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75.140625" style="20" customWidth="1"/>
    <col min="15" max="15" width="20" customWidth="1"/>
  </cols>
  <sheetData>
    <row r="1" spans="1:15" ht="37.5" customHeight="1">
      <c r="A1" s="68" t="s">
        <v>7</v>
      </c>
      <c r="B1" s="23" t="s">
        <v>183</v>
      </c>
      <c r="C1" s="23" t="s">
        <v>12</v>
      </c>
      <c r="D1" s="22" t="s">
        <v>13</v>
      </c>
      <c r="E1" s="22" t="s">
        <v>184</v>
      </c>
      <c r="F1" s="23" t="s">
        <v>185</v>
      </c>
      <c r="G1" s="23" t="s">
        <v>186</v>
      </c>
      <c r="H1" s="23" t="s">
        <v>14</v>
      </c>
      <c r="I1" s="23" t="s">
        <v>15</v>
      </c>
      <c r="J1" s="23" t="s">
        <v>187</v>
      </c>
      <c r="K1" s="23" t="s">
        <v>188</v>
      </c>
      <c r="L1" s="23" t="s">
        <v>189</v>
      </c>
      <c r="M1" s="24" t="s">
        <v>190</v>
      </c>
      <c r="N1" s="23" t="s">
        <v>191</v>
      </c>
      <c r="O1" s="23" t="s">
        <v>192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204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169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204</v>
      </c>
      <c r="F3" s="27">
        <v>10</v>
      </c>
      <c r="G3" s="34">
        <f t="shared" si="0"/>
        <v>42</v>
      </c>
      <c r="H3" s="33" t="s">
        <v>19</v>
      </c>
      <c r="I3" s="33" t="s">
        <v>149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204</v>
      </c>
      <c r="F4" s="27">
        <v>8</v>
      </c>
      <c r="G4" s="28">
        <f t="shared" si="0"/>
        <v>33.6</v>
      </c>
      <c r="H4" s="26" t="s">
        <v>19</v>
      </c>
      <c r="I4" s="26" t="s">
        <v>149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204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204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204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204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204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204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204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204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204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81" t="s">
        <v>196</v>
      </c>
      <c r="B14" s="82"/>
      <c r="C14" s="82"/>
      <c r="D14" s="82"/>
      <c r="E14" s="83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197</v>
      </c>
      <c r="O14" s="78">
        <v>627260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204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149</v>
      </c>
      <c r="J15" s="33" t="s">
        <v>156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204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204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204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204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204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204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204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204</v>
      </c>
      <c r="F23" s="77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204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204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204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81" t="s">
        <v>198</v>
      </c>
      <c r="B27" s="82"/>
      <c r="C27" s="82"/>
      <c r="D27" s="82"/>
      <c r="E27" s="83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197</v>
      </c>
      <c r="O27" s="78">
        <v>393200</v>
      </c>
    </row>
    <row r="28" spans="1:15" ht="18" customHeight="1">
      <c r="A28" s="84" t="s">
        <v>199</v>
      </c>
      <c r="B28" s="85"/>
      <c r="C28" s="85"/>
      <c r="D28" s="85"/>
      <c r="E28" s="86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200</v>
      </c>
      <c r="O28" s="95">
        <f>O14+O27</f>
        <v>1020460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204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80">
        <f t="shared" ref="M29:M40" ca="1" si="7">IFERROR(IF(K29="","",IF(L29="",MOD(NOW()-K29,1),IF(L29&gt;=K29,L29-K29,L29+1-K29))),"")</f>
        <v>7.1527777777777746E-2</v>
      </c>
      <c r="N29" s="46" t="s">
        <v>205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204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180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204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157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204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204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204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204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204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204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204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204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204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81" t="s">
        <v>196</v>
      </c>
      <c r="B41" s="82"/>
      <c r="C41" s="82"/>
      <c r="D41" s="82"/>
      <c r="E41" s="83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197</v>
      </c>
      <c r="O41" s="97">
        <v>351740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204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9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204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70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204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96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206</v>
      </c>
      <c r="O44" s="31"/>
    </row>
    <row r="45" spans="1:15" ht="15" customHeight="1">
      <c r="A45" s="69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204</v>
      </c>
      <c r="F45" s="27">
        <v>0</v>
      </c>
      <c r="G45" s="28">
        <f t="shared" si="9"/>
        <v>0</v>
      </c>
      <c r="H45" s="33" t="s">
        <v>20</v>
      </c>
      <c r="I45" s="33" t="s">
        <v>149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70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204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9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204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70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204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9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204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70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204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9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204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70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204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9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204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81" t="s">
        <v>198</v>
      </c>
      <c r="B54" s="82"/>
      <c r="C54" s="82"/>
      <c r="D54" s="82"/>
      <c r="E54" s="83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197</v>
      </c>
      <c r="O54" s="97">
        <v>276360</v>
      </c>
    </row>
    <row r="55" spans="1:15" ht="18" customHeight="1">
      <c r="A55" s="84" t="s">
        <v>199</v>
      </c>
      <c r="B55" s="85"/>
      <c r="C55" s="85"/>
      <c r="D55" s="85"/>
      <c r="E55" s="86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200</v>
      </c>
      <c r="O55" s="95">
        <f>IFERROR(O41+O54,"")</f>
        <v>628100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96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94"/>
      <c r="K57" s="29"/>
      <c r="L57" s="29"/>
      <c r="M57" s="30"/>
      <c r="N57" s="46" t="s">
        <v>207</v>
      </c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93"/>
      <c r="J58" s="26"/>
      <c r="K58" s="29"/>
      <c r="L58" s="29"/>
      <c r="M58" s="35"/>
      <c r="N58" s="46" t="s">
        <v>208</v>
      </c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81" t="s">
        <v>196</v>
      </c>
      <c r="B68" s="82"/>
      <c r="C68" s="82"/>
      <c r="D68" s="82"/>
      <c r="E68" s="83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197</v>
      </c>
      <c r="O68" s="54">
        <v>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204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204</v>
      </c>
      <c r="F70" s="27">
        <v>18</v>
      </c>
      <c r="G70" s="28">
        <f t="shared" si="15"/>
        <v>75.600000000000009</v>
      </c>
      <c r="H70" s="26" t="s">
        <v>19</v>
      </c>
      <c r="I70" s="26" t="s">
        <v>149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204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204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204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204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204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204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204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204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204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204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81" t="s">
        <v>198</v>
      </c>
      <c r="B81" s="82"/>
      <c r="C81" s="82"/>
      <c r="D81" s="82"/>
      <c r="E81" s="83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197</v>
      </c>
      <c r="O81" s="54">
        <v>787860</v>
      </c>
    </row>
    <row r="82" spans="1:15" ht="18" customHeight="1">
      <c r="A82" s="84" t="s">
        <v>199</v>
      </c>
      <c r="B82" s="85"/>
      <c r="C82" s="85"/>
      <c r="D82" s="85"/>
      <c r="E82" s="86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200</v>
      </c>
      <c r="O82" s="95">
        <f>IFERROR(O68+O81,"")</f>
        <v>787860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20" t="s">
        <v>22</v>
      </c>
      <c r="E83" s="59" t="s">
        <v>204</v>
      </c>
      <c r="F83" s="27">
        <v>18</v>
      </c>
      <c r="G83" s="28">
        <f t="shared" ref="G83:G94" si="18">IF(F83="","",IF(E83="PC 17",F83*4.2,IF(E83="PC 19",F83*5,"")))</f>
        <v>75.600000000000009</v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46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204</v>
      </c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46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204</v>
      </c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46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204</v>
      </c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204</v>
      </c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204</v>
      </c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204</v>
      </c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81" t="s">
        <v>196</v>
      </c>
      <c r="B95" s="82"/>
      <c r="C95" s="82"/>
      <c r="D95" s="82"/>
      <c r="E95" s="83">
        <f>SUM(E83:E94)</f>
        <v>0</v>
      </c>
      <c r="F95" s="36">
        <f>SUM(F83:F94)</f>
        <v>18</v>
      </c>
      <c r="G95" s="36">
        <f>SUM(G83:G94)</f>
        <v>75.600000000000009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197</v>
      </c>
      <c r="O95" s="54"/>
    </row>
    <row r="96" spans="1:15" ht="15" customHeight="1">
      <c r="A96" s="70">
        <v>46207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46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46"/>
      <c r="O97" s="31"/>
    </row>
    <row r="98" spans="1:15" ht="15" customHeight="1">
      <c r="A98" s="70">
        <v>46207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46"/>
      <c r="O98" s="31"/>
    </row>
    <row r="99" spans="1:15" ht="15" customHeight="1">
      <c r="A99" s="69">
        <v>46207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70">
        <v>46207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81" t="s">
        <v>198</v>
      </c>
      <c r="B108" s="82"/>
      <c r="C108" s="82"/>
      <c r="D108" s="82"/>
      <c r="E108" s="83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197</v>
      </c>
      <c r="O108" s="54"/>
    </row>
    <row r="109" spans="1:15" ht="18" customHeight="1">
      <c r="A109" s="84" t="s">
        <v>199</v>
      </c>
      <c r="B109" s="85"/>
      <c r="C109" s="85"/>
      <c r="D109" s="85"/>
      <c r="E109" s="86">
        <f>E95+E108</f>
        <v>0</v>
      </c>
      <c r="F109" s="40">
        <f>F95+F108</f>
        <v>18</v>
      </c>
      <c r="G109" s="40">
        <f>G95+G108</f>
        <v>75.600000000000009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200</v>
      </c>
      <c r="O109" s="95">
        <f>IFERROR(O95+O108,"")</f>
        <v>0</v>
      </c>
    </row>
    <row r="110" spans="1:15" ht="15" customHeight="1">
      <c r="A110" s="69">
        <v>46208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19",F110*5,"")))</f>
        <v/>
      </c>
      <c r="H110" s="26"/>
      <c r="I110" s="26"/>
      <c r="J110" s="26"/>
      <c r="K110" s="29"/>
      <c r="L110" s="29"/>
      <c r="M110" s="35" t="str">
        <f t="shared" ref="M110:M121" ca="1" si="25">IFERROR(IF(K110="","",IF(L110="",MOD(NOW()-K110,1),IF(L110&gt;=K110,L110-K110,L110+1-K110))),"")</f>
        <v/>
      </c>
      <c r="N110" s="46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0" t="str">
        <f t="shared" ca="1" si="25"/>
        <v/>
      </c>
      <c r="N111" s="46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81" t="s">
        <v>196</v>
      </c>
      <c r="B122" s="82"/>
      <c r="C122" s="82"/>
      <c r="D122" s="82"/>
      <c r="E122" s="83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197</v>
      </c>
      <c r="O122" s="54"/>
    </row>
    <row r="123" spans="1:15" ht="15" customHeight="1">
      <c r="A123" s="70">
        <v>46208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19",F123*5,"")))</f>
        <v/>
      </c>
      <c r="H123" s="33"/>
      <c r="I123" s="33"/>
      <c r="J123" s="33"/>
      <c r="K123" s="29"/>
      <c r="L123" s="29"/>
      <c r="M123" s="30" t="str">
        <f t="shared" ref="M123:M134" ca="1" si="28">IFERROR(IF(K123="","",IF(L123="",MOD(NOW()-K123,1),IF(L123&gt;=K123,L123-K123,L123+1-K123))),"")</f>
        <v/>
      </c>
      <c r="N123" s="46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5" t="str">
        <f t="shared" ca="1" si="28"/>
        <v/>
      </c>
      <c r="N124" s="46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0" t="str">
        <f t="shared" ca="1" si="28"/>
        <v/>
      </c>
      <c r="N125" s="46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5" t="str">
        <f t="shared" ca="1" si="28"/>
        <v/>
      </c>
      <c r="N126" s="46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0" t="str">
        <f t="shared" ca="1" si="28"/>
        <v/>
      </c>
      <c r="N127" s="46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5" t="str">
        <f t="shared" ca="1" si="28"/>
        <v/>
      </c>
      <c r="N128" s="46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0" t="str">
        <f t="shared" ca="1" si="28"/>
        <v/>
      </c>
      <c r="N129" s="46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5" t="str">
        <f t="shared" ca="1" si="28"/>
        <v/>
      </c>
      <c r="N130" s="46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70">
        <v>46208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81" t="s">
        <v>198</v>
      </c>
      <c r="B135" s="82"/>
      <c r="C135" s="82"/>
      <c r="D135" s="82"/>
      <c r="E135" s="83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197</v>
      </c>
      <c r="O135" s="54"/>
    </row>
    <row r="136" spans="1:15" ht="18" customHeight="1">
      <c r="A136" s="84" t="s">
        <v>199</v>
      </c>
      <c r="B136" s="85"/>
      <c r="C136" s="85"/>
      <c r="D136" s="85"/>
      <c r="E136" s="86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200</v>
      </c>
      <c r="O136" s="95">
        <f>IFERROR(O122+O135,"")</f>
        <v>0</v>
      </c>
    </row>
    <row r="137" spans="1:15" ht="15" customHeight="1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46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46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46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46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81" t="s">
        <v>196</v>
      </c>
      <c r="B149" s="82"/>
      <c r="C149" s="82"/>
      <c r="D149" s="82"/>
      <c r="E149" s="83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197</v>
      </c>
      <c r="O149" s="54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46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46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46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81" t="s">
        <v>198</v>
      </c>
      <c r="B162" s="82"/>
      <c r="C162" s="82"/>
      <c r="D162" s="82"/>
      <c r="E162" s="83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197</v>
      </c>
      <c r="O162" s="54"/>
    </row>
    <row r="163" spans="1:15" ht="18" customHeight="1">
      <c r="A163" s="84" t="s">
        <v>199</v>
      </c>
      <c r="B163" s="85"/>
      <c r="C163" s="85"/>
      <c r="D163" s="85"/>
      <c r="E163" s="86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200</v>
      </c>
      <c r="O163" s="95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46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81" t="s">
        <v>196</v>
      </c>
      <c r="B176" s="82"/>
      <c r="C176" s="82"/>
      <c r="D176" s="82"/>
      <c r="E176" s="83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197</v>
      </c>
      <c r="O176" s="78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46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81" t="s">
        <v>198</v>
      </c>
      <c r="B189" s="82"/>
      <c r="C189" s="82"/>
      <c r="D189" s="82"/>
      <c r="E189" s="83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197</v>
      </c>
      <c r="O189" s="78"/>
    </row>
    <row r="190" spans="1:15" ht="18" customHeight="1">
      <c r="A190" s="84" t="s">
        <v>199</v>
      </c>
      <c r="B190" s="85"/>
      <c r="C190" s="85"/>
      <c r="D190" s="85"/>
      <c r="E190" s="86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200</v>
      </c>
      <c r="O190" s="95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46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81" t="s">
        <v>196</v>
      </c>
      <c r="B203" s="82"/>
      <c r="C203" s="82"/>
      <c r="D203" s="82"/>
      <c r="E203" s="83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197</v>
      </c>
      <c r="O203" s="78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81" t="s">
        <v>198</v>
      </c>
      <c r="B216" s="82"/>
      <c r="C216" s="82"/>
      <c r="D216" s="82"/>
      <c r="E216" s="83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197</v>
      </c>
      <c r="O216" s="78"/>
    </row>
    <row r="217" spans="1:15" ht="18" customHeight="1">
      <c r="A217" s="84" t="s">
        <v>199</v>
      </c>
      <c r="B217" s="85"/>
      <c r="C217" s="85"/>
      <c r="D217" s="85"/>
      <c r="E217" s="86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200</v>
      </c>
      <c r="O217" s="96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1" t="s">
        <v>196</v>
      </c>
      <c r="B230" s="82"/>
      <c r="C230" s="82"/>
      <c r="D230" s="82"/>
      <c r="E230" s="83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197</v>
      </c>
      <c r="O230" s="78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81" t="s">
        <v>198</v>
      </c>
      <c r="B243" s="82"/>
      <c r="C243" s="82"/>
      <c r="D243" s="82"/>
      <c r="E243" s="83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197</v>
      </c>
      <c r="O243" s="78"/>
    </row>
    <row r="244" spans="1:15" ht="18" customHeight="1">
      <c r="A244" s="84" t="s">
        <v>199</v>
      </c>
      <c r="B244" s="85"/>
      <c r="C244" s="85"/>
      <c r="D244" s="85"/>
      <c r="E244" s="86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200</v>
      </c>
      <c r="O244" s="96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81" t="s">
        <v>196</v>
      </c>
      <c r="B257" s="82"/>
      <c r="C257" s="82"/>
      <c r="D257" s="82"/>
      <c r="E257" s="83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197</v>
      </c>
      <c r="O257" s="78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81" t="s">
        <v>198</v>
      </c>
      <c r="B270" s="82"/>
      <c r="C270" s="82"/>
      <c r="D270" s="82"/>
      <c r="E270" s="83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197</v>
      </c>
      <c r="O270" s="78"/>
    </row>
    <row r="271" spans="1:15" ht="18" customHeight="1">
      <c r="A271" s="84" t="s">
        <v>199</v>
      </c>
      <c r="B271" s="85"/>
      <c r="C271" s="85"/>
      <c r="D271" s="85"/>
      <c r="E271" s="86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200</v>
      </c>
      <c r="O271" s="96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81" t="s">
        <v>196</v>
      </c>
      <c r="B284" s="82"/>
      <c r="C284" s="82"/>
      <c r="D284" s="82"/>
      <c r="E284" s="8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197</v>
      </c>
      <c r="O284" s="78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81" t="s">
        <v>198</v>
      </c>
      <c r="B297" s="82"/>
      <c r="C297" s="82"/>
      <c r="D297" s="82"/>
      <c r="E297" s="8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197</v>
      </c>
      <c r="O297" s="78"/>
    </row>
    <row r="298" spans="1:15" ht="18" customHeight="1">
      <c r="A298" s="84" t="s">
        <v>199</v>
      </c>
      <c r="B298" s="85"/>
      <c r="C298" s="85"/>
      <c r="D298" s="85"/>
      <c r="E298" s="8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200</v>
      </c>
      <c r="O298" s="96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81" t="s">
        <v>196</v>
      </c>
      <c r="B311" s="82"/>
      <c r="C311" s="82"/>
      <c r="D311" s="82"/>
      <c r="E311" s="8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197</v>
      </c>
      <c r="O311" s="78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81" t="s">
        <v>198</v>
      </c>
      <c r="B324" s="82"/>
      <c r="C324" s="82"/>
      <c r="D324" s="82"/>
      <c r="E324" s="8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197</v>
      </c>
      <c r="O324" s="78"/>
    </row>
    <row r="325" spans="1:15" ht="18" customHeight="1">
      <c r="A325" s="84" t="s">
        <v>199</v>
      </c>
      <c r="B325" s="85"/>
      <c r="C325" s="85"/>
      <c r="D325" s="85"/>
      <c r="E325" s="8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200</v>
      </c>
      <c r="O325" s="96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81" t="s">
        <v>196</v>
      </c>
      <c r="B338" s="82"/>
      <c r="C338" s="82"/>
      <c r="D338" s="82"/>
      <c r="E338" s="8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197</v>
      </c>
      <c r="O338" s="78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81" t="s">
        <v>198</v>
      </c>
      <c r="B351" s="82"/>
      <c r="C351" s="82"/>
      <c r="D351" s="82"/>
      <c r="E351" s="8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197</v>
      </c>
      <c r="O351" s="78"/>
    </row>
    <row r="352" spans="1:15" ht="18" customHeight="1">
      <c r="A352" s="84" t="s">
        <v>199</v>
      </c>
      <c r="B352" s="85"/>
      <c r="C352" s="85"/>
      <c r="D352" s="85"/>
      <c r="E352" s="8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200</v>
      </c>
      <c r="O352" s="96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81" t="s">
        <v>196</v>
      </c>
      <c r="B365" s="82"/>
      <c r="C365" s="82"/>
      <c r="D365" s="82"/>
      <c r="E365" s="8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197</v>
      </c>
      <c r="O365" s="78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81" t="s">
        <v>198</v>
      </c>
      <c r="B378" s="82"/>
      <c r="C378" s="82"/>
      <c r="D378" s="82"/>
      <c r="E378" s="8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197</v>
      </c>
      <c r="O378" s="78"/>
    </row>
    <row r="379" spans="1:15" ht="18" customHeight="1">
      <c r="A379" s="84" t="s">
        <v>199</v>
      </c>
      <c r="B379" s="85"/>
      <c r="C379" s="85"/>
      <c r="D379" s="85"/>
      <c r="E379" s="8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200</v>
      </c>
      <c r="O379" s="96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81" t="s">
        <v>196</v>
      </c>
      <c r="B392" s="82"/>
      <c r="C392" s="82"/>
      <c r="D392" s="82"/>
      <c r="E392" s="8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197</v>
      </c>
      <c r="O392" s="78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81" t="s">
        <v>198</v>
      </c>
      <c r="B405" s="82"/>
      <c r="C405" s="82"/>
      <c r="D405" s="82"/>
      <c r="E405" s="8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197</v>
      </c>
      <c r="O405" s="78"/>
    </row>
    <row r="406" spans="1:15" ht="18" customHeight="1">
      <c r="A406" s="84" t="s">
        <v>199</v>
      </c>
      <c r="B406" s="85"/>
      <c r="C406" s="85"/>
      <c r="D406" s="85"/>
      <c r="E406" s="8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200</v>
      </c>
      <c r="O406" s="96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81" t="s">
        <v>196</v>
      </c>
      <c r="B419" s="82"/>
      <c r="C419" s="82"/>
      <c r="D419" s="82"/>
      <c r="E419" s="8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197</v>
      </c>
      <c r="O419" s="78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1" t="s">
        <v>198</v>
      </c>
      <c r="B432" s="82"/>
      <c r="C432" s="82"/>
      <c r="D432" s="82"/>
      <c r="E432" s="8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197</v>
      </c>
      <c r="O432" s="78"/>
    </row>
    <row r="433" spans="1:15" ht="18" customHeight="1">
      <c r="A433" s="84" t="s">
        <v>199</v>
      </c>
      <c r="B433" s="85"/>
      <c r="C433" s="85"/>
      <c r="D433" s="85"/>
      <c r="E433" s="8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200</v>
      </c>
      <c r="O433" s="96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81" t="s">
        <v>196</v>
      </c>
      <c r="B446" s="82"/>
      <c r="C446" s="82"/>
      <c r="D446" s="82"/>
      <c r="E446" s="8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197</v>
      </c>
      <c r="O446" s="78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81" t="s">
        <v>198</v>
      </c>
      <c r="B459" s="82"/>
      <c r="C459" s="82"/>
      <c r="D459" s="82"/>
      <c r="E459" s="8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197</v>
      </c>
      <c r="O459" s="78"/>
    </row>
    <row r="460" spans="1:15" ht="18" customHeight="1">
      <c r="A460" s="84" t="s">
        <v>199</v>
      </c>
      <c r="B460" s="85"/>
      <c r="C460" s="85"/>
      <c r="D460" s="85"/>
      <c r="E460" s="8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200</v>
      </c>
      <c r="O460" s="96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81" t="s">
        <v>196</v>
      </c>
      <c r="B473" s="82"/>
      <c r="C473" s="82"/>
      <c r="D473" s="82"/>
      <c r="E473" s="8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197</v>
      </c>
      <c r="O473" s="78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>
        <v>1</v>
      </c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81" t="s">
        <v>198</v>
      </c>
      <c r="B486" s="82"/>
      <c r="C486" s="82"/>
      <c r="D486" s="82"/>
      <c r="E486" s="8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197</v>
      </c>
      <c r="O486" s="78"/>
    </row>
    <row r="487" spans="1:15" ht="18" customHeight="1">
      <c r="A487" s="84" t="s">
        <v>199</v>
      </c>
      <c r="B487" s="85"/>
      <c r="C487" s="85"/>
      <c r="D487" s="85"/>
      <c r="E487" s="8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200</v>
      </c>
      <c r="O487" s="96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81" t="s">
        <v>196</v>
      </c>
      <c r="B500" s="82"/>
      <c r="C500" s="82"/>
      <c r="D500" s="82"/>
      <c r="E500" s="8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197</v>
      </c>
      <c r="O500" s="78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1" t="s">
        <v>198</v>
      </c>
      <c r="B513" s="82"/>
      <c r="C513" s="82"/>
      <c r="D513" s="82"/>
      <c r="E513" s="8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197</v>
      </c>
      <c r="O513" s="78"/>
    </row>
    <row r="514" spans="1:15" ht="18" customHeight="1">
      <c r="A514" s="84" t="s">
        <v>199</v>
      </c>
      <c r="B514" s="85"/>
      <c r="C514" s="85"/>
      <c r="D514" s="85"/>
      <c r="E514" s="8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200</v>
      </c>
      <c r="O514" s="96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81" t="s">
        <v>196</v>
      </c>
      <c r="B527" s="82"/>
      <c r="C527" s="82"/>
      <c r="D527" s="82"/>
      <c r="E527" s="8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197</v>
      </c>
      <c r="O527" s="78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81" t="s">
        <v>198</v>
      </c>
      <c r="B540" s="82"/>
      <c r="C540" s="82"/>
      <c r="D540" s="82"/>
      <c r="E540" s="8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197</v>
      </c>
      <c r="O540" s="78"/>
    </row>
    <row r="541" spans="1:15" ht="18" customHeight="1">
      <c r="A541" s="84" t="s">
        <v>199</v>
      </c>
      <c r="B541" s="85"/>
      <c r="C541" s="85"/>
      <c r="D541" s="85"/>
      <c r="E541" s="8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200</v>
      </c>
      <c r="O541" s="96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81" t="s">
        <v>196</v>
      </c>
      <c r="B554" s="82"/>
      <c r="C554" s="82"/>
      <c r="D554" s="82"/>
      <c r="E554" s="8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197</v>
      </c>
      <c r="O554" s="78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81" t="s">
        <v>198</v>
      </c>
      <c r="B567" s="82"/>
      <c r="C567" s="82"/>
      <c r="D567" s="82"/>
      <c r="E567" s="8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197</v>
      </c>
      <c r="O567" s="78"/>
    </row>
    <row r="568" spans="1:15" ht="18" customHeight="1">
      <c r="A568" s="84" t="s">
        <v>199</v>
      </c>
      <c r="B568" s="85"/>
      <c r="C568" s="85"/>
      <c r="D568" s="85"/>
      <c r="E568" s="8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200</v>
      </c>
      <c r="O568" s="96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81" t="s">
        <v>196</v>
      </c>
      <c r="B581" s="82"/>
      <c r="C581" s="82"/>
      <c r="D581" s="82"/>
      <c r="E581" s="8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197</v>
      </c>
      <c r="O581" s="78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81" t="s">
        <v>198</v>
      </c>
      <c r="B594" s="82"/>
      <c r="C594" s="82"/>
      <c r="D594" s="82"/>
      <c r="E594" s="8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197</v>
      </c>
      <c r="O594" s="78"/>
    </row>
    <row r="595" spans="1:15" ht="18" customHeight="1">
      <c r="A595" s="84" t="s">
        <v>199</v>
      </c>
      <c r="B595" s="85"/>
      <c r="C595" s="85"/>
      <c r="D595" s="85"/>
      <c r="E595" s="8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200</v>
      </c>
      <c r="O595" s="96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81" t="s">
        <v>196</v>
      </c>
      <c r="B608" s="82"/>
      <c r="C608" s="82"/>
      <c r="D608" s="82"/>
      <c r="E608" s="8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197</v>
      </c>
      <c r="O608" s="78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81" t="s">
        <v>198</v>
      </c>
      <c r="B621" s="82"/>
      <c r="C621" s="82"/>
      <c r="D621" s="82"/>
      <c r="E621" s="8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197</v>
      </c>
      <c r="O621" s="78"/>
    </row>
    <row r="622" spans="1:15" ht="18" customHeight="1">
      <c r="A622" s="84" t="s">
        <v>199</v>
      </c>
      <c r="B622" s="85"/>
      <c r="C622" s="85"/>
      <c r="D622" s="85"/>
      <c r="E622" s="8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200</v>
      </c>
      <c r="O622" s="96">
        <f>O608+O621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81" t="s">
        <v>196</v>
      </c>
      <c r="B635" s="82"/>
      <c r="C635" s="82"/>
      <c r="D635" s="82"/>
      <c r="E635" s="8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197</v>
      </c>
      <c r="O635" s="78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81" t="s">
        <v>198</v>
      </c>
      <c r="B648" s="82"/>
      <c r="C648" s="82"/>
      <c r="D648" s="82"/>
      <c r="E648" s="8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197</v>
      </c>
      <c r="O648" s="78"/>
    </row>
    <row r="649" spans="1:15" ht="18" customHeight="1">
      <c r="A649" s="84" t="s">
        <v>199</v>
      </c>
      <c r="B649" s="85"/>
      <c r="C649" s="85"/>
      <c r="D649" s="85"/>
      <c r="E649" s="8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200</v>
      </c>
      <c r="O649" s="96">
        <f>O635+O648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81" t="s">
        <v>196</v>
      </c>
      <c r="B662" s="82"/>
      <c r="C662" s="82"/>
      <c r="D662" s="82"/>
      <c r="E662" s="8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197</v>
      </c>
      <c r="O662" s="78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81" t="s">
        <v>198</v>
      </c>
      <c r="B675" s="82"/>
      <c r="C675" s="82"/>
      <c r="D675" s="82"/>
      <c r="E675" s="8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197</v>
      </c>
      <c r="O675" s="78"/>
    </row>
    <row r="676" spans="1:15" ht="18" customHeight="1">
      <c r="A676" s="84" t="s">
        <v>199</v>
      </c>
      <c r="B676" s="85"/>
      <c r="C676" s="85"/>
      <c r="D676" s="85"/>
      <c r="E676" s="8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200</v>
      </c>
      <c r="O676" s="96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81" t="s">
        <v>196</v>
      </c>
      <c r="B689" s="82"/>
      <c r="C689" s="82"/>
      <c r="D689" s="82"/>
      <c r="E689" s="8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197</v>
      </c>
      <c r="O689" s="78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81" t="s">
        <v>198</v>
      </c>
      <c r="B702" s="82"/>
      <c r="C702" s="82"/>
      <c r="D702" s="82"/>
      <c r="E702" s="8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197</v>
      </c>
      <c r="O702" s="78"/>
    </row>
    <row r="703" spans="1:15" ht="18" customHeight="1">
      <c r="A703" s="84" t="s">
        <v>199</v>
      </c>
      <c r="B703" s="85"/>
      <c r="C703" s="85"/>
      <c r="D703" s="85"/>
      <c r="E703" s="8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200</v>
      </c>
      <c r="O703" s="96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81" t="s">
        <v>196</v>
      </c>
      <c r="B716" s="82"/>
      <c r="C716" s="82"/>
      <c r="D716" s="82"/>
      <c r="E716" s="8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197</v>
      </c>
      <c r="O716" s="78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81" t="s">
        <v>198</v>
      </c>
      <c r="B729" s="82"/>
      <c r="C729" s="82"/>
      <c r="D729" s="82"/>
      <c r="E729" s="8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197</v>
      </c>
      <c r="O729" s="78"/>
    </row>
    <row r="730" spans="1:15" ht="18" customHeight="1">
      <c r="A730" s="84" t="s">
        <v>199</v>
      </c>
      <c r="B730" s="85"/>
      <c r="C730" s="85"/>
      <c r="D730" s="85"/>
      <c r="E730" s="8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200</v>
      </c>
      <c r="O730" s="96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81" t="s">
        <v>196</v>
      </c>
      <c r="B743" s="82"/>
      <c r="C743" s="82"/>
      <c r="D743" s="82"/>
      <c r="E743" s="8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197</v>
      </c>
      <c r="O743" s="78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81" t="s">
        <v>198</v>
      </c>
      <c r="B756" s="82"/>
      <c r="C756" s="82"/>
      <c r="D756" s="82"/>
      <c r="E756" s="8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197</v>
      </c>
      <c r="O756" s="39"/>
    </row>
    <row r="757" spans="1:15" ht="18" customHeight="1">
      <c r="A757" s="84" t="s">
        <v>199</v>
      </c>
      <c r="B757" s="85"/>
      <c r="C757" s="85"/>
      <c r="D757" s="85"/>
      <c r="E757" s="8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200</v>
      </c>
      <c r="O757" s="96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81" t="s">
        <v>196</v>
      </c>
      <c r="B770" s="82"/>
      <c r="C770" s="82"/>
      <c r="D770" s="82"/>
      <c r="E770" s="8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197</v>
      </c>
      <c r="O770" s="78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81" t="s">
        <v>198</v>
      </c>
      <c r="B783" s="82"/>
      <c r="C783" s="82"/>
      <c r="D783" s="82"/>
      <c r="E783" s="8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197</v>
      </c>
      <c r="O783" s="39"/>
    </row>
    <row r="784" spans="1:15" ht="18" customHeight="1">
      <c r="A784" s="84" t="s">
        <v>199</v>
      </c>
      <c r="B784" s="85"/>
      <c r="C784" s="85"/>
      <c r="D784" s="85"/>
      <c r="E784" s="8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200</v>
      </c>
      <c r="O784" s="96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81" t="s">
        <v>196</v>
      </c>
      <c r="B797" s="82"/>
      <c r="C797" s="82"/>
      <c r="D797" s="82"/>
      <c r="E797" s="8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197</v>
      </c>
      <c r="O797" s="78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81" t="s">
        <v>198</v>
      </c>
      <c r="B810" s="82"/>
      <c r="C810" s="82"/>
      <c r="D810" s="82"/>
      <c r="E810" s="8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197</v>
      </c>
      <c r="O810" s="39"/>
    </row>
    <row r="811" spans="1:15" ht="18" customHeight="1">
      <c r="A811" s="84" t="s">
        <v>199</v>
      </c>
      <c r="B811" s="85"/>
      <c r="C811" s="85"/>
      <c r="D811" s="85"/>
      <c r="E811" s="8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200</v>
      </c>
      <c r="O811" s="95">
        <f>IFERROR(O797+O810,"")</f>
        <v>0</v>
      </c>
    </row>
  </sheetData>
  <mergeCells count="90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00:E500"/>
    <mergeCell ref="A513:E513"/>
    <mergeCell ref="A514:E514"/>
    <mergeCell ref="A527:E527"/>
    <mergeCell ref="A540:E540"/>
    <mergeCell ref="A459:E459"/>
    <mergeCell ref="A460:E460"/>
    <mergeCell ref="A473:E473"/>
    <mergeCell ref="A486:E486"/>
    <mergeCell ref="A487:E487"/>
    <mergeCell ref="A406:E406"/>
    <mergeCell ref="A419:E419"/>
    <mergeCell ref="A432:E432"/>
    <mergeCell ref="A433:E433"/>
    <mergeCell ref="A446:E446"/>
    <mergeCell ref="A365:E365"/>
    <mergeCell ref="A378:E378"/>
    <mergeCell ref="A379:E379"/>
    <mergeCell ref="A392:E392"/>
    <mergeCell ref="A405:E405"/>
    <mergeCell ref="A324:E324"/>
    <mergeCell ref="A325:E325"/>
    <mergeCell ref="A338:E338"/>
    <mergeCell ref="A351:E351"/>
    <mergeCell ref="A352:E352"/>
    <mergeCell ref="A271:E271"/>
    <mergeCell ref="A284:E284"/>
    <mergeCell ref="A297:E297"/>
    <mergeCell ref="A298:E298"/>
    <mergeCell ref="A311:E311"/>
    <mergeCell ref="A230:E230"/>
    <mergeCell ref="A243:E243"/>
    <mergeCell ref="A244:E244"/>
    <mergeCell ref="A257:E257"/>
    <mergeCell ref="A270:E270"/>
    <mergeCell ref="A189:E189"/>
    <mergeCell ref="A190:E190"/>
    <mergeCell ref="A203:E203"/>
    <mergeCell ref="A216:E216"/>
    <mergeCell ref="A217:E217"/>
    <mergeCell ref="A136:E136"/>
    <mergeCell ref="A149:E149"/>
    <mergeCell ref="A162:E162"/>
    <mergeCell ref="A163:E163"/>
    <mergeCell ref="A176:E176"/>
    <mergeCell ref="A95:E95"/>
    <mergeCell ref="A108:E108"/>
    <mergeCell ref="A109:E109"/>
    <mergeCell ref="A122:E122"/>
    <mergeCell ref="A135:E135"/>
    <mergeCell ref="A54:E54"/>
    <mergeCell ref="A55:E55"/>
    <mergeCell ref="A68:E68"/>
    <mergeCell ref="A81:E81"/>
    <mergeCell ref="A82:E82"/>
  </mergeCells>
  <dataValidations count="2"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811" xr:uid="{52C68A24-78CA-4DE2-A34C-BA733F92037A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D84:D900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zoomScale="50" zoomScaleNormal="50" workbookViewId="0">
      <pane ySplit="1" topLeftCell="A66" activePane="bottomLeft" state="frozen"/>
      <selection pane="bottomLeft" activeCell="K84" sqref="K84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0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50" style="20" customWidth="1"/>
    <col min="15" max="15" width="14" customWidth="1"/>
  </cols>
  <sheetData>
    <row r="1" spans="1:15" ht="37.5" customHeight="1">
      <c r="A1" s="68" t="s">
        <v>7</v>
      </c>
      <c r="B1" s="23" t="s">
        <v>183</v>
      </c>
      <c r="C1" s="23" t="s">
        <v>12</v>
      </c>
      <c r="D1" s="22" t="s">
        <v>13</v>
      </c>
      <c r="E1" s="22" t="s">
        <v>184</v>
      </c>
      <c r="F1" s="23" t="s">
        <v>185</v>
      </c>
      <c r="G1" s="23" t="s">
        <v>186</v>
      </c>
      <c r="H1" s="23" t="s">
        <v>14</v>
      </c>
      <c r="I1" s="23" t="s">
        <v>15</v>
      </c>
      <c r="J1" s="23" t="s">
        <v>187</v>
      </c>
      <c r="K1" s="23" t="s">
        <v>188</v>
      </c>
      <c r="L1" s="23" t="s">
        <v>189</v>
      </c>
      <c r="M1" s="24" t="s">
        <v>190</v>
      </c>
      <c r="N1" s="23" t="s">
        <v>191</v>
      </c>
      <c r="O1" s="23" t="s">
        <v>192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204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169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204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204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209</v>
      </c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204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204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210</v>
      </c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204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156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204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204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204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204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204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204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81" t="s">
        <v>196</v>
      </c>
      <c r="B14" s="82"/>
      <c r="C14" s="82"/>
      <c r="D14" s="82"/>
      <c r="E14" s="83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197</v>
      </c>
      <c r="O14" s="39">
        <v>292530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204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9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204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70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204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9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204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70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204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9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204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70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204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9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204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70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204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9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204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70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204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9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204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81" t="s">
        <v>198</v>
      </c>
      <c r="B27" s="82"/>
      <c r="C27" s="82"/>
      <c r="D27" s="82"/>
      <c r="E27" s="83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197</v>
      </c>
      <c r="O27" s="39">
        <v>308500</v>
      </c>
    </row>
    <row r="28" spans="1:15" ht="18" customHeight="1">
      <c r="A28" s="84" t="s">
        <v>199</v>
      </c>
      <c r="B28" s="85"/>
      <c r="C28" s="85"/>
      <c r="D28" s="85"/>
      <c r="E28" s="86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200</v>
      </c>
      <c r="O28" s="43">
        <f>IFERROR(O14+O27,"")</f>
        <v>601030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204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157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211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204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204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204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204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204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204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204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204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204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204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204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81" t="s">
        <v>196</v>
      </c>
      <c r="B41" s="82"/>
      <c r="C41" s="82"/>
      <c r="D41" s="82"/>
      <c r="E41" s="83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197</v>
      </c>
      <c r="O41" s="39">
        <v>205590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38</v>
      </c>
      <c r="E42" s="62" t="s">
        <v>204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204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204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204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204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204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204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204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204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204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204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204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81" t="s">
        <v>198</v>
      </c>
      <c r="B54" s="82"/>
      <c r="C54" s="82"/>
      <c r="D54" s="82"/>
      <c r="E54" s="83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197</v>
      </c>
      <c r="O54" s="39">
        <v>124290</v>
      </c>
    </row>
    <row r="55" spans="1:15" ht="18" customHeight="1">
      <c r="A55" s="84" t="s">
        <v>199</v>
      </c>
      <c r="B55" s="85"/>
      <c r="C55" s="85"/>
      <c r="D55" s="85"/>
      <c r="E55" s="86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200</v>
      </c>
      <c r="O55" s="43">
        <f>IFERROR(O41+O54,"")</f>
        <v>329880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204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204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204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204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212</v>
      </c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204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204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204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204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204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204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204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204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81" t="s">
        <v>196</v>
      </c>
      <c r="B68" s="82"/>
      <c r="C68" s="82"/>
      <c r="D68" s="82"/>
      <c r="E68" s="83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197</v>
      </c>
      <c r="O68" s="39">
        <v>441440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204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157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213</v>
      </c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204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204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204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204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204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204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204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204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204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204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204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81" t="s">
        <v>198</v>
      </c>
      <c r="B81" s="82"/>
      <c r="C81" s="82"/>
      <c r="D81" s="82"/>
      <c r="E81" s="83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197</v>
      </c>
      <c r="O81" s="39">
        <v>396340</v>
      </c>
    </row>
    <row r="82" spans="1:15" ht="18" customHeight="1">
      <c r="A82" s="84" t="s">
        <v>199</v>
      </c>
      <c r="B82" s="85"/>
      <c r="C82" s="85"/>
      <c r="D82" s="85"/>
      <c r="E82" s="86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200</v>
      </c>
      <c r="O82" s="43">
        <f>IFERROR(O68+O81,"")</f>
        <v>837780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/>
      <c r="E83" s="59"/>
      <c r="F83" s="27"/>
      <c r="G83" s="28" t="str">
        <f t="shared" ref="G83:G94" si="18">IF(F83="","",IF(E83="PC 17",F83*4.2,IF(E83="PC 19",F83*5,"")))</f>
        <v/>
      </c>
      <c r="H83" s="33"/>
      <c r="I83" s="33"/>
      <c r="J83" s="33"/>
      <c r="K83" s="29">
        <v>0.29166666666666669</v>
      </c>
      <c r="L83" s="29"/>
      <c r="M83" s="35">
        <f t="shared" ref="M83:M94" ca="1" si="19">IFERROR(IF(K83="","",IF(L83="",MOD(NOW()-K83,1),IF(L83&gt;=K83,L83-K83,L83+1-K83))),"")</f>
        <v>5.5843981484940741E-2</v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81" t="s">
        <v>196</v>
      </c>
      <c r="B95" s="82"/>
      <c r="C95" s="82"/>
      <c r="D95" s="82"/>
      <c r="E95" s="83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5.5843981484940741E-2</v>
      </c>
      <c r="N95" s="36" t="s">
        <v>197</v>
      </c>
      <c r="O95" s="39"/>
    </row>
    <row r="96" spans="1:15" ht="15" customHeight="1">
      <c r="A96" s="70">
        <v>46207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81" t="s">
        <v>198</v>
      </c>
      <c r="B108" s="82"/>
      <c r="C108" s="82"/>
      <c r="D108" s="82"/>
      <c r="E108" s="83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197</v>
      </c>
      <c r="O108" s="39"/>
    </row>
    <row r="109" spans="1:15" ht="18" customHeight="1">
      <c r="A109" s="84" t="s">
        <v>199</v>
      </c>
      <c r="B109" s="85"/>
      <c r="C109" s="85"/>
      <c r="D109" s="85"/>
      <c r="E109" s="86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5.5843981484940741E-2</v>
      </c>
      <c r="N109" s="40" t="s">
        <v>200</v>
      </c>
      <c r="O109" s="43">
        <f>IFERROR(O95+O108,"")</f>
        <v>0</v>
      </c>
    </row>
    <row r="110" spans="1:15" ht="15" customHeight="1">
      <c r="A110" s="69">
        <v>46208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19",F110*5,"")))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81" t="s">
        <v>196</v>
      </c>
      <c r="B122" s="82"/>
      <c r="C122" s="82"/>
      <c r="D122" s="82"/>
      <c r="E122" s="83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197</v>
      </c>
      <c r="O122" s="39"/>
    </row>
    <row r="123" spans="1:15" ht="15" customHeight="1">
      <c r="A123" s="70">
        <v>46208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19",F123*5,"")))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81" t="s">
        <v>198</v>
      </c>
      <c r="B135" s="82"/>
      <c r="C135" s="82"/>
      <c r="D135" s="82"/>
      <c r="E135" s="83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197</v>
      </c>
      <c r="O135" s="39"/>
    </row>
    <row r="136" spans="1:15" ht="18" customHeight="1">
      <c r="A136" s="84" t="s">
        <v>199</v>
      </c>
      <c r="B136" s="85"/>
      <c r="C136" s="85"/>
      <c r="D136" s="85"/>
      <c r="E136" s="86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200</v>
      </c>
      <c r="O136" s="43">
        <f>IFERROR(O122+O135,"")</f>
        <v>0</v>
      </c>
    </row>
    <row r="137" spans="1:15" ht="15" customHeight="1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1" t="s">
        <v>196</v>
      </c>
      <c r="B149" s="82"/>
      <c r="C149" s="82"/>
      <c r="D149" s="82"/>
      <c r="E149" s="83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197</v>
      </c>
      <c r="O149" s="39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81" t="s">
        <v>198</v>
      </c>
      <c r="B162" s="82"/>
      <c r="C162" s="82"/>
      <c r="D162" s="82"/>
      <c r="E162" s="83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197</v>
      </c>
      <c r="O162" s="39"/>
    </row>
    <row r="163" spans="1:15" ht="18" customHeight="1">
      <c r="A163" s="84" t="s">
        <v>199</v>
      </c>
      <c r="B163" s="85"/>
      <c r="C163" s="85"/>
      <c r="D163" s="85"/>
      <c r="E163" s="86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200</v>
      </c>
      <c r="O163" s="4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81" t="s">
        <v>196</v>
      </c>
      <c r="B176" s="82"/>
      <c r="C176" s="82"/>
      <c r="D176" s="82"/>
      <c r="E176" s="83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197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81" t="s">
        <v>198</v>
      </c>
      <c r="B189" s="82"/>
      <c r="C189" s="82"/>
      <c r="D189" s="82"/>
      <c r="E189" s="83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197</v>
      </c>
      <c r="O189" s="39"/>
    </row>
    <row r="190" spans="1:15" ht="18" customHeight="1">
      <c r="A190" s="84" t="s">
        <v>199</v>
      </c>
      <c r="B190" s="85"/>
      <c r="C190" s="85"/>
      <c r="D190" s="85"/>
      <c r="E190" s="86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200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81" t="s">
        <v>196</v>
      </c>
      <c r="B203" s="82"/>
      <c r="C203" s="82"/>
      <c r="D203" s="82"/>
      <c r="E203" s="83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197</v>
      </c>
      <c r="O203" s="39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81" t="s">
        <v>198</v>
      </c>
      <c r="B216" s="82"/>
      <c r="C216" s="82"/>
      <c r="D216" s="82"/>
      <c r="E216" s="83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197</v>
      </c>
      <c r="O216" s="39"/>
    </row>
    <row r="217" spans="1:15" ht="18" customHeight="1">
      <c r="A217" s="84" t="s">
        <v>199</v>
      </c>
      <c r="B217" s="85"/>
      <c r="C217" s="85"/>
      <c r="D217" s="85"/>
      <c r="E217" s="86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200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81" t="s">
        <v>196</v>
      </c>
      <c r="B230" s="82"/>
      <c r="C230" s="82"/>
      <c r="D230" s="82"/>
      <c r="E230" s="83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197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81" t="s">
        <v>198</v>
      </c>
      <c r="B243" s="82"/>
      <c r="C243" s="82"/>
      <c r="D243" s="82"/>
      <c r="E243" s="83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197</v>
      </c>
      <c r="O243" s="39"/>
    </row>
    <row r="244" spans="1:15" ht="18" customHeight="1">
      <c r="A244" s="84" t="s">
        <v>199</v>
      </c>
      <c r="B244" s="85"/>
      <c r="C244" s="85"/>
      <c r="D244" s="85"/>
      <c r="E244" s="86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200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27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27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27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27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81" t="s">
        <v>196</v>
      </c>
      <c r="B257" s="82"/>
      <c r="C257" s="82"/>
      <c r="D257" s="82"/>
      <c r="E257" s="83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197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27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81" t="s">
        <v>198</v>
      </c>
      <c r="B270" s="82"/>
      <c r="C270" s="82"/>
      <c r="D270" s="82"/>
      <c r="E270" s="83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197</v>
      </c>
      <c r="O270" s="39"/>
    </row>
    <row r="271" spans="1:15" ht="18" customHeight="1">
      <c r="A271" s="84" t="s">
        <v>199</v>
      </c>
      <c r="B271" s="85"/>
      <c r="C271" s="85"/>
      <c r="D271" s="85"/>
      <c r="E271" s="86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200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27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81" t="s">
        <v>196</v>
      </c>
      <c r="B284" s="82"/>
      <c r="C284" s="82"/>
      <c r="D284" s="82"/>
      <c r="E284" s="8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197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81" t="s">
        <v>198</v>
      </c>
      <c r="B297" s="82"/>
      <c r="C297" s="82"/>
      <c r="D297" s="82"/>
      <c r="E297" s="8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197</v>
      </c>
      <c r="O297" s="39"/>
    </row>
    <row r="298" spans="1:15" ht="18" customHeight="1">
      <c r="A298" s="84" t="s">
        <v>199</v>
      </c>
      <c r="B298" s="85"/>
      <c r="C298" s="85"/>
      <c r="D298" s="85"/>
      <c r="E298" s="8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200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81" t="s">
        <v>196</v>
      </c>
      <c r="B311" s="82"/>
      <c r="C311" s="82"/>
      <c r="D311" s="82"/>
      <c r="E311" s="8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197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81" t="s">
        <v>198</v>
      </c>
      <c r="B324" s="82"/>
      <c r="C324" s="82"/>
      <c r="D324" s="82"/>
      <c r="E324" s="8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197</v>
      </c>
      <c r="O324" s="39"/>
    </row>
    <row r="325" spans="1:15" ht="18" customHeight="1">
      <c r="A325" s="84" t="s">
        <v>199</v>
      </c>
      <c r="B325" s="85"/>
      <c r="C325" s="85"/>
      <c r="D325" s="85"/>
      <c r="E325" s="8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200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81" t="s">
        <v>196</v>
      </c>
      <c r="B338" s="82"/>
      <c r="C338" s="82"/>
      <c r="D338" s="82"/>
      <c r="E338" s="8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197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81" t="s">
        <v>198</v>
      </c>
      <c r="B351" s="82"/>
      <c r="C351" s="82"/>
      <c r="D351" s="82"/>
      <c r="E351" s="8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197</v>
      </c>
      <c r="O351" s="39"/>
    </row>
    <row r="352" spans="1:15" ht="18" customHeight="1">
      <c r="A352" s="84" t="s">
        <v>199</v>
      </c>
      <c r="B352" s="85"/>
      <c r="C352" s="85"/>
      <c r="D352" s="85"/>
      <c r="E352" s="8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200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81" t="s">
        <v>196</v>
      </c>
      <c r="B365" s="82"/>
      <c r="C365" s="82"/>
      <c r="D365" s="82"/>
      <c r="E365" s="8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197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81" t="s">
        <v>198</v>
      </c>
      <c r="B378" s="82"/>
      <c r="C378" s="82"/>
      <c r="D378" s="82"/>
      <c r="E378" s="8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197</v>
      </c>
      <c r="O378" s="39"/>
    </row>
    <row r="379" spans="1:15" ht="18" customHeight="1">
      <c r="A379" s="84" t="s">
        <v>199</v>
      </c>
      <c r="B379" s="85"/>
      <c r="C379" s="85"/>
      <c r="D379" s="85"/>
      <c r="E379" s="8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200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81" t="s">
        <v>196</v>
      </c>
      <c r="B392" s="82"/>
      <c r="C392" s="82"/>
      <c r="D392" s="82"/>
      <c r="E392" s="8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197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81" t="s">
        <v>198</v>
      </c>
      <c r="B405" s="82"/>
      <c r="C405" s="82"/>
      <c r="D405" s="82"/>
      <c r="E405" s="8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197</v>
      </c>
      <c r="O405" s="39"/>
    </row>
    <row r="406" spans="1:15" ht="18" customHeight="1">
      <c r="A406" s="84" t="s">
        <v>199</v>
      </c>
      <c r="B406" s="85"/>
      <c r="C406" s="85"/>
      <c r="D406" s="85"/>
      <c r="E406" s="8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200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47"/>
    </row>
    <row r="419" spans="1:15" ht="15.75" customHeight="1">
      <c r="A419" s="81" t="s">
        <v>196</v>
      </c>
      <c r="B419" s="82"/>
      <c r="C419" s="82"/>
      <c r="D419" s="82"/>
      <c r="E419" s="8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197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81" t="s">
        <v>198</v>
      </c>
      <c r="B432" s="82"/>
      <c r="C432" s="82"/>
      <c r="D432" s="82"/>
      <c r="E432" s="8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197</v>
      </c>
      <c r="O432" s="39"/>
    </row>
    <row r="433" spans="1:15" ht="18" customHeight="1">
      <c r="A433" s="84" t="s">
        <v>199</v>
      </c>
      <c r="B433" s="85"/>
      <c r="C433" s="85"/>
      <c r="D433" s="85"/>
      <c r="E433" s="8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200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81" t="s">
        <v>196</v>
      </c>
      <c r="B446" s="82"/>
      <c r="C446" s="82"/>
      <c r="D446" s="82"/>
      <c r="E446" s="8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197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81" t="s">
        <v>198</v>
      </c>
      <c r="B459" s="82"/>
      <c r="C459" s="82"/>
      <c r="D459" s="82"/>
      <c r="E459" s="8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197</v>
      </c>
      <c r="O459" s="39"/>
    </row>
    <row r="460" spans="1:15" ht="18" customHeight="1">
      <c r="A460" s="84" t="s">
        <v>199</v>
      </c>
      <c r="B460" s="85"/>
      <c r="C460" s="85"/>
      <c r="D460" s="85"/>
      <c r="E460" s="8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200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81" t="s">
        <v>196</v>
      </c>
      <c r="B473" s="82"/>
      <c r="C473" s="82"/>
      <c r="D473" s="82"/>
      <c r="E473" s="8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197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81" t="s">
        <v>198</v>
      </c>
      <c r="B486" s="82"/>
      <c r="C486" s="82"/>
      <c r="D486" s="82"/>
      <c r="E486" s="8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197</v>
      </c>
      <c r="O486" s="39"/>
    </row>
    <row r="487" spans="1:15" ht="18" customHeight="1">
      <c r="A487" s="84" t="s">
        <v>199</v>
      </c>
      <c r="B487" s="85"/>
      <c r="C487" s="85"/>
      <c r="D487" s="85"/>
      <c r="E487" s="8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200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81" t="s">
        <v>196</v>
      </c>
      <c r="B500" s="82"/>
      <c r="C500" s="82"/>
      <c r="D500" s="82"/>
      <c r="E500" s="8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197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81" t="s">
        <v>198</v>
      </c>
      <c r="B513" s="82"/>
      <c r="C513" s="82"/>
      <c r="D513" s="82"/>
      <c r="E513" s="8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197</v>
      </c>
      <c r="O513" s="39"/>
    </row>
    <row r="514" spans="1:15" ht="18" customHeight="1">
      <c r="A514" s="84" t="s">
        <v>199</v>
      </c>
      <c r="B514" s="85"/>
      <c r="C514" s="85"/>
      <c r="D514" s="85"/>
      <c r="E514" s="8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200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81" t="s">
        <v>196</v>
      </c>
      <c r="B527" s="82"/>
      <c r="C527" s="82"/>
      <c r="D527" s="82"/>
      <c r="E527" s="8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197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81" t="s">
        <v>198</v>
      </c>
      <c r="B540" s="82"/>
      <c r="C540" s="82"/>
      <c r="D540" s="82"/>
      <c r="E540" s="8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197</v>
      </c>
      <c r="O540" s="39"/>
    </row>
    <row r="541" spans="1:15" ht="18" customHeight="1">
      <c r="A541" s="84" t="s">
        <v>199</v>
      </c>
      <c r="B541" s="85"/>
      <c r="C541" s="85"/>
      <c r="D541" s="85"/>
      <c r="E541" s="8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200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81" t="s">
        <v>196</v>
      </c>
      <c r="B554" s="82"/>
      <c r="C554" s="82"/>
      <c r="D554" s="82"/>
      <c r="E554" s="8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197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81" t="s">
        <v>198</v>
      </c>
      <c r="B567" s="82"/>
      <c r="C567" s="82"/>
      <c r="D567" s="82"/>
      <c r="E567" s="8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197</v>
      </c>
      <c r="O567" s="39"/>
    </row>
    <row r="568" spans="1:15" ht="18" customHeight="1">
      <c r="A568" s="84" t="s">
        <v>199</v>
      </c>
      <c r="B568" s="85"/>
      <c r="C568" s="85"/>
      <c r="D568" s="85"/>
      <c r="E568" s="8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200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81" t="s">
        <v>196</v>
      </c>
      <c r="B581" s="82"/>
      <c r="C581" s="82"/>
      <c r="D581" s="82"/>
      <c r="E581" s="8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197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81" t="s">
        <v>198</v>
      </c>
      <c r="B594" s="82"/>
      <c r="C594" s="82"/>
      <c r="D594" s="82"/>
      <c r="E594" s="8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197</v>
      </c>
      <c r="O594" s="39"/>
    </row>
    <row r="595" spans="1:15" ht="18" customHeight="1">
      <c r="A595" s="84" t="s">
        <v>199</v>
      </c>
      <c r="B595" s="85"/>
      <c r="C595" s="85"/>
      <c r="D595" s="85"/>
      <c r="E595" s="8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200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81" t="s">
        <v>196</v>
      </c>
      <c r="B608" s="82"/>
      <c r="C608" s="82"/>
      <c r="D608" s="82"/>
      <c r="E608" s="8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197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81" t="s">
        <v>198</v>
      </c>
      <c r="B621" s="82"/>
      <c r="C621" s="82"/>
      <c r="D621" s="82"/>
      <c r="E621" s="8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197</v>
      </c>
      <c r="O621" s="39"/>
    </row>
    <row r="622" spans="1:15" ht="18" customHeight="1">
      <c r="A622" s="84" t="s">
        <v>199</v>
      </c>
      <c r="B622" s="85"/>
      <c r="C622" s="85"/>
      <c r="D622" s="85"/>
      <c r="E622" s="8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200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81" t="s">
        <v>196</v>
      </c>
      <c r="B635" s="82"/>
      <c r="C635" s="82"/>
      <c r="D635" s="82"/>
      <c r="E635" s="8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197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81" t="s">
        <v>198</v>
      </c>
      <c r="B648" s="82"/>
      <c r="C648" s="82"/>
      <c r="D648" s="82"/>
      <c r="E648" s="8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197</v>
      </c>
      <c r="O648" s="39"/>
    </row>
    <row r="649" spans="1:15" ht="18" customHeight="1">
      <c r="A649" s="84" t="s">
        <v>199</v>
      </c>
      <c r="B649" s="85"/>
      <c r="C649" s="85"/>
      <c r="D649" s="85"/>
      <c r="E649" s="8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200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81" t="s">
        <v>196</v>
      </c>
      <c r="B662" s="82"/>
      <c r="C662" s="82"/>
      <c r="D662" s="82"/>
      <c r="E662" s="8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197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81" t="s">
        <v>198</v>
      </c>
      <c r="B675" s="82"/>
      <c r="C675" s="82"/>
      <c r="D675" s="82"/>
      <c r="E675" s="8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197</v>
      </c>
      <c r="O675" s="39"/>
    </row>
    <row r="676" spans="1:15" ht="18" customHeight="1">
      <c r="A676" s="84" t="s">
        <v>199</v>
      </c>
      <c r="B676" s="85"/>
      <c r="C676" s="85"/>
      <c r="D676" s="85"/>
      <c r="E676" s="8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200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81" t="s">
        <v>196</v>
      </c>
      <c r="B689" s="82"/>
      <c r="C689" s="82"/>
      <c r="D689" s="82"/>
      <c r="E689" s="8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197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81" t="s">
        <v>198</v>
      </c>
      <c r="B702" s="82"/>
      <c r="C702" s="82"/>
      <c r="D702" s="82"/>
      <c r="E702" s="8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197</v>
      </c>
      <c r="O702" s="39"/>
    </row>
    <row r="703" spans="1:15" ht="18" customHeight="1">
      <c r="A703" s="84" t="s">
        <v>199</v>
      </c>
      <c r="B703" s="85"/>
      <c r="C703" s="85"/>
      <c r="D703" s="85"/>
      <c r="E703" s="8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200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81" t="s">
        <v>196</v>
      </c>
      <c r="B716" s="82"/>
      <c r="C716" s="82"/>
      <c r="D716" s="82"/>
      <c r="E716" s="8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197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81" t="s">
        <v>198</v>
      </c>
      <c r="B729" s="82"/>
      <c r="C729" s="82"/>
      <c r="D729" s="82"/>
      <c r="E729" s="8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197</v>
      </c>
      <c r="O729" s="39"/>
    </row>
    <row r="730" spans="1:15" ht="18" customHeight="1">
      <c r="A730" s="84" t="s">
        <v>199</v>
      </c>
      <c r="B730" s="85"/>
      <c r="C730" s="85"/>
      <c r="D730" s="85"/>
      <c r="E730" s="8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200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81" t="s">
        <v>196</v>
      </c>
      <c r="B743" s="82"/>
      <c r="C743" s="82"/>
      <c r="D743" s="82"/>
      <c r="E743" s="8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197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81" t="s">
        <v>198</v>
      </c>
      <c r="B756" s="82"/>
      <c r="C756" s="82"/>
      <c r="D756" s="82"/>
      <c r="E756" s="8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197</v>
      </c>
      <c r="O756" s="39"/>
    </row>
    <row r="757" spans="1:15" ht="18" customHeight="1">
      <c r="A757" s="84" t="s">
        <v>199</v>
      </c>
      <c r="B757" s="85"/>
      <c r="C757" s="85"/>
      <c r="D757" s="85"/>
      <c r="E757" s="8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200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81" t="s">
        <v>196</v>
      </c>
      <c r="B770" s="82"/>
      <c r="C770" s="82"/>
      <c r="D770" s="82"/>
      <c r="E770" s="8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197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81" t="s">
        <v>198</v>
      </c>
      <c r="B783" s="82"/>
      <c r="C783" s="82"/>
      <c r="D783" s="82"/>
      <c r="E783" s="8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197</v>
      </c>
      <c r="O783" s="39"/>
    </row>
    <row r="784" spans="1:15" ht="18" customHeight="1">
      <c r="A784" s="84" t="s">
        <v>199</v>
      </c>
      <c r="B784" s="85"/>
      <c r="C784" s="85"/>
      <c r="D784" s="85"/>
      <c r="E784" s="8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200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81" t="s">
        <v>196</v>
      </c>
      <c r="B797" s="82"/>
      <c r="C797" s="82"/>
      <c r="D797" s="82"/>
      <c r="E797" s="8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197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81" t="s">
        <v>198</v>
      </c>
      <c r="B810" s="82"/>
      <c r="C810" s="82"/>
      <c r="D810" s="82"/>
      <c r="E810" s="8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197</v>
      </c>
      <c r="O810" s="39"/>
    </row>
    <row r="811" spans="1:15" ht="18" customHeight="1">
      <c r="A811" s="84" t="s">
        <v>199</v>
      </c>
      <c r="B811" s="85"/>
      <c r="C811" s="85"/>
      <c r="D811" s="85"/>
      <c r="E811" s="8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200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dataValidations count="2">
    <dataValidation type="list" allowBlank="1" showErrorMessage="1" errorTitle="Valor inválido" error="Selecione PC 17 ou PC 19 da lista." sqref="E15:E26 E2:E13 E29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H32:H900 H2:H30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Q811"/>
  <sheetViews>
    <sheetView showGridLines="0" tabSelected="1" zoomScale="50" zoomScaleNormal="50" workbookViewId="0">
      <pane ySplit="1" topLeftCell="A68" activePane="bottomLeft" state="frozen"/>
      <selection pane="bottomLeft" activeCell="I83" sqref="I83"/>
    </sheetView>
  </sheetViews>
  <sheetFormatPr defaultColWidth="8.5703125" defaultRowHeight="14.45"/>
  <cols>
    <col min="1" max="1" width="13" style="76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42.140625" style="57" customWidth="1"/>
    <col min="15" max="15" width="14" customWidth="1"/>
  </cols>
  <sheetData>
    <row r="1" spans="1:15" ht="37.5" customHeight="1">
      <c r="A1" s="68" t="s">
        <v>7</v>
      </c>
      <c r="B1" s="23" t="s">
        <v>183</v>
      </c>
      <c r="C1" s="23" t="s">
        <v>12</v>
      </c>
      <c r="D1" s="22" t="s">
        <v>13</v>
      </c>
      <c r="E1" s="22" t="s">
        <v>184</v>
      </c>
      <c r="F1" s="23" t="s">
        <v>185</v>
      </c>
      <c r="G1" s="23" t="s">
        <v>186</v>
      </c>
      <c r="H1" s="23" t="s">
        <v>14</v>
      </c>
      <c r="I1" s="23" t="s">
        <v>15</v>
      </c>
      <c r="J1" s="23" t="s">
        <v>187</v>
      </c>
      <c r="K1" s="23" t="s">
        <v>188</v>
      </c>
      <c r="L1" s="23" t="s">
        <v>189</v>
      </c>
      <c r="M1" s="24" t="s">
        <v>190</v>
      </c>
      <c r="N1" s="23" t="s">
        <v>191</v>
      </c>
      <c r="O1" s="23" t="s">
        <v>192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204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131</v>
      </c>
      <c r="J2" s="26" t="s">
        <v>96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214</v>
      </c>
      <c r="O2" s="60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204</v>
      </c>
      <c r="F3" s="27">
        <v>0</v>
      </c>
      <c r="G3" s="34">
        <f t="shared" si="0"/>
        <v>0</v>
      </c>
      <c r="H3" s="33" t="s">
        <v>18</v>
      </c>
      <c r="I3" s="33" t="s">
        <v>152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213</v>
      </c>
      <c r="O3" s="60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204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179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204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204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204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204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204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204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204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204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204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81" t="s">
        <v>196</v>
      </c>
      <c r="B14" s="82"/>
      <c r="C14" s="82"/>
      <c r="D14" s="82"/>
      <c r="E14" s="83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197</v>
      </c>
      <c r="O14" s="39">
        <v>327070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204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204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9">
        <f ca="1">IFERROR(IF(K16="","",IF(L16="",MOD(NOW()-K16,1),IF(L16&gt;=K16,L16-K16,L16+1-K16))),"")</f>
        <v>4.1666666666666741E-2</v>
      </c>
      <c r="N16" s="27" t="s">
        <v>215</v>
      </c>
      <c r="O16" s="60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204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204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204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204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204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204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204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204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204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204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81" t="s">
        <v>198</v>
      </c>
      <c r="B27" s="82"/>
      <c r="C27" s="82"/>
      <c r="D27" s="82"/>
      <c r="E27" s="83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197</v>
      </c>
      <c r="O27" s="39">
        <v>202230</v>
      </c>
    </row>
    <row r="28" spans="1:15" ht="18" customHeight="1">
      <c r="A28" s="84" t="s">
        <v>199</v>
      </c>
      <c r="B28" s="85"/>
      <c r="C28" s="85"/>
      <c r="D28" s="85"/>
      <c r="E28" s="86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200</v>
      </c>
      <c r="O28" s="48">
        <f>IFERROR(O14+O27,"")</f>
        <v>529300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204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119</v>
      </c>
      <c r="J29" s="33" t="s">
        <v>181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216</v>
      </c>
      <c r="O29" s="60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204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204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204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204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204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217</v>
      </c>
      <c r="O34" s="60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204</v>
      </c>
      <c r="F35" s="27">
        <v>0</v>
      </c>
      <c r="G35" s="28">
        <f t="shared" si="6"/>
        <v>0</v>
      </c>
      <c r="H35" s="33" t="s">
        <v>20</v>
      </c>
      <c r="I35" s="33" t="s">
        <v>142</v>
      </c>
      <c r="J35" s="33" t="s">
        <v>171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204</v>
      </c>
      <c r="F36" s="27">
        <v>0</v>
      </c>
      <c r="G36" s="34">
        <f t="shared" si="6"/>
        <v>0</v>
      </c>
      <c r="H36" s="26" t="s">
        <v>20</v>
      </c>
      <c r="I36" s="26" t="s">
        <v>142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204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204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204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204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81" t="s">
        <v>196</v>
      </c>
      <c r="B41" s="82"/>
      <c r="C41" s="82"/>
      <c r="D41" s="82"/>
      <c r="E41" s="83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197</v>
      </c>
      <c r="O41" s="39">
        <v>304990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204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204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204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204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204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204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204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204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204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204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204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204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81" t="s">
        <v>198</v>
      </c>
      <c r="B54" s="82"/>
      <c r="C54" s="82"/>
      <c r="D54" s="82"/>
      <c r="E54" s="83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197</v>
      </c>
      <c r="O54" s="39">
        <v>473910</v>
      </c>
    </row>
    <row r="55" spans="1:15" ht="18" customHeight="1">
      <c r="A55" s="84" t="s">
        <v>199</v>
      </c>
      <c r="B55" s="85"/>
      <c r="C55" s="85"/>
      <c r="D55" s="85"/>
      <c r="E55" s="86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200</v>
      </c>
      <c r="O55" s="48">
        <f>IFERROR(O41+O54,"")</f>
        <v>778900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204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204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204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218</v>
      </c>
      <c r="L58" s="29">
        <v>0.54097222222222219</v>
      </c>
      <c r="M58" s="30" t="str">
        <f t="shared" ca="1" si="13"/>
        <v/>
      </c>
      <c r="N58" s="27" t="s">
        <v>219</v>
      </c>
      <c r="O58" s="60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204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204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204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204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204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204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204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204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204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81" t="s">
        <v>196</v>
      </c>
      <c r="B68" s="82"/>
      <c r="C68" s="82"/>
      <c r="D68" s="82"/>
      <c r="E68" s="83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197</v>
      </c>
      <c r="O68" s="39">
        <v>763370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204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204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209</v>
      </c>
      <c r="O70" s="60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204</v>
      </c>
      <c r="F71" s="27">
        <v>12</v>
      </c>
      <c r="G71" s="34">
        <f t="shared" si="15"/>
        <v>50.400000000000006</v>
      </c>
      <c r="H71" s="33" t="s">
        <v>18</v>
      </c>
      <c r="I71" s="33" t="s">
        <v>119</v>
      </c>
      <c r="J71" s="33" t="s">
        <v>182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204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157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220</v>
      </c>
      <c r="O72" s="60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204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157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221</v>
      </c>
      <c r="O73" s="60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204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222</v>
      </c>
      <c r="O74" s="60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204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157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223</v>
      </c>
      <c r="O75" s="60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204</v>
      </c>
      <c r="F76" s="27">
        <v>1</v>
      </c>
      <c r="G76" s="28">
        <f t="shared" si="15"/>
        <v>4.2</v>
      </c>
      <c r="H76" s="26" t="s">
        <v>20</v>
      </c>
      <c r="I76" s="26" t="s">
        <v>142</v>
      </c>
      <c r="J76" s="26" t="s">
        <v>174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204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204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204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204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81" t="s">
        <v>198</v>
      </c>
      <c r="B81" s="82"/>
      <c r="C81" s="82"/>
      <c r="D81" s="82"/>
      <c r="E81" s="83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197</v>
      </c>
      <c r="O81" s="39">
        <v>565120</v>
      </c>
    </row>
    <row r="82" spans="1:15" ht="18" customHeight="1">
      <c r="A82" s="84" t="s">
        <v>199</v>
      </c>
      <c r="B82" s="85"/>
      <c r="C82" s="85"/>
      <c r="D82" s="85"/>
      <c r="E82" s="86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200</v>
      </c>
      <c r="O82" s="48">
        <f>IFERROR(O68+O81,"")</f>
        <v>1328490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/>
      <c r="E83" s="59"/>
      <c r="F83" s="27"/>
      <c r="G83" s="28" t="str">
        <f t="shared" ref="G83:G94" si="18">IF(F83="","",IF(E83="PC 17",F83*4.2,IF(E83="PC 19",F83*5,"")))</f>
        <v/>
      </c>
      <c r="H83" s="33"/>
      <c r="I83" s="33" t="s">
        <v>52</v>
      </c>
      <c r="J83" s="33"/>
      <c r="K83" s="29">
        <v>0.29166666666666669</v>
      </c>
      <c r="L83" s="29"/>
      <c r="M83" s="30">
        <f t="shared" ref="M83:M94" ca="1" si="19">IFERROR(IF(K83="","",IF(L83="",MOD(NOW()-K83,1),IF(L83&gt;=K83,L83-K83,L83+1-K83))),"")</f>
        <v>5.5843981484940741E-2</v>
      </c>
      <c r="N83" s="27"/>
      <c r="O83" s="60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5" t="str">
        <f t="shared" ca="1" si="19"/>
        <v/>
      </c>
      <c r="N84" s="27"/>
      <c r="O84" s="60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81" t="s">
        <v>196</v>
      </c>
      <c r="B95" s="82"/>
      <c r="C95" s="82"/>
      <c r="D95" s="82"/>
      <c r="E95" s="83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61"/>
      <c r="L95" s="61"/>
      <c r="M95" s="38">
        <f ca="1">IFERROR(SUM(M83:M94),"")</f>
        <v>5.5843981484940741E-2</v>
      </c>
      <c r="N95" s="36" t="s">
        <v>197</v>
      </c>
      <c r="O95" s="39"/>
    </row>
    <row r="96" spans="1:15" ht="15" customHeight="1">
      <c r="A96" s="70">
        <v>46207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5" t="str">
        <f t="shared" ref="M96:M107" ca="1" si="22">IFERROR(IF(K96="","",IF(L96="",MOD(NOW()-K96,1),IF(L96&gt;=K96,L96-K96,L96+1-K96))),"")</f>
        <v/>
      </c>
      <c r="N96" s="27"/>
      <c r="O96" s="60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0" t="str">
        <f t="shared" ca="1" si="22"/>
        <v/>
      </c>
      <c r="N97" s="27"/>
      <c r="O97" s="60"/>
    </row>
    <row r="98" spans="1:15" ht="15" customHeight="1">
      <c r="A98" s="70">
        <v>46207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5" t="str">
        <f t="shared" ca="1" si="22"/>
        <v/>
      </c>
      <c r="N98" s="27"/>
      <c r="O98" s="60"/>
    </row>
    <row r="99" spans="1:15" ht="15" customHeight="1">
      <c r="A99" s="69">
        <v>46207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70">
        <v>46207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9">
        <v>46207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70">
        <v>46207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9">
        <v>46207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70">
        <v>46207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9">
        <v>46207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70">
        <v>46207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9">
        <v>46207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81" t="s">
        <v>198</v>
      </c>
      <c r="B108" s="82"/>
      <c r="C108" s="82"/>
      <c r="D108" s="82"/>
      <c r="E108" s="83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61"/>
      <c r="L108" s="61"/>
      <c r="M108" s="38">
        <f ca="1">IFERROR(SUM(M96:M107),"")</f>
        <v>0</v>
      </c>
      <c r="N108" s="36" t="s">
        <v>197</v>
      </c>
      <c r="O108" s="39"/>
    </row>
    <row r="109" spans="1:15" ht="18" customHeight="1">
      <c r="A109" s="84" t="s">
        <v>199</v>
      </c>
      <c r="B109" s="85"/>
      <c r="C109" s="85"/>
      <c r="D109" s="85"/>
      <c r="E109" s="86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63"/>
      <c r="L109" s="63"/>
      <c r="M109" s="42">
        <f ca="1">IFERROR(M95+M108,"")</f>
        <v>5.5843981484940741E-2</v>
      </c>
      <c r="N109" s="40" t="s">
        <v>200</v>
      </c>
      <c r="O109" s="48">
        <f>IFERROR(O95+O108,"")</f>
        <v>0</v>
      </c>
    </row>
    <row r="110" spans="1:15" ht="15" customHeight="1">
      <c r="A110" s="69">
        <v>46208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19",F110*5,"")))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60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60"/>
    </row>
    <row r="112" spans="1:15" ht="15" customHeight="1">
      <c r="A112" s="69">
        <v>46208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70">
        <v>46208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9">
        <v>46208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70">
        <v>46208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9">
        <v>46208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70">
        <v>46208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9">
        <v>46208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70">
        <v>46208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9">
        <v>46208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70">
        <v>46208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81" t="s">
        <v>196</v>
      </c>
      <c r="B122" s="82"/>
      <c r="C122" s="82"/>
      <c r="D122" s="82"/>
      <c r="E122" s="83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61"/>
      <c r="L122" s="61"/>
      <c r="M122" s="38">
        <f ca="1">IFERROR(SUM(M110:M121),"")</f>
        <v>0</v>
      </c>
      <c r="N122" s="36" t="s">
        <v>197</v>
      </c>
      <c r="O122" s="39"/>
    </row>
    <row r="123" spans="1:15" ht="15" customHeight="1">
      <c r="A123" s="70">
        <v>46208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19",F123*5,"")))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60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60"/>
    </row>
    <row r="125" spans="1:15" ht="15" customHeight="1">
      <c r="A125" s="70">
        <v>46208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60"/>
    </row>
    <row r="126" spans="1:15" ht="15" customHeight="1">
      <c r="A126" s="69">
        <v>46208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60"/>
    </row>
    <row r="127" spans="1:15" ht="15" customHeight="1">
      <c r="A127" s="70">
        <v>46208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60"/>
    </row>
    <row r="128" spans="1:15" ht="15" customHeight="1">
      <c r="A128" s="69">
        <v>46208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60"/>
    </row>
    <row r="129" spans="1:15" ht="15" customHeight="1">
      <c r="A129" s="70">
        <v>46208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60"/>
    </row>
    <row r="130" spans="1:15" ht="15" customHeight="1">
      <c r="A130" s="69">
        <v>46208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5" ht="15" customHeight="1">
      <c r="A131" s="70">
        <v>46208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5" ht="15" customHeight="1">
      <c r="A132" s="69">
        <v>46208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5" ht="15" customHeight="1">
      <c r="A133" s="70">
        <v>46208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5" ht="15" customHeight="1">
      <c r="A134" s="69">
        <v>46208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5" ht="15.75" customHeight="1">
      <c r="A135" s="81" t="s">
        <v>198</v>
      </c>
      <c r="B135" s="82"/>
      <c r="C135" s="82"/>
      <c r="D135" s="82"/>
      <c r="E135" s="83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61"/>
      <c r="L135" s="61"/>
      <c r="M135" s="38">
        <f ca="1">IFERROR(SUM(M123:M134),"")</f>
        <v>0</v>
      </c>
      <c r="N135" s="36" t="s">
        <v>197</v>
      </c>
      <c r="O135" s="39"/>
    </row>
    <row r="136" spans="1:15" ht="18" customHeight="1">
      <c r="A136" s="84" t="s">
        <v>199</v>
      </c>
      <c r="B136" s="85"/>
      <c r="C136" s="85"/>
      <c r="D136" s="85"/>
      <c r="E136" s="86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63"/>
      <c r="L136" s="63"/>
      <c r="M136" s="42">
        <f ca="1">IFERROR(M122+M135,"")</f>
        <v>0</v>
      </c>
      <c r="N136" s="40" t="s">
        <v>200</v>
      </c>
      <c r="O136" s="48">
        <f>IFERROR(O122+O135,"")</f>
        <v>0</v>
      </c>
    </row>
    <row r="137" spans="1:15" ht="15" customHeight="1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1" t="s">
        <v>196</v>
      </c>
      <c r="B149" s="82"/>
      <c r="C149" s="82"/>
      <c r="D149" s="82"/>
      <c r="E149" s="83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61"/>
      <c r="L149" s="61"/>
      <c r="M149" s="38">
        <f ca="1">IFERROR(SUM(M137:M148),"")</f>
        <v>0</v>
      </c>
      <c r="N149" s="36" t="s">
        <v>197</v>
      </c>
      <c r="O149" s="39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81" t="s">
        <v>198</v>
      </c>
      <c r="B162" s="82"/>
      <c r="C162" s="82"/>
      <c r="D162" s="82"/>
      <c r="E162" s="83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61"/>
      <c r="L162" s="61"/>
      <c r="M162" s="38">
        <f ca="1">IFERROR(SUM(M150:M161),"")</f>
        <v>0</v>
      </c>
      <c r="N162" s="36" t="s">
        <v>197</v>
      </c>
      <c r="O162" s="39"/>
    </row>
    <row r="163" spans="1:15" ht="18" customHeight="1">
      <c r="A163" s="84" t="s">
        <v>199</v>
      </c>
      <c r="B163" s="85"/>
      <c r="C163" s="85"/>
      <c r="D163" s="85"/>
      <c r="E163" s="86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63"/>
      <c r="L163" s="63"/>
      <c r="M163" s="42">
        <f ca="1">IFERROR(M149+M162,"")</f>
        <v>0</v>
      </c>
      <c r="N163" s="40" t="s">
        <v>200</v>
      </c>
      <c r="O163" s="4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81" t="s">
        <v>196</v>
      </c>
      <c r="B176" s="82"/>
      <c r="C176" s="82"/>
      <c r="D176" s="82"/>
      <c r="E176" s="83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61"/>
      <c r="L176" s="61"/>
      <c r="M176" s="38">
        <f ca="1">IFERROR(SUM(M164:M175),"")</f>
        <v>0</v>
      </c>
      <c r="N176" s="36" t="s">
        <v>197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81" t="s">
        <v>198</v>
      </c>
      <c r="B189" s="82"/>
      <c r="C189" s="82"/>
      <c r="D189" s="82"/>
      <c r="E189" s="83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61"/>
      <c r="L189" s="61"/>
      <c r="M189" s="38">
        <f ca="1">IFERROR(SUM(M177:M188),"")</f>
        <v>0</v>
      </c>
      <c r="N189" s="36" t="s">
        <v>197</v>
      </c>
      <c r="O189" s="39"/>
    </row>
    <row r="190" spans="1:15" ht="18" customHeight="1">
      <c r="A190" s="84" t="s">
        <v>199</v>
      </c>
      <c r="B190" s="85"/>
      <c r="C190" s="85"/>
      <c r="D190" s="85"/>
      <c r="E190" s="86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63"/>
      <c r="L190" s="63"/>
      <c r="M190" s="42">
        <f ca="1">IFERROR(M176+M189,"")</f>
        <v>0</v>
      </c>
      <c r="N190" s="40" t="s">
        <v>200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81" t="s">
        <v>196</v>
      </c>
      <c r="B203" s="82"/>
      <c r="C203" s="82"/>
      <c r="D203" s="82"/>
      <c r="E203" s="83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61"/>
      <c r="L203" s="61"/>
      <c r="M203" s="38">
        <f ca="1">IFERROR(SUM(M191:M202),"")</f>
        <v>0</v>
      </c>
      <c r="N203" s="36" t="s">
        <v>197</v>
      </c>
      <c r="O203" s="45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60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60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60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60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60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60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81" t="s">
        <v>198</v>
      </c>
      <c r="B216" s="82"/>
      <c r="C216" s="82"/>
      <c r="D216" s="82"/>
      <c r="E216" s="83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61"/>
      <c r="L216" s="61"/>
      <c r="M216" s="38">
        <f ca="1">IFERROR(SUM(M204:M215),"")</f>
        <v>0</v>
      </c>
      <c r="N216" s="36" t="s">
        <v>197</v>
      </c>
      <c r="O216" s="45"/>
    </row>
    <row r="217" spans="1:15" ht="18" customHeight="1">
      <c r="A217" s="84" t="s">
        <v>199</v>
      </c>
      <c r="B217" s="85"/>
      <c r="C217" s="85"/>
      <c r="D217" s="85"/>
      <c r="E217" s="86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63"/>
      <c r="L217" s="63"/>
      <c r="M217" s="42">
        <f ca="1">IFERROR(M203+M216,"")</f>
        <v>0</v>
      </c>
      <c r="N217" s="40" t="s">
        <v>200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60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60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60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60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60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60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60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60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81" t="s">
        <v>196</v>
      </c>
      <c r="B230" s="82"/>
      <c r="C230" s="82"/>
      <c r="D230" s="82"/>
      <c r="E230" s="83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61"/>
      <c r="L230" s="61"/>
      <c r="M230" s="38">
        <f ca="1">IFERROR(SUM(M218:M229),"")</f>
        <v>0</v>
      </c>
      <c r="N230" s="36" t="s">
        <v>197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60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60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60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60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81" t="s">
        <v>198</v>
      </c>
      <c r="B243" s="82"/>
      <c r="C243" s="82"/>
      <c r="D243" s="82"/>
      <c r="E243" s="83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61"/>
      <c r="L243" s="61"/>
      <c r="M243" s="38">
        <f ca="1">IFERROR(SUM(M231:M242),"")</f>
        <v>0</v>
      </c>
      <c r="N243" s="36" t="s">
        <v>197</v>
      </c>
      <c r="O243" s="39"/>
    </row>
    <row r="244" spans="1:15" ht="18" customHeight="1">
      <c r="A244" s="84" t="s">
        <v>199</v>
      </c>
      <c r="B244" s="85"/>
      <c r="C244" s="85"/>
      <c r="D244" s="85"/>
      <c r="E244" s="86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63"/>
      <c r="L244" s="63"/>
      <c r="M244" s="42">
        <f ca="1">IFERROR(M230+M243,"")</f>
        <v>0</v>
      </c>
      <c r="N244" s="40" t="s">
        <v>200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0" t="str">
        <f t="shared" ref="M245:M256" ca="1" si="55">IFERROR(IF(K245="","",IF(L245="",MOD(NOW()-K245,1),IF(L245&gt;=K245,L245-K245,L245+1-K245))),"")</f>
        <v/>
      </c>
      <c r="N245" s="27"/>
      <c r="O245" s="60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5" t="str">
        <f t="shared" ca="1" si="55"/>
        <v/>
      </c>
      <c r="N246" s="27"/>
      <c r="O246" s="60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0" t="str">
        <f t="shared" ca="1" si="55"/>
        <v/>
      </c>
      <c r="N247" s="27"/>
      <c r="O247" s="60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5" t="str">
        <f t="shared" ca="1" si="55"/>
        <v/>
      </c>
      <c r="N248" s="27"/>
      <c r="O248" s="60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81" t="s">
        <v>196</v>
      </c>
      <c r="B257" s="82"/>
      <c r="C257" s="82"/>
      <c r="D257" s="82"/>
      <c r="E257" s="83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61"/>
      <c r="L257" s="61"/>
      <c r="M257" s="38">
        <f ca="1">IFERROR(SUM(M245:M256),"")</f>
        <v>0</v>
      </c>
      <c r="N257" s="36" t="s">
        <v>197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5" t="str">
        <f t="shared" ref="M258:M269" ca="1" si="58">IFERROR(IF(K258="","",IF(L258="",MOD(NOW()-K258,1),IF(L258&gt;=K258,L258-K258,L258+1-K258))),"")</f>
        <v/>
      </c>
      <c r="N258" s="27"/>
      <c r="O258" s="60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0" t="str">
        <f t="shared" ca="1" si="58"/>
        <v/>
      </c>
      <c r="N259" s="27"/>
      <c r="O259" s="60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81" t="s">
        <v>198</v>
      </c>
      <c r="B270" s="82"/>
      <c r="C270" s="82"/>
      <c r="D270" s="82"/>
      <c r="E270" s="83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61"/>
      <c r="L270" s="61"/>
      <c r="M270" s="38">
        <f ca="1">IFERROR(SUM(M258:M269),"")</f>
        <v>0</v>
      </c>
      <c r="N270" s="36" t="s">
        <v>197</v>
      </c>
      <c r="O270" s="39"/>
    </row>
    <row r="271" spans="1:15" ht="18" customHeight="1">
      <c r="A271" s="84" t="s">
        <v>199</v>
      </c>
      <c r="B271" s="85"/>
      <c r="C271" s="85"/>
      <c r="D271" s="85"/>
      <c r="E271" s="86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63"/>
      <c r="L271" s="63"/>
      <c r="M271" s="42">
        <f ca="1">IFERROR(M257+M270,"")</f>
        <v>0</v>
      </c>
      <c r="N271" s="40" t="s">
        <v>200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77" ca="1" si="61">IFERROR(IF(K272="","",IF(L272="",MOD(NOW()-K272,1),IF(L272&gt;=K272,L272-K272,L272+1-K272))),"")</f>
        <v/>
      </c>
      <c r="N272" s="27"/>
      <c r="O272" s="60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60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60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81" t="s">
        <v>196</v>
      </c>
      <c r="B284" s="82"/>
      <c r="C284" s="82"/>
      <c r="D284" s="82"/>
      <c r="E284" s="8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61"/>
      <c r="L284" s="61"/>
      <c r="M284" s="38">
        <f ca="1">IFERROR(SUM(M272:M283),"")</f>
        <v>0</v>
      </c>
      <c r="N284" s="36" t="s">
        <v>197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81" t="s">
        <v>198</v>
      </c>
      <c r="B297" s="82"/>
      <c r="C297" s="82"/>
      <c r="D297" s="82"/>
      <c r="E297" s="8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197</v>
      </c>
      <c r="O297" s="39"/>
    </row>
    <row r="298" spans="1:15" ht="18" customHeight="1">
      <c r="A298" s="84" t="s">
        <v>199</v>
      </c>
      <c r="B298" s="85"/>
      <c r="C298" s="85"/>
      <c r="D298" s="85"/>
      <c r="E298" s="8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63"/>
      <c r="L298" s="63"/>
      <c r="M298" s="42">
        <f ca="1">IFERROR(M284+M297,"")</f>
        <v>0</v>
      </c>
      <c r="N298" s="40" t="s">
        <v>200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81" t="s">
        <v>196</v>
      </c>
      <c r="B311" s="82"/>
      <c r="C311" s="82"/>
      <c r="D311" s="82"/>
      <c r="E311" s="8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197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81" t="s">
        <v>198</v>
      </c>
      <c r="B324" s="82"/>
      <c r="C324" s="82"/>
      <c r="D324" s="82"/>
      <c r="E324" s="8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197</v>
      </c>
      <c r="O324" s="39"/>
    </row>
    <row r="325" spans="1:15" ht="18" customHeight="1">
      <c r="A325" s="84" t="s">
        <v>199</v>
      </c>
      <c r="B325" s="85"/>
      <c r="C325" s="85"/>
      <c r="D325" s="85"/>
      <c r="E325" s="8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200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60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60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60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60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60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60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60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60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60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60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60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60"/>
    </row>
    <row r="338" spans="1:15" ht="15.75" customHeight="1">
      <c r="A338" s="81" t="s">
        <v>196</v>
      </c>
      <c r="B338" s="82"/>
      <c r="C338" s="82"/>
      <c r="D338" s="82"/>
      <c r="E338" s="8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197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81" t="s">
        <v>198</v>
      </c>
      <c r="B351" s="82"/>
      <c r="C351" s="82"/>
      <c r="D351" s="82"/>
      <c r="E351" s="8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197</v>
      </c>
      <c r="O351" s="39"/>
    </row>
    <row r="352" spans="1:15" ht="18" customHeight="1">
      <c r="A352" s="84" t="s">
        <v>199</v>
      </c>
      <c r="B352" s="85"/>
      <c r="C352" s="85"/>
      <c r="D352" s="85"/>
      <c r="E352" s="8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200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1" t="s">
        <v>196</v>
      </c>
      <c r="B365" s="82"/>
      <c r="C365" s="82"/>
      <c r="D365" s="82"/>
      <c r="E365" s="8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197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81" t="s">
        <v>198</v>
      </c>
      <c r="B378" s="82"/>
      <c r="C378" s="82"/>
      <c r="D378" s="82"/>
      <c r="E378" s="8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197</v>
      </c>
      <c r="O378" s="39"/>
    </row>
    <row r="379" spans="1:15" ht="18" customHeight="1">
      <c r="A379" s="84" t="s">
        <v>199</v>
      </c>
      <c r="B379" s="85"/>
      <c r="C379" s="85"/>
      <c r="D379" s="85"/>
      <c r="E379" s="8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200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81" t="s">
        <v>196</v>
      </c>
      <c r="B392" s="82"/>
      <c r="C392" s="82"/>
      <c r="D392" s="82"/>
      <c r="E392" s="8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197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81" t="s">
        <v>198</v>
      </c>
      <c r="B405" s="82"/>
      <c r="C405" s="82"/>
      <c r="D405" s="82"/>
      <c r="E405" s="8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197</v>
      </c>
      <c r="O405" s="39"/>
    </row>
    <row r="406" spans="1:15" ht="18" customHeight="1">
      <c r="A406" s="84" t="s">
        <v>199</v>
      </c>
      <c r="B406" s="85"/>
      <c r="C406" s="85"/>
      <c r="D406" s="85"/>
      <c r="E406" s="8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200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81" t="s">
        <v>196</v>
      </c>
      <c r="B419" s="82"/>
      <c r="C419" s="82"/>
      <c r="D419" s="82"/>
      <c r="E419" s="8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197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81" t="s">
        <v>198</v>
      </c>
      <c r="B432" s="82"/>
      <c r="C432" s="82"/>
      <c r="D432" s="82"/>
      <c r="E432" s="8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197</v>
      </c>
      <c r="O432" s="39"/>
    </row>
    <row r="433" spans="1:17" ht="18" customHeight="1">
      <c r="A433" s="84" t="s">
        <v>199</v>
      </c>
      <c r="B433" s="85"/>
      <c r="C433" s="85"/>
      <c r="D433" s="85"/>
      <c r="E433" s="8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200</v>
      </c>
      <c r="O433" s="48">
        <f>IFERROR(O419+O432,"")</f>
        <v>0</v>
      </c>
    </row>
    <row r="434" spans="1:17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81" t="s">
        <v>196</v>
      </c>
      <c r="B446" s="82"/>
      <c r="C446" s="82"/>
      <c r="D446" s="82"/>
      <c r="E446" s="8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197</v>
      </c>
      <c r="O446" s="39"/>
    </row>
    <row r="447" spans="1:17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81" t="s">
        <v>198</v>
      </c>
      <c r="B459" s="82"/>
      <c r="C459" s="82"/>
      <c r="D459" s="82"/>
      <c r="E459" s="8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197</v>
      </c>
      <c r="O459" s="39"/>
    </row>
    <row r="460" spans="1:15" ht="18" customHeight="1">
      <c r="A460" s="84" t="s">
        <v>199</v>
      </c>
      <c r="B460" s="85"/>
      <c r="C460" s="85"/>
      <c r="D460" s="85"/>
      <c r="E460" s="8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200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81" t="s">
        <v>196</v>
      </c>
      <c r="B473" s="82"/>
      <c r="C473" s="82"/>
      <c r="D473" s="82"/>
      <c r="E473" s="8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197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81" t="s">
        <v>198</v>
      </c>
      <c r="B486" s="82"/>
      <c r="C486" s="82"/>
      <c r="D486" s="82"/>
      <c r="E486" s="8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197</v>
      </c>
      <c r="O486" s="39"/>
    </row>
    <row r="487" spans="1:15" ht="18" customHeight="1">
      <c r="A487" s="84" t="s">
        <v>199</v>
      </c>
      <c r="B487" s="85"/>
      <c r="C487" s="85"/>
      <c r="D487" s="85"/>
      <c r="E487" s="8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200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70">
        <v>46222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9">
        <v>46222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70">
        <v>46222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9">
        <v>46222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70">
        <v>46222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9">
        <v>46222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70">
        <v>46222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9">
        <v>46222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70">
        <v>46222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9">
        <v>46222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70">
        <v>46222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81" t="s">
        <v>196</v>
      </c>
      <c r="B500" s="82"/>
      <c r="C500" s="82"/>
      <c r="D500" s="82"/>
      <c r="E500" s="8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197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81" t="s">
        <v>198</v>
      </c>
      <c r="B513" s="82"/>
      <c r="C513" s="82"/>
      <c r="D513" s="82"/>
      <c r="E513" s="8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197</v>
      </c>
      <c r="O513" s="39"/>
    </row>
    <row r="514" spans="1:15" ht="18" customHeight="1">
      <c r="A514" s="84" t="s">
        <v>199</v>
      </c>
      <c r="B514" s="85"/>
      <c r="C514" s="85"/>
      <c r="D514" s="85"/>
      <c r="E514" s="8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200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81" t="s">
        <v>196</v>
      </c>
      <c r="B527" s="82"/>
      <c r="C527" s="82"/>
      <c r="D527" s="82"/>
      <c r="E527" s="8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197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81" t="s">
        <v>198</v>
      </c>
      <c r="B540" s="82"/>
      <c r="C540" s="82"/>
      <c r="D540" s="82"/>
      <c r="E540" s="8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197</v>
      </c>
      <c r="O540" s="39"/>
    </row>
    <row r="541" spans="1:15" ht="18" customHeight="1">
      <c r="A541" s="84" t="s">
        <v>199</v>
      </c>
      <c r="B541" s="85"/>
      <c r="C541" s="85"/>
      <c r="D541" s="85"/>
      <c r="E541" s="8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200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81" t="s">
        <v>196</v>
      </c>
      <c r="B554" s="82"/>
      <c r="C554" s="82"/>
      <c r="D554" s="82"/>
      <c r="E554" s="8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197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>
      <c r="A567" s="81" t="s">
        <v>198</v>
      </c>
      <c r="B567" s="82"/>
      <c r="C567" s="82"/>
      <c r="D567" s="82"/>
      <c r="E567" s="8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197</v>
      </c>
      <c r="O567" s="39"/>
    </row>
    <row r="568" spans="1:15" ht="18" customHeight="1">
      <c r="A568" s="84" t="s">
        <v>199</v>
      </c>
      <c r="B568" s="85"/>
      <c r="C568" s="85"/>
      <c r="D568" s="85"/>
      <c r="E568" s="8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200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81" t="s">
        <v>196</v>
      </c>
      <c r="B581" s="82"/>
      <c r="C581" s="82"/>
      <c r="D581" s="82"/>
      <c r="E581" s="8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197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81" t="s">
        <v>198</v>
      </c>
      <c r="B594" s="82"/>
      <c r="C594" s="82"/>
      <c r="D594" s="82"/>
      <c r="E594" s="8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197</v>
      </c>
      <c r="O594" s="39"/>
    </row>
    <row r="595" spans="1:15" ht="18" customHeight="1">
      <c r="A595" s="84" t="s">
        <v>199</v>
      </c>
      <c r="B595" s="85"/>
      <c r="C595" s="85"/>
      <c r="D595" s="85"/>
      <c r="E595" s="8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200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81" t="s">
        <v>196</v>
      </c>
      <c r="B608" s="82"/>
      <c r="C608" s="82"/>
      <c r="D608" s="82"/>
      <c r="E608" s="8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197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81" t="s">
        <v>198</v>
      </c>
      <c r="B621" s="82"/>
      <c r="C621" s="82"/>
      <c r="D621" s="82"/>
      <c r="E621" s="8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197</v>
      </c>
      <c r="O621" s="39"/>
    </row>
    <row r="622" spans="1:15" ht="18" customHeight="1">
      <c r="A622" s="84" t="s">
        <v>199</v>
      </c>
      <c r="B622" s="85"/>
      <c r="C622" s="85"/>
      <c r="D622" s="85"/>
      <c r="E622" s="8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200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81" t="s">
        <v>196</v>
      </c>
      <c r="B635" s="82"/>
      <c r="C635" s="82"/>
      <c r="D635" s="82"/>
      <c r="E635" s="8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197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81" t="s">
        <v>198</v>
      </c>
      <c r="B648" s="82"/>
      <c r="C648" s="82"/>
      <c r="D648" s="82"/>
      <c r="E648" s="8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197</v>
      </c>
      <c r="O648" s="39"/>
    </row>
    <row r="649" spans="1:15" ht="18" customHeight="1">
      <c r="A649" s="84" t="s">
        <v>199</v>
      </c>
      <c r="B649" s="85"/>
      <c r="C649" s="85"/>
      <c r="D649" s="85"/>
      <c r="E649" s="8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200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81" t="s">
        <v>196</v>
      </c>
      <c r="B662" s="82"/>
      <c r="C662" s="82"/>
      <c r="D662" s="82"/>
      <c r="E662" s="8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197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81" t="s">
        <v>198</v>
      </c>
      <c r="B675" s="82"/>
      <c r="C675" s="82"/>
      <c r="D675" s="82"/>
      <c r="E675" s="8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197</v>
      </c>
      <c r="O675" s="39"/>
    </row>
    <row r="676" spans="1:15" ht="18" customHeight="1">
      <c r="A676" s="84" t="s">
        <v>199</v>
      </c>
      <c r="B676" s="85"/>
      <c r="C676" s="85"/>
      <c r="D676" s="85"/>
      <c r="E676" s="8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200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81" t="s">
        <v>196</v>
      </c>
      <c r="B689" s="82"/>
      <c r="C689" s="82"/>
      <c r="D689" s="82"/>
      <c r="E689" s="8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197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81" t="s">
        <v>198</v>
      </c>
      <c r="B702" s="82"/>
      <c r="C702" s="82"/>
      <c r="D702" s="82"/>
      <c r="E702" s="8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197</v>
      </c>
      <c r="O702" s="39"/>
    </row>
    <row r="703" spans="1:15" ht="18" customHeight="1">
      <c r="A703" s="84" t="s">
        <v>199</v>
      </c>
      <c r="B703" s="85"/>
      <c r="C703" s="85"/>
      <c r="D703" s="85"/>
      <c r="E703" s="8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200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81" t="s">
        <v>196</v>
      </c>
      <c r="B716" s="82"/>
      <c r="C716" s="82"/>
      <c r="D716" s="82"/>
      <c r="E716" s="8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197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81" t="s">
        <v>198</v>
      </c>
      <c r="B729" s="82"/>
      <c r="C729" s="82"/>
      <c r="D729" s="82"/>
      <c r="E729" s="8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197</v>
      </c>
      <c r="O729" s="39"/>
    </row>
    <row r="730" spans="1:15" ht="18" customHeight="1">
      <c r="A730" s="84" t="s">
        <v>199</v>
      </c>
      <c r="B730" s="85"/>
      <c r="C730" s="85"/>
      <c r="D730" s="85"/>
      <c r="E730" s="8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200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81" t="s">
        <v>196</v>
      </c>
      <c r="B743" s="82"/>
      <c r="C743" s="82"/>
      <c r="D743" s="82"/>
      <c r="E743" s="8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197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81" t="s">
        <v>198</v>
      </c>
      <c r="B756" s="82"/>
      <c r="C756" s="82"/>
      <c r="D756" s="82"/>
      <c r="E756" s="8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197</v>
      </c>
      <c r="O756" s="39"/>
    </row>
    <row r="757" spans="1:15" ht="18" customHeight="1">
      <c r="A757" s="84" t="s">
        <v>199</v>
      </c>
      <c r="B757" s="85"/>
      <c r="C757" s="85"/>
      <c r="D757" s="85"/>
      <c r="E757" s="8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200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81" t="s">
        <v>196</v>
      </c>
      <c r="B770" s="82"/>
      <c r="C770" s="82"/>
      <c r="D770" s="82"/>
      <c r="E770" s="8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197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81" t="s">
        <v>198</v>
      </c>
      <c r="B783" s="82"/>
      <c r="C783" s="82"/>
      <c r="D783" s="82"/>
      <c r="E783" s="8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197</v>
      </c>
      <c r="O783" s="39"/>
    </row>
    <row r="784" spans="1:15" ht="18" customHeight="1">
      <c r="A784" s="84" t="s">
        <v>199</v>
      </c>
      <c r="B784" s="85"/>
      <c r="C784" s="85"/>
      <c r="D784" s="85"/>
      <c r="E784" s="8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200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81" t="s">
        <v>196</v>
      </c>
      <c r="B797" s="82"/>
      <c r="C797" s="82"/>
      <c r="D797" s="82"/>
      <c r="E797" s="8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197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81" t="s">
        <v>198</v>
      </c>
      <c r="B810" s="82"/>
      <c r="C810" s="82"/>
      <c r="D810" s="82"/>
      <c r="E810" s="8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197</v>
      </c>
      <c r="O810" s="39"/>
    </row>
    <row r="811" spans="1:15" ht="18" customHeight="1">
      <c r="A811" s="84" t="s">
        <v>199</v>
      </c>
      <c r="B811" s="85"/>
      <c r="C811" s="85"/>
      <c r="D811" s="85"/>
      <c r="E811" s="8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200</v>
      </c>
      <c r="O811" s="43">
        <f>IFERROR(O797+O810,"")</f>
        <v>0</v>
      </c>
    </row>
  </sheetData>
  <mergeCells count="90"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352:E352"/>
    <mergeCell ref="A365:E365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7:E217"/>
    <mergeCell ref="A230:E230"/>
    <mergeCell ref="A243:E243"/>
    <mergeCell ref="A244:E244"/>
    <mergeCell ref="A257:E257"/>
    <mergeCell ref="A176:E176"/>
    <mergeCell ref="A189:E189"/>
    <mergeCell ref="A190:E190"/>
    <mergeCell ref="A203:E203"/>
    <mergeCell ref="A216:E216"/>
    <mergeCell ref="A135:E135"/>
    <mergeCell ref="A136:E136"/>
    <mergeCell ref="A149:E149"/>
    <mergeCell ref="A162:E162"/>
    <mergeCell ref="A163:E163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60A38338-7112-4F45-BCE1-49C5EC8DDAF1}"/>
</file>

<file path=customXml/itemProps2.xml><?xml version="1.0" encoding="utf-8"?>
<ds:datastoreItem xmlns:ds="http://schemas.openxmlformats.org/officeDocument/2006/customXml" ds:itemID="{288F5DF9-2BBC-43A5-A79A-7C7087BA3892}"/>
</file>

<file path=customXml/itemProps3.xml><?xml version="1.0" encoding="utf-8"?>
<ds:datastoreItem xmlns:ds="http://schemas.openxmlformats.org/officeDocument/2006/customXml" ds:itemID="{2878EAE7-5404-4D83-90A8-98DF7BC2EF4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2026-07-04T12:22:26Z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