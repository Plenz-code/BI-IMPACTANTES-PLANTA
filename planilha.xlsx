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5" documentId="8_{AF585B22-221D-4780-BB9C-493D365A6A02}" xr6:coauthVersionLast="47" xr6:coauthVersionMax="47" xr10:uidLastSave="{4EDA357D-7744-4A79-AEF7-B8C8030C643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<sst xmlns="http://schemas.openxmlformats.org/spreadsheetml/2006/main" count="3580" uniqueCount="262">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</sst>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K192" sqref="K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>
        <v>0.5083333333333333</v>
      </c>
      <c r="L191" s="29"/>
      <c r="M191" s="35">
        <f t="shared" ref="M191:M202" ca="1" si="43">IFERROR(IF(K191="","",IF(L191="",MOD(NOW()-K191,1),IF(L191&gt;=K191,L191-K191,L191+1-K191))),"")</f>
        <v>6.8171296152286232E-4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124</v>
      </c>
      <c r="G203" s="36">
        <f>SUM(G191:G202)</f>
        <v>620</v>
      </c>
      <c r="H203" s="37"/>
      <c r="I203" s="37"/>
      <c r="J203" s="37"/>
      <c r="K203" s="37"/>
      <c r="L203" s="37"/>
      <c r="M203" s="38">
        <f ca="1">IFERROR(SUM(M191:M202),"")</f>
        <v>6.8171296152286232E-4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620</v>
      </c>
      <c r="H217" s="41"/>
      <c r="I217" s="41"/>
      <c r="J217" s="41"/>
      <c r="K217" s="41"/>
      <c r="L217" s="41"/>
      <c r="M217" s="42">
        <f ca="1">IFERROR(M203+M216,"")</f>
        <v>6.8171296152286232E-4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16</v>
      </c>
      <c r="G203" s="36">
        <f>SUM(G191:G202)</f>
        <v>67.2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16</v>
      </c>
      <c r="G217" s="40">
        <f>G203+G216</f>
        <v>67.2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0.25970949073962402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0.45901504629517964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0.82637615740629067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85</v>
      </c>
      <c r="G203" s="36">
        <f>SUM(G191:G202)</f>
        <v>357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85</v>
      </c>
      <c r="G217" s="40">
        <f>G203+G216</f>
        <v>357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