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96" documentId="8_{C51EB6CB-002B-4D6B-B68F-DDEBDB4460C0}" xr6:coauthVersionLast="47" xr6:coauthVersionMax="47" xr10:uidLastSave="{FA80CBAB-099C-499A-B084-D01D47867D1D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<sst xmlns="http://schemas.openxmlformats.org/spreadsheetml/2006/main" count="5633" uniqueCount="336">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</sst>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L300" sqref="L30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103</v>
      </c>
      <c r="G311" s="90">
        <f>SUM(G299:G310)</f>
        <v>515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103</v>
      </c>
      <c r="G325" s="40">
        <f>G311+G324</f>
        <v>515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8" activePane="bottomLeft" state="frozen"/>
      <selection pane="bottomLeft" activeCell="F302" sqref="F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0.314812268516107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0.45370115740499589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0.5384233796272182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49</v>
      </c>
      <c r="G311" s="36">
        <f>SUM(G299:G310)</f>
        <v>205.8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49</v>
      </c>
      <c r="G325" s="40">
        <f>G311+G324</f>
        <v>205.8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2" sqref="F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0.24189560185186565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0.30370115740742121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0.36481226851853238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32</v>
      </c>
      <c r="G311" s="36">
        <f>SUM(G299:G310)</f>
        <v>134.4</v>
      </c>
      <c r="H311" s="37"/>
      <c r="I311" s="37"/>
      <c r="J311" s="37"/>
      <c r="K311" s="37"/>
      <c r="L311" s="37"/>
      <c r="M311" s="38">
        <f ca="1">IFERROR(SUM(M299:M310),"")</f>
        <v>3.4722222222222099E-3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</v>
      </c>
      <c r="G325" s="40">
        <f>G311+G324</f>
        <v>134.4</v>
      </c>
      <c r="H325" s="41"/>
      <c r="I325" s="41"/>
      <c r="J325" s="41"/>
      <c r="K325" s="41"/>
      <c r="L325" s="41"/>
      <c r="M325" s="42">
        <f ca="1">IFERROR(M311+M324,"")</f>
        <v>3.4722222222222099E-3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J299" sqref="J299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/>
      <c r="M299" s="35">
        <f t="shared" ref="M299:M310" ca="1" si="67">IFERROR(IF(K299="","",IF(L299="",MOD(NOW()-K299,1),IF(L299&gt;=K299,L299-K299,L299+1-K299))),"")</f>
        <v>9.233796299668029E-4</v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54</v>
      </c>
      <c r="G311" s="36">
        <f>SUM(G299:G310)</f>
        <v>226.8</v>
      </c>
      <c r="H311" s="37"/>
      <c r="I311" s="37"/>
      <c r="J311" s="37"/>
      <c r="K311" s="61"/>
      <c r="L311" s="61"/>
      <c r="M311" s="38">
        <f ca="1">IFERROR(SUM(M299:M310),"")</f>
        <v>9.233796299668029E-4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54</v>
      </c>
      <c r="G325" s="40">
        <f>G311+G324</f>
        <v>226.8</v>
      </c>
      <c r="H325" s="41"/>
      <c r="I325" s="41"/>
      <c r="J325" s="41"/>
      <c r="K325" s="63"/>
      <c r="L325" s="63"/>
      <c r="M325" s="42">
        <f ca="1">IFERROR(M311+M324,"")</f>
        <v>9.233796299668029E-4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2026-08-12T14:28:40Z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