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84" documentId="8_{C51EB6CB-002B-4D6B-B68F-DDEBDB4460C0}" xr6:coauthVersionLast="47" xr6:coauthVersionMax="47" xr10:uidLastSave="{AC0EC63D-23F1-4D28-9E50-5304D782CC7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<sst xmlns="http://schemas.openxmlformats.org/spreadsheetml/2006/main" count="3888" uniqueCount="296">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</sst>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/>
      <c r="M177" s="35">
        <f t="shared" ref="M177:M188" ca="1" si="40">IFERROR(IF(K177="","",IF(L177="",MOD(NOW()-K177,1),IF(L177&gt;=K177,L177-K177,L177+1-K177))),"")</f>
        <v>3.0275462922872975E-3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3.0275462922872975E-3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8.3583101847842844E-2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L180" sqref="L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0.90441643517988268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1.0433053240687715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1.1280275462909939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52</v>
      </c>
      <c r="G189" s="36">
        <f>SUM(G177:G188)</f>
        <v>218.4</v>
      </c>
      <c r="H189" s="37"/>
      <c r="I189" s="37"/>
      <c r="J189" s="37"/>
      <c r="K189" s="37"/>
      <c r="L189" s="37"/>
      <c r="M189" s="38">
        <f ca="1">IFERROR(SUM(M177:M188),"")</f>
        <v>0.10208333333333348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121</v>
      </c>
      <c r="G190" s="40">
        <f>G176+G189</f>
        <v>508.20000000000005</v>
      </c>
      <c r="H190" s="41"/>
      <c r="I190" s="41"/>
      <c r="J190" s="41"/>
      <c r="K190" s="41"/>
      <c r="L190" s="41"/>
      <c r="M190" s="42">
        <f ca="1">IFERROR(M176+M189,"")</f>
        <v>0.1847222222222224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L181" sqref="L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</v>
      </c>
      <c r="G189" s="36">
        <f>SUM(G177:G188)</f>
        <v>29.4</v>
      </c>
      <c r="H189" s="37"/>
      <c r="I189" s="37"/>
      <c r="J189" s="37"/>
      <c r="K189" s="37"/>
      <c r="L189" s="37"/>
      <c r="M189" s="38">
        <f ca="1">IFERROR(SUM(M177:M188),"")</f>
        <v>0.16180555555555559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302.39999999999998</v>
      </c>
      <c r="H190" s="41"/>
      <c r="I190" s="41"/>
      <c r="J190" s="41"/>
      <c r="K190" s="41"/>
      <c r="L190" s="41"/>
      <c r="M190" s="42">
        <f ca="1">IFERROR(M176+M189,"")</f>
        <v>0.24652777777777785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5.7888657407602295E-2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59</v>
      </c>
      <c r="G189" s="36">
        <f>SUM(G177:G188)</f>
        <v>247.8</v>
      </c>
      <c r="H189" s="37"/>
      <c r="I189" s="37"/>
      <c r="J189" s="37"/>
      <c r="K189" s="61"/>
      <c r="L189" s="61"/>
      <c r="M189" s="38">
        <f ca="1">IFERROR(SUM(M177:M188),"")</f>
        <v>8.7055324074268969E-2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928.2</v>
      </c>
      <c r="H190" s="41"/>
      <c r="I190" s="41"/>
      <c r="J190" s="41"/>
      <c r="K190" s="63"/>
      <c r="L190" s="63"/>
      <c r="M190" s="42">
        <f ca="1">IFERROR(M176+M189,"")</f>
        <v>0.21969421296315794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2026-08-08T04:37:43Z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