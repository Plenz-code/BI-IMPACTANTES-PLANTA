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28" documentId="8_{C51EB6CB-002B-4D6B-B68F-DDEBDB4460C0}" xr6:coauthVersionLast="47" xr6:coauthVersionMax="47" xr10:uidLastSave="{FBA0CA68-C088-428C-8F80-831BE5565929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<sst xmlns="http://schemas.openxmlformats.org/spreadsheetml/2006/main" count="1778" uniqueCount="256">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</sst>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8.6484606479643844E-2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8.6484606479643844E-2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0.14620682870186602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L48" sqref="L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6</v>
      </c>
      <c r="G44" s="34">
        <f t="shared" si="9"/>
        <v>25.200000000000003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126.00000000000001</v>
      </c>
      <c r="H54" s="37"/>
      <c r="I54" s="37"/>
      <c r="J54" s="37"/>
      <c r="K54" s="37"/>
      <c r="L54" s="37"/>
      <c r="M54" s="38">
        <f ca="1">IFERROR(SUM(M42:M53),"")</f>
        <v>4.2361111111111183E-2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110</v>
      </c>
      <c r="G55" s="40">
        <f>G41+G54</f>
        <v>449.4</v>
      </c>
      <c r="H55" s="41"/>
      <c r="I55" s="41"/>
      <c r="J55" s="41"/>
      <c r="K55" s="41"/>
      <c r="L55" s="41"/>
      <c r="M55" s="42">
        <f ca="1">IFERROR(M41+M54,"")</f>
        <v>0.12708333333333349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L44" sqref="L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6.8055555555555647E-2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95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8.8888888888889017E-2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" activePane="bottomLeft" state="frozen"/>
      <selection pane="bottomLeft" activeCell="H44" sqref="H4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/>
      <c r="K44" s="29">
        <v>0.92638888888888893</v>
      </c>
      <c r="L44" s="29"/>
      <c r="M44" s="35">
        <f t="shared" ca="1" si="10"/>
        <v>1.067939811036922E-3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19</v>
      </c>
      <c r="I45" s="33"/>
      <c r="J45" s="33"/>
      <c r="K45" s="29"/>
      <c r="L45" s="29"/>
      <c r="M45" s="35" t="str">
        <f t="shared" ca="1" si="10"/>
        <v/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39</v>
      </c>
      <c r="G54" s="36">
        <f>SUM(G42:G53)</f>
        <v>163.80000000000001</v>
      </c>
      <c r="H54" s="37"/>
      <c r="I54" s="37"/>
      <c r="J54" s="37"/>
      <c r="K54" s="61"/>
      <c r="L54" s="61"/>
      <c r="M54" s="38">
        <f ca="1">IFERROR(SUM(M42:M53),"")</f>
        <v>3.5790162033259132E-2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180</v>
      </c>
      <c r="G55" s="40">
        <f>G41+G54</f>
        <v>722.40000000000009</v>
      </c>
      <c r="H55" s="41"/>
      <c r="I55" s="41"/>
      <c r="J55" s="41"/>
      <c r="K55" s="63"/>
      <c r="L55" s="63"/>
      <c r="M55" s="42">
        <f ca="1">IFERROR(M41+M54,"")</f>
        <v>4.6901273144370204E-2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2026-08-03T02:15:50Z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