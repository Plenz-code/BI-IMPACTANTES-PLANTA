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62" documentId="13_ncr:1_{A6DBCFB4-28D9-4249-9038-216934055CA6}" xr6:coauthVersionLast="47" xr6:coauthVersionMax="47" xr10:uidLastSave="{267AC7E2-53B9-4041-BF89-0FC82246A970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<sst xmlns="http://schemas.openxmlformats.org/spreadsheetml/2006/main" count="10632" uniqueCount="434">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</sst>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2" activePane="bottomLeft" state="frozen"/>
      <selection pane="bottomLeft" activeCell="F637" sqref="F637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/>
      <c r="G641" s="69" t="str">
        <f>IF(F641="","",IF(#REF!="PC 17",F641*4.2,IF(#REF!="PC 19",F641*5,IF(#REF!="CB",F641*35,""))))</f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51</v>
      </c>
      <c r="G648" s="2">
        <f>SUM(G636:G647)</f>
        <v>255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457</v>
      </c>
      <c r="G649" s="1">
        <f>G635+G648</f>
        <v>2285</v>
      </c>
      <c r="H649" s="76"/>
      <c r="I649" s="76"/>
      <c r="J649" s="76"/>
      <c r="K649" s="76"/>
      <c r="L649" s="76"/>
      <c r="M649" s="77">
        <f ca="1">IFERROR(M635+M648,"")</f>
        <v>2.2222222222222199E-2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08" activePane="bottomLeft" state="frozen"/>
      <selection pane="bottomLeft" activeCell="N636" sqref="N636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0.74625856480997754</v>
      </c>
      <c r="R53" s="80" t="s">
        <v>317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0.88514745369886527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0.96986967592108808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319</v>
      </c>
      <c r="Q96" s="66" t="str">
        <f t="shared" ref="Q96:Q107" ca="1" si="22">IFERROR(IF(O96="","",IF(P96="",MOD(NOW()-O96,1),IF(P96&gt;=O96,P96-O96,P96+1-O96))),"")</f>
        <v/>
      </c>
      <c r="R96" s="80" t="s">
        <v>320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351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352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353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325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/>
      <c r="Q636" s="66">
        <f t="shared" ref="Q636:Q647" ca="1" si="168">IFERROR(IF(O636="","",IF(P636="",MOD(NOW()-O636,1),IF(P636&gt;=O636,P636-O636,P636+1-O636))),"")</f>
        <v>1.814120369090233E-3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277</v>
      </c>
      <c r="F637" s="88">
        <f>IFERROR(IF($D637="","",VLOOKUP($D637,Cadastro!$C$4:$E$7,3,FALSE())),"")</f>
        <v>0.35</v>
      </c>
      <c r="G637" s="89"/>
      <c r="H637" s="88" t="str">
        <f>IFERROR(IF($G637="","",$G637*$S$648/$G$648/Cadastro!$E$33),"")</f>
        <v/>
      </c>
      <c r="I637" s="90">
        <f>IFERROR(IF($D637="","",VLOOKUP($D637,Cadastro!$C$4:$G$7,5,FALSE())),"")</f>
        <v>0.6</v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/>
      <c r="H638" s="88" t="str">
        <f>IFERROR(IF($G638="","",$G638*$S$648/$G$648/Cadastro!$E$33),"")</f>
        <v/>
      </c>
      <c r="I638" s="90">
        <f>IFERROR(IF($D638="","",VLOOKUP($D638,Cadastro!$C$4:$G$7,5,FALSE())),"")</f>
        <v>0.6</v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16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67.2</v>
      </c>
      <c r="L648" s="72"/>
      <c r="M648" s="72"/>
      <c r="N648" s="72"/>
      <c r="O648" s="72"/>
      <c r="P648" s="72"/>
      <c r="Q648" s="73">
        <f ca="1">IFERROR(SUM(Q636:Q647),"")</f>
        <v>1.814120369090233E-3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178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747.60000000000014</v>
      </c>
      <c r="L649" s="76"/>
      <c r="M649" s="76"/>
      <c r="N649" s="76"/>
      <c r="O649" s="76"/>
      <c r="P649" s="76"/>
      <c r="Q649" s="77">
        <f ca="1">IFERROR(Q635+Q648,"")</f>
        <v>7.2647453702423703E-2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15" activePane="bottomLeft" state="frozen"/>
      <selection pane="bottomLeft" activeCell="G637" sqref="G637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367</v>
      </c>
      <c r="Q222" s="66" t="str">
        <f t="shared" ca="1" si="49"/>
        <v/>
      </c>
      <c r="R222" s="63" t="s">
        <v>368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318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354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318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377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318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374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383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383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383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359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277</v>
      </c>
      <c r="F637" s="88">
        <f>IFERROR(IF($D637="","",VLOOKUP($D637,Cadastro!$C$4:$E$7,3,FALSE())),"")</f>
        <v>0.35</v>
      </c>
      <c r="G637" s="89"/>
      <c r="H637" s="88" t="str">
        <f>IFERROR(IF($G637="","",$G637*$S$648/$G$648/Cadastro!$E$33),"")</f>
        <v/>
      </c>
      <c r="I637" s="90">
        <f>IFERROR(IF($D637="","",VLOOKUP($D637,Cadastro!$C$4:$G$7,5,FALSE())),"")</f>
        <v>0.6</v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/>
      <c r="H638" s="88" t="str">
        <f>IFERROR(IF($G638="","",$G638*$S$648/$G$648/Cadastro!$E$33),"")</f>
        <v/>
      </c>
      <c r="I638" s="90">
        <f>IFERROR(IF($D638="","",VLOOKUP($D638,Cadastro!$C$4:$G$7,5,FALSE())),"")</f>
        <v>0.6</v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11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46.2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83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348.6</v>
      </c>
      <c r="L649" s="76"/>
      <c r="M649" s="76"/>
      <c r="N649" s="76"/>
      <c r="O649" s="76"/>
      <c r="P649" s="76"/>
      <c r="Q649" s="77">
        <f ca="1">IFERROR(Q635+Q648,"")</f>
        <v>5.3472222222222199E-2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12" activePane="bottomLeft" state="frozen"/>
      <selection pane="bottomLeft" activeCell="G637" sqref="G637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420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421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422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423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424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425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426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427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410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411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428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429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430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376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431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376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410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432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427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433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277</v>
      </c>
      <c r="F637" s="88">
        <f>IFERROR(IF($D637="","",VLOOKUP($D637,Cadastro!$C$4:$E$7,3,FALSE())),"")</f>
        <v>0.35</v>
      </c>
      <c r="G637" s="89"/>
      <c r="H637" s="88" t="str">
        <f>IFERROR(IF($G637="","",$G637*$S$648/$G$648/Cadastro!$E$33),"")</f>
        <v/>
      </c>
      <c r="I637" s="90">
        <f>IFERROR(IF($D637="","",VLOOKUP($D637,Cadastro!$C$4:$G$7,5,FALSE())),"")</f>
        <v>0.6</v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/>
      <c r="H638" s="88" t="str">
        <f>IFERROR(IF($G638="","",$G638*$S$648/$G$648/Cadastro!$E$33),"")</f>
        <v/>
      </c>
      <c r="I638" s="90">
        <f>IFERROR(IF($D638="","",VLOOKUP($D638,Cadastro!$C$4:$G$7,5,FALSE())),"")</f>
        <v>0.6</v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13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54.6</v>
      </c>
      <c r="L648" s="72"/>
      <c r="M648" s="72"/>
      <c r="N648" s="72"/>
      <c r="O648" s="134"/>
      <c r="P648" s="134"/>
      <c r="Q648" s="73">
        <f ca="1">IFERROR(SUM(Q636:Q647),"")</f>
        <v>2.3611111111111138E-2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254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1066.8</v>
      </c>
      <c r="L649" s="76"/>
      <c r="M649" s="76"/>
      <c r="N649" s="76"/>
      <c r="O649" s="135"/>
      <c r="P649" s="135"/>
      <c r="Q649" s="77">
        <f ca="1">IFERROR(Q635+Q648,"")</f>
        <v>9.3055555555555558E-2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2026-08-25T00:51:53Z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