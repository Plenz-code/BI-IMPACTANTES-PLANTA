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5639" documentId="8_{1D11E9C4-FEA4-4128-910F-91CB6BBF9255}" xr6:coauthVersionLast="47" xr6:coauthVersionMax="47" xr10:uidLastSave="{AB0A021B-A5F7-4F76-B2FD-17D826ABDE94}"/>
  <bookViews>
    <workbookView xWindow="780" yWindow="780" windowWidth="21600" windowHeight="11295" tabRatio="500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49" i="3" l="1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F800" i="5"/>
  <c r="L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F798" i="5"/>
  <c r="E797" i="5"/>
  <c r="E811" i="5" s="1"/>
  <c r="L796" i="5"/>
  <c r="F796" i="5"/>
  <c r="L795" i="5"/>
  <c r="F795" i="5"/>
  <c r="L794" i="5"/>
  <c r="F794" i="5"/>
  <c r="L793" i="5"/>
  <c r="F793" i="5"/>
  <c r="L792" i="5"/>
  <c r="F792" i="5"/>
  <c r="L791" i="5"/>
  <c r="F791" i="5"/>
  <c r="L790" i="5"/>
  <c r="F790" i="5"/>
  <c r="L789" i="5"/>
  <c r="F789" i="5"/>
  <c r="L788" i="5"/>
  <c r="F788" i="5"/>
  <c r="L787" i="5"/>
  <c r="F787" i="5"/>
  <c r="L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F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F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N649" i="5"/>
  <c r="F27" i="6" s="1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F800" i="4"/>
  <c r="L799" i="4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798" i="4"/>
  <c r="F810" i="4" s="1"/>
  <c r="E797" i="4"/>
  <c r="E811" i="4" s="1"/>
  <c r="L796" i="4"/>
  <c r="F796" i="4"/>
  <c r="L795" i="4"/>
  <c r="F795" i="4"/>
  <c r="L794" i="4"/>
  <c r="F794" i="4"/>
  <c r="L793" i="4"/>
  <c r="F793" i="4"/>
  <c r="L792" i="4"/>
  <c r="F792" i="4"/>
  <c r="L791" i="4"/>
  <c r="F791" i="4"/>
  <c r="L790" i="4"/>
  <c r="F790" i="4"/>
  <c r="L789" i="4"/>
  <c r="F789" i="4"/>
  <c r="L788" i="4"/>
  <c r="F788" i="4"/>
  <c r="L787" i="4"/>
  <c r="F787" i="4"/>
  <c r="L786" i="4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85" i="4"/>
  <c r="F797" i="4" s="1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F801" i="3"/>
  <c r="L800" i="3"/>
  <c r="F800" i="3"/>
  <c r="L799" i="3"/>
  <c r="F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F798" i="3"/>
  <c r="E797" i="3"/>
  <c r="E811" i="3" s="1"/>
  <c r="L796" i="3"/>
  <c r="F796" i="3"/>
  <c r="L795" i="3"/>
  <c r="F795" i="3"/>
  <c r="L794" i="3"/>
  <c r="F794" i="3"/>
  <c r="L793" i="3"/>
  <c r="F793" i="3"/>
  <c r="L792" i="3"/>
  <c r="F792" i="3"/>
  <c r="L791" i="3"/>
  <c r="F791" i="3"/>
  <c r="L790" i="3"/>
  <c r="F790" i="3"/>
  <c r="L789" i="3"/>
  <c r="F789" i="3"/>
  <c r="L788" i="3"/>
  <c r="F788" i="3"/>
  <c r="L787" i="3"/>
  <c r="F787" i="3"/>
  <c r="L786" i="3"/>
  <c r="F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F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L683" i="3"/>
  <c r="F683" i="3"/>
  <c r="L682" i="3"/>
  <c r="F682" i="3"/>
  <c r="L681" i="3"/>
  <c r="F681" i="3"/>
  <c r="L680" i="3"/>
  <c r="F680" i="3"/>
  <c r="L679" i="3"/>
  <c r="F679" i="3"/>
  <c r="L678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F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<sst xmlns="http://schemas.openxmlformats.org/spreadsheetml/2006/main" count="6910" uniqueCount="326">
  <si>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</si>
  <si>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</si>
  <si>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</si>
  <si>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</si>
  <si>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</si>
  <si>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</si>
  <si>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</si>
  <si>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</si>
  <si>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</si>
  <si>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</si>
  <si>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</si>
  <si>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</si>
  <si>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</si>
  <si>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</si>
  <si>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</si>
  <si>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</si>
  <si>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</si>
  <si>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</si>
  <si>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</si>
  <si>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</si>
  <si>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</si>
  <si>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</si>
  <si>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</si>
  <si>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</si>
  <si>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</si>
  <si>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</si>
  <si>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</si>
  <si>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</si>
  <si>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</si>
  <si>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</si>
  <si>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</si>
  <si>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</si>
  <si>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</si>
  <si>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</si>
  <si>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</si>
  <si>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</si>
  <si>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</si>
  <si>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</si>
  <si>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</si>
  <si>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</si>
  <si>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</si>
  <si>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</si>
  <si>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</si>
  <si>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</si>
  <si>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</si>
  <si>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</si>
  <si>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</si>
  <si>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</si>
  <si>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</si>
  <si>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</si>
  <si>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</si>
  <si>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</si>
  <si>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</si>
  <si>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</si>
  <si>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</si>
  <si>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</si>
  <si>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</si>
  <si>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</si>
  <si>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</si>
  <si>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</si>
  <si>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</si>
  <si>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</si>
  <si>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</si>
  <si>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</si>
  <si>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</si>
  <si>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</si>
  <si>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</si>
  <si>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</si>
  <si>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</si>
  <si>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</si>
  <si>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</si>
  <si>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</si>
  <si>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</si>
  <si>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</si>
  <si>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</si>
  <si>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</si>
  <si>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</si>
  <si>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</si>
  <si>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</si>
  <si>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</si>
  <si>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</si>
  <si>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</si>
  <si>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</si>
  <si>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</si>
  <si>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</si>
  <si>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</si>
  <si>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</si>
  <si>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</si>
  <si>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</si>
  <si>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</si>
  <si>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</si>
  <si>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</si>
  <si>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</si>
  <si>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</si>
  <si>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</si>
  <si>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</si>
  <si>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</si>
  <si>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</si>
  <si>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</si>
  <si>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</si>
  <si>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</si>
  <si>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</si>
  <si>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</si>
  <si>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</si>
  <si>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</si>
  <si>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</si>
  <si>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</si>
  <si>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</si>
  <si>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</si>
  <si>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</si>
  <si>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</si>
  <si>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</si>
  <si>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</si>
  <si>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</si>
  <si>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</si>
  <si>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</si>
  <si>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</si>
  <si>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</si>
  <si>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</si>
  <si>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</si>
  <si>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</si>
  <si>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</si>
  <si>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</si>
  <si>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</si>
  <si>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</si>
  <si>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</si>
  <si>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</si>
  <si>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</si>
  <si>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</si>
  <si>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</si>
  <si>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</si>
  <si>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</si>
  <si>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</si>
  <si>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</si>
  <si>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</si>
  <si>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</si>
  <si>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</si>
  <si>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</si>
  <si>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</si>
  <si>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</si>
  <si>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</si>
  <si>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</si>
  <si>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</si>
  <si>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</si>
  <si>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</si>
  <si>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</si>
  <si>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</si>
  <si>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</si>
  <si>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</si>
  <si>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</si>
  <si>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</si>
  <si>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</si>
  <si>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</si>
  <si>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</si>
  <si>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</si>
  <si>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</si>
  <si>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</si>
  <si>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</si>
  <si>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</si>
  <si>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</si>
  <si>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</si>
  <si>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</si>
  <si>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</si>
  <si>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Arrebentou acoplamento do bola 01</t>
  </si>
  <si>
    <t>reapertar bucha do rolamento</t>
  </si>
  <si>
    <t>troca do bico do ciclone</t>
  </si>
  <si>
    <t>faze um servico de solda na tampa do britado</t>
  </si>
  <si>
    <t>fazendo um servico de solda no cavalete da tc02</t>
  </si>
  <si>
    <t>emenda da tc 03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</si>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</sst>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2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4" activePane="bottomLeft" state="frozen"/>
      <selection pane="bottomLeft" activeCell="M9" sqref="M9"/>
    </sheetView>
  </sheetViews>
  <sheetFormatPr defaultColWidth="8.5703125" defaultRowHeight="15" x14ac:dyDescent="0.2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92" t="s">
        <v>0</v>
      </c>
      <c r="B1" s="92"/>
      <c r="C1" s="92"/>
      <c r="D1" s="92"/>
      <c r="E1" s="92"/>
      <c r="F1" s="92"/>
      <c r="G1" s="92"/>
    </row>
    <row r="2" spans="1:7" ht="25.35" customHeight="1" x14ac:dyDescent="0.25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25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25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25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25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25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25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25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25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25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25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25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25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25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25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25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25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25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25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25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25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25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25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25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25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25">
      <c r="A27" s="51">
        <v>24</v>
      </c>
      <c r="B27" s="52">
        <v>46197</v>
      </c>
      <c r="C27" s="53">
        <f>IFERROR(Britador!N649,"")</f>
        <v>0</v>
      </c>
      <c r="D27" s="53">
        <f>IFERROR('Linha 1'!N649,"")</f>
        <v>0</v>
      </c>
      <c r="E27" s="53">
        <f>IFERROR('Linha 2'!N649,"")</f>
        <v>0</v>
      </c>
      <c r="F27" s="53">
        <f>IFERROR('Linha 3'!N649,"")</f>
        <v>0</v>
      </c>
      <c r="G27" s="54">
        <f t="shared" si="0"/>
        <v>0</v>
      </c>
    </row>
    <row r="28" spans="1:7" ht="15.75" customHeight="1" x14ac:dyDescent="0.25">
      <c r="A28" s="47">
        <v>25</v>
      </c>
      <c r="B28" s="48">
        <v>46198</v>
      </c>
      <c r="C28" s="49">
        <f>IFERROR(Britador!N676,"")</f>
        <v>0</v>
      </c>
      <c r="D28" s="49">
        <f>IFERROR('Linha 1'!N676,"")</f>
        <v>0</v>
      </c>
      <c r="E28" s="49">
        <f>IFERROR('Linha 2'!N676,"")</f>
        <v>0</v>
      </c>
      <c r="F28" s="49">
        <f>IFERROR('Linha 3'!N676,"")</f>
        <v>0</v>
      </c>
      <c r="G28" s="50">
        <f t="shared" si="0"/>
        <v>0</v>
      </c>
    </row>
    <row r="29" spans="1:7" ht="15.75" customHeight="1" x14ac:dyDescent="0.25">
      <c r="A29" s="51">
        <v>26</v>
      </c>
      <c r="B29" s="52">
        <v>46199</v>
      </c>
      <c r="C29" s="53">
        <f>IFERROR(Britador!N703,"")</f>
        <v>0</v>
      </c>
      <c r="D29" s="53">
        <f>IFERROR('Linha 1'!N703,"")</f>
        <v>0</v>
      </c>
      <c r="E29" s="53">
        <f>IFERROR('Linha 2'!N703,"")</f>
        <v>0</v>
      </c>
      <c r="F29" s="53">
        <f>IFERROR('Linha 3'!N703,"")</f>
        <v>0</v>
      </c>
      <c r="G29" s="54">
        <f t="shared" si="0"/>
        <v>0</v>
      </c>
    </row>
    <row r="30" spans="1:7" ht="15.75" customHeight="1" x14ac:dyDescent="0.25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 x14ac:dyDescent="0.25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 x14ac:dyDescent="0.25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 x14ac:dyDescent="0.25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 x14ac:dyDescent="0.25">
      <c r="A34" s="94" t="s">
        <v>9</v>
      </c>
      <c r="B34" s="94"/>
      <c r="C34" s="55">
        <f t="shared" ref="C34:G34" si="1">IFERROR(SUM(C4:C33),"")</f>
        <v>37713130</v>
      </c>
      <c r="D34" s="55">
        <f t="shared" si="1"/>
        <v>19722230</v>
      </c>
      <c r="E34" s="55">
        <f t="shared" si="1"/>
        <v>7330090</v>
      </c>
      <c r="F34" s="55">
        <f t="shared" si="1"/>
        <v>22246175</v>
      </c>
      <c r="G34" s="55">
        <f t="shared" si="1"/>
        <v>49298495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G1" zoomScale="85" zoomScaleNormal="85" workbookViewId="0">
      <selection activeCell="M41" sqref="M41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36" customWidth="1"/>
    <col min="11" max="11" width="37.7109375" customWidth="1"/>
    <col min="12" max="12" width="36" customWidth="1"/>
    <col min="13" max="13" width="45.85546875" customWidth="1"/>
  </cols>
  <sheetData>
    <row r="1" spans="1:13" ht="27.75" customHeight="1" x14ac:dyDescent="0.25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 x14ac:dyDescent="0.25">
      <c r="H2" s="96"/>
    </row>
    <row r="3" spans="1:13" ht="21.75" customHeight="1" x14ac:dyDescent="0.25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25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25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25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25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25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25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25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25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25">
      <c r="A12" s="3"/>
      <c r="C12" s="3"/>
      <c r="E12" s="3"/>
      <c r="G12" s="3" t="s">
        <v>75</v>
      </c>
      <c r="H12" s="96"/>
      <c r="I12" s="3"/>
      <c r="J12" s="3" t="s">
        <v>76</v>
      </c>
      <c r="K12" s="3" t="s">
        <v>61</v>
      </c>
      <c r="L12" s="3" t="s">
        <v>77</v>
      </c>
      <c r="M12" s="3" t="s">
        <v>78</v>
      </c>
    </row>
    <row r="13" spans="1:13" ht="15.75" customHeight="1" x14ac:dyDescent="0.25">
      <c r="A13" s="4"/>
      <c r="C13" s="4"/>
      <c r="E13" s="4"/>
      <c r="G13" s="4" t="s">
        <v>79</v>
      </c>
      <c r="H13" s="96"/>
      <c r="I13" s="4"/>
      <c r="J13" s="4" t="s">
        <v>80</v>
      </c>
      <c r="K13" s="4" t="s">
        <v>81</v>
      </c>
      <c r="L13" s="4" t="s">
        <v>82</v>
      </c>
      <c r="M13" s="4" t="s">
        <v>83</v>
      </c>
    </row>
    <row r="14" spans="1:13" ht="15.75" customHeight="1" x14ac:dyDescent="0.25">
      <c r="A14" s="3"/>
      <c r="C14" s="3"/>
      <c r="E14" s="3"/>
      <c r="G14" s="3" t="s">
        <v>84</v>
      </c>
      <c r="H14" s="96"/>
      <c r="I14" s="3"/>
      <c r="J14" s="3" t="s">
        <v>85</v>
      </c>
      <c r="K14" s="3" t="s">
        <v>86</v>
      </c>
      <c r="L14" s="3" t="s">
        <v>87</v>
      </c>
      <c r="M14" s="3" t="s">
        <v>88</v>
      </c>
    </row>
    <row r="15" spans="1:13" ht="15.75" customHeight="1" x14ac:dyDescent="0.25">
      <c r="A15" s="4"/>
      <c r="C15" s="4"/>
      <c r="E15" s="4"/>
      <c r="G15" s="4" t="s">
        <v>89</v>
      </c>
      <c r="H15" s="96"/>
      <c r="I15" s="4"/>
      <c r="J15" s="4"/>
      <c r="K15" s="4" t="s">
        <v>90</v>
      </c>
      <c r="L15" s="4" t="s">
        <v>91</v>
      </c>
      <c r="M15" s="4" t="s">
        <v>92</v>
      </c>
    </row>
    <row r="16" spans="1:13" ht="15.75" customHeight="1" x14ac:dyDescent="0.25">
      <c r="A16" s="3"/>
      <c r="C16" s="3"/>
      <c r="E16" s="3"/>
      <c r="G16" s="3" t="s">
        <v>93</v>
      </c>
      <c r="H16" s="96"/>
      <c r="I16" s="3"/>
      <c r="J16" s="3"/>
      <c r="K16" s="3" t="s">
        <v>94</v>
      </c>
      <c r="L16" s="3" t="s">
        <v>95</v>
      </c>
      <c r="M16" s="3" t="s">
        <v>96</v>
      </c>
    </row>
    <row r="17" spans="1:13" ht="15.75" customHeight="1" x14ac:dyDescent="0.25">
      <c r="A17" s="4"/>
      <c r="C17" s="4"/>
      <c r="E17" s="4"/>
      <c r="G17" s="4" t="s">
        <v>97</v>
      </c>
      <c r="H17" s="96"/>
      <c r="I17" s="4"/>
      <c r="J17" s="4"/>
      <c r="K17" s="4" t="s">
        <v>98</v>
      </c>
      <c r="L17" s="4" t="s">
        <v>99</v>
      </c>
      <c r="M17" s="4" t="s">
        <v>100</v>
      </c>
    </row>
    <row r="18" spans="1:13" ht="15.75" customHeight="1" x14ac:dyDescent="0.25">
      <c r="A18" s="3"/>
      <c r="C18" s="3"/>
      <c r="E18" s="3"/>
      <c r="G18" s="3" t="s">
        <v>101</v>
      </c>
      <c r="H18" s="96"/>
      <c r="I18" s="3"/>
      <c r="J18" s="3"/>
      <c r="K18" s="3" t="s">
        <v>102</v>
      </c>
      <c r="L18" s="3" t="s">
        <v>103</v>
      </c>
      <c r="M18" s="3" t="s">
        <v>104</v>
      </c>
    </row>
    <row r="19" spans="1:13" ht="15.75" customHeight="1" x14ac:dyDescent="0.25">
      <c r="A19" s="4"/>
      <c r="C19" s="4"/>
      <c r="E19" s="4"/>
      <c r="G19" s="4" t="s">
        <v>105</v>
      </c>
      <c r="H19" s="96"/>
      <c r="I19" s="4"/>
      <c r="J19" s="4"/>
      <c r="K19" s="4" t="s">
        <v>106</v>
      </c>
      <c r="L19" s="4"/>
      <c r="M19" s="4" t="s">
        <v>107</v>
      </c>
    </row>
    <row r="20" spans="1:13" ht="15.75" customHeight="1" x14ac:dyDescent="0.25">
      <c r="A20" s="3"/>
      <c r="C20" s="3"/>
      <c r="E20" s="3"/>
      <c r="G20" s="3" t="s">
        <v>108</v>
      </c>
      <c r="H20" s="96"/>
      <c r="I20" s="3"/>
      <c r="J20" s="3"/>
      <c r="K20" s="3" t="s">
        <v>109</v>
      </c>
      <c r="L20" s="3"/>
      <c r="M20" s="3" t="s">
        <v>110</v>
      </c>
    </row>
    <row r="21" spans="1:13" ht="15.75" customHeight="1" x14ac:dyDescent="0.25">
      <c r="A21" s="4"/>
      <c r="C21" s="4"/>
      <c r="E21" s="4"/>
      <c r="G21" s="4" t="s">
        <v>111</v>
      </c>
      <c r="H21" s="96"/>
      <c r="I21" s="4"/>
      <c r="J21" s="4"/>
      <c r="K21" s="4" t="s">
        <v>112</v>
      </c>
      <c r="L21" s="4"/>
      <c r="M21" s="4" t="s">
        <v>113</v>
      </c>
    </row>
    <row r="22" spans="1:13" ht="15.75" customHeight="1" x14ac:dyDescent="0.25">
      <c r="A22" s="3"/>
      <c r="C22" s="3"/>
      <c r="E22" s="3"/>
      <c r="G22" s="3" t="s">
        <v>114</v>
      </c>
      <c r="H22" s="96"/>
      <c r="I22" s="3"/>
      <c r="J22" s="3"/>
      <c r="K22" s="3" t="s">
        <v>115</v>
      </c>
      <c r="L22" s="3"/>
      <c r="M22" s="3" t="s">
        <v>116</v>
      </c>
    </row>
    <row r="23" spans="1:13" ht="15.75" customHeight="1" x14ac:dyDescent="0.25">
      <c r="A23" s="4"/>
      <c r="C23" s="4"/>
      <c r="E23" s="4"/>
      <c r="G23" s="4" t="s">
        <v>117</v>
      </c>
      <c r="H23" s="96"/>
      <c r="I23" s="4"/>
      <c r="J23" s="4"/>
      <c r="K23" s="4" t="s">
        <v>118</v>
      </c>
      <c r="L23" s="4"/>
      <c r="M23" s="4" t="s">
        <v>119</v>
      </c>
    </row>
    <row r="24" spans="1:13" ht="15.75" customHeight="1" x14ac:dyDescent="0.25">
      <c r="A24" s="3"/>
      <c r="C24" s="3"/>
      <c r="E24" s="3"/>
      <c r="G24" s="3" t="s">
        <v>120</v>
      </c>
      <c r="H24" s="96"/>
      <c r="I24" s="3"/>
      <c r="J24" s="3"/>
      <c r="K24" s="3" t="s">
        <v>121</v>
      </c>
      <c r="L24" s="3"/>
      <c r="M24" s="3" t="s">
        <v>122</v>
      </c>
    </row>
    <row r="25" spans="1:13" ht="15.75" customHeight="1" x14ac:dyDescent="0.25">
      <c r="A25" s="4"/>
      <c r="C25" s="4"/>
      <c r="E25" s="4"/>
      <c r="G25" s="4" t="s">
        <v>123</v>
      </c>
      <c r="H25" s="96"/>
      <c r="I25" s="4"/>
      <c r="J25" s="4"/>
      <c r="K25" s="4" t="s">
        <v>124</v>
      </c>
      <c r="L25" s="4"/>
      <c r="M25" s="4" t="s">
        <v>125</v>
      </c>
    </row>
    <row r="26" spans="1:13" ht="15.75" customHeight="1" x14ac:dyDescent="0.25">
      <c r="A26" s="3"/>
      <c r="C26" s="3"/>
      <c r="E26" s="3"/>
      <c r="G26" s="3" t="s">
        <v>126</v>
      </c>
      <c r="H26" s="96"/>
      <c r="I26" s="3"/>
      <c r="J26" s="3"/>
      <c r="K26" s="3" t="s">
        <v>127</v>
      </c>
      <c r="L26" s="3"/>
      <c r="M26" s="3"/>
    </row>
    <row r="27" spans="1:13" ht="15.75" customHeight="1" x14ac:dyDescent="0.25">
      <c r="A27" s="4"/>
      <c r="C27" s="4"/>
      <c r="E27" s="4"/>
      <c r="G27" s="4" t="s">
        <v>128</v>
      </c>
      <c r="H27" s="96"/>
      <c r="I27" s="4"/>
      <c r="J27" s="4"/>
      <c r="K27" s="4" t="s">
        <v>119</v>
      </c>
      <c r="L27" s="4"/>
      <c r="M27" s="4" t="s">
        <v>62</v>
      </c>
    </row>
    <row r="28" spans="1:13" ht="15.75" customHeight="1" x14ac:dyDescent="0.25">
      <c r="A28" s="3"/>
      <c r="C28" s="3"/>
      <c r="E28" s="3"/>
      <c r="G28" s="3" t="s">
        <v>129</v>
      </c>
      <c r="H28" s="96"/>
      <c r="I28" s="3"/>
      <c r="J28" s="3"/>
      <c r="K28" s="3" t="s">
        <v>122</v>
      </c>
      <c r="L28" s="3"/>
      <c r="M28" s="3" t="s">
        <v>130</v>
      </c>
    </row>
    <row r="29" spans="1:13" ht="15.75" customHeight="1" x14ac:dyDescent="0.25">
      <c r="A29" s="4"/>
      <c r="C29" s="4"/>
      <c r="E29" s="4"/>
      <c r="G29" s="4" t="s">
        <v>131</v>
      </c>
      <c r="H29" s="96"/>
      <c r="I29" s="4"/>
      <c r="J29" s="4"/>
      <c r="K29" s="4" t="s">
        <v>132</v>
      </c>
      <c r="L29" s="4"/>
      <c r="M29" s="4" t="s">
        <v>133</v>
      </c>
    </row>
    <row r="30" spans="1:13" ht="15.75" customHeight="1" x14ac:dyDescent="0.25">
      <c r="A30" s="3"/>
      <c r="C30" s="3"/>
      <c r="E30" s="3"/>
      <c r="G30" s="3" t="s">
        <v>134</v>
      </c>
      <c r="H30" s="96"/>
      <c r="I30" s="3"/>
      <c r="J30" s="3"/>
      <c r="K30" s="3" t="s">
        <v>135</v>
      </c>
      <c r="L30" s="3"/>
      <c r="M30" s="3" t="s">
        <v>136</v>
      </c>
    </row>
    <row r="31" spans="1:13" ht="15.75" customHeight="1" x14ac:dyDescent="0.25">
      <c r="A31" s="4"/>
      <c r="C31" s="4"/>
      <c r="E31" s="4"/>
      <c r="G31" s="4" t="s">
        <v>137</v>
      </c>
      <c r="H31" s="96"/>
      <c r="I31" s="4"/>
      <c r="J31" s="4"/>
      <c r="K31" s="5" t="s">
        <v>138</v>
      </c>
      <c r="L31" s="4"/>
      <c r="M31" s="4" t="s">
        <v>139</v>
      </c>
    </row>
    <row r="32" spans="1:13" ht="15.75" customHeight="1" x14ac:dyDescent="0.25">
      <c r="A32" s="3"/>
      <c r="C32" s="3"/>
      <c r="E32" s="3"/>
      <c r="G32" s="3" t="s">
        <v>140</v>
      </c>
      <c r="H32" s="96"/>
      <c r="I32" s="3"/>
      <c r="J32" s="3"/>
      <c r="K32" s="3" t="s">
        <v>141</v>
      </c>
      <c r="L32" s="3"/>
      <c r="M32" t="s">
        <v>142</v>
      </c>
    </row>
    <row r="33" spans="1:13" ht="15.75" customHeight="1" x14ac:dyDescent="0.25">
      <c r="A33" s="4"/>
      <c r="C33" s="4"/>
      <c r="E33" s="4"/>
      <c r="G33" s="4" t="s">
        <v>143</v>
      </c>
      <c r="H33" s="96"/>
      <c r="I33" s="4"/>
      <c r="J33" s="4"/>
      <c r="K33" s="66" t="s">
        <v>144</v>
      </c>
      <c r="L33" s="4"/>
      <c r="M33" s="4" t="s">
        <v>20</v>
      </c>
    </row>
    <row r="34" spans="1:13" ht="15.75" customHeight="1" x14ac:dyDescent="0.25">
      <c r="A34" s="3"/>
      <c r="C34" s="3"/>
      <c r="E34" s="3"/>
      <c r="G34" s="3" t="s">
        <v>145</v>
      </c>
      <c r="H34" s="96"/>
      <c r="I34" s="3"/>
      <c r="J34" s="3"/>
      <c r="K34" s="3" t="s">
        <v>78</v>
      </c>
      <c r="L34" s="3"/>
      <c r="M34" s="3" t="s">
        <v>146</v>
      </c>
    </row>
    <row r="35" spans="1:13" ht="15.75" customHeight="1" x14ac:dyDescent="0.25">
      <c r="A35" s="4"/>
      <c r="C35" s="4"/>
      <c r="E35" s="4"/>
      <c r="G35" s="4" t="s">
        <v>147</v>
      </c>
      <c r="H35" s="96"/>
      <c r="I35" s="4"/>
      <c r="J35" s="4"/>
      <c r="K35" s="4" t="s">
        <v>148</v>
      </c>
      <c r="L35" s="4"/>
      <c r="M35" s="4" t="s">
        <v>149</v>
      </c>
    </row>
    <row r="36" spans="1:13" ht="15.75" customHeight="1" x14ac:dyDescent="0.25">
      <c r="A36" s="3"/>
      <c r="C36" s="3"/>
      <c r="E36" s="3"/>
      <c r="G36" s="3" t="s">
        <v>150</v>
      </c>
      <c r="H36" s="96"/>
      <c r="I36" s="3"/>
      <c r="J36" s="3"/>
      <c r="K36" s="3" t="s">
        <v>151</v>
      </c>
      <c r="L36" s="3"/>
      <c r="M36" s="3" t="s">
        <v>152</v>
      </c>
    </row>
    <row r="37" spans="1:13" ht="15.75" customHeight="1" x14ac:dyDescent="0.25">
      <c r="A37" s="4"/>
      <c r="C37" s="4"/>
      <c r="E37" s="4"/>
      <c r="G37" s="4" t="s">
        <v>153</v>
      </c>
      <c r="H37" s="96"/>
      <c r="I37" s="4"/>
      <c r="J37" s="4"/>
      <c r="K37" s="4" t="s">
        <v>154</v>
      </c>
      <c r="L37" s="4"/>
      <c r="M37" s="4" t="s">
        <v>155</v>
      </c>
    </row>
    <row r="38" spans="1:13" ht="15.75" customHeight="1" x14ac:dyDescent="0.25">
      <c r="A38" s="3"/>
      <c r="C38" s="3"/>
      <c r="E38" s="3"/>
      <c r="G38" s="3"/>
      <c r="H38" s="96"/>
      <c r="I38" s="3"/>
      <c r="J38" s="3"/>
      <c r="K38" s="3" t="s">
        <v>156</v>
      </c>
      <c r="L38" s="3"/>
      <c r="M38" s="3" t="s">
        <v>157</v>
      </c>
    </row>
    <row r="39" spans="1:13" ht="15.75" customHeight="1" x14ac:dyDescent="0.25">
      <c r="A39" s="4"/>
      <c r="C39" s="4"/>
      <c r="E39" s="4"/>
      <c r="G39" s="4"/>
      <c r="H39" s="96"/>
      <c r="I39" s="4"/>
      <c r="J39" s="4"/>
      <c r="K39" s="4" t="s">
        <v>158</v>
      </c>
      <c r="L39" s="4"/>
      <c r="M39" s="4" t="s">
        <v>159</v>
      </c>
    </row>
    <row r="40" spans="1:13" ht="15.75" customHeight="1" x14ac:dyDescent="0.25">
      <c r="A40" s="3"/>
      <c r="C40" s="3"/>
      <c r="E40" s="3"/>
      <c r="G40" s="3"/>
      <c r="H40" s="96"/>
      <c r="I40" s="3"/>
      <c r="J40" s="3"/>
      <c r="K40" s="3" t="s">
        <v>160</v>
      </c>
      <c r="L40" s="3"/>
      <c r="M40" s="3" t="s">
        <v>161</v>
      </c>
    </row>
    <row r="41" spans="1:13" ht="15.75" customHeight="1" x14ac:dyDescent="0.25">
      <c r="A41" s="4"/>
      <c r="C41" s="4"/>
      <c r="E41" s="4"/>
      <c r="G41" s="4"/>
      <c r="H41" s="96"/>
      <c r="I41" s="4"/>
      <c r="J41" s="4"/>
      <c r="K41" s="4" t="s">
        <v>162</v>
      </c>
      <c r="L41" s="4"/>
      <c r="M41" s="4"/>
    </row>
    <row r="42" spans="1:13" ht="15.75" customHeight="1" x14ac:dyDescent="0.25">
      <c r="A42" s="3"/>
      <c r="C42" s="3"/>
      <c r="E42" s="3"/>
      <c r="G42" s="3"/>
      <c r="H42" s="96"/>
      <c r="I42" s="3"/>
      <c r="J42" s="3"/>
      <c r="K42" s="3" t="s">
        <v>163</v>
      </c>
      <c r="L42" s="3"/>
      <c r="M42" s="3"/>
    </row>
    <row r="43" spans="1:13" ht="15.75" customHeight="1" x14ac:dyDescent="0.25">
      <c r="A43" s="4"/>
      <c r="C43" s="4"/>
      <c r="E43" s="4"/>
      <c r="G43" s="4"/>
      <c r="H43" s="96"/>
      <c r="I43" s="4"/>
      <c r="J43" s="4"/>
      <c r="K43" s="4" t="s">
        <v>164</v>
      </c>
      <c r="L43" s="4"/>
      <c r="M43" s="4"/>
    </row>
    <row r="44" spans="1:13" ht="15.75" customHeight="1" x14ac:dyDescent="0.25">
      <c r="A44" s="3"/>
      <c r="C44" s="3"/>
      <c r="E44" s="3"/>
      <c r="G44" s="3"/>
      <c r="H44" s="96"/>
      <c r="I44" s="3"/>
      <c r="J44" s="3"/>
      <c r="K44" s="3" t="s">
        <v>165</v>
      </c>
      <c r="L44" s="3"/>
      <c r="M44" s="3"/>
    </row>
    <row r="45" spans="1:13" ht="15.75" customHeight="1" x14ac:dyDescent="0.25">
      <c r="A45" s="4"/>
      <c r="C45" s="4"/>
      <c r="E45" s="4"/>
      <c r="G45" s="4"/>
      <c r="H45" s="96"/>
      <c r="I45" s="4"/>
      <c r="J45" s="4"/>
      <c r="K45" s="4" t="s">
        <v>166</v>
      </c>
      <c r="L45" s="4"/>
      <c r="M45" s="4"/>
    </row>
    <row r="46" spans="1:13" ht="15.75" customHeight="1" x14ac:dyDescent="0.25">
      <c r="A46" s="3"/>
      <c r="C46" s="3"/>
      <c r="E46" s="3"/>
      <c r="G46" s="3"/>
      <c r="H46" s="96"/>
      <c r="I46" s="3"/>
      <c r="J46" s="3"/>
      <c r="K46" s="3" t="s">
        <v>167</v>
      </c>
      <c r="L46" s="3"/>
      <c r="M46" s="3"/>
    </row>
    <row r="47" spans="1:13" ht="15.75" customHeight="1" x14ac:dyDescent="0.25">
      <c r="A47" s="4"/>
      <c r="C47" s="4"/>
      <c r="E47" s="4"/>
      <c r="G47" s="4"/>
      <c r="H47" s="96"/>
      <c r="I47" s="4"/>
      <c r="J47" s="4"/>
      <c r="K47" s="4" t="s">
        <v>168</v>
      </c>
      <c r="L47" s="4"/>
      <c r="M47" s="4"/>
    </row>
    <row r="48" spans="1:13" ht="15.75" customHeight="1" x14ac:dyDescent="0.25">
      <c r="A48" s="3"/>
      <c r="C48" s="3"/>
      <c r="E48" s="3"/>
      <c r="G48" s="3"/>
      <c r="H48" s="96"/>
      <c r="I48" s="3"/>
      <c r="J48" s="3"/>
      <c r="K48" s="3"/>
      <c r="L48" s="3"/>
      <c r="M48" s="3"/>
    </row>
    <row r="49" spans="1:13" ht="18" customHeight="1" x14ac:dyDescent="0.25">
      <c r="H49" s="96"/>
      <c r="I49" s="4"/>
      <c r="J49" s="4"/>
      <c r="K49" s="4"/>
      <c r="L49" s="4"/>
      <c r="M49" s="4"/>
    </row>
    <row r="50" spans="1:13" ht="21" customHeight="1" x14ac:dyDescent="0.25">
      <c r="A50" s="6" t="s">
        <v>169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 x14ac:dyDescent="0.25">
      <c r="H51" s="96"/>
      <c r="I51" s="4"/>
      <c r="J51" s="4"/>
      <c r="K51" s="4"/>
      <c r="L51" s="4"/>
      <c r="M51" s="4"/>
    </row>
    <row r="52" spans="1:13" ht="24" customHeight="1" x14ac:dyDescent="0.25">
      <c r="H52" s="96"/>
      <c r="I52" s="3"/>
      <c r="J52" s="3"/>
      <c r="K52" s="3"/>
      <c r="L52" s="3"/>
      <c r="M52" s="3"/>
    </row>
    <row r="53" spans="1:13" ht="36" customHeight="1" x14ac:dyDescent="0.25">
      <c r="H53" s="96"/>
      <c r="I53" s="4"/>
      <c r="J53" s="4"/>
      <c r="K53" s="4"/>
      <c r="L53" s="4"/>
      <c r="M53" s="4"/>
    </row>
    <row r="54" spans="1:13" ht="15" customHeight="1" x14ac:dyDescent="0.25">
      <c r="H54" s="96"/>
      <c r="I54" s="3"/>
      <c r="J54" s="3"/>
      <c r="K54" s="3"/>
      <c r="L54" s="3"/>
      <c r="M54" s="3"/>
    </row>
    <row r="55" spans="1:13" ht="15" customHeight="1" x14ac:dyDescent="0.25">
      <c r="H55" s="96"/>
      <c r="I55" s="4"/>
      <c r="J55" s="4"/>
      <c r="K55" s="4"/>
      <c r="L55" s="4"/>
      <c r="M55" s="4"/>
    </row>
    <row r="56" spans="1:13" ht="15" customHeight="1" x14ac:dyDescent="0.25">
      <c r="H56" s="96"/>
      <c r="I56" s="3"/>
      <c r="J56" s="3"/>
      <c r="K56" s="3"/>
      <c r="L56" s="3"/>
      <c r="M56" s="3"/>
    </row>
    <row r="57" spans="1:13" ht="15" customHeight="1" x14ac:dyDescent="0.25">
      <c r="H57" s="96"/>
      <c r="I57" s="4"/>
      <c r="J57" s="4"/>
      <c r="K57" s="4"/>
      <c r="L57" s="4"/>
      <c r="M57" s="4"/>
    </row>
    <row r="58" spans="1:13" ht="15" customHeight="1" x14ac:dyDescent="0.25">
      <c r="H58" s="96"/>
      <c r="I58" s="3"/>
      <c r="J58" s="3"/>
      <c r="K58" s="3"/>
      <c r="L58" s="3"/>
      <c r="M58" s="3"/>
    </row>
    <row r="59" spans="1:13" ht="15" customHeight="1" x14ac:dyDescent="0.25">
      <c r="H59" s="96"/>
      <c r="I59" s="4"/>
      <c r="J59" s="4"/>
      <c r="K59" s="4"/>
      <c r="L59" s="4"/>
      <c r="M59" s="4"/>
    </row>
    <row r="60" spans="1:13" ht="15" customHeight="1" x14ac:dyDescent="0.25">
      <c r="H60" s="96"/>
      <c r="I60" s="3"/>
      <c r="J60" s="3"/>
      <c r="K60" s="3"/>
      <c r="L60" s="3"/>
      <c r="M60" s="3"/>
    </row>
    <row r="61" spans="1:13" ht="15" customHeight="1" x14ac:dyDescent="0.25">
      <c r="H61" s="96"/>
      <c r="I61" s="4"/>
      <c r="J61" s="4"/>
      <c r="K61" s="4"/>
      <c r="L61" s="4"/>
      <c r="M61" s="4"/>
    </row>
    <row r="62" spans="1:13" ht="15" customHeight="1" x14ac:dyDescent="0.25">
      <c r="H62" s="96"/>
      <c r="I62" s="3"/>
      <c r="J62" s="3"/>
      <c r="K62" s="3"/>
      <c r="L62" s="3"/>
      <c r="M62" s="3"/>
    </row>
    <row r="63" spans="1:13" ht="15" customHeight="1" x14ac:dyDescent="0.25">
      <c r="H63" s="96"/>
      <c r="I63" s="4"/>
      <c r="J63" s="4"/>
      <c r="K63" s="4"/>
      <c r="L63" s="4"/>
      <c r="M63" s="4"/>
    </row>
    <row r="64" spans="1:13" ht="15" customHeight="1" x14ac:dyDescent="0.25">
      <c r="H64" s="96"/>
      <c r="I64" s="3"/>
      <c r="J64" s="3"/>
      <c r="K64" s="3"/>
      <c r="L64" s="3"/>
      <c r="M64" s="3"/>
    </row>
    <row r="65" spans="8:13" ht="15" customHeight="1" x14ac:dyDescent="0.25">
      <c r="H65" s="96"/>
      <c r="I65" s="4"/>
      <c r="J65" s="4"/>
      <c r="K65" s="4"/>
      <c r="L65" s="4"/>
      <c r="M65" s="4"/>
    </row>
    <row r="66" spans="8:13" ht="15" customHeight="1" x14ac:dyDescent="0.25">
      <c r="H66" s="96"/>
      <c r="I66" s="3"/>
      <c r="J66" s="3"/>
      <c r="K66" s="3"/>
      <c r="L66" s="3"/>
      <c r="M66" s="3"/>
    </row>
    <row r="67" spans="8:13" ht="15" customHeight="1" x14ac:dyDescent="0.25">
      <c r="H67" s="96"/>
      <c r="I67" s="4"/>
      <c r="J67" s="4"/>
      <c r="K67" s="4"/>
      <c r="L67" s="4"/>
      <c r="M67" s="4"/>
    </row>
    <row r="68" spans="8:13" ht="15" customHeight="1" x14ac:dyDescent="0.25">
      <c r="H68" s="96"/>
      <c r="I68" s="3"/>
      <c r="J68" s="3"/>
      <c r="K68" s="3"/>
      <c r="L68" s="3"/>
      <c r="M68" s="3"/>
    </row>
    <row r="69" spans="8:13" ht="15" customHeight="1" x14ac:dyDescent="0.25">
      <c r="H69" s="96"/>
      <c r="I69" s="4"/>
      <c r="J69" s="4"/>
      <c r="K69" s="4"/>
      <c r="L69" s="4"/>
      <c r="M69" s="4"/>
    </row>
    <row r="70" spans="8:13" ht="15" customHeight="1" x14ac:dyDescent="0.25">
      <c r="H70" s="96"/>
      <c r="I70" s="3"/>
      <c r="J70" s="3"/>
      <c r="K70" s="3"/>
      <c r="L70" s="3"/>
      <c r="M70" s="3"/>
    </row>
    <row r="71" spans="8:13" ht="15" customHeight="1" x14ac:dyDescent="0.25">
      <c r="H71" s="96"/>
      <c r="I71" s="4"/>
      <c r="J71" s="4"/>
      <c r="K71" s="4"/>
      <c r="L71" s="4"/>
      <c r="M71" s="4"/>
    </row>
    <row r="72" spans="8:13" ht="15" customHeight="1" x14ac:dyDescent="0.25">
      <c r="H72" s="96"/>
      <c r="I72" s="3"/>
      <c r="J72" s="3"/>
      <c r="K72" s="3"/>
      <c r="L72" s="3"/>
      <c r="M72" s="3"/>
    </row>
    <row r="73" spans="8:13" ht="15" customHeight="1" x14ac:dyDescent="0.25">
      <c r="H73" s="96"/>
      <c r="I73" s="4"/>
      <c r="J73" s="4"/>
      <c r="K73" s="4"/>
      <c r="L73" s="4"/>
      <c r="M73" s="4"/>
    </row>
    <row r="74" spans="8:13" ht="15" customHeight="1" x14ac:dyDescent="0.25">
      <c r="H74" s="96"/>
      <c r="I74" s="3"/>
      <c r="J74" s="3"/>
      <c r="K74" s="3"/>
      <c r="L74" s="3"/>
      <c r="M74" s="3"/>
    </row>
    <row r="75" spans="8:13" ht="15" customHeight="1" x14ac:dyDescent="0.25">
      <c r="H75" s="96"/>
      <c r="I75" s="4"/>
      <c r="J75" s="4"/>
      <c r="K75" s="4"/>
      <c r="L75" s="4"/>
      <c r="M75" s="4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topLeftCell="D1" zoomScale="80" zoomScaleNormal="80" workbookViewId="0">
      <pane ySplit="1" topLeftCell="A631" activePane="bottomLeft" state="frozen"/>
      <selection pane="bottomLeft" activeCell="M640" sqref="M640"/>
    </sheetView>
  </sheetViews>
  <sheetFormatPr defaultColWidth="8.5703125" defaultRowHeight="15" x14ac:dyDescent="0.2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 x14ac:dyDescent="0.25">
      <c r="A1" s="57" t="s">
        <v>7</v>
      </c>
      <c r="B1" s="8" t="s">
        <v>170</v>
      </c>
      <c r="C1" s="8" t="s">
        <v>12</v>
      </c>
      <c r="D1" s="8" t="s">
        <v>13</v>
      </c>
      <c r="E1" s="8" t="s">
        <v>171</v>
      </c>
      <c r="F1" s="8" t="s">
        <v>172</v>
      </c>
      <c r="G1" s="8" t="s">
        <v>14</v>
      </c>
      <c r="H1" s="8" t="s">
        <v>15</v>
      </c>
      <c r="I1" s="8" t="s">
        <v>173</v>
      </c>
      <c r="J1" s="8" t="s">
        <v>174</v>
      </c>
      <c r="K1" s="8" t="s">
        <v>175</v>
      </c>
      <c r="L1" s="69" t="s">
        <v>176</v>
      </c>
      <c r="M1" s="8" t="s">
        <v>177</v>
      </c>
      <c r="N1" s="8" t="s">
        <v>178</v>
      </c>
    </row>
    <row r="2" spans="1:14" ht="15" customHeight="1" x14ac:dyDescent="0.25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179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25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25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25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25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25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25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25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25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25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25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25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25">
      <c r="A14" s="98" t="s">
        <v>180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181</v>
      </c>
      <c r="N14" s="20">
        <v>2154940</v>
      </c>
    </row>
    <row r="15" spans="1:14" ht="15" customHeight="1" x14ac:dyDescent="0.25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116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25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116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25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116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25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116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25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116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25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116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25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116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25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116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25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116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25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116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25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116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25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116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25">
      <c r="A27" s="98" t="s">
        <v>182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181</v>
      </c>
      <c r="N27" s="20">
        <v>0</v>
      </c>
    </row>
    <row r="28" spans="1:14" ht="18" customHeight="1" x14ac:dyDescent="0.25">
      <c r="A28" s="91" t="s">
        <v>183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184</v>
      </c>
      <c r="N28" s="23">
        <f>IFERROR(N14+N27,"")</f>
        <v>2154940</v>
      </c>
    </row>
    <row r="29" spans="1:14" ht="15" customHeight="1" x14ac:dyDescent="0.25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25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25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25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25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25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25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25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25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134</v>
      </c>
      <c r="I37" s="16" t="s">
        <v>185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25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25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25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25">
      <c r="A41" s="98" t="s">
        <v>180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181</v>
      </c>
      <c r="N41" s="20">
        <v>1270000</v>
      </c>
    </row>
    <row r="42" spans="1:14" ht="15" customHeight="1" x14ac:dyDescent="0.25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25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25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25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25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25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25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25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25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25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25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25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25">
      <c r="A54" s="98" t="s">
        <v>182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181</v>
      </c>
      <c r="N54" s="20">
        <v>125660</v>
      </c>
    </row>
    <row r="55" spans="1:14" ht="18" customHeight="1" x14ac:dyDescent="0.25">
      <c r="A55" s="91" t="s">
        <v>183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184</v>
      </c>
      <c r="N55" s="23">
        <f>IFERROR(N41+N54,"")</f>
        <v>1395660</v>
      </c>
    </row>
    <row r="56" spans="1:14" ht="15" customHeight="1" x14ac:dyDescent="0.25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25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25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25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25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25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25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25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25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25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25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25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25">
      <c r="A68" s="98" t="s">
        <v>180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181</v>
      </c>
      <c r="N68" s="20">
        <v>126600</v>
      </c>
    </row>
    <row r="69" spans="1:14" ht="15" customHeight="1" x14ac:dyDescent="0.25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25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25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25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25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25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25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25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25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25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25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25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25">
      <c r="A81" s="98" t="s">
        <v>182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181</v>
      </c>
      <c r="N81" s="20">
        <v>580300</v>
      </c>
    </row>
    <row r="82" spans="1:14" ht="18" customHeight="1" x14ac:dyDescent="0.25">
      <c r="A82" s="91" t="s">
        <v>183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184</v>
      </c>
      <c r="N82" s="23">
        <f>IFERROR(N68+N81,"")</f>
        <v>706900</v>
      </c>
    </row>
    <row r="83" spans="1:14" ht="15" customHeight="1" x14ac:dyDescent="0.25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179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25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25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25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25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25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25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25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25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25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25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25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25">
      <c r="A95" s="98" t="s">
        <v>180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181</v>
      </c>
      <c r="N95" s="20">
        <v>1222500</v>
      </c>
    </row>
    <row r="96" spans="1:14" ht="15" customHeight="1" x14ac:dyDescent="0.25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25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186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25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25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25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25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25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25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25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134</v>
      </c>
      <c r="I104" s="10" t="s">
        <v>185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25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25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25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25">
      <c r="A108" s="98" t="s">
        <v>182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181</v>
      </c>
      <c r="N108" s="20">
        <v>652520</v>
      </c>
    </row>
    <row r="109" spans="1:14" ht="18" customHeight="1" x14ac:dyDescent="0.25">
      <c r="A109" s="91" t="s">
        <v>183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184</v>
      </c>
      <c r="N109" s="23">
        <f>IFERROR(N95+N108,"")</f>
        <v>1875020</v>
      </c>
    </row>
    <row r="110" spans="1:14" ht="15" customHeight="1" x14ac:dyDescent="0.25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187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25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25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25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25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25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25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25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25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25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25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25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25">
      <c r="A122" s="98" t="s">
        <v>180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181</v>
      </c>
      <c r="N122" s="20">
        <v>1525340</v>
      </c>
    </row>
    <row r="123" spans="1:14" ht="15" customHeight="1" x14ac:dyDescent="0.25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25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25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25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25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25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25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25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25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25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25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25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25">
      <c r="A135" s="98" t="s">
        <v>182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181</v>
      </c>
      <c r="N135" s="20">
        <v>909050</v>
      </c>
    </row>
    <row r="136" spans="1:14" ht="18" customHeight="1" x14ac:dyDescent="0.25">
      <c r="A136" s="91" t="s">
        <v>183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184</v>
      </c>
      <c r="N136" s="23">
        <f>IFERROR(N122+N135,"")</f>
        <v>2434390</v>
      </c>
    </row>
    <row r="137" spans="1:14" ht="15" customHeight="1" x14ac:dyDescent="0.25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179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25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25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25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25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25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25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25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25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25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25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25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">
      <c r="A149" s="98" t="s">
        <v>180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181</v>
      </c>
      <c r="N149" s="27">
        <v>1310690</v>
      </c>
    </row>
    <row r="150" spans="1:14" ht="15" customHeight="1" x14ac:dyDescent="0.25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134</v>
      </c>
      <c r="I150" s="10" t="s">
        <v>122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25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25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25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25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25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25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25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25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25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25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25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">
      <c r="A162" s="98" t="s">
        <v>182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181</v>
      </c>
      <c r="N162" s="27">
        <v>1048880</v>
      </c>
    </row>
    <row r="163" spans="1:14" ht="18" customHeight="1" x14ac:dyDescent="0.25">
      <c r="A163" s="91" t="s">
        <v>183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184</v>
      </c>
      <c r="N163" s="23">
        <f>IFERROR(N149+N162,"")</f>
        <v>2359570</v>
      </c>
    </row>
    <row r="164" spans="1:14" ht="15" customHeight="1" x14ac:dyDescent="0.25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187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25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134</v>
      </c>
      <c r="I165" s="16" t="s">
        <v>122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25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188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25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25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25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25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25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25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25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25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25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25">
      <c r="A176" s="98" t="s">
        <v>180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181</v>
      </c>
      <c r="N176" s="20">
        <v>1807860</v>
      </c>
    </row>
    <row r="177" spans="1:14" ht="15" customHeight="1" x14ac:dyDescent="0.25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25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25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25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25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25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25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25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25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25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25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25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25">
      <c r="A189" s="98" t="s">
        <v>182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181</v>
      </c>
      <c r="N189" s="20">
        <v>797540</v>
      </c>
    </row>
    <row r="190" spans="1:14" ht="18" customHeight="1" x14ac:dyDescent="0.25">
      <c r="A190" s="91" t="s">
        <v>183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184</v>
      </c>
      <c r="N190" s="23">
        <f>IFERROR(N176+N189,"")</f>
        <v>2605400</v>
      </c>
    </row>
    <row r="191" spans="1:14" ht="15" customHeight="1" x14ac:dyDescent="0.25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187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189</v>
      </c>
      <c r="N191" s="14"/>
    </row>
    <row r="192" spans="1:14" ht="15" customHeight="1" x14ac:dyDescent="0.25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134</v>
      </c>
      <c r="I192" s="10" t="s">
        <v>122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25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25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25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25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25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25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25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25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25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25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25">
      <c r="A203" s="98" t="s">
        <v>180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181</v>
      </c>
      <c r="N203" s="28">
        <v>784290</v>
      </c>
    </row>
    <row r="204" spans="1:14" ht="15" customHeight="1" x14ac:dyDescent="0.25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25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25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25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25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25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25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25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25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25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25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25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25">
      <c r="A216" s="98" t="s">
        <v>182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181</v>
      </c>
      <c r="N216" s="28">
        <v>203080</v>
      </c>
    </row>
    <row r="217" spans="1:14" ht="18" customHeight="1" x14ac:dyDescent="0.25">
      <c r="A217" s="91" t="s">
        <v>183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184</v>
      </c>
      <c r="N217" s="31">
        <f>IFERROR(N203+N216,"")</f>
        <v>987370</v>
      </c>
    </row>
    <row r="218" spans="1:14" ht="15" customHeight="1" x14ac:dyDescent="0.25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25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25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25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25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25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25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25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25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25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25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25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25">
      <c r="A230" s="98" t="s">
        <v>180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181</v>
      </c>
      <c r="N230" s="20">
        <v>0</v>
      </c>
    </row>
    <row r="231" spans="1:14" ht="15" customHeight="1" x14ac:dyDescent="0.25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141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25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25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25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25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25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25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25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25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25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25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25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25">
      <c r="A243" s="98" t="s">
        <v>182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181</v>
      </c>
      <c r="N243" s="20">
        <v>0</v>
      </c>
    </row>
    <row r="244" spans="1:14" ht="18" customHeight="1" x14ac:dyDescent="0.25">
      <c r="A244" s="91" t="s">
        <v>183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184</v>
      </c>
      <c r="N244" s="31">
        <f>IFERROR(N230+N243,"")</f>
        <v>0</v>
      </c>
    </row>
    <row r="245" spans="1:14" ht="15" customHeight="1" x14ac:dyDescent="0.25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141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25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144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25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25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147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25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25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25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25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25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25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25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25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25">
      <c r="A257" s="98" t="s">
        <v>180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181</v>
      </c>
      <c r="N257" s="20">
        <v>452700</v>
      </c>
    </row>
    <row r="258" spans="1:14" ht="15" customHeight="1" x14ac:dyDescent="0.25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25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25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25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25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25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25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25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25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25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25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25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25">
      <c r="A270" s="98" t="s">
        <v>182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181</v>
      </c>
      <c r="N270" s="20">
        <f>346400+269080</f>
        <v>615480</v>
      </c>
    </row>
    <row r="271" spans="1:14" ht="18" customHeight="1" x14ac:dyDescent="0.25">
      <c r="A271" s="91" t="s">
        <v>183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184</v>
      </c>
      <c r="N271" s="31">
        <f>IFERROR(N257+N270,"")</f>
        <v>1068180</v>
      </c>
    </row>
    <row r="272" spans="1:14" ht="15" customHeight="1" x14ac:dyDescent="0.25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25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125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190</v>
      </c>
      <c r="N273" s="30"/>
    </row>
    <row r="274" spans="1:14" ht="15" customHeight="1" x14ac:dyDescent="0.25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25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25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25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25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25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25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25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25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25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25">
      <c r="A284" s="98" t="s">
        <v>180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181</v>
      </c>
      <c r="N284" s="20">
        <v>918100</v>
      </c>
    </row>
    <row r="285" spans="1:14" ht="15" customHeight="1" x14ac:dyDescent="0.25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102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25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25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25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25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25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25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25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25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25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25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25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25">
      <c r="A297" s="98" t="s">
        <v>182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181</v>
      </c>
      <c r="N297" s="20">
        <f>35160+383610</f>
        <v>418770</v>
      </c>
    </row>
    <row r="298" spans="1:14" ht="18" customHeight="1" x14ac:dyDescent="0.25">
      <c r="A298" s="91" t="s">
        <v>183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184</v>
      </c>
      <c r="N298" s="31">
        <f>IFERROR(N284+N297,"")</f>
        <v>1336870</v>
      </c>
    </row>
    <row r="299" spans="1:14" ht="15" customHeight="1" x14ac:dyDescent="0.25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118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191</v>
      </c>
      <c r="N299" s="30"/>
    </row>
    <row r="300" spans="1:14" ht="15" customHeight="1" x14ac:dyDescent="0.25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25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25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25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25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25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25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25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25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25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25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25">
      <c r="A311" s="98" t="s">
        <v>180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181</v>
      </c>
      <c r="N311" s="20"/>
    </row>
    <row r="312" spans="1:14" ht="15" customHeight="1" x14ac:dyDescent="0.25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25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192</v>
      </c>
      <c r="N313" s="30"/>
    </row>
    <row r="314" spans="1:14" ht="15" customHeight="1" x14ac:dyDescent="0.25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25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25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25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25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25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25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25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25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25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25">
      <c r="A324" s="98" t="s">
        <v>182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181</v>
      </c>
      <c r="N324" s="20">
        <f>411220+466620</f>
        <v>877840</v>
      </c>
    </row>
    <row r="325" spans="1:14" ht="18" customHeight="1" x14ac:dyDescent="0.25">
      <c r="A325" s="91" t="s">
        <v>183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184</v>
      </c>
      <c r="N325" s="31">
        <f>IFERROR(N311+N324,"")</f>
        <v>877840</v>
      </c>
    </row>
    <row r="326" spans="1:14" ht="15" customHeight="1" x14ac:dyDescent="0.25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25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25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25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25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25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25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25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25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25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25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25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25">
      <c r="A338" s="98" t="s">
        <v>180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181</v>
      </c>
      <c r="N338" s="20">
        <v>1451850</v>
      </c>
    </row>
    <row r="339" spans="1:14" ht="15" customHeight="1" x14ac:dyDescent="0.25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25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25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25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25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25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25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25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25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25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25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25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25">
      <c r="A351" s="98" t="s">
        <v>182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181</v>
      </c>
      <c r="N351" s="20"/>
    </row>
    <row r="352" spans="1:14" ht="18" customHeight="1" x14ac:dyDescent="0.25">
      <c r="A352" s="91" t="s">
        <v>183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184</v>
      </c>
      <c r="N352" s="31">
        <f>IFERROR(N338+N351,"")</f>
        <v>1451850</v>
      </c>
    </row>
    <row r="353" spans="1:14" ht="15" customHeight="1" x14ac:dyDescent="0.25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134</v>
      </c>
      <c r="I353" s="16" t="s">
        <v>118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194</v>
      </c>
      <c r="N353" s="30"/>
    </row>
    <row r="354" spans="1:14" ht="15" customHeight="1" x14ac:dyDescent="0.25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25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25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25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25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25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25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25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25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25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25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25">
      <c r="A365" s="98" t="s">
        <v>180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181</v>
      </c>
      <c r="N365" s="20">
        <v>631530</v>
      </c>
    </row>
    <row r="366" spans="1:14" ht="15" customHeight="1" x14ac:dyDescent="0.25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113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195</v>
      </c>
      <c r="N366" s="30"/>
    </row>
    <row r="367" spans="1:14" ht="15" customHeight="1" x14ac:dyDescent="0.25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122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196</v>
      </c>
      <c r="N367" s="30"/>
    </row>
    <row r="368" spans="1:14" ht="15" customHeight="1" x14ac:dyDescent="0.25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25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25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25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25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25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25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25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25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25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25">
      <c r="A378" s="98" t="s">
        <v>182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181</v>
      </c>
      <c r="N378" s="20">
        <v>1299920</v>
      </c>
    </row>
    <row r="379" spans="1:14" ht="18" customHeight="1" x14ac:dyDescent="0.25">
      <c r="A379" s="91" t="s">
        <v>183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184</v>
      </c>
      <c r="N379" s="31">
        <f>IFERROR(N365+N378,"")</f>
        <v>1931450</v>
      </c>
    </row>
    <row r="380" spans="1:14" ht="15" customHeight="1" x14ac:dyDescent="0.25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25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130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25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118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25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25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25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25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25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25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25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25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25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25">
      <c r="A392" s="98" t="s">
        <v>180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181</v>
      </c>
      <c r="N392" s="20">
        <v>1723080</v>
      </c>
    </row>
    <row r="393" spans="1:14" ht="15" customHeight="1" x14ac:dyDescent="0.25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133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25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133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25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25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25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25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25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25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25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25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25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25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25">
      <c r="A405" s="98" t="s">
        <v>182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181</v>
      </c>
      <c r="N405" s="20">
        <v>1342790</v>
      </c>
    </row>
    <row r="406" spans="1:14" ht="18" customHeight="1" x14ac:dyDescent="0.25">
      <c r="A406" s="91" t="s">
        <v>183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184</v>
      </c>
      <c r="N406" s="31">
        <f>IFERROR(N392+N405,"")</f>
        <v>3065870</v>
      </c>
    </row>
    <row r="407" spans="1:14" ht="15" customHeight="1" x14ac:dyDescent="0.25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136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25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122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25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197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25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25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25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25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25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25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25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25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25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25">
      <c r="A419" s="98" t="s">
        <v>180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181</v>
      </c>
      <c r="N419" s="20">
        <v>1218660</v>
      </c>
    </row>
    <row r="420" spans="1:14" ht="15" customHeight="1" x14ac:dyDescent="0.25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133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25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133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198</v>
      </c>
      <c r="N421" s="30"/>
    </row>
    <row r="422" spans="1:14" ht="15" customHeight="1" x14ac:dyDescent="0.25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25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25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25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25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25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25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25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25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25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25">
      <c r="A432" s="98" t="s">
        <v>182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181</v>
      </c>
      <c r="N432" s="20">
        <v>963120</v>
      </c>
    </row>
    <row r="433" spans="1:14" ht="18" customHeight="1" x14ac:dyDescent="0.25">
      <c r="A433" s="91" t="s">
        <v>183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184</v>
      </c>
      <c r="N433" s="31">
        <f>IFERROR(N419+N432,"")</f>
        <v>2181780</v>
      </c>
    </row>
    <row r="434" spans="1:14" ht="15" customHeight="1" x14ac:dyDescent="0.25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87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25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25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25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25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25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25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25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25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25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25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25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25">
      <c r="A446" s="82" t="s">
        <v>180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181</v>
      </c>
      <c r="N446" s="20">
        <v>1779640</v>
      </c>
    </row>
    <row r="447" spans="1:14" ht="15" customHeight="1" x14ac:dyDescent="0.25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133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25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25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25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133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25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25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25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25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25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25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25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25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25">
      <c r="A459" s="98" t="s">
        <v>182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181</v>
      </c>
      <c r="N459" s="20">
        <v>534910</v>
      </c>
    </row>
    <row r="460" spans="1:14" ht="18" customHeight="1" x14ac:dyDescent="0.25">
      <c r="A460" s="91" t="s">
        <v>183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184</v>
      </c>
      <c r="N460" s="31">
        <f>IFERROR(N446+N459,"")</f>
        <v>2314550</v>
      </c>
    </row>
    <row r="461" spans="1:14" ht="15" customHeight="1" x14ac:dyDescent="0.25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199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25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130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25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200</v>
      </c>
      <c r="N463" s="30"/>
    </row>
    <row r="464" spans="1:14" ht="15" customHeight="1" x14ac:dyDescent="0.25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25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25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25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25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25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25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25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25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25">
      <c r="A473" s="98" t="s">
        <v>180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181</v>
      </c>
      <c r="N473" s="20">
        <v>505740</v>
      </c>
    </row>
    <row r="474" spans="1:14" ht="15" customHeight="1" x14ac:dyDescent="0.25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25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25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25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25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25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25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25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25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25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25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25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25">
      <c r="A486" s="98" t="s">
        <v>182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181</v>
      </c>
      <c r="N486" s="20">
        <v>557170</v>
      </c>
    </row>
    <row r="487" spans="1:14" ht="18" customHeight="1" x14ac:dyDescent="0.25">
      <c r="A487" s="91" t="s">
        <v>183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184</v>
      </c>
      <c r="N487" s="31">
        <f>IFERROR(N473+N486,"")</f>
        <v>1062910</v>
      </c>
    </row>
    <row r="488" spans="1:14" ht="15" customHeight="1" x14ac:dyDescent="0.25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118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25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25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25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25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25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25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25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25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25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25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25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25">
      <c r="A500" s="98" t="s">
        <v>180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181</v>
      </c>
      <c r="N500" s="20">
        <v>866460</v>
      </c>
    </row>
    <row r="501" spans="1:14" ht="15" customHeight="1" x14ac:dyDescent="0.25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118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201</v>
      </c>
      <c r="N501" s="30"/>
    </row>
    <row r="502" spans="1:14" ht="15" customHeight="1" x14ac:dyDescent="0.25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25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25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25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25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25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25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25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25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25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25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25">
      <c r="A513" s="98" t="s">
        <v>182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181</v>
      </c>
      <c r="N513" s="20">
        <v>701090</v>
      </c>
    </row>
    <row r="514" spans="1:14" ht="18" customHeight="1" x14ac:dyDescent="0.25">
      <c r="A514" s="91" t="s">
        <v>183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184</v>
      </c>
      <c r="N514" s="31">
        <f>IFERROR(N500+N513,"")</f>
        <v>1567550</v>
      </c>
    </row>
    <row r="515" spans="1:14" ht="15" customHeight="1" x14ac:dyDescent="0.25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85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202</v>
      </c>
      <c r="N515" s="30"/>
    </row>
    <row r="516" spans="1:14" ht="15" customHeight="1" x14ac:dyDescent="0.25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202</v>
      </c>
      <c r="N516" s="30"/>
    </row>
    <row r="517" spans="1:14" ht="15" customHeight="1" x14ac:dyDescent="0.25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203</v>
      </c>
      <c r="N517" s="30"/>
    </row>
    <row r="518" spans="1:14" ht="15" customHeight="1" x14ac:dyDescent="0.25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25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25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25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25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25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25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25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25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25">
      <c r="A527" s="98" t="s">
        <v>180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181</v>
      </c>
      <c r="N527" s="20">
        <v>880000</v>
      </c>
    </row>
    <row r="528" spans="1:14" ht="15" customHeight="1" x14ac:dyDescent="0.25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25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25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25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25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25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25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25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25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25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25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25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25">
      <c r="A540" s="98" t="s">
        <v>182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181</v>
      </c>
      <c r="N540" s="20">
        <v>915770</v>
      </c>
    </row>
    <row r="541" spans="1:14" ht="18" customHeight="1" x14ac:dyDescent="0.25">
      <c r="A541" s="91" t="s">
        <v>183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184</v>
      </c>
      <c r="N541" s="31">
        <f>IFERROR(N527+N540,"")</f>
        <v>1795770</v>
      </c>
    </row>
    <row r="542" spans="1:14" ht="15" customHeight="1" x14ac:dyDescent="0.25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204</v>
      </c>
      <c r="N542" s="30"/>
    </row>
    <row r="543" spans="1:14" ht="15" customHeight="1" x14ac:dyDescent="0.25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205</v>
      </c>
      <c r="N543" s="30"/>
    </row>
    <row r="544" spans="1:14" ht="15" customHeight="1" x14ac:dyDescent="0.25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206</v>
      </c>
      <c r="N544" s="30"/>
    </row>
    <row r="545" spans="1:14" ht="15" customHeight="1" x14ac:dyDescent="0.25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25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25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25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25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25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25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25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25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25">
      <c r="A554" s="98" t="s">
        <v>180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181</v>
      </c>
      <c r="N554" s="20">
        <v>1522750</v>
      </c>
    </row>
    <row r="555" spans="1:14" ht="15" customHeight="1" x14ac:dyDescent="0.25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149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25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25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25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25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25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25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25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25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25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25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25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25">
      <c r="A567" s="98" t="s">
        <v>182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181</v>
      </c>
      <c r="N567" s="20">
        <v>636740</v>
      </c>
    </row>
    <row r="568" spans="1:14" ht="18" customHeight="1" x14ac:dyDescent="0.25">
      <c r="A568" s="91" t="s">
        <v>183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184</v>
      </c>
      <c r="N568" s="31">
        <f>IFERROR(N554+N567,"")</f>
        <v>2159490</v>
      </c>
    </row>
    <row r="569" spans="1:14" ht="15" customHeight="1" x14ac:dyDescent="0.25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149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207</v>
      </c>
      <c r="N569" s="30"/>
    </row>
    <row r="570" spans="1:14" ht="15" customHeight="1" x14ac:dyDescent="0.25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96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208</v>
      </c>
      <c r="N570" s="30"/>
    </row>
    <row r="571" spans="1:14" ht="15" customHeight="1" x14ac:dyDescent="0.25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25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25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25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25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25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25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25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25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25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25">
      <c r="A581" s="98" t="s">
        <v>180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181</v>
      </c>
      <c r="N581" s="20">
        <v>1192180</v>
      </c>
    </row>
    <row r="582" spans="1:14" ht="15" customHeight="1" x14ac:dyDescent="0.25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25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25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25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25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25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133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25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122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209</v>
      </c>
      <c r="N588" s="30"/>
    </row>
    <row r="589" spans="1:14" ht="15" customHeight="1" x14ac:dyDescent="0.25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25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25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25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25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25">
      <c r="A594" s="98" t="s">
        <v>182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181</v>
      </c>
      <c r="N594" s="20">
        <v>394820</v>
      </c>
    </row>
    <row r="595" spans="1:14" ht="18" customHeight="1" x14ac:dyDescent="0.25">
      <c r="A595" s="91" t="s">
        <v>183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184</v>
      </c>
      <c r="N595" s="31">
        <f>IFERROR(N581+N594,"")</f>
        <v>1587000</v>
      </c>
    </row>
    <row r="596" spans="1:14" ht="15" customHeight="1" x14ac:dyDescent="0.25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99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210</v>
      </c>
      <c r="N596" s="30"/>
    </row>
    <row r="597" spans="1:14" ht="15" customHeight="1" x14ac:dyDescent="0.25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122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211</v>
      </c>
      <c r="N597" s="30"/>
    </row>
    <row r="598" spans="1:14" ht="15" customHeight="1" x14ac:dyDescent="0.25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122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211</v>
      </c>
      <c r="N598" s="30"/>
    </row>
    <row r="599" spans="1:14" ht="15" customHeight="1" x14ac:dyDescent="0.25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154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212</v>
      </c>
      <c r="N599" s="30"/>
    </row>
    <row r="600" spans="1:14" ht="15" customHeight="1" x14ac:dyDescent="0.25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25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25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25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25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25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25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25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25">
      <c r="A608" s="98" t="s">
        <v>180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181</v>
      </c>
      <c r="N608" s="20">
        <v>205400</v>
      </c>
    </row>
    <row r="609" spans="1:14" ht="15" customHeight="1" x14ac:dyDescent="0.25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166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25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167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25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118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25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25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25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25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25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25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25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25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25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25">
      <c r="A621" s="98" t="s">
        <v>182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181</v>
      </c>
      <c r="N621" s="20">
        <v>587370</v>
      </c>
    </row>
    <row r="622" spans="1:14" ht="18" customHeight="1" x14ac:dyDescent="0.25">
      <c r="A622" s="91" t="s">
        <v>183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184</v>
      </c>
      <c r="N622" s="31">
        <f>IFERROR(N608+N621,"")</f>
        <v>792770</v>
      </c>
    </row>
    <row r="623" spans="1:14" ht="15" customHeight="1" x14ac:dyDescent="0.25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168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25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161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25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/>
      <c r="H625" s="16"/>
      <c r="I625" s="16"/>
      <c r="J625" s="13"/>
      <c r="K625" s="13"/>
      <c r="L625" s="71" t="str">
        <f t="shared" si="142"/>
        <v/>
      </c>
      <c r="M625" s="29"/>
      <c r="N625" s="30"/>
    </row>
    <row r="626" spans="1:14" ht="15" customHeight="1" x14ac:dyDescent="0.25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25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25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25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25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/>
      <c r="F630" s="12" t="str">
        <f t="shared" si="141"/>
        <v/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25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/>
      <c r="F631" s="17" t="str">
        <f t="shared" si="141"/>
        <v/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25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/>
      <c r="F632" s="12" t="str">
        <f t="shared" si="141"/>
        <v/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25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/>
      <c r="F633" s="17" t="str">
        <f t="shared" si="141"/>
        <v/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25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/>
      <c r="F634" s="12" t="str">
        <f t="shared" si="141"/>
        <v/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25">
      <c r="A635" s="98" t="s">
        <v>180</v>
      </c>
      <c r="B635" s="98"/>
      <c r="C635" s="98"/>
      <c r="D635" s="98"/>
      <c r="E635" s="19">
        <f>SUM(E623:E634)</f>
        <v>107</v>
      </c>
      <c r="F635" s="19">
        <f>SUM(F623:F634)</f>
        <v>535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181</v>
      </c>
      <c r="N635" s="20"/>
    </row>
    <row r="636" spans="1:14" ht="15" customHeight="1" x14ac:dyDescent="0.25">
      <c r="A636" s="58">
        <v>46197</v>
      </c>
      <c r="B636" s="9">
        <v>0.83333333333333304</v>
      </c>
      <c r="C636" s="10"/>
      <c r="D636" s="10"/>
      <c r="E636" s="11"/>
      <c r="F636" s="12" t="str">
        <f t="shared" ref="F636:F647" si="144">IF(E636="","",E636*5)</f>
        <v/>
      </c>
      <c r="G636" s="10"/>
      <c r="H636" s="10"/>
      <c r="I636" s="10"/>
      <c r="J636" s="13"/>
      <c r="K636" s="13"/>
      <c r="L636" s="70" t="str">
        <f t="shared" ref="L636:L647" si="145">IFERROR(IF(K636="","",IF(K636&gt;=J636,K636-J636,K636+1-J636)),"")</f>
        <v/>
      </c>
      <c r="M636" s="29"/>
      <c r="N636" s="30"/>
    </row>
    <row r="637" spans="1:14" ht="15" customHeight="1" x14ac:dyDescent="0.25">
      <c r="A637" s="59">
        <v>46197</v>
      </c>
      <c r="B637" s="15">
        <f t="shared" ref="B637:B647" si="146">B636+TIME(0,60,0)</f>
        <v>0.87499999999999967</v>
      </c>
      <c r="C637" s="16"/>
      <c r="D637" s="16"/>
      <c r="E637" s="11"/>
      <c r="F637" s="17" t="str">
        <f t="shared" si="144"/>
        <v/>
      </c>
      <c r="G637" s="16"/>
      <c r="H637" s="16"/>
      <c r="I637" s="16"/>
      <c r="J637" s="13"/>
      <c r="K637" s="13"/>
      <c r="L637" s="71" t="str">
        <f t="shared" si="145"/>
        <v/>
      </c>
      <c r="M637" s="29" t="s">
        <v>325</v>
      </c>
      <c r="N637" s="30"/>
    </row>
    <row r="638" spans="1:14" ht="15" customHeight="1" x14ac:dyDescent="0.25">
      <c r="A638" s="58">
        <v>46197</v>
      </c>
      <c r="B638" s="9">
        <f t="shared" si="146"/>
        <v>0.9166666666666663</v>
      </c>
      <c r="C638" s="10"/>
      <c r="D638" s="10"/>
      <c r="E638" s="11"/>
      <c r="F638" s="12" t="str">
        <f t="shared" si="144"/>
        <v/>
      </c>
      <c r="G638" s="10"/>
      <c r="H638" s="10"/>
      <c r="I638" s="10"/>
      <c r="J638" s="13"/>
      <c r="K638" s="13"/>
      <c r="L638" s="70" t="str">
        <f t="shared" si="145"/>
        <v/>
      </c>
      <c r="M638" s="29"/>
      <c r="N638" s="30"/>
    </row>
    <row r="639" spans="1:14" ht="15" customHeight="1" x14ac:dyDescent="0.25">
      <c r="A639" s="59">
        <v>46197</v>
      </c>
      <c r="B639" s="15">
        <f t="shared" si="146"/>
        <v>0.95833333333333293</v>
      </c>
      <c r="C639" s="16"/>
      <c r="D639" s="16"/>
      <c r="E639" s="11"/>
      <c r="F639" s="17" t="str">
        <f t="shared" si="144"/>
        <v/>
      </c>
      <c r="G639" s="16"/>
      <c r="H639" s="16"/>
      <c r="I639" s="16"/>
      <c r="J639" s="13"/>
      <c r="K639" s="13"/>
      <c r="L639" s="71" t="str">
        <f t="shared" si="145"/>
        <v/>
      </c>
      <c r="M639" s="29"/>
      <c r="N639" s="30"/>
    </row>
    <row r="640" spans="1:14" ht="15" customHeight="1" x14ac:dyDescent="0.25">
      <c r="A640" s="58">
        <v>46197</v>
      </c>
      <c r="B640" s="9">
        <f t="shared" si="146"/>
        <v>0.99999999999999956</v>
      </c>
      <c r="C640" s="10"/>
      <c r="D640" s="10"/>
      <c r="E640" s="11"/>
      <c r="F640" s="12" t="str">
        <f t="shared" si="144"/>
        <v/>
      </c>
      <c r="G640" s="10"/>
      <c r="H640" s="10"/>
      <c r="I640" s="10"/>
      <c r="J640" s="13"/>
      <c r="K640" s="13"/>
      <c r="L640" s="70" t="str">
        <f t="shared" si="145"/>
        <v/>
      </c>
      <c r="M640" s="29"/>
      <c r="N640" s="30"/>
    </row>
    <row r="641" spans="1:14" ht="15" customHeight="1" x14ac:dyDescent="0.25">
      <c r="A641" s="59">
        <v>46197</v>
      </c>
      <c r="B641" s="15">
        <f t="shared" si="146"/>
        <v>1.0416666666666663</v>
      </c>
      <c r="C641" s="16"/>
      <c r="D641" s="16"/>
      <c r="E641" s="11"/>
      <c r="F641" s="17" t="str">
        <f t="shared" si="144"/>
        <v/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25">
      <c r="A642" s="58">
        <v>46197</v>
      </c>
      <c r="B642" s="9">
        <f t="shared" si="146"/>
        <v>1.083333333333333</v>
      </c>
      <c r="C642" s="10"/>
      <c r="D642" s="10"/>
      <c r="E642" s="11"/>
      <c r="F642" s="12" t="str">
        <f t="shared" si="144"/>
        <v/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25">
      <c r="A643" s="59">
        <v>46197</v>
      </c>
      <c r="B643" s="15">
        <f t="shared" si="146"/>
        <v>1.1249999999999998</v>
      </c>
      <c r="C643" s="16"/>
      <c r="D643" s="16"/>
      <c r="E643" s="11"/>
      <c r="F643" s="17" t="str">
        <f t="shared" si="144"/>
        <v/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25">
      <c r="A644" s="58">
        <v>46197</v>
      </c>
      <c r="B644" s="9">
        <f t="shared" si="146"/>
        <v>1.1666666666666665</v>
      </c>
      <c r="C644" s="10"/>
      <c r="D644" s="10"/>
      <c r="E644" s="11"/>
      <c r="F644" s="12" t="str">
        <f t="shared" si="144"/>
        <v/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25">
      <c r="A645" s="59">
        <v>46197</v>
      </c>
      <c r="B645" s="15">
        <f t="shared" si="146"/>
        <v>1.2083333333333333</v>
      </c>
      <c r="C645" s="16"/>
      <c r="D645" s="16"/>
      <c r="E645" s="11"/>
      <c r="F645" s="17" t="str">
        <f t="shared" si="144"/>
        <v/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25">
      <c r="A646" s="58">
        <v>46197</v>
      </c>
      <c r="B646" s="9">
        <f t="shared" si="146"/>
        <v>1.25</v>
      </c>
      <c r="C646" s="10"/>
      <c r="D646" s="10"/>
      <c r="E646" s="11"/>
      <c r="F646" s="12" t="str">
        <f t="shared" si="144"/>
        <v/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25">
      <c r="A647" s="59">
        <v>46197</v>
      </c>
      <c r="B647" s="15">
        <f t="shared" si="146"/>
        <v>1.2916666666666667</v>
      </c>
      <c r="C647" s="16"/>
      <c r="D647" s="16"/>
      <c r="E647" s="11"/>
      <c r="F647" s="17" t="str">
        <f t="shared" si="144"/>
        <v/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25">
      <c r="A648" s="98" t="s">
        <v>182</v>
      </c>
      <c r="B648" s="98"/>
      <c r="C648" s="98"/>
      <c r="D648" s="98"/>
      <c r="E648" s="19">
        <f>SUM(E636:E647)</f>
        <v>0</v>
      </c>
      <c r="F648" s="19">
        <f>SUM(F636:F647)</f>
        <v>0</v>
      </c>
      <c r="G648" s="18"/>
      <c r="H648" s="18"/>
      <c r="I648" s="18"/>
      <c r="J648" s="18"/>
      <c r="K648" s="18"/>
      <c r="L648" s="72">
        <f>IFERROR(SUM(L636:L647),"")</f>
        <v>0</v>
      </c>
      <c r="M648" s="19" t="s">
        <v>181</v>
      </c>
      <c r="N648" s="20"/>
    </row>
    <row r="649" spans="1:14" ht="18" customHeight="1" x14ac:dyDescent="0.25">
      <c r="A649" s="91" t="s">
        <v>183</v>
      </c>
      <c r="B649" s="91"/>
      <c r="C649" s="91"/>
      <c r="D649" s="91"/>
      <c r="E649" s="22">
        <f>E635+E648</f>
        <v>107</v>
      </c>
      <c r="F649" s="22">
        <f>F635+F648</f>
        <v>535</v>
      </c>
      <c r="G649" s="21"/>
      <c r="H649" s="21"/>
      <c r="I649" s="21"/>
      <c r="J649" s="21"/>
      <c r="K649" s="21"/>
      <c r="L649" s="73">
        <f>IFERROR(L635+L648,"")</f>
        <v>0.16805555555555557</v>
      </c>
      <c r="M649" s="22" t="s">
        <v>184</v>
      </c>
      <c r="N649" s="31">
        <f>IFERROR(N635+N648,"")</f>
        <v>0</v>
      </c>
    </row>
    <row r="650" spans="1:14" ht="15" customHeight="1" x14ac:dyDescent="0.25">
      <c r="A650" s="58">
        <v>46198</v>
      </c>
      <c r="B650" s="9">
        <v>0.33333333333333298</v>
      </c>
      <c r="C650" s="10"/>
      <c r="D650" s="10"/>
      <c r="E650" s="11"/>
      <c r="F650" s="12" t="str">
        <f t="shared" ref="F650:F661" si="147">IF(E650="","",E650*5)</f>
        <v/>
      </c>
      <c r="G650" s="10"/>
      <c r="H650" s="10"/>
      <c r="I650" s="10"/>
      <c r="J650" s="13"/>
      <c r="K650" s="13"/>
      <c r="L650" s="70" t="str">
        <f t="shared" ref="L650:L661" si="148">IFERROR(IF(K650="","",IF(K650&gt;=J650,K650-J650,K650+1-J650)),"")</f>
        <v/>
      </c>
      <c r="M650" s="29"/>
      <c r="N650" s="30"/>
    </row>
    <row r="651" spans="1:14" ht="15" customHeight="1" x14ac:dyDescent="0.25">
      <c r="A651" s="59">
        <v>46198</v>
      </c>
      <c r="B651" s="15">
        <f t="shared" ref="B651:B661" si="149">B650+TIME(0,60,0)</f>
        <v>0.37499999999999967</v>
      </c>
      <c r="C651" s="16"/>
      <c r="D651" s="16"/>
      <c r="E651" s="11"/>
      <c r="F651" s="17" t="str">
        <f t="shared" si="147"/>
        <v/>
      </c>
      <c r="G651" s="16"/>
      <c r="H651" s="16"/>
      <c r="I651" s="16"/>
      <c r="J651" s="13"/>
      <c r="K651" s="13"/>
      <c r="L651" s="71" t="str">
        <f t="shared" si="148"/>
        <v/>
      </c>
      <c r="M651" s="29"/>
      <c r="N651" s="30"/>
    </row>
    <row r="652" spans="1:14" ht="15" customHeight="1" x14ac:dyDescent="0.25">
      <c r="A652" s="58">
        <v>46198</v>
      </c>
      <c r="B652" s="9">
        <f t="shared" si="149"/>
        <v>0.41666666666666635</v>
      </c>
      <c r="C652" s="10"/>
      <c r="D652" s="10"/>
      <c r="E652" s="11"/>
      <c r="F652" s="12" t="str">
        <f t="shared" si="147"/>
        <v/>
      </c>
      <c r="G652" s="10"/>
      <c r="H652" s="10"/>
      <c r="I652" s="10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25">
      <c r="A653" s="59">
        <v>46198</v>
      </c>
      <c r="B653" s="15">
        <f t="shared" si="149"/>
        <v>0.45833333333333304</v>
      </c>
      <c r="C653" s="16"/>
      <c r="D653" s="16"/>
      <c r="E653" s="11"/>
      <c r="F653" s="17" t="str">
        <f t="shared" si="147"/>
        <v/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25">
      <c r="A654" s="58">
        <v>46198</v>
      </c>
      <c r="B654" s="9">
        <f t="shared" si="149"/>
        <v>0.49999999999999972</v>
      </c>
      <c r="C654" s="10"/>
      <c r="D654" s="10"/>
      <c r="E654" s="11"/>
      <c r="F654" s="12" t="str">
        <f t="shared" si="147"/>
        <v/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25">
      <c r="A655" s="59">
        <v>46198</v>
      </c>
      <c r="B655" s="15">
        <f t="shared" si="149"/>
        <v>0.54166666666666641</v>
      </c>
      <c r="C655" s="16"/>
      <c r="D655" s="16"/>
      <c r="E655" s="11"/>
      <c r="F655" s="17" t="str">
        <f t="shared" si="147"/>
        <v/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25">
      <c r="A656" s="58">
        <v>46198</v>
      </c>
      <c r="B656" s="9">
        <f t="shared" si="149"/>
        <v>0.58333333333333304</v>
      </c>
      <c r="C656" s="10"/>
      <c r="D656" s="10"/>
      <c r="E656" s="11"/>
      <c r="F656" s="12" t="str">
        <f t="shared" si="147"/>
        <v/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25">
      <c r="A657" s="59">
        <v>46198</v>
      </c>
      <c r="B657" s="15">
        <f t="shared" si="149"/>
        <v>0.62499999999999967</v>
      </c>
      <c r="C657" s="16"/>
      <c r="D657" s="16"/>
      <c r="E657" s="11"/>
      <c r="F657" s="17" t="str">
        <f t="shared" si="147"/>
        <v/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25">
      <c r="A658" s="58">
        <v>46198</v>
      </c>
      <c r="B658" s="9">
        <f t="shared" si="149"/>
        <v>0.6666666666666663</v>
      </c>
      <c r="C658" s="10"/>
      <c r="D658" s="10"/>
      <c r="E658" s="11"/>
      <c r="F658" s="12" t="str">
        <f t="shared" si="147"/>
        <v/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25">
      <c r="A659" s="59">
        <v>46198</v>
      </c>
      <c r="B659" s="15">
        <f t="shared" si="149"/>
        <v>0.70833333333333293</v>
      </c>
      <c r="C659" s="16"/>
      <c r="D659" s="16"/>
      <c r="E659" s="11"/>
      <c r="F659" s="17" t="str">
        <f t="shared" si="147"/>
        <v/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25">
      <c r="A660" s="58">
        <v>46198</v>
      </c>
      <c r="B660" s="9">
        <f t="shared" si="149"/>
        <v>0.74999999999999956</v>
      </c>
      <c r="C660" s="10"/>
      <c r="D660" s="10"/>
      <c r="E660" s="11"/>
      <c r="F660" s="12" t="str">
        <f t="shared" si="147"/>
        <v/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25">
      <c r="A661" s="59">
        <v>46198</v>
      </c>
      <c r="B661" s="15">
        <f t="shared" si="149"/>
        <v>0.79166666666666619</v>
      </c>
      <c r="C661" s="16"/>
      <c r="D661" s="16"/>
      <c r="E661" s="11"/>
      <c r="F661" s="17" t="str">
        <f t="shared" si="147"/>
        <v/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25">
      <c r="A662" s="98" t="s">
        <v>180</v>
      </c>
      <c r="B662" s="98"/>
      <c r="C662" s="98"/>
      <c r="D662" s="98"/>
      <c r="E662" s="19">
        <f>SUM(E650:E661)</f>
        <v>0</v>
      </c>
      <c r="F662" s="19">
        <f>SUM(F650:F661)</f>
        <v>0</v>
      </c>
      <c r="G662" s="18"/>
      <c r="H662" s="18"/>
      <c r="I662" s="18"/>
      <c r="J662" s="18"/>
      <c r="K662" s="18"/>
      <c r="L662" s="72">
        <f>IFERROR(SUM(L650:L661),"")</f>
        <v>0</v>
      </c>
      <c r="M662" s="19" t="s">
        <v>181</v>
      </c>
      <c r="N662" s="20"/>
    </row>
    <row r="663" spans="1:14" ht="15" customHeight="1" x14ac:dyDescent="0.25">
      <c r="A663" s="59">
        <v>46198</v>
      </c>
      <c r="B663" s="15">
        <v>0.83333333333333304</v>
      </c>
      <c r="C663" s="16"/>
      <c r="D663" s="16"/>
      <c r="E663" s="11"/>
      <c r="F663" s="17" t="str">
        <f t="shared" ref="F663:F674" si="150">IF(E663="","",E663*5)</f>
        <v/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25">
      <c r="A664" s="58">
        <v>46198</v>
      </c>
      <c r="B664" s="9">
        <f t="shared" ref="B664:B674" si="152">B663+TIME(0,60,0)</f>
        <v>0.87499999999999967</v>
      </c>
      <c r="C664" s="10"/>
      <c r="D664" s="10"/>
      <c r="E664" s="11"/>
      <c r="F664" s="12" t="str">
        <f t="shared" si="150"/>
        <v/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25">
      <c r="A665" s="59">
        <v>46198</v>
      </c>
      <c r="B665" s="15">
        <f t="shared" si="152"/>
        <v>0.9166666666666663</v>
      </c>
      <c r="C665" s="16"/>
      <c r="D665" s="16"/>
      <c r="E665" s="11"/>
      <c r="F665" s="17" t="str">
        <f t="shared" si="150"/>
        <v/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25">
      <c r="A666" s="58">
        <v>46198</v>
      </c>
      <c r="B666" s="9">
        <f t="shared" si="152"/>
        <v>0.95833333333333293</v>
      </c>
      <c r="C666" s="10"/>
      <c r="D666" s="10"/>
      <c r="E666" s="11"/>
      <c r="F666" s="12" t="str">
        <f t="shared" si="150"/>
        <v/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25">
      <c r="A667" s="59">
        <v>46198</v>
      </c>
      <c r="B667" s="15">
        <f t="shared" si="152"/>
        <v>0.99999999999999956</v>
      </c>
      <c r="C667" s="16"/>
      <c r="D667" s="16"/>
      <c r="E667" s="11"/>
      <c r="F667" s="17" t="str">
        <f t="shared" si="150"/>
        <v/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25">
      <c r="A668" s="58">
        <v>46198</v>
      </c>
      <c r="B668" s="9">
        <f t="shared" si="152"/>
        <v>1.0416666666666663</v>
      </c>
      <c r="C668" s="10"/>
      <c r="D668" s="10"/>
      <c r="E668" s="11"/>
      <c r="F668" s="12" t="str">
        <f t="shared" si="150"/>
        <v/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25">
      <c r="A669" s="59">
        <v>46198</v>
      </c>
      <c r="B669" s="15">
        <f t="shared" si="152"/>
        <v>1.083333333333333</v>
      </c>
      <c r="C669" s="16"/>
      <c r="D669" s="16"/>
      <c r="E669" s="11"/>
      <c r="F669" s="17" t="str">
        <f t="shared" si="150"/>
        <v/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25">
      <c r="A670" s="58">
        <v>46198</v>
      </c>
      <c r="B670" s="9">
        <f t="shared" si="152"/>
        <v>1.1249999999999998</v>
      </c>
      <c r="C670" s="10"/>
      <c r="D670" s="10"/>
      <c r="E670" s="11"/>
      <c r="F670" s="12" t="str">
        <f t="shared" si="150"/>
        <v/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25">
      <c r="A671" s="59">
        <v>46198</v>
      </c>
      <c r="B671" s="15">
        <f t="shared" si="152"/>
        <v>1.1666666666666665</v>
      </c>
      <c r="C671" s="16"/>
      <c r="D671" s="16"/>
      <c r="E671" s="11"/>
      <c r="F671" s="17" t="str">
        <f t="shared" si="150"/>
        <v/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25">
      <c r="A672" s="58">
        <v>46198</v>
      </c>
      <c r="B672" s="9">
        <f t="shared" si="152"/>
        <v>1.2083333333333333</v>
      </c>
      <c r="C672" s="10"/>
      <c r="D672" s="10"/>
      <c r="E672" s="11"/>
      <c r="F672" s="12" t="str">
        <f t="shared" si="150"/>
        <v/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25">
      <c r="A673" s="59">
        <v>46198</v>
      </c>
      <c r="B673" s="15">
        <f t="shared" si="152"/>
        <v>1.25</v>
      </c>
      <c r="C673" s="16"/>
      <c r="D673" s="16"/>
      <c r="E673" s="11"/>
      <c r="F673" s="17" t="str">
        <f t="shared" si="150"/>
        <v/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25">
      <c r="A674" s="58">
        <v>46198</v>
      </c>
      <c r="B674" s="9">
        <f t="shared" si="152"/>
        <v>1.2916666666666667</v>
      </c>
      <c r="C674" s="10"/>
      <c r="D674" s="10"/>
      <c r="E674" s="11"/>
      <c r="F674" s="12" t="str">
        <f t="shared" si="150"/>
        <v/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25">
      <c r="A675" s="98" t="s">
        <v>182</v>
      </c>
      <c r="B675" s="98"/>
      <c r="C675" s="98"/>
      <c r="D675" s="98"/>
      <c r="E675" s="19">
        <f>SUM(E663:E674)</f>
        <v>0</v>
      </c>
      <c r="F675" s="19">
        <f>SUM(F663:F674)</f>
        <v>0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181</v>
      </c>
      <c r="N675" s="20"/>
    </row>
    <row r="676" spans="1:14" ht="18" customHeight="1" x14ac:dyDescent="0.25">
      <c r="A676" s="91" t="s">
        <v>183</v>
      </c>
      <c r="B676" s="91"/>
      <c r="C676" s="91"/>
      <c r="D676" s="91"/>
      <c r="E676" s="22">
        <f>E662+E675</f>
        <v>0</v>
      </c>
      <c r="F676" s="22">
        <f>F662+F675</f>
        <v>0</v>
      </c>
      <c r="G676" s="21"/>
      <c r="H676" s="21"/>
      <c r="I676" s="21"/>
      <c r="J676" s="21"/>
      <c r="K676" s="21"/>
      <c r="L676" s="73">
        <f>IFERROR(L662+L675,"")</f>
        <v>0</v>
      </c>
      <c r="M676" s="22" t="s">
        <v>184</v>
      </c>
      <c r="N676" s="31">
        <f>IFERROR(N662+N675,"")</f>
        <v>0</v>
      </c>
    </row>
    <row r="677" spans="1:14" ht="15" customHeight="1" x14ac:dyDescent="0.25">
      <c r="A677" s="59">
        <v>46199</v>
      </c>
      <c r="B677" s="15">
        <v>0.33333333333333298</v>
      </c>
      <c r="C677" s="16"/>
      <c r="D677" s="16"/>
      <c r="E677" s="11"/>
      <c r="F677" s="17" t="str">
        <f t="shared" ref="F677:F688" si="153">IF(E677="","",E677*5)</f>
        <v/>
      </c>
      <c r="G677" s="16"/>
      <c r="H677" s="16"/>
      <c r="I677" s="16"/>
      <c r="J677" s="13"/>
      <c r="K677" s="13"/>
      <c r="L677" s="71" t="str">
        <f t="shared" ref="L677:L688" si="154">IFERROR(IF(K677="","",IF(K677&gt;=J677,K677-J677,K677+1-J677)),"")</f>
        <v/>
      </c>
      <c r="M677" s="29"/>
      <c r="N677" s="30"/>
    </row>
    <row r="678" spans="1:14" ht="15" customHeight="1" x14ac:dyDescent="0.25">
      <c r="A678" s="58">
        <v>46199</v>
      </c>
      <c r="B678" s="9">
        <f t="shared" ref="B678:B688" si="155">B677+TIME(0,60,0)</f>
        <v>0.37499999999999967</v>
      </c>
      <c r="C678" s="10"/>
      <c r="D678" s="10"/>
      <c r="E678" s="11"/>
      <c r="F678" s="12" t="str">
        <f t="shared" si="153"/>
        <v/>
      </c>
      <c r="G678" s="10"/>
      <c r="H678" s="10"/>
      <c r="I678" s="10"/>
      <c r="J678" s="13"/>
      <c r="K678" s="13"/>
      <c r="L678" s="70" t="str">
        <f t="shared" si="154"/>
        <v/>
      </c>
      <c r="M678" s="29"/>
      <c r="N678" s="30"/>
    </row>
    <row r="679" spans="1:14" ht="15" customHeight="1" x14ac:dyDescent="0.25">
      <c r="A679" s="59">
        <v>46199</v>
      </c>
      <c r="B679" s="15">
        <f t="shared" si="155"/>
        <v>0.41666666666666635</v>
      </c>
      <c r="C679" s="16"/>
      <c r="D679" s="16"/>
      <c r="E679" s="11"/>
      <c r="F679" s="17" t="str">
        <f t="shared" si="153"/>
        <v/>
      </c>
      <c r="G679" s="16"/>
      <c r="H679" s="16"/>
      <c r="I679" s="16"/>
      <c r="J679" s="13"/>
      <c r="K679" s="13"/>
      <c r="L679" s="71" t="str">
        <f t="shared" si="154"/>
        <v/>
      </c>
      <c r="M679" s="29"/>
      <c r="N679" s="30"/>
    </row>
    <row r="680" spans="1:14" ht="15" customHeight="1" x14ac:dyDescent="0.25">
      <c r="A680" s="58">
        <v>46199</v>
      </c>
      <c r="B680" s="9">
        <f t="shared" si="155"/>
        <v>0.45833333333333304</v>
      </c>
      <c r="C680" s="10"/>
      <c r="D680" s="10"/>
      <c r="E680" s="11"/>
      <c r="F680" s="12" t="str">
        <f t="shared" si="153"/>
        <v/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25">
      <c r="A681" s="59">
        <v>46199</v>
      </c>
      <c r="B681" s="15">
        <f t="shared" si="155"/>
        <v>0.49999999999999972</v>
      </c>
      <c r="C681" s="16"/>
      <c r="D681" s="16"/>
      <c r="E681" s="11"/>
      <c r="F681" s="17" t="str">
        <f t="shared" si="153"/>
        <v/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25">
      <c r="A682" s="58">
        <v>46199</v>
      </c>
      <c r="B682" s="9">
        <f t="shared" si="155"/>
        <v>0.54166666666666641</v>
      </c>
      <c r="C682" s="10"/>
      <c r="D682" s="10"/>
      <c r="E682" s="11"/>
      <c r="F682" s="12" t="str">
        <f t="shared" si="153"/>
        <v/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25">
      <c r="A683" s="59">
        <v>46199</v>
      </c>
      <c r="B683" s="15">
        <f t="shared" si="155"/>
        <v>0.58333333333333304</v>
      </c>
      <c r="C683" s="16"/>
      <c r="D683" s="16"/>
      <c r="E683" s="11"/>
      <c r="F683" s="17" t="str">
        <f t="shared" si="153"/>
        <v/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25">
      <c r="A684" s="58">
        <v>46199</v>
      </c>
      <c r="B684" s="9">
        <f t="shared" si="155"/>
        <v>0.62499999999999967</v>
      </c>
      <c r="C684" s="10"/>
      <c r="D684" s="10"/>
      <c r="E684" s="11"/>
      <c r="F684" s="12" t="str">
        <f t="shared" si="153"/>
        <v/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25">
      <c r="A685" s="59">
        <v>46199</v>
      </c>
      <c r="B685" s="15">
        <f t="shared" si="155"/>
        <v>0.6666666666666663</v>
      </c>
      <c r="C685" s="16"/>
      <c r="D685" s="16"/>
      <c r="E685" s="11"/>
      <c r="F685" s="17" t="str">
        <f t="shared" si="153"/>
        <v/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25">
      <c r="A686" s="58">
        <v>46199</v>
      </c>
      <c r="B686" s="9">
        <f t="shared" si="155"/>
        <v>0.70833333333333293</v>
      </c>
      <c r="C686" s="10"/>
      <c r="D686" s="10"/>
      <c r="E686" s="11"/>
      <c r="F686" s="12" t="str">
        <f t="shared" si="153"/>
        <v/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25">
      <c r="A687" s="59">
        <v>46199</v>
      </c>
      <c r="B687" s="15">
        <f t="shared" si="155"/>
        <v>0.74999999999999956</v>
      </c>
      <c r="C687" s="16"/>
      <c r="D687" s="16"/>
      <c r="E687" s="11"/>
      <c r="F687" s="17" t="str">
        <f t="shared" si="153"/>
        <v/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25">
      <c r="A688" s="58">
        <v>46199</v>
      </c>
      <c r="B688" s="9">
        <f t="shared" si="155"/>
        <v>0.79166666666666619</v>
      </c>
      <c r="C688" s="10"/>
      <c r="D688" s="10"/>
      <c r="E688" s="11"/>
      <c r="F688" s="12" t="str">
        <f t="shared" si="153"/>
        <v/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25">
      <c r="A689" s="98" t="s">
        <v>180</v>
      </c>
      <c r="B689" s="98"/>
      <c r="C689" s="98"/>
      <c r="D689" s="98"/>
      <c r="E689" s="19">
        <f>SUM(E677:E688)</f>
        <v>0</v>
      </c>
      <c r="F689" s="19">
        <f>SUM(F677:F688)</f>
        <v>0</v>
      </c>
      <c r="G689" s="18"/>
      <c r="H689" s="18"/>
      <c r="I689" s="18"/>
      <c r="J689" s="18"/>
      <c r="K689" s="18"/>
      <c r="L689" s="72">
        <f>IFERROR(SUM(L677:L688),"")</f>
        <v>0</v>
      </c>
      <c r="M689" s="19" t="s">
        <v>181</v>
      </c>
      <c r="N689" s="20"/>
    </row>
    <row r="690" spans="1:14" ht="15" customHeight="1" x14ac:dyDescent="0.25">
      <c r="A690" s="58">
        <v>46199</v>
      </c>
      <c r="B690" s="9">
        <v>0.83333333333333304</v>
      </c>
      <c r="C690" s="10"/>
      <c r="D690" s="10"/>
      <c r="E690" s="11"/>
      <c r="F690" s="12" t="str">
        <f t="shared" ref="F690:F701" si="156">IF(E690="","",E690*5)</f>
        <v/>
      </c>
      <c r="G690" s="10"/>
      <c r="H690" s="10"/>
      <c r="I690" s="10"/>
      <c r="J690" s="13"/>
      <c r="K690" s="13"/>
      <c r="L690" s="70" t="str">
        <f t="shared" ref="L690:L701" si="157">IFERROR(IF(K690="","",IF(K690&gt;=J690,K690-J690,K690+1-J690)),"")</f>
        <v/>
      </c>
      <c r="M690" s="29"/>
      <c r="N690" s="30"/>
    </row>
    <row r="691" spans="1:14" ht="15" customHeight="1" x14ac:dyDescent="0.25">
      <c r="A691" s="59">
        <v>46199</v>
      </c>
      <c r="B691" s="15">
        <f t="shared" ref="B691:B701" si="158">B690+TIME(0,60,0)</f>
        <v>0.87499999999999967</v>
      </c>
      <c r="C691" s="16"/>
      <c r="D691" s="16"/>
      <c r="E691" s="11"/>
      <c r="F691" s="17" t="str">
        <f t="shared" si="156"/>
        <v/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25">
      <c r="A692" s="58">
        <v>46199</v>
      </c>
      <c r="B692" s="9">
        <f t="shared" si="158"/>
        <v>0.9166666666666663</v>
      </c>
      <c r="C692" s="10"/>
      <c r="D692" s="10"/>
      <c r="E692" s="11"/>
      <c r="F692" s="12" t="str">
        <f t="shared" si="156"/>
        <v/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25">
      <c r="A693" s="59">
        <v>46199</v>
      </c>
      <c r="B693" s="15">
        <f t="shared" si="158"/>
        <v>0.95833333333333293</v>
      </c>
      <c r="C693" s="16"/>
      <c r="D693" s="16"/>
      <c r="E693" s="11"/>
      <c r="F693" s="17" t="str">
        <f t="shared" si="156"/>
        <v/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25">
      <c r="A694" s="58">
        <v>46199</v>
      </c>
      <c r="B694" s="9">
        <f t="shared" si="158"/>
        <v>0.99999999999999956</v>
      </c>
      <c r="C694" s="10"/>
      <c r="D694" s="10"/>
      <c r="E694" s="11"/>
      <c r="F694" s="12" t="str">
        <f t="shared" si="156"/>
        <v/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25">
      <c r="A695" s="59">
        <v>46199</v>
      </c>
      <c r="B695" s="15">
        <f t="shared" si="158"/>
        <v>1.0416666666666663</v>
      </c>
      <c r="C695" s="16"/>
      <c r="D695" s="16"/>
      <c r="E695" s="11"/>
      <c r="F695" s="17" t="str">
        <f t="shared" si="156"/>
        <v/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25">
      <c r="A696" s="58">
        <v>46199</v>
      </c>
      <c r="B696" s="9">
        <f t="shared" si="158"/>
        <v>1.083333333333333</v>
      </c>
      <c r="C696" s="10"/>
      <c r="D696" s="10"/>
      <c r="E696" s="11"/>
      <c r="F696" s="12" t="str">
        <f t="shared" si="156"/>
        <v/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25">
      <c r="A697" s="59">
        <v>46199</v>
      </c>
      <c r="B697" s="15">
        <f t="shared" si="158"/>
        <v>1.1249999999999998</v>
      </c>
      <c r="C697" s="16"/>
      <c r="D697" s="16"/>
      <c r="E697" s="11"/>
      <c r="F697" s="17" t="str">
        <f t="shared" si="156"/>
        <v/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25">
      <c r="A698" s="58">
        <v>46199</v>
      </c>
      <c r="B698" s="9">
        <f t="shared" si="158"/>
        <v>1.1666666666666665</v>
      </c>
      <c r="C698" s="10"/>
      <c r="D698" s="10"/>
      <c r="E698" s="11"/>
      <c r="F698" s="12" t="str">
        <f t="shared" si="156"/>
        <v/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25">
      <c r="A699" s="59">
        <v>46199</v>
      </c>
      <c r="B699" s="15">
        <f t="shared" si="158"/>
        <v>1.2083333333333333</v>
      </c>
      <c r="C699" s="16"/>
      <c r="D699" s="16"/>
      <c r="E699" s="11"/>
      <c r="F699" s="17" t="str">
        <f t="shared" si="156"/>
        <v/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25">
      <c r="A700" s="58">
        <v>46199</v>
      </c>
      <c r="B700" s="9">
        <f t="shared" si="158"/>
        <v>1.25</v>
      </c>
      <c r="C700" s="10"/>
      <c r="D700" s="10"/>
      <c r="E700" s="11"/>
      <c r="F700" s="12" t="str">
        <f t="shared" si="156"/>
        <v/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25">
      <c r="A701" s="59">
        <v>46199</v>
      </c>
      <c r="B701" s="15">
        <f t="shared" si="158"/>
        <v>1.2916666666666667</v>
      </c>
      <c r="C701" s="16"/>
      <c r="D701" s="16"/>
      <c r="E701" s="11"/>
      <c r="F701" s="17" t="str">
        <f t="shared" si="156"/>
        <v/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25">
      <c r="A702" s="98" t="s">
        <v>182</v>
      </c>
      <c r="B702" s="98"/>
      <c r="C702" s="98"/>
      <c r="D702" s="98"/>
      <c r="E702" s="19">
        <f>SUM(E690:E701)</f>
        <v>0</v>
      </c>
      <c r="F702" s="19">
        <f>SUM(F690:F701)</f>
        <v>0</v>
      </c>
      <c r="G702" s="18"/>
      <c r="H702" s="18"/>
      <c r="I702" s="18"/>
      <c r="J702" s="18"/>
      <c r="K702" s="18"/>
      <c r="L702" s="72">
        <f>IFERROR(SUM(L690:L701),"")</f>
        <v>0</v>
      </c>
      <c r="M702" s="19" t="s">
        <v>181</v>
      </c>
      <c r="N702" s="20"/>
    </row>
    <row r="703" spans="1:14" ht="18" customHeight="1" x14ac:dyDescent="0.25">
      <c r="A703" s="91" t="s">
        <v>183</v>
      </c>
      <c r="B703" s="91"/>
      <c r="C703" s="91"/>
      <c r="D703" s="91"/>
      <c r="E703" s="22">
        <f>E689+E702</f>
        <v>0</v>
      </c>
      <c r="F703" s="22">
        <f>F689+F702</f>
        <v>0</v>
      </c>
      <c r="G703" s="21"/>
      <c r="H703" s="21"/>
      <c r="I703" s="21"/>
      <c r="J703" s="21"/>
      <c r="K703" s="21"/>
      <c r="L703" s="73">
        <f>IFERROR(L689+L702,"")</f>
        <v>0</v>
      </c>
      <c r="M703" s="22" t="s">
        <v>184</v>
      </c>
      <c r="N703" s="31">
        <f>IFERROR(N689+N702,"")</f>
        <v>0</v>
      </c>
    </row>
    <row r="704" spans="1:14" ht="15" customHeight="1" x14ac:dyDescent="0.25">
      <c r="A704" s="58">
        <v>46200</v>
      </c>
      <c r="B704" s="9">
        <v>0.33333333333333331</v>
      </c>
      <c r="C704" s="10"/>
      <c r="D704" s="10"/>
      <c r="E704" s="11"/>
      <c r="F704" s="12" t="str">
        <f t="shared" ref="F704:F715" si="159">IF(E704="","",E704*5)</f>
        <v/>
      </c>
      <c r="G704" s="10"/>
      <c r="H704" s="10"/>
      <c r="I704" s="10"/>
      <c r="J704" s="13"/>
      <c r="K704" s="13"/>
      <c r="L704" s="70" t="str">
        <f t="shared" ref="L704:L715" si="160">IFERROR(IF(K704="","",IF(K704&gt;=J704,K704-J704,K704+1-J704)),"")</f>
        <v/>
      </c>
      <c r="M704" s="29"/>
      <c r="N704" s="30"/>
    </row>
    <row r="705" spans="1:14" ht="15" customHeight="1" x14ac:dyDescent="0.25">
      <c r="A705" s="59">
        <v>46200</v>
      </c>
      <c r="B705" s="15">
        <f t="shared" ref="B705:B715" si="161">B704+TIME(0,60,0)</f>
        <v>0.375</v>
      </c>
      <c r="C705" s="16"/>
      <c r="D705" s="16"/>
      <c r="E705" s="11"/>
      <c r="F705" s="17" t="str">
        <f t="shared" si="159"/>
        <v/>
      </c>
      <c r="G705" s="16"/>
      <c r="H705" s="16"/>
      <c r="I705" s="16"/>
      <c r="J705" s="13"/>
      <c r="K705" s="13"/>
      <c r="L705" s="71" t="str">
        <f t="shared" si="160"/>
        <v/>
      </c>
      <c r="M705" s="29"/>
      <c r="N705" s="30"/>
    </row>
    <row r="706" spans="1:14" ht="15" customHeight="1" x14ac:dyDescent="0.25">
      <c r="A706" s="58">
        <v>46200</v>
      </c>
      <c r="B706" s="9">
        <f t="shared" si="161"/>
        <v>0.41666666666666669</v>
      </c>
      <c r="C706" s="10"/>
      <c r="D706" s="10"/>
      <c r="E706" s="11"/>
      <c r="F706" s="12" t="str">
        <f t="shared" si="159"/>
        <v/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4" ht="15" customHeight="1" x14ac:dyDescent="0.25">
      <c r="A707" s="59">
        <v>46200</v>
      </c>
      <c r="B707" s="15">
        <f t="shared" si="161"/>
        <v>0.45833333333333337</v>
      </c>
      <c r="C707" s="16"/>
      <c r="D707" s="16"/>
      <c r="E707" s="11"/>
      <c r="F707" s="17" t="str">
        <f t="shared" si="159"/>
        <v/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 x14ac:dyDescent="0.25">
      <c r="A708" s="58">
        <v>46200</v>
      </c>
      <c r="B708" s="9">
        <f t="shared" si="161"/>
        <v>0.5</v>
      </c>
      <c r="C708" s="10"/>
      <c r="D708" s="10"/>
      <c r="E708" s="11"/>
      <c r="F708" s="12" t="str">
        <f t="shared" si="159"/>
        <v/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 x14ac:dyDescent="0.25">
      <c r="A709" s="59">
        <v>46200</v>
      </c>
      <c r="B709" s="15">
        <f t="shared" si="161"/>
        <v>0.54166666666666663</v>
      </c>
      <c r="C709" s="16"/>
      <c r="D709" s="16"/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 x14ac:dyDescent="0.25">
      <c r="A710" s="58">
        <v>46200</v>
      </c>
      <c r="B710" s="9">
        <f t="shared" si="161"/>
        <v>0.58333333333333326</v>
      </c>
      <c r="C710" s="10"/>
      <c r="D710" s="10"/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 x14ac:dyDescent="0.25">
      <c r="A711" s="59">
        <v>46200</v>
      </c>
      <c r="B711" s="15">
        <f t="shared" si="161"/>
        <v>0.62499999999999989</v>
      </c>
      <c r="C711" s="16"/>
      <c r="D711" s="16"/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 x14ac:dyDescent="0.25">
      <c r="A712" s="58">
        <v>46200</v>
      </c>
      <c r="B712" s="9">
        <f t="shared" si="161"/>
        <v>0.66666666666666652</v>
      </c>
      <c r="C712" s="10"/>
      <c r="D712" s="10"/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 x14ac:dyDescent="0.25">
      <c r="A713" s="59">
        <v>46200</v>
      </c>
      <c r="B713" s="15">
        <f t="shared" si="161"/>
        <v>0.70833333333333315</v>
      </c>
      <c r="C713" s="16"/>
      <c r="D713" s="16"/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 x14ac:dyDescent="0.25">
      <c r="A714" s="58">
        <v>46200</v>
      </c>
      <c r="B714" s="9">
        <f t="shared" si="161"/>
        <v>0.74999999999999978</v>
      </c>
      <c r="C714" s="10"/>
      <c r="D714" s="10"/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 x14ac:dyDescent="0.25">
      <c r="A715" s="59">
        <v>46200</v>
      </c>
      <c r="B715" s="15">
        <f t="shared" si="161"/>
        <v>0.79166666666666641</v>
      </c>
      <c r="C715" s="16"/>
      <c r="D715" s="16"/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 x14ac:dyDescent="0.25">
      <c r="A716" s="98" t="s">
        <v>180</v>
      </c>
      <c r="B716" s="98"/>
      <c r="C716" s="98"/>
      <c r="D716" s="98"/>
      <c r="E716" s="19">
        <f>SUM(E704:E715)</f>
        <v>0</v>
      </c>
      <c r="F716" s="19">
        <f>SUM(F704:F715)</f>
        <v>0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181</v>
      </c>
      <c r="N716" s="20"/>
    </row>
    <row r="717" spans="1:14" ht="15" customHeight="1" x14ac:dyDescent="0.25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 x14ac:dyDescent="0.25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 x14ac:dyDescent="0.25">
      <c r="A719" s="59">
        <v>46200</v>
      </c>
      <c r="B719" s="15">
        <f t="shared" si="164"/>
        <v>0.9166666666666663</v>
      </c>
      <c r="C719" s="16"/>
      <c r="D719" s="16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 x14ac:dyDescent="0.25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25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25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25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25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25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25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25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25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25">
      <c r="A729" s="98" t="s">
        <v>182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181</v>
      </c>
      <c r="N729" s="20"/>
    </row>
    <row r="730" spans="1:14" ht="18" customHeight="1" x14ac:dyDescent="0.25">
      <c r="A730" s="91" t="s">
        <v>183</v>
      </c>
      <c r="B730" s="91"/>
      <c r="C730" s="91"/>
      <c r="D730" s="91"/>
      <c r="E730" s="22">
        <f>E716+E729</f>
        <v>0</v>
      </c>
      <c r="F730" s="22">
        <f>F716+F729</f>
        <v>0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184</v>
      </c>
      <c r="N730" s="31">
        <f>IFERROR(N716+N729,"")</f>
        <v>0</v>
      </c>
    </row>
    <row r="731" spans="1:14" ht="15" customHeight="1" x14ac:dyDescent="0.25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 x14ac:dyDescent="0.25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 x14ac:dyDescent="0.25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 x14ac:dyDescent="0.25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25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25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25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25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25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25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25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25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25">
      <c r="A743" s="98" t="s">
        <v>180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181</v>
      </c>
      <c r="N743" s="20"/>
    </row>
    <row r="744" spans="1:14" ht="15" customHeight="1" x14ac:dyDescent="0.25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 x14ac:dyDescent="0.25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25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25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25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25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25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25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25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25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25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25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25">
      <c r="A756" s="98" t="s">
        <v>182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181</v>
      </c>
      <c r="N756" s="20"/>
    </row>
    <row r="757" spans="1:14" ht="18" customHeight="1" x14ac:dyDescent="0.25">
      <c r="A757" s="91" t="s">
        <v>183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184</v>
      </c>
      <c r="N757" s="31">
        <f>IFERROR(N743+N756,"")</f>
        <v>0</v>
      </c>
    </row>
    <row r="758" spans="1:14" ht="15" customHeight="1" x14ac:dyDescent="0.25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 x14ac:dyDescent="0.25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 x14ac:dyDescent="0.25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 x14ac:dyDescent="0.25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25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25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25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25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25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25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25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25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25">
      <c r="A770" s="98" t="s">
        <v>180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181</v>
      </c>
      <c r="N770" s="20"/>
    </row>
    <row r="771" spans="1:14" ht="15" customHeight="1" x14ac:dyDescent="0.25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25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25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25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25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25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25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25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25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25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25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25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25">
      <c r="A783" s="98" t="s">
        <v>182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181</v>
      </c>
      <c r="N783" s="20"/>
    </row>
    <row r="784" spans="1:14" ht="18" customHeight="1" x14ac:dyDescent="0.25">
      <c r="A784" s="91" t="s">
        <v>183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184</v>
      </c>
      <c r="N784" s="31">
        <f>IFERROR(N770+N783,"")</f>
        <v>0</v>
      </c>
    </row>
    <row r="785" spans="1:14" ht="15" customHeight="1" x14ac:dyDescent="0.25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 x14ac:dyDescent="0.25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 x14ac:dyDescent="0.25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25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25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25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25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25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25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25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25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25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25">
      <c r="A797" s="98" t="s">
        <v>180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181</v>
      </c>
      <c r="N797" s="20"/>
    </row>
    <row r="798" spans="1:14" ht="15" customHeight="1" x14ac:dyDescent="0.25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25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25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25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25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25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25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25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25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25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25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25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25">
      <c r="A810" s="98" t="s">
        <v>182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181</v>
      </c>
      <c r="N810" s="20"/>
    </row>
    <row r="811" spans="1:14" ht="18" customHeight="1" x14ac:dyDescent="0.25">
      <c r="A811" s="91" t="s">
        <v>183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G2:G900 H516 H518:I518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21" activePane="bottomLeft" state="frozen"/>
      <selection pane="bottomLeft" activeCell="E630" sqref="E630"/>
    </sheetView>
  </sheetViews>
  <sheetFormatPr defaultColWidth="8.5703125" defaultRowHeight="15" x14ac:dyDescent="0.2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65" style="7" customWidth="1"/>
    <col min="14" max="14" width="20" style="7" customWidth="1"/>
  </cols>
  <sheetData>
    <row r="1" spans="1:14" ht="37.5" customHeight="1" x14ac:dyDescent="0.25">
      <c r="A1" s="57" t="s">
        <v>7</v>
      </c>
      <c r="B1" s="8" t="s">
        <v>170</v>
      </c>
      <c r="C1" s="8" t="s">
        <v>12</v>
      </c>
      <c r="D1" s="8" t="s">
        <v>13</v>
      </c>
      <c r="E1" s="8" t="s">
        <v>171</v>
      </c>
      <c r="F1" s="8" t="s">
        <v>213</v>
      </c>
      <c r="G1" s="8" t="s">
        <v>14</v>
      </c>
      <c r="H1" s="8" t="s">
        <v>15</v>
      </c>
      <c r="I1" s="8" t="s">
        <v>173</v>
      </c>
      <c r="J1" s="8" t="s">
        <v>174</v>
      </c>
      <c r="K1" s="8" t="s">
        <v>175</v>
      </c>
      <c r="L1" s="69" t="s">
        <v>176</v>
      </c>
      <c r="M1" s="8" t="s">
        <v>177</v>
      </c>
      <c r="N1" s="8" t="s">
        <v>178</v>
      </c>
    </row>
    <row r="2" spans="1:14" ht="15" customHeight="1" x14ac:dyDescent="0.25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25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25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25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25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25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25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131</v>
      </c>
      <c r="I8" s="10" t="s">
        <v>90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25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25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25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25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25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119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25">
      <c r="A14" s="90" t="s">
        <v>180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181</v>
      </c>
      <c r="N14" s="20">
        <v>722660</v>
      </c>
    </row>
    <row r="15" spans="1:14" ht="15" customHeight="1" x14ac:dyDescent="0.25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25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25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25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25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25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118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25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25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25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25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25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25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25">
      <c r="A27" s="90" t="s">
        <v>182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181</v>
      </c>
      <c r="N27" s="20">
        <v>1035240</v>
      </c>
    </row>
    <row r="28" spans="1:14" ht="18" customHeight="1" x14ac:dyDescent="0.25">
      <c r="A28" s="91" t="s">
        <v>183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184</v>
      </c>
      <c r="N28" s="23">
        <f>IFERROR(N14+N27,"")</f>
        <v>1757900</v>
      </c>
    </row>
    <row r="29" spans="1:14" ht="15" customHeight="1" x14ac:dyDescent="0.25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25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25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25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25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25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25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25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25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25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214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25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25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25">
      <c r="A41" s="90" t="s">
        <v>180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181</v>
      </c>
      <c r="N41" s="20">
        <v>395980</v>
      </c>
    </row>
    <row r="42" spans="1:14" ht="15" customHeight="1" x14ac:dyDescent="0.25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25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114</v>
      </c>
      <c r="I43" s="16" t="s">
        <v>100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25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25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25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25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25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25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25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25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25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25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25">
      <c r="A54" s="90" t="s">
        <v>182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181</v>
      </c>
      <c r="N54" s="20">
        <v>871960</v>
      </c>
    </row>
    <row r="55" spans="1:14" ht="18" customHeight="1" x14ac:dyDescent="0.25">
      <c r="A55" s="91" t="s">
        <v>183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184</v>
      </c>
      <c r="N55" s="23">
        <f>IFERROR(N41+N54,"")</f>
        <v>1267940</v>
      </c>
    </row>
    <row r="56" spans="1:14" ht="15" customHeight="1" x14ac:dyDescent="0.25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25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25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25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25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25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25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111</v>
      </c>
      <c r="I62" s="10" t="s">
        <v>215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25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25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132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25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131</v>
      </c>
      <c r="I65" s="16" t="s">
        <v>106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25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25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25">
      <c r="A68" s="90" t="s">
        <v>180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181</v>
      </c>
      <c r="N68" s="20">
        <v>437960</v>
      </c>
    </row>
    <row r="69" spans="1:14" ht="15" customHeight="1" x14ac:dyDescent="0.25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25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131</v>
      </c>
      <c r="I70" s="10" t="s">
        <v>98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25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145</v>
      </c>
      <c r="I71" s="16" t="s">
        <v>216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25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25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25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143</v>
      </c>
      <c r="I74" s="10" t="s">
        <v>110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25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25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25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25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25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25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25">
      <c r="A81" s="90" t="s">
        <v>182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181</v>
      </c>
      <c r="N81" s="20">
        <v>482250</v>
      </c>
    </row>
    <row r="82" spans="1:14" ht="18" customHeight="1" x14ac:dyDescent="0.25">
      <c r="A82" s="91" t="s">
        <v>183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184</v>
      </c>
      <c r="N82" s="23">
        <f>IFERROR(N68+N81,"")</f>
        <v>920210</v>
      </c>
    </row>
    <row r="83" spans="1:14" ht="15" customHeight="1" x14ac:dyDescent="0.25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217</v>
      </c>
      <c r="I83" s="16" t="s">
        <v>78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25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131</v>
      </c>
      <c r="I84" s="10" t="s">
        <v>122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25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145</v>
      </c>
      <c r="I85" s="16" t="s">
        <v>83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25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25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25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25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25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25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25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25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25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25">
      <c r="A95" s="90" t="s">
        <v>180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181</v>
      </c>
      <c r="N95" s="20">
        <v>301520</v>
      </c>
    </row>
    <row r="96" spans="1:14" ht="15" customHeight="1" x14ac:dyDescent="0.25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218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25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122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25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25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25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25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25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25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25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25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25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25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25">
      <c r="A108" s="90" t="s">
        <v>182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181</v>
      </c>
      <c r="N108" s="20">
        <v>529500</v>
      </c>
    </row>
    <row r="109" spans="1:14" ht="18" customHeight="1" x14ac:dyDescent="0.25">
      <c r="A109" s="91" t="s">
        <v>183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184</v>
      </c>
      <c r="N109" s="23">
        <f>IFERROR(N95+N108,"")</f>
        <v>831020</v>
      </c>
    </row>
    <row r="110" spans="1:14" ht="15" customHeight="1" x14ac:dyDescent="0.25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25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218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25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218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25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25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25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25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25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25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25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25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25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25">
      <c r="A122" s="90" t="s">
        <v>180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181</v>
      </c>
      <c r="N122" s="20">
        <v>619340</v>
      </c>
    </row>
    <row r="123" spans="1:14" ht="15" customHeight="1" x14ac:dyDescent="0.25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25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218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25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219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25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25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25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25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25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25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25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25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25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25">
      <c r="A135" s="90" t="s">
        <v>182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181</v>
      </c>
      <c r="N135" s="20">
        <v>666150</v>
      </c>
    </row>
    <row r="136" spans="1:14" ht="18" customHeight="1" x14ac:dyDescent="0.25">
      <c r="A136" s="91" t="s">
        <v>183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184</v>
      </c>
      <c r="N136" s="23">
        <f>IFERROR(N122+N135,"")</f>
        <v>1285490</v>
      </c>
    </row>
    <row r="137" spans="1:14" ht="15" customHeight="1" x14ac:dyDescent="0.25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112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25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217</v>
      </c>
      <c r="I138" s="10" t="s">
        <v>78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25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220</v>
      </c>
      <c r="I139" s="16" t="s">
        <v>221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25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218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25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114</v>
      </c>
      <c r="I141" s="16" t="s">
        <v>104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25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131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25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25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25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25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25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25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35">
      <c r="A149" s="90" t="s">
        <v>180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181</v>
      </c>
      <c r="N149" s="35">
        <v>673310</v>
      </c>
    </row>
    <row r="150" spans="1:14" ht="15" customHeight="1" x14ac:dyDescent="0.25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131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25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25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25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25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25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25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25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25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25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25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25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35">
      <c r="A162" s="90" t="s">
        <v>182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181</v>
      </c>
      <c r="N162" s="35">
        <v>183240</v>
      </c>
    </row>
    <row r="163" spans="1:14" ht="18" customHeight="1" x14ac:dyDescent="0.25">
      <c r="A163" s="91" t="s">
        <v>183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184</v>
      </c>
      <c r="N163" s="23">
        <f>IFERROR(N149+N162,"")</f>
        <v>856550</v>
      </c>
    </row>
    <row r="164" spans="1:14" ht="15" customHeight="1" x14ac:dyDescent="0.25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131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25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131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25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131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25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131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25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131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25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131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25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131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25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131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25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131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25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131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25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131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25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131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25">
      <c r="A176" s="90" t="s">
        <v>180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181</v>
      </c>
      <c r="N176" s="20">
        <v>0</v>
      </c>
    </row>
    <row r="177" spans="1:14" ht="15" customHeight="1" x14ac:dyDescent="0.25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131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25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25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25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25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114</v>
      </c>
      <c r="I181" s="16" t="s">
        <v>222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25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114</v>
      </c>
      <c r="I182" s="10" t="s">
        <v>222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25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114</v>
      </c>
      <c r="I183" s="16" t="s">
        <v>222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25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114</v>
      </c>
      <c r="I184" s="10" t="s">
        <v>222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25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114</v>
      </c>
      <c r="I185" s="16" t="s">
        <v>222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25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114</v>
      </c>
      <c r="I186" s="10" t="s">
        <v>222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25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114</v>
      </c>
      <c r="I187" s="16" t="s">
        <v>222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25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114</v>
      </c>
      <c r="I188" s="10" t="s">
        <v>222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25">
      <c r="A189" s="90" t="s">
        <v>182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181</v>
      </c>
      <c r="N189" s="20">
        <v>0</v>
      </c>
    </row>
    <row r="190" spans="1:14" ht="18" customHeight="1" x14ac:dyDescent="0.25">
      <c r="A190" s="91" t="s">
        <v>183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184</v>
      </c>
      <c r="N190" s="23">
        <f>IFERROR(N176+N189,"")</f>
        <v>0</v>
      </c>
    </row>
    <row r="191" spans="1:14" ht="15" customHeight="1" x14ac:dyDescent="0.25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114</v>
      </c>
      <c r="I191" s="10" t="s">
        <v>222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25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131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25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131</v>
      </c>
      <c r="I193" s="10" t="s">
        <v>223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25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25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25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25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25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25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25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25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25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25">
      <c r="A203" s="90" t="s">
        <v>180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181</v>
      </c>
      <c r="N203" s="28">
        <v>146310</v>
      </c>
    </row>
    <row r="204" spans="1:14" ht="15" customHeight="1" x14ac:dyDescent="0.25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25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25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25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25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25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25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25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25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25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25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25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25">
      <c r="A216" s="90" t="s">
        <v>182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181</v>
      </c>
      <c r="N216" s="28">
        <v>525070</v>
      </c>
    </row>
    <row r="217" spans="1:14" ht="18" customHeight="1" x14ac:dyDescent="0.25">
      <c r="A217" s="91" t="s">
        <v>183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184</v>
      </c>
      <c r="N217" s="31">
        <f>IFERROR(N203+N216,"")</f>
        <v>671380</v>
      </c>
    </row>
    <row r="218" spans="1:14" ht="15" customHeight="1" x14ac:dyDescent="0.25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84</v>
      </c>
      <c r="I218" s="10" t="s">
        <v>122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25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131</v>
      </c>
      <c r="I219" s="16" t="s">
        <v>138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25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224</v>
      </c>
      <c r="N220" s="30"/>
    </row>
    <row r="221" spans="1:14" ht="15" customHeight="1" x14ac:dyDescent="0.25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119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25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25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25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25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25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25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25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25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25">
      <c r="A230" s="90" t="s">
        <v>180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181</v>
      </c>
      <c r="N230" s="20">
        <v>413290</v>
      </c>
    </row>
    <row r="231" spans="1:14" ht="15" customHeight="1" x14ac:dyDescent="0.25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145</v>
      </c>
      <c r="I231" s="16" t="s">
        <v>118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25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25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25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25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25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25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25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25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25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25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25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25">
      <c r="A243" s="90" t="s">
        <v>182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181</v>
      </c>
      <c r="N243" s="20">
        <v>244000</v>
      </c>
    </row>
    <row r="244" spans="1:14" ht="18" customHeight="1" x14ac:dyDescent="0.25">
      <c r="A244" s="91" t="s">
        <v>183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184</v>
      </c>
      <c r="N244" s="31">
        <f>IFERROR(N230+N243,"")</f>
        <v>657290</v>
      </c>
    </row>
    <row r="245" spans="1:14" ht="15" customHeight="1" x14ac:dyDescent="0.25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25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147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225</v>
      </c>
      <c r="N246" s="30"/>
    </row>
    <row r="247" spans="1:14" ht="15" customHeight="1" x14ac:dyDescent="0.25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226</v>
      </c>
      <c r="N247" s="30"/>
    </row>
    <row r="248" spans="1:14" ht="15" customHeight="1" x14ac:dyDescent="0.25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25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25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25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25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25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25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25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25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25">
      <c r="A257" s="90" t="s">
        <v>180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181</v>
      </c>
      <c r="N257" s="20">
        <v>399590</v>
      </c>
    </row>
    <row r="258" spans="1:14" ht="15" customHeight="1" x14ac:dyDescent="0.25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122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227</v>
      </c>
      <c r="N258" s="30"/>
    </row>
    <row r="259" spans="1:14" ht="15" customHeight="1" x14ac:dyDescent="0.25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131</v>
      </c>
      <c r="I259" s="16" t="s">
        <v>78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25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25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25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25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25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25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25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25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25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25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25">
      <c r="A270" s="90" t="s">
        <v>182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181</v>
      </c>
      <c r="N270" s="20">
        <v>8130</v>
      </c>
    </row>
    <row r="271" spans="1:14" ht="18" customHeight="1" x14ac:dyDescent="0.25">
      <c r="A271" s="91" t="s">
        <v>183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184</v>
      </c>
      <c r="N271" s="31">
        <f>IFERROR(N257+N270,"")</f>
        <v>407720</v>
      </c>
    </row>
    <row r="272" spans="1:14" ht="15" customHeight="1" x14ac:dyDescent="0.25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137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25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131</v>
      </c>
      <c r="I273" s="16" t="s">
        <v>78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25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228</v>
      </c>
      <c r="N274" s="30"/>
    </row>
    <row r="275" spans="1:14" ht="15" customHeight="1" x14ac:dyDescent="0.25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25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25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25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25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25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25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25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25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25">
      <c r="A284" s="90" t="s">
        <v>180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181</v>
      </c>
      <c r="N284" s="20">
        <v>329950</v>
      </c>
    </row>
    <row r="285" spans="1:14" ht="15" customHeight="1" x14ac:dyDescent="0.25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25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25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25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25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25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25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25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25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25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25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25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25">
      <c r="A297" s="90" t="s">
        <v>182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181</v>
      </c>
      <c r="N297" s="20">
        <f>229280+228660</f>
        <v>457940</v>
      </c>
    </row>
    <row r="298" spans="1:14" ht="18" customHeight="1" x14ac:dyDescent="0.25">
      <c r="A298" s="91" t="s">
        <v>183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184</v>
      </c>
      <c r="N298" s="31">
        <f>IFERROR(N284+N297,"")</f>
        <v>787890</v>
      </c>
    </row>
    <row r="299" spans="1:14" ht="15" customHeight="1" x14ac:dyDescent="0.25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229</v>
      </c>
      <c r="N299" s="30"/>
    </row>
    <row r="300" spans="1:14" ht="15" customHeight="1" x14ac:dyDescent="0.25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230</v>
      </c>
      <c r="N300" s="30"/>
    </row>
    <row r="301" spans="1:14" ht="15" customHeight="1" x14ac:dyDescent="0.25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230</v>
      </c>
      <c r="N301" s="30"/>
    </row>
    <row r="302" spans="1:14" ht="15" customHeight="1" x14ac:dyDescent="0.25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231</v>
      </c>
      <c r="N302" s="30"/>
    </row>
    <row r="303" spans="1:14" ht="15" customHeight="1" x14ac:dyDescent="0.25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25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25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25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25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25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25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25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25">
      <c r="A311" s="90" t="s">
        <v>180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181</v>
      </c>
      <c r="N311" s="20">
        <v>340420</v>
      </c>
    </row>
    <row r="312" spans="1:14" ht="15" customHeight="1" x14ac:dyDescent="0.25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25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25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25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25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25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25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25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232</v>
      </c>
      <c r="N319" s="30"/>
    </row>
    <row r="320" spans="1:14" ht="15" customHeight="1" x14ac:dyDescent="0.25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233</v>
      </c>
      <c r="N320" s="30"/>
    </row>
    <row r="321" spans="1:14" ht="15" customHeight="1" x14ac:dyDescent="0.25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143</v>
      </c>
      <c r="I321" s="16" t="s">
        <v>110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234</v>
      </c>
      <c r="N321" s="30"/>
    </row>
    <row r="322" spans="1:14" ht="15" customHeight="1" x14ac:dyDescent="0.25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235</v>
      </c>
      <c r="N322" s="30"/>
    </row>
    <row r="323" spans="1:14" ht="15" customHeight="1" x14ac:dyDescent="0.25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25">
      <c r="A324" s="90" t="s">
        <v>182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181</v>
      </c>
      <c r="N324" s="20">
        <f>217310+197670</f>
        <v>414980</v>
      </c>
    </row>
    <row r="325" spans="1:14" ht="18" customHeight="1" x14ac:dyDescent="0.25">
      <c r="A325" s="91" t="s">
        <v>183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184</v>
      </c>
      <c r="N325" s="31">
        <f>IFERROR(N311+N324,"")</f>
        <v>755400</v>
      </c>
    </row>
    <row r="326" spans="1:14" ht="15" customHeight="1" x14ac:dyDescent="0.25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25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108</v>
      </c>
      <c r="I327" s="16" t="s">
        <v>122</v>
      </c>
      <c r="J327" s="13">
        <v>0.5</v>
      </c>
      <c r="K327" s="13">
        <v>0.53125</v>
      </c>
      <c r="L327" s="71">
        <f t="shared" si="73"/>
        <v>3.125E-2</v>
      </c>
      <c r="M327" s="29" t="s">
        <v>236</v>
      </c>
      <c r="N327" s="30"/>
    </row>
    <row r="328" spans="1:14" ht="15" customHeight="1" x14ac:dyDescent="0.25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108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25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237</v>
      </c>
      <c r="N329" s="30"/>
    </row>
    <row r="330" spans="1:14" ht="15" customHeight="1" x14ac:dyDescent="0.25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108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25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25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25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25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25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25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25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25">
      <c r="A338" s="90" t="s">
        <v>180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181</v>
      </c>
      <c r="N338" s="20">
        <f>39870+453420</f>
        <v>493290</v>
      </c>
    </row>
    <row r="339" spans="1:14" ht="15" customHeight="1" x14ac:dyDescent="0.25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143</v>
      </c>
      <c r="I339" s="16" t="s">
        <v>110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238</v>
      </c>
      <c r="N339" s="30"/>
    </row>
    <row r="340" spans="1:14" ht="15" customHeight="1" x14ac:dyDescent="0.25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147</v>
      </c>
      <c r="I340" s="10" t="s">
        <v>107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239</v>
      </c>
      <c r="N340" s="30"/>
    </row>
    <row r="341" spans="1:14" ht="15" customHeight="1" x14ac:dyDescent="0.25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25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25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25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25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25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25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25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25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25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25">
      <c r="A351" s="90" t="s">
        <v>182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181</v>
      </c>
      <c r="N351" s="20">
        <f>135270+304860</f>
        <v>440130</v>
      </c>
    </row>
    <row r="352" spans="1:14" ht="18" customHeight="1" x14ac:dyDescent="0.25">
      <c r="A352" s="91" t="s">
        <v>183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184</v>
      </c>
      <c r="N352" s="31">
        <f>IFERROR(N338+N351,"")</f>
        <v>933420</v>
      </c>
    </row>
    <row r="353" spans="1:14" ht="15" customHeight="1" x14ac:dyDescent="0.25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240</v>
      </c>
      <c r="N353" s="30"/>
    </row>
    <row r="354" spans="1:14" ht="15" customHeight="1" x14ac:dyDescent="0.25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241</v>
      </c>
      <c r="N354" s="30"/>
    </row>
    <row r="355" spans="1:14" ht="15" customHeight="1" x14ac:dyDescent="0.25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25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143</v>
      </c>
      <c r="I356" s="10" t="s">
        <v>110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25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25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25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25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25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242</v>
      </c>
      <c r="N361" s="30"/>
    </row>
    <row r="362" spans="1:14" ht="15" customHeight="1" x14ac:dyDescent="0.25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25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25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25">
      <c r="A365" s="90" t="s">
        <v>180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181</v>
      </c>
      <c r="N365" s="20">
        <f>264260+141380</f>
        <v>405640</v>
      </c>
    </row>
    <row r="366" spans="1:14" ht="15" customHeight="1" x14ac:dyDescent="0.25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25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25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147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25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25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25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25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25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25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25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25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25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25">
      <c r="A378" s="90" t="s">
        <v>182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181</v>
      </c>
      <c r="N378" s="20">
        <f>291750+291000</f>
        <v>582750</v>
      </c>
    </row>
    <row r="379" spans="1:14" ht="18" customHeight="1" x14ac:dyDescent="0.25">
      <c r="A379" s="91" t="s">
        <v>183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184</v>
      </c>
      <c r="N379" s="31">
        <f>IFERROR(N365+N378,"")</f>
        <v>988390</v>
      </c>
    </row>
    <row r="380" spans="1:14" ht="15" customHeight="1" x14ac:dyDescent="0.25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148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25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25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25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25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25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25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25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25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25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25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25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25">
      <c r="A392" s="90" t="s">
        <v>180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181</v>
      </c>
      <c r="N392" s="20">
        <v>116280</v>
      </c>
    </row>
    <row r="393" spans="1:14" ht="15" customHeight="1" x14ac:dyDescent="0.25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148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243</v>
      </c>
      <c r="N393" s="30"/>
    </row>
    <row r="394" spans="1:14" ht="15" customHeight="1" x14ac:dyDescent="0.25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153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25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25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25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25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25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25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25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25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105</v>
      </c>
      <c r="I402" s="10" t="s">
        <v>33</v>
      </c>
      <c r="J402" s="13"/>
      <c r="K402" s="13"/>
      <c r="L402" s="70" t="str">
        <f t="shared" si="88"/>
        <v/>
      </c>
      <c r="M402" s="29" t="s">
        <v>244</v>
      </c>
      <c r="N402" s="30"/>
    </row>
    <row r="403" spans="1:14" ht="15" customHeight="1" x14ac:dyDescent="0.25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25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25">
      <c r="A405" s="90" t="s">
        <v>182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181</v>
      </c>
      <c r="N405" s="20">
        <v>305810</v>
      </c>
    </row>
    <row r="406" spans="1:14" ht="18" customHeight="1" x14ac:dyDescent="0.25">
      <c r="A406" s="91" t="s">
        <v>183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184</v>
      </c>
      <c r="N406" s="31">
        <f>IFERROR(N392+N405,"")</f>
        <v>422090</v>
      </c>
    </row>
    <row r="407" spans="1:14" ht="15" customHeight="1" x14ac:dyDescent="0.25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25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25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108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25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151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245</v>
      </c>
      <c r="N410" s="30"/>
    </row>
    <row r="411" spans="1:14" ht="15" customHeight="1" x14ac:dyDescent="0.25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122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246</v>
      </c>
      <c r="N411" s="30"/>
    </row>
    <row r="412" spans="1:14" ht="15" customHeight="1" x14ac:dyDescent="0.25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247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25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25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25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25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25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25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25">
      <c r="A419" s="90" t="s">
        <v>180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181</v>
      </c>
      <c r="N419" s="20">
        <v>333610</v>
      </c>
    </row>
    <row r="420" spans="1:14" ht="15" customHeight="1" x14ac:dyDescent="0.25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118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248</v>
      </c>
      <c r="N420" s="30"/>
    </row>
    <row r="421" spans="1:14" ht="15" customHeight="1" x14ac:dyDescent="0.25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249</v>
      </c>
      <c r="N421" s="30"/>
    </row>
    <row r="422" spans="1:14" ht="15" customHeight="1" x14ac:dyDescent="0.25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25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25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25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25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25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25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25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25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25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25">
      <c r="A432" s="90" t="s">
        <v>182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181</v>
      </c>
      <c r="N432" s="20">
        <v>522180</v>
      </c>
    </row>
    <row r="433" spans="1:14" ht="18" customHeight="1" x14ac:dyDescent="0.25">
      <c r="A433" s="91" t="s">
        <v>183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184</v>
      </c>
      <c r="N433" s="31">
        <f>IFERROR(N419+N432,"")</f>
        <v>855790</v>
      </c>
    </row>
    <row r="434" spans="1:14" ht="15" customHeight="1" x14ac:dyDescent="0.25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250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25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25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251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25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25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109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25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137</v>
      </c>
      <c r="I439" s="16" t="s">
        <v>118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252</v>
      </c>
      <c r="N439" s="30"/>
    </row>
    <row r="440" spans="1:14" ht="15" customHeight="1" x14ac:dyDescent="0.25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25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25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25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25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25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25">
      <c r="A446" s="90" t="s">
        <v>180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181</v>
      </c>
      <c r="N446" s="20">
        <v>426830</v>
      </c>
    </row>
    <row r="447" spans="1:14" ht="15" customHeight="1" x14ac:dyDescent="0.25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144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253</v>
      </c>
      <c r="N447" s="30"/>
    </row>
    <row r="448" spans="1:14" ht="15" customHeight="1" x14ac:dyDescent="0.25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25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147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25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145</v>
      </c>
      <c r="I450" s="10" t="s">
        <v>78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25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25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25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25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25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25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25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25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25">
      <c r="A459" s="90" t="s">
        <v>182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181</v>
      </c>
      <c r="N459" s="20">
        <v>560220</v>
      </c>
    </row>
    <row r="460" spans="1:14" ht="18" customHeight="1" x14ac:dyDescent="0.25">
      <c r="A460" s="91" t="s">
        <v>183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184</v>
      </c>
      <c r="N460" s="31">
        <f>IFERROR(N446+N459,"")</f>
        <v>987050</v>
      </c>
    </row>
    <row r="461" spans="1:14" ht="15" customHeight="1" x14ac:dyDescent="0.25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126</v>
      </c>
      <c r="I461" s="16" t="s">
        <v>78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25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25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154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25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25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111</v>
      </c>
      <c r="I465" s="16" t="s">
        <v>254</v>
      </c>
      <c r="J465" s="13">
        <v>0.70833333333333337</v>
      </c>
      <c r="K465" s="13" t="s">
        <v>255</v>
      </c>
      <c r="L465" s="71" t="str">
        <f t="shared" si="103"/>
        <v/>
      </c>
      <c r="M465" s="29"/>
      <c r="N465" s="30"/>
    </row>
    <row r="466" spans="1:14" ht="15" customHeight="1" x14ac:dyDescent="0.25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25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25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25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25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25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25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256</v>
      </c>
      <c r="N472" s="30"/>
    </row>
    <row r="473" spans="1:14" ht="15.75" customHeight="1" x14ac:dyDescent="0.25">
      <c r="A473" s="90" t="s">
        <v>180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181</v>
      </c>
      <c r="N473" s="20">
        <v>544800</v>
      </c>
    </row>
    <row r="474" spans="1:14" ht="15" customHeight="1" x14ac:dyDescent="0.25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147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257</v>
      </c>
      <c r="N474" s="30">
        <v>1</v>
      </c>
    </row>
    <row r="475" spans="1:14" ht="15" customHeight="1" x14ac:dyDescent="0.25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25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25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111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258</v>
      </c>
      <c r="N477" s="30"/>
    </row>
    <row r="478" spans="1:14" ht="15" customHeight="1" x14ac:dyDescent="0.25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25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25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25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25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25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25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25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25">
      <c r="A486" s="90" t="s">
        <v>182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181</v>
      </c>
      <c r="N486" s="20">
        <v>400000</v>
      </c>
    </row>
    <row r="487" spans="1:14" ht="18" customHeight="1" x14ac:dyDescent="0.25">
      <c r="A487" s="91" t="s">
        <v>183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184</v>
      </c>
      <c r="N487" s="31">
        <f>IFERROR(N473+N486,"")</f>
        <v>944800</v>
      </c>
    </row>
    <row r="488" spans="1:14" ht="15" customHeight="1" x14ac:dyDescent="0.25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25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25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25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25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25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25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25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25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25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25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25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25">
      <c r="A500" s="90" t="s">
        <v>180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181</v>
      </c>
      <c r="N500" s="20">
        <f>92570+255950+56000</f>
        <v>404520</v>
      </c>
    </row>
    <row r="501" spans="1:14" ht="15" customHeight="1" x14ac:dyDescent="0.25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147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25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147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25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144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259</v>
      </c>
      <c r="N503" s="30"/>
    </row>
    <row r="504" spans="1:14" ht="15" customHeight="1" x14ac:dyDescent="0.25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85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25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25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25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25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25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25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25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25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25">
      <c r="A513" s="90" t="s">
        <v>182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181</v>
      </c>
      <c r="N513" s="20">
        <f>1031250+71560</f>
        <v>1102810</v>
      </c>
    </row>
    <row r="514" spans="1:14" ht="18" customHeight="1" x14ac:dyDescent="0.25">
      <c r="A514" s="91" t="s">
        <v>183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184</v>
      </c>
      <c r="N514" s="31">
        <f>IFERROR(N500+N513,"")</f>
        <v>1507330</v>
      </c>
    </row>
    <row r="515" spans="1:14" ht="15" customHeight="1" x14ac:dyDescent="0.25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85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202</v>
      </c>
      <c r="N515" s="30"/>
    </row>
    <row r="516" spans="1:14" ht="15" customHeight="1" x14ac:dyDescent="0.25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85</v>
      </c>
      <c r="J516" s="13"/>
      <c r="K516" s="13"/>
      <c r="L516" s="70" t="str">
        <f t="shared" si="115"/>
        <v/>
      </c>
      <c r="M516" s="29" t="s">
        <v>202</v>
      </c>
      <c r="N516" s="30"/>
    </row>
    <row r="517" spans="1:14" ht="15" customHeight="1" x14ac:dyDescent="0.25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85</v>
      </c>
      <c r="J517" s="13"/>
      <c r="K517" s="13"/>
      <c r="L517" s="71" t="str">
        <f t="shared" si="115"/>
        <v/>
      </c>
      <c r="M517" s="29" t="s">
        <v>202</v>
      </c>
      <c r="N517" s="30"/>
    </row>
    <row r="518" spans="1:14" ht="15" customHeight="1" x14ac:dyDescent="0.25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25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25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25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25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25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25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25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25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25">
      <c r="A527" s="90" t="s">
        <v>180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181</v>
      </c>
      <c r="N527" s="20">
        <v>396000</v>
      </c>
    </row>
    <row r="528" spans="1:14" ht="15" customHeight="1" x14ac:dyDescent="0.25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164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260</v>
      </c>
      <c r="N528" s="30"/>
    </row>
    <row r="529" spans="1:14" ht="15" customHeight="1" x14ac:dyDescent="0.25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137</v>
      </c>
      <c r="I529" s="16" t="s">
        <v>122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261</v>
      </c>
      <c r="N529" s="30"/>
    </row>
    <row r="530" spans="1:14" ht="15" customHeight="1" x14ac:dyDescent="0.25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91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262</v>
      </c>
      <c r="N530" s="30"/>
    </row>
    <row r="531" spans="1:14" ht="15" customHeight="1" x14ac:dyDescent="0.25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123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263</v>
      </c>
      <c r="N531" s="30"/>
    </row>
    <row r="532" spans="1:14" ht="15" customHeight="1" x14ac:dyDescent="0.25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79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264</v>
      </c>
      <c r="N532" s="30"/>
    </row>
    <row r="533" spans="1:14" ht="15" customHeight="1" x14ac:dyDescent="0.25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84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264</v>
      </c>
      <c r="N533" s="30"/>
    </row>
    <row r="534" spans="1:14" ht="15" customHeight="1" x14ac:dyDescent="0.25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145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25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25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25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25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25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25">
      <c r="A540" s="90" t="s">
        <v>182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181</v>
      </c>
      <c r="N540" s="20">
        <v>504470</v>
      </c>
    </row>
    <row r="541" spans="1:14" ht="18" customHeight="1" x14ac:dyDescent="0.25">
      <c r="A541" s="91" t="s">
        <v>183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184</v>
      </c>
      <c r="N541" s="31">
        <f>IFERROR(N527+N540,"")</f>
        <v>900470</v>
      </c>
    </row>
    <row r="542" spans="1:14" ht="15" customHeight="1" x14ac:dyDescent="0.25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25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25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265</v>
      </c>
      <c r="N544" s="30"/>
    </row>
    <row r="545" spans="1:14" ht="15" customHeight="1" x14ac:dyDescent="0.25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86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25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86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25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25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25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25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25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25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25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25">
      <c r="A554" s="90" t="s">
        <v>180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181</v>
      </c>
      <c r="N554" s="20">
        <v>354670</v>
      </c>
    </row>
    <row r="555" spans="1:14" ht="15" customHeight="1" x14ac:dyDescent="0.25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123</v>
      </c>
      <c r="I555" s="16" t="s">
        <v>86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25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147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25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25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25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25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25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25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25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25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25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25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25">
      <c r="A567" s="90" t="s">
        <v>182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181</v>
      </c>
      <c r="N567" s="20">
        <v>0</v>
      </c>
    </row>
    <row r="568" spans="1:14" ht="18" customHeight="1" x14ac:dyDescent="0.25">
      <c r="A568" s="91" t="s">
        <v>183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184</v>
      </c>
      <c r="N568" s="31">
        <f>IFERROR(N554+N567,"")</f>
        <v>354670</v>
      </c>
    </row>
    <row r="569" spans="1:14" ht="15" customHeight="1" x14ac:dyDescent="0.25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126</v>
      </c>
      <c r="I569" s="16" t="s">
        <v>106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25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25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25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25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25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25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25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25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25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25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25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25">
      <c r="A581" s="90" t="s">
        <v>180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181</v>
      </c>
      <c r="N581" s="20">
        <v>0</v>
      </c>
    </row>
    <row r="582" spans="1:14" ht="15" customHeight="1" x14ac:dyDescent="0.25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126</v>
      </c>
      <c r="I582" s="10" t="s">
        <v>106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25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137</v>
      </c>
      <c r="I583" s="16" t="s">
        <v>122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266</v>
      </c>
      <c r="N583" s="30"/>
    </row>
    <row r="584" spans="1:14" ht="15" customHeight="1" x14ac:dyDescent="0.25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25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25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25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25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25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25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25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25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25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25">
      <c r="A594" s="90" t="s">
        <v>182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181</v>
      </c>
      <c r="N594" s="20">
        <v>258960</v>
      </c>
    </row>
    <row r="595" spans="1:14" ht="18" customHeight="1" x14ac:dyDescent="0.25">
      <c r="A595" s="91" t="s">
        <v>183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184</v>
      </c>
      <c r="N595" s="31">
        <f>IFERROR(N581+N594,"")</f>
        <v>258960</v>
      </c>
    </row>
    <row r="596" spans="1:14" ht="15" customHeight="1" x14ac:dyDescent="0.25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165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267</v>
      </c>
      <c r="N596" s="30"/>
    </row>
    <row r="597" spans="1:14" ht="15" customHeight="1" x14ac:dyDescent="0.25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25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268</v>
      </c>
      <c r="N598" s="30"/>
    </row>
    <row r="599" spans="1:14" ht="15" customHeight="1" x14ac:dyDescent="0.25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144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269</v>
      </c>
      <c r="N599" s="30"/>
    </row>
    <row r="600" spans="1:14" ht="15" customHeight="1" x14ac:dyDescent="0.25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25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25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25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25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25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25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25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25">
      <c r="A608" s="90" t="s">
        <v>180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181</v>
      </c>
      <c r="N608" s="20">
        <v>682730</v>
      </c>
    </row>
    <row r="609" spans="1:14" ht="15" customHeight="1" x14ac:dyDescent="0.25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147</v>
      </c>
      <c r="I609" s="16" t="s">
        <v>158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270</v>
      </c>
      <c r="N609" s="30"/>
    </row>
    <row r="610" spans="1:14" ht="15" customHeight="1" x14ac:dyDescent="0.25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25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154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25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271</v>
      </c>
      <c r="N612" s="30"/>
    </row>
    <row r="613" spans="1:14" ht="15" customHeight="1" x14ac:dyDescent="0.25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25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25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25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25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25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25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25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25">
      <c r="A621" s="90" t="s">
        <v>182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181</v>
      </c>
      <c r="N621" s="20">
        <v>687740</v>
      </c>
    </row>
    <row r="622" spans="1:14" ht="18" customHeight="1" x14ac:dyDescent="0.25">
      <c r="A622" s="91" t="s">
        <v>183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184</v>
      </c>
      <c r="N622" s="31">
        <f>N608+N621</f>
        <v>1370470</v>
      </c>
    </row>
    <row r="623" spans="1:14" ht="15" customHeight="1" x14ac:dyDescent="0.25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147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25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/>
      <c r="L624" s="70" t="str">
        <f t="shared" si="140"/>
        <v/>
      </c>
      <c r="M624" s="29"/>
      <c r="N624" s="30"/>
    </row>
    <row r="625" spans="1:14" ht="15" customHeight="1" x14ac:dyDescent="0.25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/>
      <c r="H625" s="16"/>
      <c r="I625" s="16"/>
      <c r="J625" s="13"/>
      <c r="K625" s="13"/>
      <c r="L625" s="71" t="str">
        <f t="shared" si="140"/>
        <v/>
      </c>
      <c r="M625" s="29"/>
      <c r="N625" s="30"/>
    </row>
    <row r="626" spans="1:14" ht="15" customHeight="1" x14ac:dyDescent="0.25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/>
      <c r="H626" s="10"/>
      <c r="I626" s="10"/>
      <c r="J626" s="13"/>
      <c r="K626" s="13"/>
      <c r="L626" s="70" t="str">
        <f t="shared" si="140"/>
        <v/>
      </c>
      <c r="M626" s="29"/>
      <c r="N626" s="30"/>
    </row>
    <row r="627" spans="1:14" ht="15" customHeight="1" x14ac:dyDescent="0.25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/>
      <c r="H627" s="16"/>
      <c r="I627" s="16"/>
      <c r="J627" s="13"/>
      <c r="K627" s="13"/>
      <c r="L627" s="71" t="str">
        <f t="shared" si="140"/>
        <v/>
      </c>
      <c r="M627" s="29"/>
      <c r="N627" s="30"/>
    </row>
    <row r="628" spans="1:14" ht="15" customHeight="1" x14ac:dyDescent="0.25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25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25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/>
      <c r="F630" s="12" t="str">
        <f t="shared" si="139"/>
        <v/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25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/>
      <c r="F631" s="17" t="str">
        <f t="shared" si="139"/>
        <v/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25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/>
      <c r="F632" s="12" t="str">
        <f t="shared" si="139"/>
        <v/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25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/>
      <c r="F633" s="17" t="str">
        <f t="shared" si="139"/>
        <v/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25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/>
      <c r="F634" s="12" t="str">
        <f t="shared" si="139"/>
        <v/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25">
      <c r="A635" s="90" t="s">
        <v>180</v>
      </c>
      <c r="B635" s="90"/>
      <c r="C635" s="90"/>
      <c r="D635" s="90"/>
      <c r="E635" s="19">
        <f>SUM(E623:E634)</f>
        <v>98</v>
      </c>
      <c r="F635" s="19">
        <f>SUM(F623:F634)</f>
        <v>392</v>
      </c>
      <c r="G635" s="18"/>
      <c r="H635" s="18"/>
      <c r="I635" s="18"/>
      <c r="J635" s="18"/>
      <c r="K635" s="18"/>
      <c r="L635" s="72">
        <f>IFERROR(SUM(L623:L634),"")</f>
        <v>2.0138888888888928E-2</v>
      </c>
      <c r="M635" s="19" t="s">
        <v>181</v>
      </c>
      <c r="N635" s="89"/>
    </row>
    <row r="636" spans="1:14" ht="15" customHeight="1" x14ac:dyDescent="0.25">
      <c r="A636" s="58">
        <v>46197</v>
      </c>
      <c r="B636" s="9">
        <v>0.83333333333333304</v>
      </c>
      <c r="C636" s="10"/>
      <c r="D636" s="10"/>
      <c r="E636" s="11"/>
      <c r="F636" s="12" t="str">
        <f t="shared" ref="F636:F647" si="142">IF(E636="","",E636*4)</f>
        <v/>
      </c>
      <c r="G636" s="10"/>
      <c r="H636" s="10"/>
      <c r="I636" s="10"/>
      <c r="J636" s="13"/>
      <c r="K636" s="13"/>
      <c r="L636" s="70" t="str">
        <f t="shared" ref="L636:L647" si="143">IFERROR(IF(K636="","",IF(K636&gt;=J636,K636-J636,K636+1-J636)),"")</f>
        <v/>
      </c>
      <c r="M636" s="29"/>
      <c r="N636" s="30"/>
    </row>
    <row r="637" spans="1:14" ht="15" customHeight="1" x14ac:dyDescent="0.25">
      <c r="A637" s="59">
        <v>46197</v>
      </c>
      <c r="B637" s="15">
        <f t="shared" ref="B637:B647" si="144">B636+TIME(0,60,0)</f>
        <v>0.87499999999999967</v>
      </c>
      <c r="C637" s="16"/>
      <c r="D637" s="16"/>
      <c r="E637" s="11"/>
      <c r="F637" s="17" t="str">
        <f t="shared" si="142"/>
        <v/>
      </c>
      <c r="G637" s="16"/>
      <c r="H637" s="16"/>
      <c r="I637" s="16"/>
      <c r="J637" s="13"/>
      <c r="K637" s="13"/>
      <c r="L637" s="71" t="str">
        <f t="shared" si="143"/>
        <v/>
      </c>
      <c r="M637" s="29"/>
      <c r="N637" s="30"/>
    </row>
    <row r="638" spans="1:14" ht="15" customHeight="1" x14ac:dyDescent="0.25">
      <c r="A638" s="58">
        <v>46197</v>
      </c>
      <c r="B638" s="9">
        <f t="shared" si="144"/>
        <v>0.9166666666666663</v>
      </c>
      <c r="C638" s="10"/>
      <c r="D638" s="10"/>
      <c r="E638" s="11"/>
      <c r="F638" s="12" t="str">
        <f t="shared" si="142"/>
        <v/>
      </c>
      <c r="G638" s="10"/>
      <c r="H638" s="10"/>
      <c r="I638" s="10"/>
      <c r="J638" s="13"/>
      <c r="K638" s="13"/>
      <c r="L638" s="70" t="str">
        <f t="shared" si="143"/>
        <v/>
      </c>
      <c r="M638" s="29"/>
      <c r="N638" s="30"/>
    </row>
    <row r="639" spans="1:14" ht="15" customHeight="1" x14ac:dyDescent="0.25">
      <c r="A639" s="59">
        <v>46197</v>
      </c>
      <c r="B639" s="15">
        <f t="shared" si="144"/>
        <v>0.95833333333333293</v>
      </c>
      <c r="C639" s="16"/>
      <c r="D639" s="16"/>
      <c r="E639" s="11"/>
      <c r="F639" s="17" t="str">
        <f t="shared" si="142"/>
        <v/>
      </c>
      <c r="G639" s="16"/>
      <c r="H639" s="16"/>
      <c r="I639" s="16"/>
      <c r="J639" s="13"/>
      <c r="K639" s="13"/>
      <c r="L639" s="71" t="str">
        <f t="shared" si="143"/>
        <v/>
      </c>
      <c r="M639" s="29"/>
      <c r="N639" s="30"/>
    </row>
    <row r="640" spans="1:14" ht="15" customHeight="1" x14ac:dyDescent="0.25">
      <c r="A640" s="58">
        <v>46197</v>
      </c>
      <c r="B640" s="9">
        <f t="shared" si="144"/>
        <v>0.99999999999999956</v>
      </c>
      <c r="C640" s="10"/>
      <c r="D640" s="10"/>
      <c r="E640" s="11"/>
      <c r="F640" s="12" t="str">
        <f t="shared" si="142"/>
        <v/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25">
      <c r="A641" s="59">
        <v>46197</v>
      </c>
      <c r="B641" s="15">
        <f t="shared" si="144"/>
        <v>1.0416666666666663</v>
      </c>
      <c r="C641" s="16"/>
      <c r="D641" s="16"/>
      <c r="E641" s="11"/>
      <c r="F641" s="17" t="str">
        <f t="shared" si="142"/>
        <v/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25">
      <c r="A642" s="58">
        <v>46197</v>
      </c>
      <c r="B642" s="9">
        <f t="shared" si="144"/>
        <v>1.083333333333333</v>
      </c>
      <c r="C642" s="10"/>
      <c r="D642" s="10"/>
      <c r="E642" s="11"/>
      <c r="F642" s="12" t="str">
        <f t="shared" si="142"/>
        <v/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25">
      <c r="A643" s="59">
        <v>46197</v>
      </c>
      <c r="B643" s="15">
        <f t="shared" si="144"/>
        <v>1.1249999999999998</v>
      </c>
      <c r="C643" s="16"/>
      <c r="D643" s="16"/>
      <c r="E643" s="11"/>
      <c r="F643" s="17" t="str">
        <f t="shared" si="142"/>
        <v/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25">
      <c r="A644" s="58">
        <v>46197</v>
      </c>
      <c r="B644" s="9">
        <f t="shared" si="144"/>
        <v>1.1666666666666665</v>
      </c>
      <c r="C644" s="10"/>
      <c r="D644" s="10"/>
      <c r="E644" s="11"/>
      <c r="F644" s="12" t="str">
        <f t="shared" si="142"/>
        <v/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25">
      <c r="A645" s="59">
        <v>46197</v>
      </c>
      <c r="B645" s="15">
        <f t="shared" si="144"/>
        <v>1.2083333333333333</v>
      </c>
      <c r="C645" s="16"/>
      <c r="D645" s="16"/>
      <c r="E645" s="11"/>
      <c r="F645" s="17" t="str">
        <f t="shared" si="142"/>
        <v/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25">
      <c r="A646" s="58">
        <v>46197</v>
      </c>
      <c r="B646" s="9">
        <f t="shared" si="144"/>
        <v>1.25</v>
      </c>
      <c r="C646" s="10"/>
      <c r="D646" s="10"/>
      <c r="E646" s="11"/>
      <c r="F646" s="12" t="str">
        <f t="shared" si="142"/>
        <v/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25">
      <c r="A647" s="59">
        <v>46197</v>
      </c>
      <c r="B647" s="15">
        <f t="shared" si="144"/>
        <v>1.2916666666666667</v>
      </c>
      <c r="C647" s="16"/>
      <c r="D647" s="16"/>
      <c r="E647" s="11"/>
      <c r="F647" s="17" t="str">
        <f t="shared" si="142"/>
        <v/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25">
      <c r="A648" s="90" t="s">
        <v>182</v>
      </c>
      <c r="B648" s="90"/>
      <c r="C648" s="90"/>
      <c r="D648" s="90"/>
      <c r="E648" s="19">
        <f>SUM(E636:E647)</f>
        <v>0</v>
      </c>
      <c r="F648" s="19">
        <f>SUM(F636:F647)</f>
        <v>0</v>
      </c>
      <c r="G648" s="18"/>
      <c r="H648" s="18"/>
      <c r="I648" s="18"/>
      <c r="J648" s="18"/>
      <c r="K648" s="18"/>
      <c r="L648" s="72">
        <f>IFERROR(SUM(L636:L647),"")</f>
        <v>0</v>
      </c>
      <c r="M648" s="19" t="s">
        <v>181</v>
      </c>
      <c r="N648" s="20"/>
    </row>
    <row r="649" spans="1:14" ht="18" customHeight="1" x14ac:dyDescent="0.25">
      <c r="A649" s="91" t="s">
        <v>183</v>
      </c>
      <c r="B649" s="91"/>
      <c r="C649" s="91"/>
      <c r="D649" s="91"/>
      <c r="E649" s="22">
        <f>E635+E648</f>
        <v>98</v>
      </c>
      <c r="F649" s="22">
        <f>F635+F648</f>
        <v>392</v>
      </c>
      <c r="G649" s="21"/>
      <c r="H649" s="21"/>
      <c r="I649" s="21"/>
      <c r="J649" s="21"/>
      <c r="K649" s="21"/>
      <c r="L649" s="73">
        <f>IFERROR(L635+L648,"")</f>
        <v>2.0138888888888928E-2</v>
      </c>
      <c r="M649" s="22" t="s">
        <v>184</v>
      </c>
      <c r="N649" s="31">
        <f>N635+N648</f>
        <v>0</v>
      </c>
    </row>
    <row r="650" spans="1:14" ht="15" customHeight="1" x14ac:dyDescent="0.25">
      <c r="A650" s="58">
        <v>46198</v>
      </c>
      <c r="B650" s="9">
        <v>0.33333333333333298</v>
      </c>
      <c r="C650" s="10"/>
      <c r="D650" s="10"/>
      <c r="E650" s="11"/>
      <c r="F650" s="12" t="str">
        <f t="shared" ref="F650:F661" si="145">IF(E650="","",E650*4)</f>
        <v/>
      </c>
      <c r="G650" s="10"/>
      <c r="H650" s="10"/>
      <c r="I650" s="10"/>
      <c r="J650" s="13"/>
      <c r="K650" s="13"/>
      <c r="L650" s="70" t="str">
        <f t="shared" ref="L650:L661" si="146">IFERROR(IF(K650="","",IF(K650&gt;=J650,K650-J650,K650+1-J650)),"")</f>
        <v/>
      </c>
      <c r="M650" s="29"/>
      <c r="N650" s="30"/>
    </row>
    <row r="651" spans="1:14" ht="15" customHeight="1" x14ac:dyDescent="0.25">
      <c r="A651" s="59">
        <v>46198</v>
      </c>
      <c r="B651" s="15">
        <f t="shared" ref="B651:B661" si="147">B650+TIME(0,60,0)</f>
        <v>0.37499999999999967</v>
      </c>
      <c r="C651" s="16"/>
      <c r="D651" s="16"/>
      <c r="E651" s="11"/>
      <c r="F651" s="17" t="str">
        <f t="shared" si="145"/>
        <v/>
      </c>
      <c r="G651" s="16"/>
      <c r="H651" s="16"/>
      <c r="I651" s="16"/>
      <c r="J651" s="13"/>
      <c r="K651" s="13"/>
      <c r="L651" s="71" t="str">
        <f t="shared" si="146"/>
        <v/>
      </c>
      <c r="M651" s="29"/>
      <c r="N651" s="30"/>
    </row>
    <row r="652" spans="1:14" ht="15" customHeight="1" x14ac:dyDescent="0.25">
      <c r="A652" s="58">
        <v>46198</v>
      </c>
      <c r="B652" s="9">
        <f t="shared" si="147"/>
        <v>0.41666666666666635</v>
      </c>
      <c r="C652" s="10"/>
      <c r="D652" s="10"/>
      <c r="E652" s="11"/>
      <c r="F652" s="12" t="str">
        <f t="shared" si="145"/>
        <v/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25">
      <c r="A653" s="59">
        <v>46198</v>
      </c>
      <c r="B653" s="15">
        <f t="shared" si="147"/>
        <v>0.45833333333333304</v>
      </c>
      <c r="C653" s="16"/>
      <c r="D653" s="16"/>
      <c r="E653" s="11"/>
      <c r="F653" s="17" t="str">
        <f t="shared" si="145"/>
        <v/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25">
      <c r="A654" s="58">
        <v>46198</v>
      </c>
      <c r="B654" s="9">
        <f t="shared" si="147"/>
        <v>0.49999999999999972</v>
      </c>
      <c r="C654" s="10"/>
      <c r="D654" s="10"/>
      <c r="E654" s="11"/>
      <c r="F654" s="12" t="str">
        <f t="shared" si="145"/>
        <v/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25">
      <c r="A655" s="59">
        <v>46198</v>
      </c>
      <c r="B655" s="15">
        <f t="shared" si="147"/>
        <v>0.54166666666666641</v>
      </c>
      <c r="C655" s="16"/>
      <c r="D655" s="16"/>
      <c r="E655" s="11"/>
      <c r="F655" s="17" t="str">
        <f t="shared" si="145"/>
        <v/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25">
      <c r="A656" s="58">
        <v>46198</v>
      </c>
      <c r="B656" s="9">
        <f t="shared" si="147"/>
        <v>0.58333333333333304</v>
      </c>
      <c r="C656" s="10"/>
      <c r="D656" s="10"/>
      <c r="E656" s="11"/>
      <c r="F656" s="12" t="str">
        <f t="shared" si="145"/>
        <v/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25">
      <c r="A657" s="59">
        <v>46198</v>
      </c>
      <c r="B657" s="15">
        <f t="shared" si="147"/>
        <v>0.62499999999999967</v>
      </c>
      <c r="C657" s="16"/>
      <c r="D657" s="16"/>
      <c r="E657" s="11"/>
      <c r="F657" s="17" t="str">
        <f t="shared" si="145"/>
        <v/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25">
      <c r="A658" s="58">
        <v>46198</v>
      </c>
      <c r="B658" s="9">
        <f t="shared" si="147"/>
        <v>0.6666666666666663</v>
      </c>
      <c r="C658" s="10"/>
      <c r="D658" s="10"/>
      <c r="E658" s="11"/>
      <c r="F658" s="12" t="str">
        <f t="shared" si="145"/>
        <v/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25">
      <c r="A659" s="59">
        <v>46198</v>
      </c>
      <c r="B659" s="15">
        <f t="shared" si="147"/>
        <v>0.70833333333333293</v>
      </c>
      <c r="C659" s="16"/>
      <c r="D659" s="16"/>
      <c r="E659" s="11"/>
      <c r="F659" s="17" t="str">
        <f t="shared" si="145"/>
        <v/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25">
      <c r="A660" s="58">
        <v>46198</v>
      </c>
      <c r="B660" s="9">
        <f t="shared" si="147"/>
        <v>0.74999999999999956</v>
      </c>
      <c r="C660" s="10"/>
      <c r="D660" s="10"/>
      <c r="E660" s="11"/>
      <c r="F660" s="12" t="str">
        <f t="shared" si="145"/>
        <v/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25">
      <c r="A661" s="59">
        <v>46198</v>
      </c>
      <c r="B661" s="15">
        <f t="shared" si="147"/>
        <v>0.79166666666666619</v>
      </c>
      <c r="C661" s="16"/>
      <c r="D661" s="16"/>
      <c r="E661" s="11"/>
      <c r="F661" s="17" t="str">
        <f t="shared" si="145"/>
        <v/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25">
      <c r="A662" s="90" t="s">
        <v>180</v>
      </c>
      <c r="B662" s="90"/>
      <c r="C662" s="90"/>
      <c r="D662" s="90"/>
      <c r="E662" s="19">
        <f>SUM(E650:E661)</f>
        <v>0</v>
      </c>
      <c r="F662" s="19">
        <f>SUM(F650:F661)</f>
        <v>0</v>
      </c>
      <c r="G662" s="18"/>
      <c r="H662" s="18"/>
      <c r="I662" s="18"/>
      <c r="J662" s="18"/>
      <c r="K662" s="18"/>
      <c r="L662" s="72">
        <f>IFERROR(SUM(L650:L661),"")</f>
        <v>0</v>
      </c>
      <c r="M662" s="19" t="s">
        <v>181</v>
      </c>
      <c r="N662" s="20"/>
    </row>
    <row r="663" spans="1:14" ht="15" customHeight="1" x14ac:dyDescent="0.25">
      <c r="A663" s="59">
        <v>46198</v>
      </c>
      <c r="B663" s="15">
        <v>0.83333333333333304</v>
      </c>
      <c r="C663" s="16"/>
      <c r="D663" s="16"/>
      <c r="E663" s="11"/>
      <c r="F663" s="17" t="str">
        <f t="shared" ref="F663:F674" si="148">IF(E663="","",E663*4)</f>
        <v/>
      </c>
      <c r="G663" s="16"/>
      <c r="H663" s="16"/>
      <c r="I663" s="16"/>
      <c r="J663" s="13"/>
      <c r="K663" s="13"/>
      <c r="L663" s="71" t="str">
        <f t="shared" ref="L663:L674" si="149">IFERROR(IF(K663="","",IF(K663&gt;=J663,K663-J663,K663+1-J663)),"")</f>
        <v/>
      </c>
      <c r="M663" s="29"/>
      <c r="N663" s="30"/>
    </row>
    <row r="664" spans="1:14" ht="15" customHeight="1" x14ac:dyDescent="0.25">
      <c r="A664" s="58">
        <v>46198</v>
      </c>
      <c r="B664" s="9">
        <f t="shared" ref="B664:B674" si="150">B663+TIME(0,60,0)</f>
        <v>0.87499999999999967</v>
      </c>
      <c r="C664" s="10"/>
      <c r="D664" s="10"/>
      <c r="E664" s="11"/>
      <c r="F664" s="12" t="str">
        <f t="shared" si="148"/>
        <v/>
      </c>
      <c r="G664" s="10"/>
      <c r="H664" s="10"/>
      <c r="I664" s="10"/>
      <c r="J664" s="13"/>
      <c r="K664" s="13"/>
      <c r="L664" s="70" t="str">
        <f t="shared" si="149"/>
        <v/>
      </c>
      <c r="M664" s="29"/>
      <c r="N664" s="30"/>
    </row>
    <row r="665" spans="1:14" ht="15" customHeight="1" x14ac:dyDescent="0.25">
      <c r="A665" s="59">
        <v>46198</v>
      </c>
      <c r="B665" s="15">
        <f t="shared" si="150"/>
        <v>0.9166666666666663</v>
      </c>
      <c r="C665" s="16"/>
      <c r="D665" s="16"/>
      <c r="E665" s="11"/>
      <c r="F665" s="17" t="str">
        <f t="shared" si="148"/>
        <v/>
      </c>
      <c r="G665" s="16"/>
      <c r="H665" s="16"/>
      <c r="I665" s="16"/>
      <c r="J665" s="13"/>
      <c r="K665" s="13"/>
      <c r="L665" s="71" t="str">
        <f t="shared" si="149"/>
        <v/>
      </c>
      <c r="M665" s="29"/>
      <c r="N665" s="30"/>
    </row>
    <row r="666" spans="1:14" ht="15" customHeight="1" x14ac:dyDescent="0.25">
      <c r="A666" s="58">
        <v>46198</v>
      </c>
      <c r="B666" s="9">
        <f t="shared" si="150"/>
        <v>0.95833333333333293</v>
      </c>
      <c r="C666" s="10"/>
      <c r="D666" s="10"/>
      <c r="E666" s="11"/>
      <c r="F666" s="12" t="str">
        <f t="shared" si="148"/>
        <v/>
      </c>
      <c r="G666" s="10"/>
      <c r="H666" s="10"/>
      <c r="I666" s="10"/>
      <c r="J666" s="13"/>
      <c r="K666" s="13"/>
      <c r="L666" s="70" t="str">
        <f t="shared" si="149"/>
        <v/>
      </c>
      <c r="M666" s="29"/>
      <c r="N666" s="30"/>
    </row>
    <row r="667" spans="1:14" ht="15" customHeight="1" x14ac:dyDescent="0.25">
      <c r="A667" s="59">
        <v>46198</v>
      </c>
      <c r="B667" s="15">
        <f t="shared" si="150"/>
        <v>0.99999999999999956</v>
      </c>
      <c r="C667" s="16"/>
      <c r="D667" s="16"/>
      <c r="E667" s="11"/>
      <c r="F667" s="17" t="str">
        <f t="shared" si="148"/>
        <v/>
      </c>
      <c r="G667" s="16"/>
      <c r="H667" s="16"/>
      <c r="I667" s="16"/>
      <c r="J667" s="13"/>
      <c r="K667" s="13"/>
      <c r="L667" s="71" t="str">
        <f t="shared" si="149"/>
        <v/>
      </c>
      <c r="M667" s="29"/>
      <c r="N667" s="30"/>
    </row>
    <row r="668" spans="1:14" ht="15" customHeight="1" x14ac:dyDescent="0.25">
      <c r="A668" s="58">
        <v>46198</v>
      </c>
      <c r="B668" s="9">
        <f t="shared" si="150"/>
        <v>1.0416666666666663</v>
      </c>
      <c r="C668" s="10"/>
      <c r="D668" s="10"/>
      <c r="E668" s="11"/>
      <c r="F668" s="12" t="str">
        <f t="shared" si="148"/>
        <v/>
      </c>
      <c r="G668" s="10"/>
      <c r="H668" s="10"/>
      <c r="I668" s="10"/>
      <c r="J668" s="13"/>
      <c r="K668" s="13"/>
      <c r="L668" s="70" t="str">
        <f t="shared" si="149"/>
        <v/>
      </c>
      <c r="M668" s="29"/>
      <c r="N668" s="30"/>
    </row>
    <row r="669" spans="1:14" ht="15" customHeight="1" x14ac:dyDescent="0.25">
      <c r="A669" s="59">
        <v>46198</v>
      </c>
      <c r="B669" s="15">
        <f t="shared" si="150"/>
        <v>1.083333333333333</v>
      </c>
      <c r="C669" s="16"/>
      <c r="D669" s="16"/>
      <c r="E669" s="11"/>
      <c r="F669" s="17" t="str">
        <f t="shared" si="148"/>
        <v/>
      </c>
      <c r="G669" s="16"/>
      <c r="H669" s="16"/>
      <c r="I669" s="16"/>
      <c r="J669" s="13"/>
      <c r="K669" s="13"/>
      <c r="L669" s="71" t="str">
        <f t="shared" si="149"/>
        <v/>
      </c>
      <c r="M669" s="29"/>
      <c r="N669" s="30"/>
    </row>
    <row r="670" spans="1:14" ht="15" customHeight="1" x14ac:dyDescent="0.25">
      <c r="A670" s="58">
        <v>46198</v>
      </c>
      <c r="B670" s="9">
        <f t="shared" si="150"/>
        <v>1.1249999999999998</v>
      </c>
      <c r="C670" s="10"/>
      <c r="D670" s="10"/>
      <c r="E670" s="11"/>
      <c r="F670" s="12" t="str">
        <f t="shared" si="148"/>
        <v/>
      </c>
      <c r="G670" s="10"/>
      <c r="H670" s="10"/>
      <c r="I670" s="10"/>
      <c r="J670" s="13"/>
      <c r="K670" s="13"/>
      <c r="L670" s="70" t="str">
        <f t="shared" si="149"/>
        <v/>
      </c>
      <c r="M670" s="29"/>
      <c r="N670" s="30"/>
    </row>
    <row r="671" spans="1:14" ht="15" customHeight="1" x14ac:dyDescent="0.25">
      <c r="A671" s="59">
        <v>46198</v>
      </c>
      <c r="B671" s="15">
        <f t="shared" si="150"/>
        <v>1.1666666666666665</v>
      </c>
      <c r="C671" s="16"/>
      <c r="D671" s="16"/>
      <c r="E671" s="11"/>
      <c r="F671" s="17" t="str">
        <f t="shared" si="148"/>
        <v/>
      </c>
      <c r="G671" s="16"/>
      <c r="H671" s="16"/>
      <c r="I671" s="16"/>
      <c r="J671" s="13"/>
      <c r="K671" s="13"/>
      <c r="L671" s="71" t="str">
        <f t="shared" si="149"/>
        <v/>
      </c>
      <c r="M671" s="29"/>
      <c r="N671" s="30"/>
    </row>
    <row r="672" spans="1:14" ht="15" customHeight="1" x14ac:dyDescent="0.25">
      <c r="A672" s="58">
        <v>46198</v>
      </c>
      <c r="B672" s="9">
        <f t="shared" si="150"/>
        <v>1.2083333333333333</v>
      </c>
      <c r="C672" s="10"/>
      <c r="D672" s="10"/>
      <c r="E672" s="11"/>
      <c r="F672" s="12" t="str">
        <f t="shared" si="148"/>
        <v/>
      </c>
      <c r="G672" s="10"/>
      <c r="H672" s="10"/>
      <c r="I672" s="10"/>
      <c r="J672" s="13"/>
      <c r="K672" s="13"/>
      <c r="L672" s="70" t="str">
        <f t="shared" si="149"/>
        <v/>
      </c>
      <c r="M672" s="29"/>
      <c r="N672" s="30"/>
    </row>
    <row r="673" spans="1:14" ht="15" customHeight="1" x14ac:dyDescent="0.25">
      <c r="A673" s="59">
        <v>46198</v>
      </c>
      <c r="B673" s="15">
        <f t="shared" si="150"/>
        <v>1.25</v>
      </c>
      <c r="C673" s="16"/>
      <c r="D673" s="16"/>
      <c r="E673" s="11"/>
      <c r="F673" s="17" t="str">
        <f t="shared" si="148"/>
        <v/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25">
      <c r="A674" s="58">
        <v>46198</v>
      </c>
      <c r="B674" s="9">
        <f t="shared" si="150"/>
        <v>1.2916666666666667</v>
      </c>
      <c r="C674" s="10"/>
      <c r="D674" s="10"/>
      <c r="E674" s="11"/>
      <c r="F674" s="12" t="str">
        <f t="shared" si="148"/>
        <v/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25">
      <c r="A675" s="90" t="s">
        <v>182</v>
      </c>
      <c r="B675" s="90"/>
      <c r="C675" s="90"/>
      <c r="D675" s="90"/>
      <c r="E675" s="19">
        <f>SUM(E663:E674)</f>
        <v>0</v>
      </c>
      <c r="F675" s="19">
        <f>SUM(F663:F674)</f>
        <v>0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181</v>
      </c>
      <c r="N675" s="20"/>
    </row>
    <row r="676" spans="1:14" ht="18" customHeight="1" x14ac:dyDescent="0.25">
      <c r="A676" s="91" t="s">
        <v>183</v>
      </c>
      <c r="B676" s="91"/>
      <c r="C676" s="91"/>
      <c r="D676" s="91"/>
      <c r="E676" s="22">
        <f>E662+E675</f>
        <v>0</v>
      </c>
      <c r="F676" s="22">
        <f>F662+F675</f>
        <v>0</v>
      </c>
      <c r="G676" s="21"/>
      <c r="H676" s="21"/>
      <c r="I676" s="21"/>
      <c r="J676" s="21"/>
      <c r="K676" s="21"/>
      <c r="L676" s="73">
        <f>IFERROR(L662+L675,"")</f>
        <v>0</v>
      </c>
      <c r="M676" s="22" t="s">
        <v>184</v>
      </c>
      <c r="N676" s="31">
        <f>IFERROR(N662+N675,"")</f>
        <v>0</v>
      </c>
    </row>
    <row r="677" spans="1:14" ht="15" customHeight="1" x14ac:dyDescent="0.25">
      <c r="A677" s="59">
        <v>46199</v>
      </c>
      <c r="B677" s="15">
        <v>0.33333333333333298</v>
      </c>
      <c r="C677" s="16"/>
      <c r="D677" s="16"/>
      <c r="E677" s="11"/>
      <c r="F677" s="17" t="str">
        <f t="shared" ref="F677:F688" si="151">IF(E677="","",E677*4)</f>
        <v/>
      </c>
      <c r="G677" s="16"/>
      <c r="H677" s="16"/>
      <c r="I677" s="16"/>
      <c r="J677" s="13"/>
      <c r="K677" s="13"/>
      <c r="L677" s="71" t="str">
        <f t="shared" ref="L677:L688" si="152">IFERROR(IF(K677="","",IF(K677&gt;=J677,K677-J677,K677+1-J677)),"")</f>
        <v/>
      </c>
      <c r="M677" s="29"/>
      <c r="N677" s="30"/>
    </row>
    <row r="678" spans="1:14" ht="15" customHeight="1" x14ac:dyDescent="0.25">
      <c r="A678" s="58">
        <v>46199</v>
      </c>
      <c r="B678" s="9">
        <f t="shared" ref="B678:B688" si="153">B677+TIME(0,60,0)</f>
        <v>0.37499999999999967</v>
      </c>
      <c r="C678" s="10"/>
      <c r="D678" s="10"/>
      <c r="E678" s="11"/>
      <c r="F678" s="12" t="str">
        <f t="shared" si="151"/>
        <v/>
      </c>
      <c r="G678" s="10"/>
      <c r="H678" s="10"/>
      <c r="I678" s="10"/>
      <c r="J678" s="13"/>
      <c r="K678" s="13"/>
      <c r="L678" s="70" t="str">
        <f t="shared" si="152"/>
        <v/>
      </c>
      <c r="M678" s="29"/>
      <c r="N678" s="30"/>
    </row>
    <row r="679" spans="1:14" ht="15" customHeight="1" x14ac:dyDescent="0.25">
      <c r="A679" s="59">
        <v>46199</v>
      </c>
      <c r="B679" s="15">
        <f t="shared" si="153"/>
        <v>0.41666666666666635</v>
      </c>
      <c r="C679" s="16"/>
      <c r="D679" s="16"/>
      <c r="E679" s="11"/>
      <c r="F679" s="17" t="str">
        <f t="shared" si="151"/>
        <v/>
      </c>
      <c r="G679" s="16"/>
      <c r="H679" s="16"/>
      <c r="I679" s="16"/>
      <c r="J679" s="13"/>
      <c r="K679" s="13"/>
      <c r="L679" s="71" t="str">
        <f t="shared" si="152"/>
        <v/>
      </c>
      <c r="M679" s="29"/>
      <c r="N679" s="30"/>
    </row>
    <row r="680" spans="1:14" ht="15" customHeight="1" x14ac:dyDescent="0.25">
      <c r="A680" s="58">
        <v>46199</v>
      </c>
      <c r="B680" s="9">
        <f t="shared" si="153"/>
        <v>0.45833333333333304</v>
      </c>
      <c r="C680" s="10"/>
      <c r="D680" s="10"/>
      <c r="E680" s="11"/>
      <c r="F680" s="12" t="str">
        <f t="shared" si="151"/>
        <v/>
      </c>
      <c r="G680" s="10"/>
      <c r="H680" s="10"/>
      <c r="I680" s="10"/>
      <c r="J680" s="13"/>
      <c r="K680" s="13"/>
      <c r="L680" s="70" t="str">
        <f t="shared" si="152"/>
        <v/>
      </c>
      <c r="M680" s="29"/>
      <c r="N680" s="30"/>
    </row>
    <row r="681" spans="1:14" ht="15" customHeight="1" x14ac:dyDescent="0.25">
      <c r="A681" s="59">
        <v>46199</v>
      </c>
      <c r="B681" s="15">
        <f t="shared" si="153"/>
        <v>0.49999999999999972</v>
      </c>
      <c r="C681" s="16"/>
      <c r="D681" s="16"/>
      <c r="E681" s="11"/>
      <c r="F681" s="17" t="str">
        <f t="shared" si="151"/>
        <v/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25">
      <c r="A682" s="58">
        <v>46199</v>
      </c>
      <c r="B682" s="9">
        <f t="shared" si="153"/>
        <v>0.54166666666666641</v>
      </c>
      <c r="C682" s="10"/>
      <c r="D682" s="10"/>
      <c r="E682" s="11"/>
      <c r="F682" s="12" t="str">
        <f t="shared" si="151"/>
        <v/>
      </c>
      <c r="G682" s="10"/>
      <c r="H682" s="10"/>
      <c r="I682" s="10"/>
      <c r="J682" s="13"/>
      <c r="K682" s="13"/>
      <c r="L682" s="70" t="str">
        <f t="shared" si="152"/>
        <v/>
      </c>
      <c r="M682" s="29"/>
      <c r="N682" s="30"/>
    </row>
    <row r="683" spans="1:14" ht="15" customHeight="1" x14ac:dyDescent="0.25">
      <c r="A683" s="59">
        <v>46199</v>
      </c>
      <c r="B683" s="15">
        <f t="shared" si="153"/>
        <v>0.58333333333333304</v>
      </c>
      <c r="C683" s="16"/>
      <c r="D683" s="16"/>
      <c r="E683" s="11"/>
      <c r="F683" s="17" t="str">
        <f t="shared" si="151"/>
        <v/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25">
      <c r="A684" s="58">
        <v>46199</v>
      </c>
      <c r="B684" s="9">
        <f t="shared" si="153"/>
        <v>0.62499999999999967</v>
      </c>
      <c r="C684" s="10"/>
      <c r="D684" s="10"/>
      <c r="E684" s="11"/>
      <c r="F684" s="12" t="str">
        <f t="shared" si="151"/>
        <v/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25">
      <c r="A685" s="59">
        <v>46199</v>
      </c>
      <c r="B685" s="15">
        <f t="shared" si="153"/>
        <v>0.6666666666666663</v>
      </c>
      <c r="C685" s="16"/>
      <c r="D685" s="16"/>
      <c r="E685" s="11"/>
      <c r="F685" s="17" t="str">
        <f t="shared" si="151"/>
        <v/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25">
      <c r="A686" s="58">
        <v>46199</v>
      </c>
      <c r="B686" s="9">
        <f t="shared" si="153"/>
        <v>0.70833333333333293</v>
      </c>
      <c r="C686" s="10"/>
      <c r="D686" s="10"/>
      <c r="E686" s="11"/>
      <c r="F686" s="12" t="str">
        <f t="shared" si="151"/>
        <v/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25">
      <c r="A687" s="59">
        <v>46199</v>
      </c>
      <c r="B687" s="15">
        <f t="shared" si="153"/>
        <v>0.74999999999999956</v>
      </c>
      <c r="C687" s="16"/>
      <c r="D687" s="16"/>
      <c r="E687" s="11"/>
      <c r="F687" s="17" t="str">
        <f t="shared" si="151"/>
        <v/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25">
      <c r="A688" s="58">
        <v>46199</v>
      </c>
      <c r="B688" s="9">
        <f t="shared" si="153"/>
        <v>0.79166666666666619</v>
      </c>
      <c r="C688" s="10"/>
      <c r="D688" s="10"/>
      <c r="E688" s="11"/>
      <c r="F688" s="12" t="str">
        <f t="shared" si="151"/>
        <v/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25">
      <c r="A689" s="90" t="s">
        <v>180</v>
      </c>
      <c r="B689" s="90"/>
      <c r="C689" s="90"/>
      <c r="D689" s="90"/>
      <c r="E689" s="19">
        <f>SUM(E677:E688)</f>
        <v>0</v>
      </c>
      <c r="F689" s="19">
        <f>SUM(F677:F688)</f>
        <v>0</v>
      </c>
      <c r="G689" s="18"/>
      <c r="H689" s="18"/>
      <c r="I689" s="18"/>
      <c r="J689" s="18"/>
      <c r="K689" s="18"/>
      <c r="L689" s="72">
        <f>IFERROR(SUM(L677:L688),"")</f>
        <v>0</v>
      </c>
      <c r="M689" s="19" t="s">
        <v>181</v>
      </c>
      <c r="N689" s="20"/>
    </row>
    <row r="690" spans="1:14" ht="15" customHeight="1" x14ac:dyDescent="0.25">
      <c r="A690" s="58">
        <v>46199</v>
      </c>
      <c r="B690" s="9">
        <v>0.83333333333333304</v>
      </c>
      <c r="C690" s="10"/>
      <c r="D690" s="10"/>
      <c r="E690" s="11"/>
      <c r="F690" s="12" t="str">
        <f t="shared" ref="F690:F701" si="154">IF(E690="","",E690*4)</f>
        <v/>
      </c>
      <c r="G690" s="10"/>
      <c r="H690" s="10"/>
      <c r="I690" s="10"/>
      <c r="J690" s="13"/>
      <c r="K690" s="13"/>
      <c r="L690" s="70" t="str">
        <f t="shared" ref="L690:L701" si="155">IFERROR(IF(K690="","",IF(K690&gt;=J690,K690-J690,K690+1-J690)),"")</f>
        <v/>
      </c>
      <c r="M690" s="29"/>
      <c r="N690" s="30"/>
    </row>
    <row r="691" spans="1:14" ht="15" customHeight="1" x14ac:dyDescent="0.25">
      <c r="A691" s="59">
        <v>46199</v>
      </c>
      <c r="B691" s="15">
        <f t="shared" ref="B691:B701" si="156">B690+TIME(0,60,0)</f>
        <v>0.87499999999999967</v>
      </c>
      <c r="C691" s="16"/>
      <c r="D691" s="16"/>
      <c r="E691" s="11"/>
      <c r="F691" s="17" t="str">
        <f t="shared" si="154"/>
        <v/>
      </c>
      <c r="G691" s="16"/>
      <c r="H691" s="16"/>
      <c r="I691" s="16"/>
      <c r="J691" s="13"/>
      <c r="K691" s="13"/>
      <c r="L691" s="71" t="str">
        <f t="shared" si="155"/>
        <v/>
      </c>
      <c r="M691" s="29"/>
      <c r="N691" s="30"/>
    </row>
    <row r="692" spans="1:14" ht="15" customHeight="1" x14ac:dyDescent="0.25">
      <c r="A692" s="58">
        <v>46199</v>
      </c>
      <c r="B692" s="9">
        <f t="shared" si="156"/>
        <v>0.9166666666666663</v>
      </c>
      <c r="C692" s="10"/>
      <c r="D692" s="10"/>
      <c r="E692" s="11"/>
      <c r="F692" s="12" t="str">
        <f t="shared" si="154"/>
        <v/>
      </c>
      <c r="G692" s="10"/>
      <c r="H692" s="10"/>
      <c r="I692" s="10"/>
      <c r="J692" s="13"/>
      <c r="K692" s="13"/>
      <c r="L692" s="70" t="str">
        <f t="shared" si="155"/>
        <v/>
      </c>
      <c r="M692" s="29"/>
      <c r="N692" s="30"/>
    </row>
    <row r="693" spans="1:14" ht="15" customHeight="1" x14ac:dyDescent="0.25">
      <c r="A693" s="59">
        <v>46199</v>
      </c>
      <c r="B693" s="15">
        <f t="shared" si="156"/>
        <v>0.95833333333333293</v>
      </c>
      <c r="C693" s="16"/>
      <c r="D693" s="16"/>
      <c r="E693" s="11"/>
      <c r="F693" s="17" t="str">
        <f t="shared" si="154"/>
        <v/>
      </c>
      <c r="G693" s="16"/>
      <c r="H693" s="16"/>
      <c r="I693" s="16"/>
      <c r="J693" s="13"/>
      <c r="K693" s="13"/>
      <c r="L693" s="71" t="str">
        <f t="shared" si="155"/>
        <v/>
      </c>
      <c r="M693" s="29"/>
      <c r="N693" s="30"/>
    </row>
    <row r="694" spans="1:14" ht="15" customHeight="1" x14ac:dyDescent="0.25">
      <c r="A694" s="58">
        <v>46199</v>
      </c>
      <c r="B694" s="9">
        <f t="shared" si="156"/>
        <v>0.99999999999999956</v>
      </c>
      <c r="C694" s="10"/>
      <c r="D694" s="10"/>
      <c r="E694" s="11"/>
      <c r="F694" s="12" t="str">
        <f t="shared" si="154"/>
        <v/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25">
      <c r="A695" s="59">
        <v>46199</v>
      </c>
      <c r="B695" s="15">
        <f t="shared" si="156"/>
        <v>1.0416666666666663</v>
      </c>
      <c r="C695" s="16"/>
      <c r="D695" s="16"/>
      <c r="E695" s="11"/>
      <c r="F695" s="17" t="str">
        <f t="shared" si="154"/>
        <v/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25">
      <c r="A696" s="58">
        <v>46199</v>
      </c>
      <c r="B696" s="9">
        <f t="shared" si="156"/>
        <v>1.083333333333333</v>
      </c>
      <c r="C696" s="10"/>
      <c r="D696" s="10"/>
      <c r="E696" s="11"/>
      <c r="F696" s="12" t="str">
        <f t="shared" si="154"/>
        <v/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25">
      <c r="A697" s="59">
        <v>46199</v>
      </c>
      <c r="B697" s="15">
        <f t="shared" si="156"/>
        <v>1.1249999999999998</v>
      </c>
      <c r="C697" s="16"/>
      <c r="D697" s="16"/>
      <c r="E697" s="11"/>
      <c r="F697" s="17" t="str">
        <f t="shared" si="154"/>
        <v/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25">
      <c r="A698" s="58">
        <v>46199</v>
      </c>
      <c r="B698" s="9">
        <f t="shared" si="156"/>
        <v>1.1666666666666665</v>
      </c>
      <c r="C698" s="10"/>
      <c r="D698" s="10"/>
      <c r="E698" s="11"/>
      <c r="F698" s="12" t="str">
        <f t="shared" si="154"/>
        <v/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25">
      <c r="A699" s="59">
        <v>46199</v>
      </c>
      <c r="B699" s="15">
        <f t="shared" si="156"/>
        <v>1.2083333333333333</v>
      </c>
      <c r="C699" s="16"/>
      <c r="D699" s="16"/>
      <c r="E699" s="11"/>
      <c r="F699" s="17" t="str">
        <f t="shared" si="154"/>
        <v/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25">
      <c r="A700" s="58">
        <v>46199</v>
      </c>
      <c r="B700" s="9">
        <f t="shared" si="156"/>
        <v>1.25</v>
      </c>
      <c r="C700" s="10"/>
      <c r="D700" s="10"/>
      <c r="E700" s="11"/>
      <c r="F700" s="12" t="str">
        <f t="shared" si="154"/>
        <v/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25">
      <c r="A701" s="59">
        <v>46199</v>
      </c>
      <c r="B701" s="15">
        <f t="shared" si="156"/>
        <v>1.2916666666666667</v>
      </c>
      <c r="C701" s="16"/>
      <c r="D701" s="16"/>
      <c r="E701" s="11"/>
      <c r="F701" s="17" t="str">
        <f t="shared" si="154"/>
        <v/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25">
      <c r="A702" s="90" t="s">
        <v>182</v>
      </c>
      <c r="B702" s="90"/>
      <c r="C702" s="90"/>
      <c r="D702" s="90"/>
      <c r="E702" s="19">
        <f>SUM(E690:E701)</f>
        <v>0</v>
      </c>
      <c r="F702" s="19">
        <f>SUM(F690:F701)</f>
        <v>0</v>
      </c>
      <c r="G702" s="18"/>
      <c r="H702" s="18"/>
      <c r="I702" s="18"/>
      <c r="J702" s="18"/>
      <c r="K702" s="18"/>
      <c r="L702" s="72">
        <f>IFERROR(SUM(L690:L701),"")</f>
        <v>0</v>
      </c>
      <c r="M702" s="19" t="s">
        <v>181</v>
      </c>
      <c r="N702" s="20"/>
    </row>
    <row r="703" spans="1:14" ht="18" customHeight="1" x14ac:dyDescent="0.25">
      <c r="A703" s="91" t="s">
        <v>183</v>
      </c>
      <c r="B703" s="91"/>
      <c r="C703" s="91"/>
      <c r="D703" s="91"/>
      <c r="E703" s="22">
        <f>E689+E702</f>
        <v>0</v>
      </c>
      <c r="F703" s="22">
        <f>F689+F702</f>
        <v>0</v>
      </c>
      <c r="G703" s="21"/>
      <c r="H703" s="21"/>
      <c r="I703" s="21"/>
      <c r="J703" s="21"/>
      <c r="K703" s="21"/>
      <c r="L703" s="73">
        <f>IFERROR(L689+L702,"")</f>
        <v>0</v>
      </c>
      <c r="M703" s="22" t="s">
        <v>184</v>
      </c>
      <c r="N703" s="31">
        <f>IFERROR(N689+N702,"")</f>
        <v>0</v>
      </c>
    </row>
    <row r="704" spans="1:14" ht="15" customHeight="1" x14ac:dyDescent="0.25">
      <c r="A704" s="58">
        <v>46200</v>
      </c>
      <c r="B704" s="9">
        <v>0.33333333333333298</v>
      </c>
      <c r="C704" s="10"/>
      <c r="D704" s="10"/>
      <c r="E704" s="11"/>
      <c r="F704" s="12" t="str">
        <f t="shared" ref="F704:F715" si="157">IF(E704="","",E704*4)</f>
        <v/>
      </c>
      <c r="G704" s="10"/>
      <c r="H704" s="10"/>
      <c r="I704" s="10"/>
      <c r="J704" s="13"/>
      <c r="K704" s="13"/>
      <c r="L704" s="70" t="str">
        <f t="shared" ref="L704:L715" si="158">IFERROR(IF(K704="","",IF(K704&gt;=J704,K704-J704,K704+1-J704)),"")</f>
        <v/>
      </c>
      <c r="M704" s="29"/>
      <c r="N704" s="30"/>
    </row>
    <row r="705" spans="1:14" ht="15" customHeight="1" x14ac:dyDescent="0.25">
      <c r="A705" s="59">
        <v>46200</v>
      </c>
      <c r="B705" s="15">
        <f t="shared" ref="B705:B715" si="159">B704+TIME(0,60,0)</f>
        <v>0.37499999999999967</v>
      </c>
      <c r="C705" s="16"/>
      <c r="D705" s="16"/>
      <c r="E705" s="11"/>
      <c r="F705" s="17" t="str">
        <f t="shared" si="157"/>
        <v/>
      </c>
      <c r="G705" s="16"/>
      <c r="H705" s="16"/>
      <c r="I705" s="16"/>
      <c r="J705" s="13"/>
      <c r="K705" s="13"/>
      <c r="L705" s="71" t="str">
        <f t="shared" si="158"/>
        <v/>
      </c>
      <c r="M705" s="29"/>
      <c r="N705" s="30"/>
    </row>
    <row r="706" spans="1:14" ht="15" customHeight="1" x14ac:dyDescent="0.25">
      <c r="A706" s="58">
        <v>46200</v>
      </c>
      <c r="B706" s="9">
        <f t="shared" si="159"/>
        <v>0.41666666666666635</v>
      </c>
      <c r="C706" s="10"/>
      <c r="D706" s="10"/>
      <c r="E706" s="11"/>
      <c r="F706" s="12" t="str">
        <f t="shared" si="157"/>
        <v/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 x14ac:dyDescent="0.25">
      <c r="A707" s="59">
        <v>46200</v>
      </c>
      <c r="B707" s="15">
        <f t="shared" si="159"/>
        <v>0.45833333333333304</v>
      </c>
      <c r="C707" s="16"/>
      <c r="D707" s="16"/>
      <c r="E707" s="11"/>
      <c r="F707" s="17" t="str">
        <f t="shared" si="157"/>
        <v/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 x14ac:dyDescent="0.25">
      <c r="A708" s="58">
        <v>46200</v>
      </c>
      <c r="B708" s="9">
        <f t="shared" si="159"/>
        <v>0.49999999999999972</v>
      </c>
      <c r="C708" s="10"/>
      <c r="D708" s="10"/>
      <c r="E708" s="11"/>
      <c r="F708" s="12" t="str">
        <f t="shared" si="157"/>
        <v/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 x14ac:dyDescent="0.25">
      <c r="A709" s="59">
        <v>46200</v>
      </c>
      <c r="B709" s="15">
        <f t="shared" si="159"/>
        <v>0.54166666666666641</v>
      </c>
      <c r="C709" s="16"/>
      <c r="D709" s="16"/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 x14ac:dyDescent="0.25">
      <c r="A710" s="58">
        <v>46200</v>
      </c>
      <c r="B710" s="9">
        <f t="shared" si="159"/>
        <v>0.58333333333333304</v>
      </c>
      <c r="C710" s="10"/>
      <c r="D710" s="10"/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 x14ac:dyDescent="0.25">
      <c r="A711" s="59">
        <v>46200</v>
      </c>
      <c r="B711" s="15">
        <f t="shared" si="159"/>
        <v>0.62499999999999967</v>
      </c>
      <c r="C711" s="16"/>
      <c r="D711" s="16"/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 x14ac:dyDescent="0.25">
      <c r="A712" s="58">
        <v>46200</v>
      </c>
      <c r="B712" s="9">
        <f t="shared" si="159"/>
        <v>0.6666666666666663</v>
      </c>
      <c r="C712" s="10"/>
      <c r="D712" s="10"/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 x14ac:dyDescent="0.25">
      <c r="A713" s="59">
        <v>46200</v>
      </c>
      <c r="B713" s="15">
        <f t="shared" si="159"/>
        <v>0.70833333333333293</v>
      </c>
      <c r="C713" s="16"/>
      <c r="D713" s="16"/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 x14ac:dyDescent="0.25">
      <c r="A714" s="58">
        <v>46200</v>
      </c>
      <c r="B714" s="9">
        <f t="shared" si="159"/>
        <v>0.74999999999999956</v>
      </c>
      <c r="C714" s="10"/>
      <c r="D714" s="10"/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 x14ac:dyDescent="0.25">
      <c r="A715" s="59">
        <v>46200</v>
      </c>
      <c r="B715" s="15">
        <f t="shared" si="159"/>
        <v>0.79166666666666619</v>
      </c>
      <c r="C715" s="16"/>
      <c r="D715" s="16"/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 x14ac:dyDescent="0.25">
      <c r="A716" s="90" t="s">
        <v>180</v>
      </c>
      <c r="B716" s="90"/>
      <c r="C716" s="90"/>
      <c r="D716" s="90"/>
      <c r="E716" s="19">
        <f>SUM(E704:E715)</f>
        <v>0</v>
      </c>
      <c r="F716" s="19">
        <f>SUM(F704:F715)</f>
        <v>0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181</v>
      </c>
      <c r="N716" s="20"/>
    </row>
    <row r="717" spans="1:14" ht="15" customHeight="1" x14ac:dyDescent="0.25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 x14ac:dyDescent="0.25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 x14ac:dyDescent="0.25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 x14ac:dyDescent="0.25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 x14ac:dyDescent="0.25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 x14ac:dyDescent="0.25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25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25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25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25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25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25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25">
      <c r="A729" s="90" t="s">
        <v>182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181</v>
      </c>
      <c r="N729" s="20"/>
    </row>
    <row r="730" spans="1:14" ht="18" customHeight="1" x14ac:dyDescent="0.25">
      <c r="A730" s="91" t="s">
        <v>183</v>
      </c>
      <c r="B730" s="91"/>
      <c r="C730" s="91"/>
      <c r="D730" s="91"/>
      <c r="E730" s="22">
        <f>E716+E729</f>
        <v>0</v>
      </c>
      <c r="F730" s="22">
        <f>F716+F729</f>
        <v>0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184</v>
      </c>
      <c r="N730" s="31">
        <f>IFERROR(N716+N729,"")</f>
        <v>0</v>
      </c>
    </row>
    <row r="731" spans="1:14" ht="15" customHeight="1" x14ac:dyDescent="0.25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 x14ac:dyDescent="0.25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 x14ac:dyDescent="0.25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25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25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25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25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25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25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25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25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25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25">
      <c r="A743" s="90" t="s">
        <v>180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181</v>
      </c>
      <c r="N743" s="20"/>
    </row>
    <row r="744" spans="1:14" ht="15" customHeight="1" x14ac:dyDescent="0.25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 x14ac:dyDescent="0.25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 x14ac:dyDescent="0.25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 x14ac:dyDescent="0.25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25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 x14ac:dyDescent="0.25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25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 x14ac:dyDescent="0.25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25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 x14ac:dyDescent="0.25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25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 x14ac:dyDescent="0.25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25">
      <c r="A756" s="90" t="s">
        <v>182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181</v>
      </c>
      <c r="N756" s="20"/>
    </row>
    <row r="757" spans="1:14" ht="18" customHeight="1" x14ac:dyDescent="0.25">
      <c r="A757" s="91" t="s">
        <v>183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184</v>
      </c>
      <c r="N757" s="31">
        <f>IFERROR(N743+N756,"")</f>
        <v>0</v>
      </c>
    </row>
    <row r="758" spans="1:14" ht="15" customHeight="1" x14ac:dyDescent="0.25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 x14ac:dyDescent="0.25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 x14ac:dyDescent="0.25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25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25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25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25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25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25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25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25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25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25">
      <c r="A770" s="90" t="s">
        <v>180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181</v>
      </c>
      <c r="N770" s="20"/>
    </row>
    <row r="771" spans="1:14" ht="15" customHeight="1" x14ac:dyDescent="0.25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 x14ac:dyDescent="0.25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25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25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25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25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25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25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25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25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25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25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25">
      <c r="A783" s="90" t="s">
        <v>182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181</v>
      </c>
      <c r="N783" s="20"/>
    </row>
    <row r="784" spans="1:14" ht="18" customHeight="1" x14ac:dyDescent="0.25">
      <c r="A784" s="91" t="s">
        <v>183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184</v>
      </c>
      <c r="N784" s="31">
        <f>IFERROR(N770+N783,"")</f>
        <v>0</v>
      </c>
    </row>
    <row r="785" spans="1:14" ht="15" customHeight="1" x14ac:dyDescent="0.25">
      <c r="A785" s="59">
        <v>46203</v>
      </c>
      <c r="B785" s="15">
        <v>0.33333333333333298</v>
      </c>
      <c r="C785" s="16"/>
      <c r="D785" s="16"/>
      <c r="E785" s="11"/>
      <c r="F785" s="17" t="str">
        <f t="shared" ref="F785:F796" si="175">IF(E785="","",E785*4)</f>
        <v/>
      </c>
      <c r="G785" s="16"/>
      <c r="H785" s="16"/>
      <c r="I785" s="16"/>
      <c r="J785" s="13"/>
      <c r="K785" s="13"/>
      <c r="L785" s="71" t="str">
        <f t="shared" ref="L785:L796" si="176">IFERROR(IF(K785="","",IF(K785&gt;=J785,K785-J785,K785+1-J785)),"")</f>
        <v/>
      </c>
      <c r="M785" s="29"/>
      <c r="N785" s="30"/>
    </row>
    <row r="786" spans="1:14" ht="15" customHeight="1" x14ac:dyDescent="0.25">
      <c r="A786" s="58">
        <v>46203</v>
      </c>
      <c r="B786" s="9">
        <f t="shared" ref="B786:B796" si="177">B785+TIME(0,60,0)</f>
        <v>0.37499999999999967</v>
      </c>
      <c r="C786" s="10"/>
      <c r="D786" s="10"/>
      <c r="E786" s="11"/>
      <c r="F786" s="12" t="str">
        <f t="shared" si="175"/>
        <v/>
      </c>
      <c r="G786" s="10"/>
      <c r="H786" s="10"/>
      <c r="I786" s="10"/>
      <c r="J786" s="13"/>
      <c r="K786" s="13"/>
      <c r="L786" s="70" t="str">
        <f t="shared" si="176"/>
        <v/>
      </c>
      <c r="M786" s="29"/>
      <c r="N786" s="30"/>
    </row>
    <row r="787" spans="1:14" ht="15" customHeight="1" x14ac:dyDescent="0.25">
      <c r="A787" s="59">
        <v>46203</v>
      </c>
      <c r="B787" s="15">
        <f t="shared" si="177"/>
        <v>0.41666666666666635</v>
      </c>
      <c r="C787" s="16"/>
      <c r="D787" s="16"/>
      <c r="E787" s="11"/>
      <c r="F787" s="17" t="str">
        <f t="shared" si="175"/>
        <v/>
      </c>
      <c r="G787" s="16"/>
      <c r="H787" s="16"/>
      <c r="I787" s="16"/>
      <c r="J787" s="13"/>
      <c r="K787" s="13"/>
      <c r="L787" s="71" t="str">
        <f t="shared" si="176"/>
        <v/>
      </c>
      <c r="M787" s="29"/>
      <c r="N787" s="30"/>
    </row>
    <row r="788" spans="1:14" ht="15" customHeight="1" x14ac:dyDescent="0.25">
      <c r="A788" s="58">
        <v>46203</v>
      </c>
      <c r="B788" s="9">
        <f t="shared" si="177"/>
        <v>0.45833333333333304</v>
      </c>
      <c r="C788" s="10"/>
      <c r="D788" s="10"/>
      <c r="E788" s="11"/>
      <c r="F788" s="12" t="str">
        <f t="shared" si="175"/>
        <v/>
      </c>
      <c r="G788" s="10"/>
      <c r="H788" s="10"/>
      <c r="I788" s="10"/>
      <c r="J788" s="13"/>
      <c r="K788" s="13"/>
      <c r="L788" s="70" t="str">
        <f t="shared" si="176"/>
        <v/>
      </c>
      <c r="M788" s="29"/>
      <c r="N788" s="30"/>
    </row>
    <row r="789" spans="1:14" ht="15" customHeight="1" x14ac:dyDescent="0.25">
      <c r="A789" s="59">
        <v>46203</v>
      </c>
      <c r="B789" s="15">
        <f t="shared" si="177"/>
        <v>0.49999999999999972</v>
      </c>
      <c r="C789" s="16"/>
      <c r="D789" s="16"/>
      <c r="E789" s="11"/>
      <c r="F789" s="17" t="str">
        <f t="shared" si="175"/>
        <v/>
      </c>
      <c r="G789" s="16"/>
      <c r="H789" s="16"/>
      <c r="I789" s="16"/>
      <c r="J789" s="13"/>
      <c r="K789" s="13"/>
      <c r="L789" s="71" t="str">
        <f t="shared" si="176"/>
        <v/>
      </c>
      <c r="M789" s="29"/>
      <c r="N789" s="30"/>
    </row>
    <row r="790" spans="1:14" ht="15" customHeight="1" x14ac:dyDescent="0.25">
      <c r="A790" s="58">
        <v>46203</v>
      </c>
      <c r="B790" s="9">
        <f t="shared" si="177"/>
        <v>0.54166666666666641</v>
      </c>
      <c r="C790" s="10"/>
      <c r="D790" s="10"/>
      <c r="E790" s="11"/>
      <c r="F790" s="12" t="str">
        <f t="shared" si="175"/>
        <v/>
      </c>
      <c r="G790" s="10"/>
      <c r="H790" s="10"/>
      <c r="I790" s="10"/>
      <c r="J790" s="13"/>
      <c r="K790" s="13"/>
      <c r="L790" s="70" t="str">
        <f t="shared" si="176"/>
        <v/>
      </c>
      <c r="M790" s="29"/>
      <c r="N790" s="30"/>
    </row>
    <row r="791" spans="1:14" ht="15" customHeight="1" x14ac:dyDescent="0.25">
      <c r="A791" s="59">
        <v>46203</v>
      </c>
      <c r="B791" s="15">
        <f t="shared" si="177"/>
        <v>0.58333333333333304</v>
      </c>
      <c r="C791" s="16"/>
      <c r="D791" s="16"/>
      <c r="E791" s="11"/>
      <c r="F791" s="17" t="str">
        <f t="shared" si="175"/>
        <v/>
      </c>
      <c r="G791" s="16"/>
      <c r="H791" s="16"/>
      <c r="I791" s="16"/>
      <c r="J791" s="13"/>
      <c r="K791" s="13"/>
      <c r="L791" s="71" t="str">
        <f t="shared" si="176"/>
        <v/>
      </c>
      <c r="M791" s="29"/>
      <c r="N791" s="30"/>
    </row>
    <row r="792" spans="1:14" ht="15" customHeight="1" x14ac:dyDescent="0.25">
      <c r="A792" s="58">
        <v>46203</v>
      </c>
      <c r="B792" s="9">
        <f t="shared" si="177"/>
        <v>0.62499999999999967</v>
      </c>
      <c r="C792" s="10"/>
      <c r="D792" s="10"/>
      <c r="E792" s="11"/>
      <c r="F792" s="12" t="str">
        <f t="shared" si="175"/>
        <v/>
      </c>
      <c r="G792" s="10"/>
      <c r="H792" s="10"/>
      <c r="I792" s="10"/>
      <c r="J792" s="13"/>
      <c r="K792" s="13"/>
      <c r="L792" s="70" t="str">
        <f t="shared" si="176"/>
        <v/>
      </c>
      <c r="M792" s="29"/>
      <c r="N792" s="30"/>
    </row>
    <row r="793" spans="1:14" ht="15" customHeight="1" x14ac:dyDescent="0.25">
      <c r="A793" s="59">
        <v>46203</v>
      </c>
      <c r="B793" s="15">
        <f t="shared" si="177"/>
        <v>0.6666666666666663</v>
      </c>
      <c r="C793" s="16"/>
      <c r="D793" s="16"/>
      <c r="E793" s="11"/>
      <c r="F793" s="17" t="str">
        <f t="shared" si="175"/>
        <v/>
      </c>
      <c r="G793" s="16"/>
      <c r="H793" s="16"/>
      <c r="I793" s="16"/>
      <c r="J793" s="13"/>
      <c r="K793" s="13"/>
      <c r="L793" s="71" t="str">
        <f t="shared" si="176"/>
        <v/>
      </c>
      <c r="M793" s="29"/>
      <c r="N793" s="30"/>
    </row>
    <row r="794" spans="1:14" ht="15" customHeight="1" x14ac:dyDescent="0.25">
      <c r="A794" s="58">
        <v>46203</v>
      </c>
      <c r="B794" s="9">
        <f t="shared" si="177"/>
        <v>0.70833333333333293</v>
      </c>
      <c r="C794" s="10"/>
      <c r="D794" s="10"/>
      <c r="E794" s="11"/>
      <c r="F794" s="12" t="str">
        <f t="shared" si="175"/>
        <v/>
      </c>
      <c r="G794" s="10"/>
      <c r="H794" s="10"/>
      <c r="I794" s="10"/>
      <c r="J794" s="13"/>
      <c r="K794" s="13"/>
      <c r="L794" s="70" t="str">
        <f t="shared" si="176"/>
        <v/>
      </c>
      <c r="M794" s="29"/>
      <c r="N794" s="30"/>
    </row>
    <row r="795" spans="1:14" ht="15" customHeight="1" x14ac:dyDescent="0.25">
      <c r="A795" s="59">
        <v>46203</v>
      </c>
      <c r="B795" s="15">
        <f t="shared" si="177"/>
        <v>0.74999999999999956</v>
      </c>
      <c r="C795" s="16"/>
      <c r="D795" s="16"/>
      <c r="E795" s="11"/>
      <c r="F795" s="17" t="str">
        <f t="shared" si="175"/>
        <v/>
      </c>
      <c r="G795" s="16"/>
      <c r="H795" s="16"/>
      <c r="I795" s="16"/>
      <c r="J795" s="13"/>
      <c r="K795" s="13"/>
      <c r="L795" s="71" t="str">
        <f t="shared" si="176"/>
        <v/>
      </c>
      <c r="M795" s="29"/>
      <c r="N795" s="30"/>
    </row>
    <row r="796" spans="1:14" ht="15" customHeight="1" x14ac:dyDescent="0.25">
      <c r="A796" s="58">
        <v>46203</v>
      </c>
      <c r="B796" s="9">
        <f t="shared" si="177"/>
        <v>0.79166666666666619</v>
      </c>
      <c r="C796" s="10"/>
      <c r="D796" s="10"/>
      <c r="E796" s="11"/>
      <c r="F796" s="12" t="str">
        <f t="shared" si="175"/>
        <v/>
      </c>
      <c r="G796" s="10"/>
      <c r="H796" s="10"/>
      <c r="I796" s="10"/>
      <c r="J796" s="13"/>
      <c r="K796" s="13"/>
      <c r="L796" s="70" t="str">
        <f t="shared" si="176"/>
        <v/>
      </c>
      <c r="M796" s="29"/>
      <c r="N796" s="30"/>
    </row>
    <row r="797" spans="1:14" ht="15.75" customHeight="1" x14ac:dyDescent="0.25">
      <c r="A797" s="90" t="s">
        <v>180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181</v>
      </c>
      <c r="N797" s="20"/>
    </row>
    <row r="798" spans="1:14" ht="15" customHeight="1" x14ac:dyDescent="0.25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78">IF(E798="","",E798*4)</f>
        <v/>
      </c>
      <c r="G798" s="10"/>
      <c r="H798" s="10"/>
      <c r="I798" s="10"/>
      <c r="J798" s="13"/>
      <c r="K798" s="13"/>
      <c r="L798" s="70" t="str">
        <f t="shared" ref="L798:L809" si="179">IFERROR(IF(K798="","",IF(K798&gt;=J798,K798-J798,K798+1-J798)),"")</f>
        <v/>
      </c>
      <c r="M798" s="29"/>
      <c r="N798" s="30"/>
    </row>
    <row r="799" spans="1:14" ht="15" customHeight="1" x14ac:dyDescent="0.25">
      <c r="A799" s="59">
        <v>46203</v>
      </c>
      <c r="B799" s="15">
        <f t="shared" ref="B799:B809" si="180">B798+TIME(0,60,0)</f>
        <v>0.87499999999999967</v>
      </c>
      <c r="C799" s="16"/>
      <c r="D799" s="16"/>
      <c r="E799" s="11"/>
      <c r="F799" s="17" t="str">
        <f t="shared" si="178"/>
        <v/>
      </c>
      <c r="G799" s="16"/>
      <c r="H799" s="16"/>
      <c r="I799" s="16"/>
      <c r="J799" s="13"/>
      <c r="K799" s="13"/>
      <c r="L799" s="71" t="str">
        <f t="shared" si="179"/>
        <v/>
      </c>
      <c r="M799" s="29"/>
      <c r="N799" s="30"/>
    </row>
    <row r="800" spans="1:14" ht="15" customHeight="1" x14ac:dyDescent="0.25">
      <c r="A800" s="58">
        <v>46203</v>
      </c>
      <c r="B800" s="9">
        <f t="shared" si="180"/>
        <v>0.9166666666666663</v>
      </c>
      <c r="C800" s="10"/>
      <c r="D800" s="10"/>
      <c r="E800" s="11"/>
      <c r="F800" s="12" t="str">
        <f t="shared" si="178"/>
        <v/>
      </c>
      <c r="G800" s="10"/>
      <c r="H800" s="10"/>
      <c r="I800" s="10"/>
      <c r="J800" s="13"/>
      <c r="K800" s="13"/>
      <c r="L800" s="70" t="str">
        <f t="shared" si="179"/>
        <v/>
      </c>
      <c r="M800" s="29"/>
      <c r="N800" s="30"/>
    </row>
    <row r="801" spans="1:14" ht="15" customHeight="1" x14ac:dyDescent="0.25">
      <c r="A801" s="59">
        <v>46203</v>
      </c>
      <c r="B801" s="15">
        <f t="shared" si="180"/>
        <v>0.95833333333333293</v>
      </c>
      <c r="C801" s="16"/>
      <c r="D801" s="16"/>
      <c r="E801" s="11"/>
      <c r="F801" s="17" t="str">
        <f t="shared" si="178"/>
        <v/>
      </c>
      <c r="G801" s="16"/>
      <c r="H801" s="16"/>
      <c r="I801" s="16"/>
      <c r="J801" s="13"/>
      <c r="K801" s="13"/>
      <c r="L801" s="71" t="str">
        <f t="shared" si="179"/>
        <v/>
      </c>
      <c r="M801" s="29"/>
      <c r="N801" s="30"/>
    </row>
    <row r="802" spans="1:14" ht="15" customHeight="1" x14ac:dyDescent="0.25">
      <c r="A802" s="58">
        <v>46203</v>
      </c>
      <c r="B802" s="9">
        <f t="shared" si="180"/>
        <v>0.99999999999999956</v>
      </c>
      <c r="C802" s="10"/>
      <c r="D802" s="10"/>
      <c r="E802" s="11"/>
      <c r="F802" s="12" t="str">
        <f t="shared" si="178"/>
        <v/>
      </c>
      <c r="G802" s="10"/>
      <c r="H802" s="10"/>
      <c r="I802" s="10"/>
      <c r="J802" s="13"/>
      <c r="K802" s="13"/>
      <c r="L802" s="70" t="str">
        <f t="shared" si="179"/>
        <v/>
      </c>
      <c r="M802" s="29"/>
      <c r="N802" s="30"/>
    </row>
    <row r="803" spans="1:14" ht="15" customHeight="1" x14ac:dyDescent="0.25">
      <c r="A803" s="59">
        <v>46203</v>
      </c>
      <c r="B803" s="15">
        <f t="shared" si="180"/>
        <v>1.0416666666666663</v>
      </c>
      <c r="C803" s="16"/>
      <c r="D803" s="16"/>
      <c r="E803" s="11"/>
      <c r="F803" s="17" t="str">
        <f t="shared" si="178"/>
        <v/>
      </c>
      <c r="G803" s="16"/>
      <c r="H803" s="16"/>
      <c r="I803" s="16"/>
      <c r="J803" s="13"/>
      <c r="K803" s="13"/>
      <c r="L803" s="71" t="str">
        <f t="shared" si="179"/>
        <v/>
      </c>
      <c r="M803" s="29"/>
      <c r="N803" s="30"/>
    </row>
    <row r="804" spans="1:14" ht="15" customHeight="1" x14ac:dyDescent="0.25">
      <c r="A804" s="58">
        <v>46203</v>
      </c>
      <c r="B804" s="9">
        <f t="shared" si="180"/>
        <v>1.083333333333333</v>
      </c>
      <c r="C804" s="10"/>
      <c r="D804" s="10"/>
      <c r="E804" s="11"/>
      <c r="F804" s="12" t="str">
        <f t="shared" si="178"/>
        <v/>
      </c>
      <c r="G804" s="10"/>
      <c r="H804" s="10"/>
      <c r="I804" s="10"/>
      <c r="J804" s="13"/>
      <c r="K804" s="13"/>
      <c r="L804" s="70" t="str">
        <f t="shared" si="179"/>
        <v/>
      </c>
      <c r="M804" s="29"/>
      <c r="N804" s="30"/>
    </row>
    <row r="805" spans="1:14" ht="15" customHeight="1" x14ac:dyDescent="0.25">
      <c r="A805" s="59">
        <v>46203</v>
      </c>
      <c r="B805" s="15">
        <f t="shared" si="180"/>
        <v>1.1249999999999998</v>
      </c>
      <c r="C805" s="16"/>
      <c r="D805" s="16"/>
      <c r="E805" s="11"/>
      <c r="F805" s="17" t="str">
        <f t="shared" si="178"/>
        <v/>
      </c>
      <c r="G805" s="16"/>
      <c r="H805" s="16"/>
      <c r="I805" s="16"/>
      <c r="J805" s="13"/>
      <c r="K805" s="13"/>
      <c r="L805" s="71" t="str">
        <f t="shared" si="179"/>
        <v/>
      </c>
      <c r="M805" s="29"/>
      <c r="N805" s="30"/>
    </row>
    <row r="806" spans="1:14" ht="15" customHeight="1" x14ac:dyDescent="0.25">
      <c r="A806" s="58">
        <v>46203</v>
      </c>
      <c r="B806" s="9">
        <f t="shared" si="180"/>
        <v>1.1666666666666665</v>
      </c>
      <c r="C806" s="10"/>
      <c r="D806" s="10"/>
      <c r="E806" s="11"/>
      <c r="F806" s="12" t="str">
        <f t="shared" si="178"/>
        <v/>
      </c>
      <c r="G806" s="10"/>
      <c r="H806" s="10"/>
      <c r="I806" s="10"/>
      <c r="J806" s="13"/>
      <c r="K806" s="13"/>
      <c r="L806" s="70" t="str">
        <f t="shared" si="179"/>
        <v/>
      </c>
      <c r="M806" s="29"/>
      <c r="N806" s="30"/>
    </row>
    <row r="807" spans="1:14" ht="15" customHeight="1" x14ac:dyDescent="0.25">
      <c r="A807" s="59">
        <v>46203</v>
      </c>
      <c r="B807" s="15">
        <f t="shared" si="180"/>
        <v>1.2083333333333333</v>
      </c>
      <c r="C807" s="16"/>
      <c r="D807" s="16"/>
      <c r="E807" s="11"/>
      <c r="F807" s="17" t="str">
        <f t="shared" si="178"/>
        <v/>
      </c>
      <c r="G807" s="16"/>
      <c r="H807" s="16"/>
      <c r="I807" s="16"/>
      <c r="J807" s="13"/>
      <c r="K807" s="13"/>
      <c r="L807" s="71" t="str">
        <f t="shared" si="179"/>
        <v/>
      </c>
      <c r="M807" s="29"/>
      <c r="N807" s="30"/>
    </row>
    <row r="808" spans="1:14" ht="15" customHeight="1" x14ac:dyDescent="0.25">
      <c r="A808" s="58">
        <v>46203</v>
      </c>
      <c r="B808" s="9">
        <f t="shared" si="180"/>
        <v>1.25</v>
      </c>
      <c r="C808" s="10"/>
      <c r="D808" s="10"/>
      <c r="E808" s="11"/>
      <c r="F808" s="12" t="str">
        <f t="shared" si="178"/>
        <v/>
      </c>
      <c r="G808" s="10"/>
      <c r="H808" s="10"/>
      <c r="I808" s="10"/>
      <c r="J808" s="13"/>
      <c r="K808" s="13"/>
      <c r="L808" s="70" t="str">
        <f t="shared" si="179"/>
        <v/>
      </c>
      <c r="M808" s="29"/>
      <c r="N808" s="30"/>
    </row>
    <row r="809" spans="1:14" ht="15" customHeight="1" x14ac:dyDescent="0.25">
      <c r="A809" s="59">
        <v>46203</v>
      </c>
      <c r="B809" s="15">
        <f t="shared" si="180"/>
        <v>1.2916666666666667</v>
      </c>
      <c r="C809" s="16"/>
      <c r="D809" s="16"/>
      <c r="E809" s="11"/>
      <c r="F809" s="17" t="str">
        <f t="shared" si="178"/>
        <v/>
      </c>
      <c r="G809" s="16"/>
      <c r="H809" s="16"/>
      <c r="I809" s="16"/>
      <c r="J809" s="13"/>
      <c r="K809" s="13"/>
      <c r="L809" s="71" t="str">
        <f t="shared" si="179"/>
        <v/>
      </c>
      <c r="M809" s="29"/>
      <c r="N809" s="30"/>
    </row>
    <row r="810" spans="1:14" ht="15.75" customHeight="1" x14ac:dyDescent="0.25">
      <c r="A810" s="90" t="s">
        <v>182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181</v>
      </c>
      <c r="N810" s="20"/>
    </row>
    <row r="811" spans="1:14" ht="18" customHeight="1" x14ac:dyDescent="0.25">
      <c r="A811" s="91" t="s">
        <v>183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18" activePane="bottomLeft" state="frozen"/>
      <selection pane="bottomLeft" activeCell="E630" sqref="E630"/>
    </sheetView>
  </sheetViews>
  <sheetFormatPr defaultColWidth="8.5703125" defaultRowHeight="15" x14ac:dyDescent="0.2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 x14ac:dyDescent="0.25">
      <c r="A1" s="57" t="s">
        <v>7</v>
      </c>
      <c r="B1" s="8" t="s">
        <v>170</v>
      </c>
      <c r="C1" s="8" t="s">
        <v>12</v>
      </c>
      <c r="D1" s="8" t="s">
        <v>13</v>
      </c>
      <c r="E1" s="8" t="s">
        <v>171</v>
      </c>
      <c r="F1" s="8" t="s">
        <v>272</v>
      </c>
      <c r="G1" s="8" t="s">
        <v>14</v>
      </c>
      <c r="H1" s="8" t="s">
        <v>15</v>
      </c>
      <c r="I1" s="8" t="s">
        <v>173</v>
      </c>
      <c r="J1" s="8" t="s">
        <v>174</v>
      </c>
      <c r="K1" s="8" t="s">
        <v>175</v>
      </c>
      <c r="L1" s="69" t="s">
        <v>176</v>
      </c>
      <c r="M1" s="8" t="s">
        <v>177</v>
      </c>
      <c r="N1" s="8" t="s">
        <v>178</v>
      </c>
    </row>
    <row r="2" spans="1:14" ht="15" customHeight="1" x14ac:dyDescent="0.25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25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25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25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25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25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25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25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25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25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25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25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25">
      <c r="A14" s="90" t="s">
        <v>180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181</v>
      </c>
      <c r="N14" s="20"/>
    </row>
    <row r="15" spans="1:14" ht="15" customHeight="1" x14ac:dyDescent="0.25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25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25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25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25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25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25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25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25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25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25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25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25">
      <c r="A27" s="90" t="s">
        <v>182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181</v>
      </c>
      <c r="N27" s="20"/>
    </row>
    <row r="28" spans="1:14" ht="18" customHeight="1" x14ac:dyDescent="0.25">
      <c r="A28" s="91" t="s">
        <v>183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184</v>
      </c>
      <c r="N28" s="23">
        <f>IFERROR(N14+N27,"")</f>
        <v>0</v>
      </c>
    </row>
    <row r="29" spans="1:14" ht="15" customHeight="1" x14ac:dyDescent="0.25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25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25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25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25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25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25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25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25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25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25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25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25">
      <c r="A41" s="90" t="s">
        <v>180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181</v>
      </c>
      <c r="N41" s="20"/>
    </row>
    <row r="42" spans="1:14" ht="15" customHeight="1" x14ac:dyDescent="0.25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25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25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25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25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25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25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25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25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25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25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25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25">
      <c r="A54" s="90" t="s">
        <v>182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181</v>
      </c>
      <c r="N54" s="20"/>
    </row>
    <row r="55" spans="1:14" ht="18" customHeight="1" x14ac:dyDescent="0.25">
      <c r="A55" s="91" t="s">
        <v>183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184</v>
      </c>
      <c r="N55" s="23">
        <f>IFERROR(N41+N54,"")</f>
        <v>0</v>
      </c>
    </row>
    <row r="56" spans="1:14" ht="15" customHeight="1" x14ac:dyDescent="0.25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25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25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25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25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25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25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25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25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25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25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25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25">
      <c r="A68" s="90" t="s">
        <v>180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181</v>
      </c>
      <c r="N68" s="20"/>
    </row>
    <row r="69" spans="1:14" ht="15" customHeight="1" x14ac:dyDescent="0.25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25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25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131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25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25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25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122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25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25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25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143</v>
      </c>
      <c r="I77" s="16" t="s">
        <v>110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25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25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25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273</v>
      </c>
      <c r="I80" s="10" t="s">
        <v>216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25">
      <c r="A81" s="90" t="s">
        <v>182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181</v>
      </c>
      <c r="N81" s="20">
        <v>206440</v>
      </c>
    </row>
    <row r="82" spans="1:14" ht="18" customHeight="1" x14ac:dyDescent="0.25">
      <c r="A82" s="91" t="s">
        <v>183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184</v>
      </c>
      <c r="N82" s="23">
        <f>IFERROR(N68+N81,"")</f>
        <v>206440</v>
      </c>
    </row>
    <row r="83" spans="1:14" ht="15" customHeight="1" x14ac:dyDescent="0.25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25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25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25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25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25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25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25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25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25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25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25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25">
      <c r="A95" s="90" t="s">
        <v>180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181</v>
      </c>
      <c r="N95" s="20"/>
    </row>
    <row r="96" spans="1:14" ht="15" customHeight="1" x14ac:dyDescent="0.25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25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25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25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25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25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25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25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25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25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25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25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25">
      <c r="A108" s="90" t="s">
        <v>182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181</v>
      </c>
      <c r="N108" s="20"/>
    </row>
    <row r="109" spans="1:14" ht="18" customHeight="1" x14ac:dyDescent="0.25">
      <c r="A109" s="91" t="s">
        <v>183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184</v>
      </c>
      <c r="N109" s="23">
        <f>IFERROR(N95+N108,"")</f>
        <v>0</v>
      </c>
    </row>
    <row r="110" spans="1:14" ht="15" customHeight="1" x14ac:dyDescent="0.25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25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25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25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25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25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25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25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25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25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25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25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25">
      <c r="A122" s="90" t="s">
        <v>180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181</v>
      </c>
      <c r="N122" s="20"/>
    </row>
    <row r="123" spans="1:14" ht="15" customHeight="1" x14ac:dyDescent="0.25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25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25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25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25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25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25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25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25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25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25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25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25">
      <c r="A135" s="90" t="s">
        <v>182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181</v>
      </c>
      <c r="N135" s="20"/>
    </row>
    <row r="136" spans="1:14" ht="18" customHeight="1" x14ac:dyDescent="0.25">
      <c r="A136" s="91" t="s">
        <v>183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184</v>
      </c>
      <c r="N136" s="23">
        <f>IFERROR(N122+N135,"")</f>
        <v>0</v>
      </c>
    </row>
    <row r="137" spans="1:14" ht="15" customHeight="1" x14ac:dyDescent="0.25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25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25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25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25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25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25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25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25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25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25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25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25">
      <c r="A149" s="90" t="s">
        <v>180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181</v>
      </c>
      <c r="N149" s="20"/>
    </row>
    <row r="150" spans="1:14" ht="15" customHeight="1" x14ac:dyDescent="0.25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25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25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25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25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25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25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25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25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25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25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25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25">
      <c r="A162" s="90" t="s">
        <v>182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181</v>
      </c>
      <c r="N162" s="20">
        <v>0</v>
      </c>
    </row>
    <row r="163" spans="1:14" ht="18" customHeight="1" x14ac:dyDescent="0.25">
      <c r="A163" s="91" t="s">
        <v>183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184</v>
      </c>
      <c r="N163" s="23">
        <f>IFERROR(N149+N162,"")</f>
        <v>0</v>
      </c>
    </row>
    <row r="164" spans="1:14" ht="15" customHeight="1" x14ac:dyDescent="0.25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25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25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25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25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25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25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25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25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25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25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25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25">
      <c r="A176" s="90" t="s">
        <v>180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181</v>
      </c>
      <c r="N176" s="20">
        <v>0</v>
      </c>
    </row>
    <row r="177" spans="1:14" ht="15" customHeight="1" x14ac:dyDescent="0.25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25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25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25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25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25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25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25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25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25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25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25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25">
      <c r="A189" s="90" t="s">
        <v>182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181</v>
      </c>
      <c r="N189" s="20">
        <v>0</v>
      </c>
    </row>
    <row r="190" spans="1:14" ht="18" customHeight="1" x14ac:dyDescent="0.25">
      <c r="A190" s="91" t="s">
        <v>183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184</v>
      </c>
      <c r="N190" s="23">
        <f>IFERROR(N176+N189,"")</f>
        <v>0</v>
      </c>
    </row>
    <row r="191" spans="1:14" ht="15" customHeight="1" x14ac:dyDescent="0.25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25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25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25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25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25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25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25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25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25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25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25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25">
      <c r="A203" s="90" t="s">
        <v>180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181</v>
      </c>
      <c r="N203" s="20"/>
    </row>
    <row r="204" spans="1:14" ht="15" customHeight="1" x14ac:dyDescent="0.25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25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25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25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25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25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25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25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25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25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25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25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25">
      <c r="A216" s="90" t="s">
        <v>182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181</v>
      </c>
      <c r="N216" s="20"/>
    </row>
    <row r="217" spans="1:14" ht="18" customHeight="1" x14ac:dyDescent="0.25">
      <c r="A217" s="91" t="s">
        <v>183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184</v>
      </c>
      <c r="N217" s="31">
        <f>IFERROR(N203+N216,"")</f>
        <v>0</v>
      </c>
    </row>
    <row r="218" spans="1:14" ht="15" customHeight="1" x14ac:dyDescent="0.25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131</v>
      </c>
      <c r="I218" s="10" t="s">
        <v>138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25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25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25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25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25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25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25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25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25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25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25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25">
      <c r="A230" s="90" t="s">
        <v>180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181</v>
      </c>
      <c r="N230" s="20">
        <v>101560</v>
      </c>
    </row>
    <row r="231" spans="1:14" ht="15" customHeight="1" x14ac:dyDescent="0.25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145</v>
      </c>
      <c r="I231" s="16" t="s">
        <v>118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25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25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25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25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25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25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25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25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25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25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25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25">
      <c r="A243" s="90" t="s">
        <v>182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181</v>
      </c>
      <c r="N243" s="20">
        <v>180000</v>
      </c>
    </row>
    <row r="244" spans="1:14" ht="18" customHeight="1" x14ac:dyDescent="0.25">
      <c r="A244" s="91" t="s">
        <v>183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184</v>
      </c>
      <c r="N244" s="31">
        <f>IFERROR(N230+N243,"")</f>
        <v>281560</v>
      </c>
    </row>
    <row r="245" spans="1:14" ht="15" customHeight="1" x14ac:dyDescent="0.25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131</v>
      </c>
      <c r="I245" s="16" t="s">
        <v>106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274</v>
      </c>
      <c r="N245" s="30"/>
    </row>
    <row r="246" spans="1:14" ht="15" customHeight="1" x14ac:dyDescent="0.25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131</v>
      </c>
      <c r="I246" s="16" t="s">
        <v>78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274</v>
      </c>
      <c r="N246" s="30"/>
    </row>
    <row r="247" spans="1:14" ht="15" customHeight="1" x14ac:dyDescent="0.25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25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25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25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25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25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25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25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25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25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25">
      <c r="A257" s="90" t="s">
        <v>180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181</v>
      </c>
      <c r="N257" s="20">
        <v>295090</v>
      </c>
    </row>
    <row r="258" spans="1:14" ht="15" customHeight="1" x14ac:dyDescent="0.25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119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227</v>
      </c>
      <c r="N258" s="30"/>
    </row>
    <row r="259" spans="1:14" ht="15" customHeight="1" x14ac:dyDescent="0.25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25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25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25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25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25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25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25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25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25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25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25">
      <c r="A270" s="90" t="s">
        <v>182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181</v>
      </c>
      <c r="N270" s="20">
        <f>103170+137770</f>
        <v>240940</v>
      </c>
    </row>
    <row r="271" spans="1:14" ht="18" customHeight="1" x14ac:dyDescent="0.25">
      <c r="A271" s="91" t="s">
        <v>183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184</v>
      </c>
      <c r="N271" s="31">
        <f>IFERROR(N257+N270,"")</f>
        <v>536030</v>
      </c>
    </row>
    <row r="272" spans="1:14" ht="15" customHeight="1" x14ac:dyDescent="0.25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137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25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131</v>
      </c>
      <c r="I273" s="16" t="s">
        <v>78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25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25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89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25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137</v>
      </c>
      <c r="I276" s="10" t="s">
        <v>122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25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25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25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25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25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25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25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25">
      <c r="A284" s="90" t="s">
        <v>180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181</v>
      </c>
      <c r="N284" s="20">
        <v>167970</v>
      </c>
    </row>
    <row r="285" spans="1:14" ht="15" customHeight="1" x14ac:dyDescent="0.25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275</v>
      </c>
      <c r="N285" s="30"/>
    </row>
    <row r="286" spans="1:14" ht="15" customHeight="1" x14ac:dyDescent="0.25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25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25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25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25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25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25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25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25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25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25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25">
      <c r="A297" s="90" t="s">
        <v>182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181</v>
      </c>
      <c r="N297" s="20">
        <f>110740+118380</f>
        <v>229120</v>
      </c>
    </row>
    <row r="298" spans="1:14" ht="18" customHeight="1" x14ac:dyDescent="0.25">
      <c r="A298" s="91" t="s">
        <v>183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184</v>
      </c>
      <c r="N298" s="31">
        <f>IFERROR(N284+N297,"")</f>
        <v>397090</v>
      </c>
    </row>
    <row r="299" spans="1:14" ht="15" customHeight="1" x14ac:dyDescent="0.25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276</v>
      </c>
      <c r="N299" s="30"/>
    </row>
    <row r="300" spans="1:14" ht="15" customHeight="1" x14ac:dyDescent="0.25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25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25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25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25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25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25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25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25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25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25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25">
      <c r="A311" s="90" t="s">
        <v>180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181</v>
      </c>
      <c r="N311" s="20">
        <v>298940</v>
      </c>
    </row>
    <row r="312" spans="1:14" ht="15" customHeight="1" x14ac:dyDescent="0.25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25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25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25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25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25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25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25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277</v>
      </c>
      <c r="N319" s="30"/>
    </row>
    <row r="320" spans="1:14" ht="15" customHeight="1" x14ac:dyDescent="0.25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25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143</v>
      </c>
      <c r="I321" s="16" t="s">
        <v>110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234</v>
      </c>
      <c r="N321" s="30"/>
    </row>
    <row r="322" spans="1:14" ht="15" customHeight="1" x14ac:dyDescent="0.25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25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25">
      <c r="A324" s="90" t="s">
        <v>182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181</v>
      </c>
      <c r="N324" s="20">
        <f>119730+227060</f>
        <v>346790</v>
      </c>
    </row>
    <row r="325" spans="1:14" ht="18" customHeight="1" x14ac:dyDescent="0.25">
      <c r="A325" s="91" t="s">
        <v>183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184</v>
      </c>
      <c r="N325" s="31">
        <f>IFERROR(N311+N324,"")</f>
        <v>645730</v>
      </c>
    </row>
    <row r="326" spans="1:14" ht="15" customHeight="1" x14ac:dyDescent="0.25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25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108</v>
      </c>
      <c r="I327" s="16" t="s">
        <v>122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25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25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108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25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108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25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25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25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25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25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25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25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25">
      <c r="A338" s="90" t="s">
        <v>180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181</v>
      </c>
      <c r="N338" s="20">
        <f>248450+10690</f>
        <v>259140</v>
      </c>
    </row>
    <row r="339" spans="1:14" ht="15" customHeight="1" x14ac:dyDescent="0.25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110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25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25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25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25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25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143</v>
      </c>
      <c r="I344" s="10" t="s">
        <v>110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25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143</v>
      </c>
      <c r="I345" s="16" t="s">
        <v>110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25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107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239</v>
      </c>
      <c r="N346" s="30"/>
    </row>
    <row r="347" spans="1:14" ht="15" customHeight="1" x14ac:dyDescent="0.25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25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25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25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25">
      <c r="A351" s="90" t="s">
        <v>182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181</v>
      </c>
      <c r="N351" s="20">
        <f>50730+24450</f>
        <v>75180</v>
      </c>
    </row>
    <row r="352" spans="1:14" ht="18" customHeight="1" x14ac:dyDescent="0.25">
      <c r="A352" s="91" t="s">
        <v>183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184</v>
      </c>
      <c r="N352" s="31">
        <f>IFERROR(N338+N351,"")</f>
        <v>334320</v>
      </c>
    </row>
    <row r="353" spans="1:14" ht="15" customHeight="1" x14ac:dyDescent="0.25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242</v>
      </c>
      <c r="N353" s="30"/>
    </row>
    <row r="354" spans="1:14" ht="15" customHeight="1" x14ac:dyDescent="0.25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278</v>
      </c>
      <c r="N354" s="30"/>
    </row>
    <row r="355" spans="1:14" ht="15" customHeight="1" x14ac:dyDescent="0.25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25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25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25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25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25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25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25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25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25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25">
      <c r="A365" s="90" t="s">
        <v>180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181</v>
      </c>
      <c r="N365" s="20">
        <f>25050+217470</f>
        <v>242520</v>
      </c>
    </row>
    <row r="366" spans="1:14" ht="15" customHeight="1" x14ac:dyDescent="0.25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143</v>
      </c>
      <c r="I366" s="10" t="s">
        <v>110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25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25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25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25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25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25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25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25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25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25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25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25">
      <c r="A378" s="90" t="s">
        <v>182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181</v>
      </c>
      <c r="N378" s="20">
        <f>151130+160740</f>
        <v>311870</v>
      </c>
    </row>
    <row r="379" spans="1:14" ht="18" customHeight="1" x14ac:dyDescent="0.25">
      <c r="A379" s="91" t="s">
        <v>183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184</v>
      </c>
      <c r="N379" s="31">
        <f>IFERROR(N365+N378,"")</f>
        <v>554390</v>
      </c>
    </row>
    <row r="380" spans="1:14" ht="15" customHeight="1" x14ac:dyDescent="0.25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25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25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25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25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25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25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25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25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25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25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25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25">
      <c r="A392" s="19" t="s">
        <v>180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181</v>
      </c>
      <c r="N392" s="20">
        <v>506470</v>
      </c>
    </row>
    <row r="393" spans="1:14" ht="15" customHeight="1" x14ac:dyDescent="0.25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153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25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25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25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25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25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25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25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25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25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25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25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25">
      <c r="A405" s="90" t="s">
        <v>182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181</v>
      </c>
      <c r="N405" s="20">
        <v>340530</v>
      </c>
    </row>
    <row r="406" spans="1:14" ht="18" customHeight="1" x14ac:dyDescent="0.25">
      <c r="A406" s="91" t="s">
        <v>183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184</v>
      </c>
      <c r="N406" s="31">
        <f>IFERROR(N392+N405,"")</f>
        <v>847000</v>
      </c>
    </row>
    <row r="407" spans="1:14" ht="15" customHeight="1" x14ac:dyDescent="0.25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25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25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108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25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25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25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25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25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25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25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25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25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25">
      <c r="A419" s="90" t="s">
        <v>180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181</v>
      </c>
      <c r="N419" s="20">
        <v>313490</v>
      </c>
    </row>
    <row r="420" spans="1:14" ht="15" customHeight="1" x14ac:dyDescent="0.25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77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25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25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25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143</v>
      </c>
      <c r="I423" s="16" t="s">
        <v>110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25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25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25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25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25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25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25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25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143</v>
      </c>
      <c r="I431" s="16" t="s">
        <v>110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25">
      <c r="A432" s="90" t="s">
        <v>182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181</v>
      </c>
      <c r="N432" s="20">
        <v>169230</v>
      </c>
    </row>
    <row r="433" spans="1:14" ht="18" customHeight="1" x14ac:dyDescent="0.25">
      <c r="A433" s="91" t="s">
        <v>183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184</v>
      </c>
      <c r="N433" s="31">
        <f>IFERROR(N419+N432,"")</f>
        <v>482720</v>
      </c>
    </row>
    <row r="434" spans="1:14" ht="15" customHeight="1" x14ac:dyDescent="0.25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25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25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25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279</v>
      </c>
      <c r="N437" s="30"/>
    </row>
    <row r="438" spans="1:14" ht="15" customHeight="1" x14ac:dyDescent="0.25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25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137</v>
      </c>
      <c r="I439" s="16" t="s">
        <v>118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252</v>
      </c>
      <c r="N439" s="30"/>
    </row>
    <row r="440" spans="1:14" ht="15" customHeight="1" x14ac:dyDescent="0.25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25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25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25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25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25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25">
      <c r="A446" s="90" t="s">
        <v>180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181</v>
      </c>
      <c r="N446" s="20">
        <v>269950</v>
      </c>
    </row>
    <row r="447" spans="1:14" ht="15" customHeight="1" x14ac:dyDescent="0.25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280</v>
      </c>
      <c r="N447" s="30"/>
    </row>
    <row r="448" spans="1:14" ht="15" customHeight="1" x14ac:dyDescent="0.25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25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145</v>
      </c>
      <c r="I449" s="16" t="s">
        <v>78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25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25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25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25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25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25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25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25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25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25">
      <c r="A459" s="90" t="s">
        <v>182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181</v>
      </c>
      <c r="N459" s="20">
        <v>221750</v>
      </c>
    </row>
    <row r="460" spans="1:14" ht="18" customHeight="1" x14ac:dyDescent="0.25">
      <c r="A460" s="91" t="s">
        <v>183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184</v>
      </c>
      <c r="N460" s="31">
        <f>IFERROR(N446+N459,"")</f>
        <v>491700</v>
      </c>
    </row>
    <row r="461" spans="1:14" ht="15" customHeight="1" x14ac:dyDescent="0.25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126</v>
      </c>
      <c r="I461" s="16" t="s">
        <v>78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25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25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25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111</v>
      </c>
      <c r="I464" s="10" t="s">
        <v>254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256</v>
      </c>
      <c r="N464" s="30"/>
    </row>
    <row r="465" spans="1:14" ht="15" customHeight="1" x14ac:dyDescent="0.25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25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25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25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25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25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25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25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256</v>
      </c>
      <c r="N472" s="30"/>
    </row>
    <row r="473" spans="1:14" ht="15.75" customHeight="1" x14ac:dyDescent="0.25">
      <c r="A473" s="90" t="s">
        <v>180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181</v>
      </c>
      <c r="N473" s="20">
        <v>208000</v>
      </c>
    </row>
    <row r="474" spans="1:14" ht="15" customHeight="1" x14ac:dyDescent="0.25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89</v>
      </c>
      <c r="I474" s="10" t="s">
        <v>76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25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25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25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25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25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25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25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25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25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25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25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25">
      <c r="A486" s="90" t="s">
        <v>182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181</v>
      </c>
      <c r="N486" s="20">
        <v>240000</v>
      </c>
    </row>
    <row r="487" spans="1:14" ht="18" customHeight="1" x14ac:dyDescent="0.25">
      <c r="A487" s="91" t="s">
        <v>183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184</v>
      </c>
      <c r="N487" s="31">
        <f>IFERROR(N473+N486,"")</f>
        <v>448000</v>
      </c>
    </row>
    <row r="488" spans="1:14" ht="15" customHeight="1" x14ac:dyDescent="0.25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25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25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25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25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25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25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25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25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25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25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25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25">
      <c r="A500" s="90" t="s">
        <v>180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181</v>
      </c>
      <c r="N500" s="20">
        <f>39010+12770+77040</f>
        <v>128820</v>
      </c>
    </row>
    <row r="501" spans="1:14" ht="15" customHeight="1" x14ac:dyDescent="0.25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80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25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25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25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25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25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25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25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25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25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25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25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25">
      <c r="A513" s="90" t="s">
        <v>182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181</v>
      </c>
      <c r="N513" s="20">
        <v>3930</v>
      </c>
    </row>
    <row r="514" spans="1:14" ht="18" customHeight="1" x14ac:dyDescent="0.25">
      <c r="A514" s="91" t="s">
        <v>183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184</v>
      </c>
      <c r="N514" s="31">
        <f>IFERROR(N500+N513,"")</f>
        <v>132750</v>
      </c>
    </row>
    <row r="515" spans="1:14" ht="15" customHeight="1" x14ac:dyDescent="0.25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85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25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85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25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25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25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25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25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25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25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25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25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25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25">
      <c r="A527" s="90" t="s">
        <v>180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181</v>
      </c>
      <c r="N527" s="20">
        <v>164000</v>
      </c>
    </row>
    <row r="528" spans="1:14" ht="15" customHeight="1" x14ac:dyDescent="0.25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137</v>
      </c>
      <c r="I528" s="10" t="s">
        <v>122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281</v>
      </c>
      <c r="N528" s="30"/>
    </row>
    <row r="529" spans="1:14" ht="15" customHeight="1" x14ac:dyDescent="0.25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95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262</v>
      </c>
      <c r="N529" s="30"/>
    </row>
    <row r="530" spans="1:14" ht="15" customHeight="1" x14ac:dyDescent="0.25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89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25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145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25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25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25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25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25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25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25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25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25">
      <c r="A540" s="90" t="s">
        <v>182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181</v>
      </c>
      <c r="N540" s="20">
        <v>304230</v>
      </c>
    </row>
    <row r="541" spans="1:14" ht="18" customHeight="1" x14ac:dyDescent="0.25">
      <c r="A541" s="91" t="s">
        <v>183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184</v>
      </c>
      <c r="N541" s="31">
        <f>IFERROR(N527+N540,"")</f>
        <v>468230</v>
      </c>
    </row>
    <row r="542" spans="1:14" ht="15" customHeight="1" x14ac:dyDescent="0.25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250</v>
      </c>
      <c r="N542" s="30"/>
    </row>
    <row r="543" spans="1:14" ht="15" customHeight="1" x14ac:dyDescent="0.25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25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25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25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25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25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25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25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25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25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25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25">
      <c r="A554" s="90" t="s">
        <v>180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181</v>
      </c>
      <c r="N554" s="20">
        <v>202310</v>
      </c>
    </row>
    <row r="555" spans="1:14" ht="15" customHeight="1" x14ac:dyDescent="0.25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25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126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25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126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25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25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25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25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25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25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25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25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25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25">
      <c r="A567" s="90" t="s">
        <v>182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181</v>
      </c>
      <c r="N567" s="20">
        <v>437260</v>
      </c>
    </row>
    <row r="568" spans="1:14" ht="18" customHeight="1" x14ac:dyDescent="0.25">
      <c r="A568" s="91" t="s">
        <v>183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184</v>
      </c>
      <c r="N568" s="31">
        <f>IFERROR(N554+N567,"")</f>
        <v>639570</v>
      </c>
    </row>
    <row r="569" spans="1:14" ht="15" customHeight="1" x14ac:dyDescent="0.25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155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282</v>
      </c>
      <c r="N569" s="30"/>
    </row>
    <row r="570" spans="1:14" ht="15" customHeight="1" x14ac:dyDescent="0.25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157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25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25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25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25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25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25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25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25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25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25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25">
      <c r="A581" s="90" t="s">
        <v>180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181</v>
      </c>
      <c r="N581" s="20">
        <v>196620</v>
      </c>
    </row>
    <row r="582" spans="1:14" ht="15" customHeight="1" x14ac:dyDescent="0.25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25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123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25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25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25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283</v>
      </c>
      <c r="N586" s="30"/>
    </row>
    <row r="587" spans="1:14" ht="15" customHeight="1" x14ac:dyDescent="0.25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123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25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234</v>
      </c>
      <c r="N588" s="30"/>
    </row>
    <row r="589" spans="1:14" ht="15" customHeight="1" x14ac:dyDescent="0.25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25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25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25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25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25">
      <c r="A594" s="90" t="s">
        <v>182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181</v>
      </c>
      <c r="N594" s="20">
        <v>269570</v>
      </c>
    </row>
    <row r="595" spans="1:14" ht="18" customHeight="1" x14ac:dyDescent="0.25">
      <c r="A595" s="91" t="s">
        <v>183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184</v>
      </c>
      <c r="N595" s="31">
        <f>IFERROR(N581+N594,"")</f>
        <v>466190</v>
      </c>
    </row>
    <row r="596" spans="1:14" ht="15" customHeight="1" x14ac:dyDescent="0.25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25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144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25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155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25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25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25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25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25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25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25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25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25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25">
      <c r="A608" s="90" t="s">
        <v>180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181</v>
      </c>
      <c r="N608" s="20">
        <v>221720</v>
      </c>
    </row>
    <row r="609" spans="1:14" ht="15" customHeight="1" x14ac:dyDescent="0.25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119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25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159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25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25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158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284</v>
      </c>
      <c r="N612" s="30"/>
    </row>
    <row r="613" spans="1:14" ht="15" customHeight="1" x14ac:dyDescent="0.25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25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25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25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25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25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25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25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25">
      <c r="A621" s="90" t="s">
        <v>182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181</v>
      </c>
      <c r="N621" s="20">
        <v>176650</v>
      </c>
    </row>
    <row r="622" spans="1:14" ht="18" customHeight="1" x14ac:dyDescent="0.25">
      <c r="A622" s="91" t="s">
        <v>183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184</v>
      </c>
      <c r="N622" s="31">
        <f>IFERROR(N608+N621,"")</f>
        <v>398370</v>
      </c>
    </row>
    <row r="623" spans="1:14" ht="15" customHeight="1" x14ac:dyDescent="0.25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/>
      <c r="H623" s="16"/>
      <c r="I623" s="16"/>
      <c r="J623" s="13"/>
      <c r="K623" s="13"/>
      <c r="L623" s="71" t="str">
        <f t="shared" ref="L623:L634" si="139">IFERROR(IF(K623="","",IF(K623&gt;=J623,K623-J623,K623+1-J623)),"")</f>
        <v/>
      </c>
      <c r="M623" s="11"/>
      <c r="N623" s="30"/>
    </row>
    <row r="624" spans="1:14" ht="15" customHeight="1" x14ac:dyDescent="0.25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25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25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25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25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25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25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/>
      <c r="F630" s="12" t="str">
        <f t="shared" si="138"/>
        <v/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25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/>
      <c r="F631" s="17" t="str">
        <f t="shared" si="138"/>
        <v/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25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/>
      <c r="F632" s="12" t="str">
        <f t="shared" si="138"/>
        <v/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25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/>
      <c r="F633" s="17" t="str">
        <f t="shared" si="138"/>
        <v/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25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/>
      <c r="F634" s="12" t="str">
        <f t="shared" si="138"/>
        <v/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25">
      <c r="A635" s="90" t="s">
        <v>180</v>
      </c>
      <c r="B635" s="90"/>
      <c r="C635" s="90"/>
      <c r="D635" s="90"/>
      <c r="E635" s="19">
        <f>SUM(E623:E634)</f>
        <v>36</v>
      </c>
      <c r="F635" s="19">
        <f>SUM(F623:F634)</f>
        <v>144</v>
      </c>
      <c r="G635" s="18"/>
      <c r="H635" s="18"/>
      <c r="I635" s="18"/>
      <c r="J635" s="18"/>
      <c r="K635" s="18"/>
      <c r="L635" s="72">
        <f>IFERROR(SUM(L623:L634),"")</f>
        <v>0</v>
      </c>
      <c r="M635" s="19" t="s">
        <v>181</v>
      </c>
      <c r="N635" s="20"/>
    </row>
    <row r="636" spans="1:14" ht="15" customHeight="1" x14ac:dyDescent="0.25">
      <c r="A636" s="58">
        <v>46197</v>
      </c>
      <c r="B636" s="9">
        <v>0.83333333333333304</v>
      </c>
      <c r="C636" s="10"/>
      <c r="D636" s="10"/>
      <c r="E636" s="11"/>
      <c r="F636" s="12" t="str">
        <f t="shared" ref="F636:F647" si="141">IF(E636="","",E636*4)</f>
        <v/>
      </c>
      <c r="G636" s="10"/>
      <c r="H636" s="10"/>
      <c r="I636" s="10"/>
      <c r="J636" s="13"/>
      <c r="K636" s="13"/>
      <c r="L636" s="70" t="str">
        <f t="shared" ref="L636:L647" si="142">IFERROR(IF(K636="","",IF(K636&gt;=J636,K636-J636,K636+1-J636)),"")</f>
        <v/>
      </c>
      <c r="M636" s="11"/>
      <c r="N636" s="30"/>
    </row>
    <row r="637" spans="1:14" ht="15" customHeight="1" x14ac:dyDescent="0.25">
      <c r="A637" s="59">
        <v>46197</v>
      </c>
      <c r="B637" s="15">
        <f t="shared" ref="B637:B647" si="143">B636+TIME(0,60,0)</f>
        <v>0.87499999999999967</v>
      </c>
      <c r="C637" s="16"/>
      <c r="D637" s="16"/>
      <c r="E637" s="11"/>
      <c r="F637" s="17" t="str">
        <f t="shared" si="141"/>
        <v/>
      </c>
      <c r="G637" s="16"/>
      <c r="H637" s="16"/>
      <c r="I637" s="16"/>
      <c r="J637" s="13"/>
      <c r="K637" s="13"/>
      <c r="L637" s="71" t="str">
        <f t="shared" si="142"/>
        <v/>
      </c>
      <c r="M637" s="11"/>
      <c r="N637" s="30"/>
    </row>
    <row r="638" spans="1:14" ht="15" customHeight="1" x14ac:dyDescent="0.25">
      <c r="A638" s="58">
        <v>46197</v>
      </c>
      <c r="B638" s="9">
        <f t="shared" si="143"/>
        <v>0.9166666666666663</v>
      </c>
      <c r="C638" s="10"/>
      <c r="D638" s="10"/>
      <c r="E638" s="11"/>
      <c r="F638" s="12" t="str">
        <f t="shared" si="141"/>
        <v/>
      </c>
      <c r="G638" s="10"/>
      <c r="H638" s="10"/>
      <c r="I638" s="10"/>
      <c r="J638" s="13"/>
      <c r="K638" s="13"/>
      <c r="L638" s="70" t="str">
        <f t="shared" si="142"/>
        <v/>
      </c>
      <c r="M638" s="11"/>
      <c r="N638" s="30"/>
    </row>
    <row r="639" spans="1:14" ht="15" customHeight="1" x14ac:dyDescent="0.25">
      <c r="A639" s="59">
        <v>46197</v>
      </c>
      <c r="B639" s="15">
        <f t="shared" si="143"/>
        <v>0.95833333333333293</v>
      </c>
      <c r="C639" s="16"/>
      <c r="D639" s="16"/>
      <c r="E639" s="11"/>
      <c r="F639" s="17" t="str">
        <f t="shared" si="141"/>
        <v/>
      </c>
      <c r="G639" s="16"/>
      <c r="H639" s="16"/>
      <c r="I639" s="16"/>
      <c r="J639" s="13"/>
      <c r="K639" s="13"/>
      <c r="L639" s="71" t="str">
        <f t="shared" si="142"/>
        <v/>
      </c>
      <c r="M639" s="11"/>
      <c r="N639" s="30"/>
    </row>
    <row r="640" spans="1:14" ht="15" customHeight="1" x14ac:dyDescent="0.25">
      <c r="A640" s="58">
        <v>46197</v>
      </c>
      <c r="B640" s="9">
        <f t="shared" si="143"/>
        <v>0.99999999999999956</v>
      </c>
      <c r="C640" s="10"/>
      <c r="D640" s="10"/>
      <c r="E640" s="11"/>
      <c r="F640" s="12" t="str">
        <f t="shared" si="141"/>
        <v/>
      </c>
      <c r="G640" s="10"/>
      <c r="H640" s="10"/>
      <c r="I640" s="10"/>
      <c r="J640" s="13"/>
      <c r="K640" s="13"/>
      <c r="L640" s="70" t="str">
        <f t="shared" si="142"/>
        <v/>
      </c>
      <c r="M640" s="11"/>
      <c r="N640" s="30"/>
    </row>
    <row r="641" spans="1:14" ht="15" customHeight="1" x14ac:dyDescent="0.25">
      <c r="A641" s="59">
        <v>46197</v>
      </c>
      <c r="B641" s="15">
        <f t="shared" si="143"/>
        <v>1.0416666666666663</v>
      </c>
      <c r="C641" s="16"/>
      <c r="D641" s="16"/>
      <c r="E641" s="11"/>
      <c r="F641" s="17" t="str">
        <f t="shared" si="141"/>
        <v/>
      </c>
      <c r="G641" s="16"/>
      <c r="H641" s="16"/>
      <c r="I641" s="16"/>
      <c r="J641" s="13"/>
      <c r="K641" s="13"/>
      <c r="L641" s="71" t="str">
        <f t="shared" si="142"/>
        <v/>
      </c>
      <c r="M641" s="11"/>
      <c r="N641" s="30"/>
    </row>
    <row r="642" spans="1:14" ht="15" customHeight="1" x14ac:dyDescent="0.25">
      <c r="A642" s="58">
        <v>46197</v>
      </c>
      <c r="B642" s="9">
        <f t="shared" si="143"/>
        <v>1.083333333333333</v>
      </c>
      <c r="C642" s="10"/>
      <c r="D642" s="10"/>
      <c r="E642" s="11"/>
      <c r="F642" s="12" t="str">
        <f t="shared" si="141"/>
        <v/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25">
      <c r="A643" s="59">
        <v>46197</v>
      </c>
      <c r="B643" s="15">
        <f t="shared" si="143"/>
        <v>1.1249999999999998</v>
      </c>
      <c r="C643" s="16"/>
      <c r="D643" s="16"/>
      <c r="E643" s="11"/>
      <c r="F643" s="17" t="str">
        <f t="shared" si="141"/>
        <v/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25">
      <c r="A644" s="58">
        <v>46197</v>
      </c>
      <c r="B644" s="9">
        <f t="shared" si="143"/>
        <v>1.1666666666666665</v>
      </c>
      <c r="C644" s="10"/>
      <c r="D644" s="10"/>
      <c r="E644" s="11"/>
      <c r="F644" s="12" t="str">
        <f t="shared" si="141"/>
        <v/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25">
      <c r="A645" s="59">
        <v>46197</v>
      </c>
      <c r="B645" s="15">
        <f t="shared" si="143"/>
        <v>1.2083333333333333</v>
      </c>
      <c r="C645" s="16"/>
      <c r="D645" s="16"/>
      <c r="E645" s="11"/>
      <c r="F645" s="17" t="str">
        <f t="shared" si="141"/>
        <v/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25">
      <c r="A646" s="58">
        <v>46197</v>
      </c>
      <c r="B646" s="9">
        <f t="shared" si="143"/>
        <v>1.25</v>
      </c>
      <c r="C646" s="10"/>
      <c r="D646" s="10"/>
      <c r="E646" s="11"/>
      <c r="F646" s="12" t="str">
        <f t="shared" si="141"/>
        <v/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25">
      <c r="A647" s="59">
        <v>46197</v>
      </c>
      <c r="B647" s="15">
        <f t="shared" si="143"/>
        <v>1.2916666666666667</v>
      </c>
      <c r="C647" s="16"/>
      <c r="D647" s="16"/>
      <c r="E647" s="11"/>
      <c r="F647" s="17" t="str">
        <f t="shared" si="141"/>
        <v/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25">
      <c r="A648" s="90" t="s">
        <v>182</v>
      </c>
      <c r="B648" s="90"/>
      <c r="C648" s="90"/>
      <c r="D648" s="90"/>
      <c r="E648" s="19">
        <f>SUM(E636:E647)</f>
        <v>0</v>
      </c>
      <c r="F648" s="19">
        <f>SUM(F636:F647)</f>
        <v>0</v>
      </c>
      <c r="G648" s="18"/>
      <c r="H648" s="18"/>
      <c r="I648" s="18"/>
      <c r="J648" s="18"/>
      <c r="K648" s="18"/>
      <c r="L648" s="72">
        <f>IFERROR(SUM(L636:L647),"")</f>
        <v>0</v>
      </c>
      <c r="M648" s="19" t="s">
        <v>181</v>
      </c>
      <c r="N648" s="20"/>
    </row>
    <row r="649" spans="1:14" ht="18" customHeight="1" x14ac:dyDescent="0.25">
      <c r="A649" s="91" t="s">
        <v>183</v>
      </c>
      <c r="B649" s="91"/>
      <c r="C649" s="91"/>
      <c r="D649" s="91"/>
      <c r="E649" s="22">
        <f>E635+E648</f>
        <v>36</v>
      </c>
      <c r="F649" s="22">
        <f>F635+F648</f>
        <v>144</v>
      </c>
      <c r="G649" s="21"/>
      <c r="H649" s="21"/>
      <c r="I649" s="21"/>
      <c r="J649" s="21"/>
      <c r="K649" s="21"/>
      <c r="L649" s="73">
        <f>IFERROR(L635+L648,"")</f>
        <v>0</v>
      </c>
      <c r="M649" s="22" t="s">
        <v>184</v>
      </c>
      <c r="N649" s="31">
        <f>IFERROR(N635+N648,"")</f>
        <v>0</v>
      </c>
    </row>
    <row r="650" spans="1:14" ht="15" customHeight="1" x14ac:dyDescent="0.25">
      <c r="A650" s="58">
        <v>46198</v>
      </c>
      <c r="B650" s="9">
        <v>0.33333333333333298</v>
      </c>
      <c r="C650" s="10"/>
      <c r="D650" s="10"/>
      <c r="E650" s="11"/>
      <c r="F650" s="12" t="str">
        <f t="shared" ref="F650:F661" si="144">IF(E650="","",E650*4)</f>
        <v/>
      </c>
      <c r="G650" s="10"/>
      <c r="H650" s="10"/>
      <c r="I650" s="10"/>
      <c r="J650" s="13"/>
      <c r="K650" s="13"/>
      <c r="L650" s="70" t="str">
        <f t="shared" ref="L650:L661" si="145">IFERROR(IF(K650="","",IF(K650&gt;=J650,K650-J650,K650+1-J650)),"")</f>
        <v/>
      </c>
      <c r="M650" s="11"/>
      <c r="N650" s="30"/>
    </row>
    <row r="651" spans="1:14" ht="15" customHeight="1" x14ac:dyDescent="0.25">
      <c r="A651" s="59">
        <v>46198</v>
      </c>
      <c r="B651" s="15">
        <f t="shared" ref="B651:B661" si="146">B650+TIME(0,60,0)</f>
        <v>0.37499999999999967</v>
      </c>
      <c r="C651" s="16"/>
      <c r="D651" s="16"/>
      <c r="E651" s="11"/>
      <c r="F651" s="17" t="str">
        <f t="shared" si="144"/>
        <v/>
      </c>
      <c r="G651" s="16"/>
      <c r="H651" s="16"/>
      <c r="I651" s="16"/>
      <c r="J651" s="13"/>
      <c r="K651" s="13"/>
      <c r="L651" s="71" t="str">
        <f t="shared" si="145"/>
        <v/>
      </c>
      <c r="M651" s="11"/>
      <c r="N651" s="30"/>
    </row>
    <row r="652" spans="1:14" ht="15" customHeight="1" x14ac:dyDescent="0.25">
      <c r="A652" s="58">
        <v>46198</v>
      </c>
      <c r="B652" s="9">
        <f t="shared" si="146"/>
        <v>0.41666666666666635</v>
      </c>
      <c r="C652" s="10"/>
      <c r="D652" s="10"/>
      <c r="E652" s="11"/>
      <c r="F652" s="12" t="str">
        <f t="shared" si="144"/>
        <v/>
      </c>
      <c r="G652" s="10"/>
      <c r="H652" s="10"/>
      <c r="I652" s="10"/>
      <c r="J652" s="13"/>
      <c r="K652" s="13"/>
      <c r="L652" s="70" t="str">
        <f t="shared" si="145"/>
        <v/>
      </c>
      <c r="M652" s="11"/>
      <c r="N652" s="30"/>
    </row>
    <row r="653" spans="1:14" ht="15" customHeight="1" x14ac:dyDescent="0.25">
      <c r="A653" s="59">
        <v>46198</v>
      </c>
      <c r="B653" s="15">
        <f t="shared" si="146"/>
        <v>0.45833333333333304</v>
      </c>
      <c r="C653" s="16"/>
      <c r="D653" s="16"/>
      <c r="E653" s="11"/>
      <c r="F653" s="17" t="str">
        <f t="shared" si="144"/>
        <v/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25">
      <c r="A654" s="58">
        <v>46198</v>
      </c>
      <c r="B654" s="9">
        <f t="shared" si="146"/>
        <v>0.49999999999999972</v>
      </c>
      <c r="C654" s="10"/>
      <c r="D654" s="10"/>
      <c r="E654" s="11"/>
      <c r="F654" s="12" t="str">
        <f t="shared" si="144"/>
        <v/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25">
      <c r="A655" s="59">
        <v>46198</v>
      </c>
      <c r="B655" s="15">
        <f t="shared" si="146"/>
        <v>0.54166666666666641</v>
      </c>
      <c r="C655" s="16"/>
      <c r="D655" s="16"/>
      <c r="E655" s="11"/>
      <c r="F655" s="17" t="str">
        <f t="shared" si="144"/>
        <v/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25">
      <c r="A656" s="58">
        <v>46198</v>
      </c>
      <c r="B656" s="9">
        <f t="shared" si="146"/>
        <v>0.58333333333333304</v>
      </c>
      <c r="C656" s="10"/>
      <c r="D656" s="10"/>
      <c r="E656" s="11"/>
      <c r="F656" s="12" t="str">
        <f t="shared" si="144"/>
        <v/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25">
      <c r="A657" s="59">
        <v>46198</v>
      </c>
      <c r="B657" s="15">
        <f t="shared" si="146"/>
        <v>0.62499999999999967</v>
      </c>
      <c r="C657" s="16"/>
      <c r="D657" s="16"/>
      <c r="E657" s="11"/>
      <c r="F657" s="17" t="str">
        <f t="shared" si="144"/>
        <v/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25">
      <c r="A658" s="58">
        <v>46198</v>
      </c>
      <c r="B658" s="9">
        <f t="shared" si="146"/>
        <v>0.6666666666666663</v>
      </c>
      <c r="C658" s="10"/>
      <c r="D658" s="10"/>
      <c r="E658" s="11"/>
      <c r="F658" s="12" t="str">
        <f t="shared" si="144"/>
        <v/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25">
      <c r="A659" s="59">
        <v>46198</v>
      </c>
      <c r="B659" s="15">
        <f t="shared" si="146"/>
        <v>0.70833333333333293</v>
      </c>
      <c r="C659" s="16"/>
      <c r="D659" s="16"/>
      <c r="E659" s="11"/>
      <c r="F659" s="17" t="str">
        <f t="shared" si="144"/>
        <v/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25">
      <c r="A660" s="58">
        <v>46198</v>
      </c>
      <c r="B660" s="9">
        <f t="shared" si="146"/>
        <v>0.74999999999999956</v>
      </c>
      <c r="C660" s="10"/>
      <c r="D660" s="10"/>
      <c r="E660" s="11"/>
      <c r="F660" s="12" t="str">
        <f t="shared" si="144"/>
        <v/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25">
      <c r="A661" s="59">
        <v>46198</v>
      </c>
      <c r="B661" s="15">
        <f t="shared" si="146"/>
        <v>0.79166666666666619</v>
      </c>
      <c r="C661" s="16"/>
      <c r="D661" s="16"/>
      <c r="E661" s="11"/>
      <c r="F661" s="17" t="str">
        <f t="shared" si="144"/>
        <v/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25">
      <c r="A662" s="90" t="s">
        <v>180</v>
      </c>
      <c r="B662" s="90"/>
      <c r="C662" s="90"/>
      <c r="D662" s="90"/>
      <c r="E662" s="19">
        <f>SUM(E650:E661)</f>
        <v>0</v>
      </c>
      <c r="F662" s="19">
        <f>SUM(F650:F661)</f>
        <v>0</v>
      </c>
      <c r="G662" s="18"/>
      <c r="H662" s="18"/>
      <c r="I662" s="18"/>
      <c r="J662" s="18"/>
      <c r="K662" s="18"/>
      <c r="L662" s="72">
        <f>IFERROR(SUM(L650:L661),"")</f>
        <v>0</v>
      </c>
      <c r="M662" s="19" t="s">
        <v>181</v>
      </c>
      <c r="N662" s="20"/>
    </row>
    <row r="663" spans="1:14" ht="15" customHeight="1" x14ac:dyDescent="0.25">
      <c r="A663" s="59">
        <v>46198</v>
      </c>
      <c r="B663" s="15">
        <v>0.83333333333333304</v>
      </c>
      <c r="C663" s="16"/>
      <c r="D663" s="16"/>
      <c r="E663" s="11"/>
      <c r="F663" s="17" t="str">
        <f t="shared" ref="F663:F674" si="147">IF(E663="","",E663*4)</f>
        <v/>
      </c>
      <c r="G663" s="16"/>
      <c r="H663" s="16"/>
      <c r="I663" s="16"/>
      <c r="J663" s="13"/>
      <c r="K663" s="13"/>
      <c r="L663" s="71" t="str">
        <f t="shared" ref="L663:L674" si="148">IFERROR(IF(K663="","",IF(K663&gt;=J663,K663-J663,K663+1-J663)),"")</f>
        <v/>
      </c>
      <c r="M663" s="11"/>
      <c r="N663" s="30"/>
    </row>
    <row r="664" spans="1:14" ht="15" customHeight="1" x14ac:dyDescent="0.25">
      <c r="A664" s="58">
        <v>46198</v>
      </c>
      <c r="B664" s="9">
        <f t="shared" ref="B664:B674" si="149">B663+TIME(0,60,0)</f>
        <v>0.87499999999999967</v>
      </c>
      <c r="C664" s="10"/>
      <c r="D664" s="10"/>
      <c r="E664" s="11"/>
      <c r="F664" s="12" t="str">
        <f t="shared" si="147"/>
        <v/>
      </c>
      <c r="G664" s="10"/>
      <c r="H664" s="10"/>
      <c r="I664" s="10"/>
      <c r="J664" s="13"/>
      <c r="K664" s="13"/>
      <c r="L664" s="70" t="str">
        <f t="shared" si="148"/>
        <v/>
      </c>
      <c r="M664" s="11"/>
      <c r="N664" s="30"/>
    </row>
    <row r="665" spans="1:14" ht="15" customHeight="1" x14ac:dyDescent="0.25">
      <c r="A665" s="59">
        <v>46198</v>
      </c>
      <c r="B665" s="15">
        <f t="shared" si="149"/>
        <v>0.9166666666666663</v>
      </c>
      <c r="C665" s="16"/>
      <c r="D665" s="16"/>
      <c r="E665" s="11"/>
      <c r="F665" s="17" t="str">
        <f t="shared" si="147"/>
        <v/>
      </c>
      <c r="G665" s="16"/>
      <c r="H665" s="16"/>
      <c r="I665" s="16"/>
      <c r="J665" s="13"/>
      <c r="K665" s="13"/>
      <c r="L665" s="71" t="str">
        <f t="shared" si="148"/>
        <v/>
      </c>
      <c r="M665" s="11"/>
      <c r="N665" s="30"/>
    </row>
    <row r="666" spans="1:14" ht="15" customHeight="1" x14ac:dyDescent="0.25">
      <c r="A666" s="58">
        <v>46198</v>
      </c>
      <c r="B666" s="9">
        <f t="shared" si="149"/>
        <v>0.95833333333333293</v>
      </c>
      <c r="C666" s="10"/>
      <c r="D666" s="10"/>
      <c r="E666" s="11"/>
      <c r="F666" s="12" t="str">
        <f t="shared" si="147"/>
        <v/>
      </c>
      <c r="G666" s="10"/>
      <c r="H666" s="10"/>
      <c r="I666" s="10"/>
      <c r="J666" s="13"/>
      <c r="K666" s="13"/>
      <c r="L666" s="70" t="str">
        <f t="shared" si="148"/>
        <v/>
      </c>
      <c r="M666" s="11"/>
      <c r="N666" s="30"/>
    </row>
    <row r="667" spans="1:14" ht="15" customHeight="1" x14ac:dyDescent="0.25">
      <c r="A667" s="59">
        <v>46198</v>
      </c>
      <c r="B667" s="15">
        <f t="shared" si="149"/>
        <v>0.99999999999999956</v>
      </c>
      <c r="C667" s="16"/>
      <c r="D667" s="16"/>
      <c r="E667" s="11"/>
      <c r="F667" s="17" t="str">
        <f t="shared" si="147"/>
        <v/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25">
      <c r="A668" s="58">
        <v>46198</v>
      </c>
      <c r="B668" s="9">
        <f t="shared" si="149"/>
        <v>1.0416666666666663</v>
      </c>
      <c r="C668" s="10"/>
      <c r="D668" s="10"/>
      <c r="E668" s="11"/>
      <c r="F668" s="12" t="str">
        <f t="shared" si="147"/>
        <v/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25">
      <c r="A669" s="59">
        <v>46198</v>
      </c>
      <c r="B669" s="15">
        <f t="shared" si="149"/>
        <v>1.083333333333333</v>
      </c>
      <c r="C669" s="16"/>
      <c r="D669" s="16"/>
      <c r="E669" s="11"/>
      <c r="F669" s="17" t="str">
        <f t="shared" si="147"/>
        <v/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25">
      <c r="A670" s="58">
        <v>46198</v>
      </c>
      <c r="B670" s="9">
        <f t="shared" si="149"/>
        <v>1.1249999999999998</v>
      </c>
      <c r="C670" s="10"/>
      <c r="D670" s="10"/>
      <c r="E670" s="11"/>
      <c r="F670" s="12" t="str">
        <f t="shared" si="147"/>
        <v/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25">
      <c r="A671" s="59">
        <v>46198</v>
      </c>
      <c r="B671" s="15">
        <f t="shared" si="149"/>
        <v>1.1666666666666665</v>
      </c>
      <c r="C671" s="16"/>
      <c r="D671" s="16"/>
      <c r="E671" s="11"/>
      <c r="F671" s="17" t="str">
        <f t="shared" si="147"/>
        <v/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25">
      <c r="A672" s="58">
        <v>46198</v>
      </c>
      <c r="B672" s="9">
        <f t="shared" si="149"/>
        <v>1.2083333333333333</v>
      </c>
      <c r="C672" s="10"/>
      <c r="D672" s="10"/>
      <c r="E672" s="11"/>
      <c r="F672" s="12" t="str">
        <f t="shared" si="147"/>
        <v/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25">
      <c r="A673" s="59">
        <v>46198</v>
      </c>
      <c r="B673" s="15">
        <f t="shared" si="149"/>
        <v>1.25</v>
      </c>
      <c r="C673" s="16"/>
      <c r="D673" s="16"/>
      <c r="E673" s="11"/>
      <c r="F673" s="17" t="str">
        <f t="shared" si="147"/>
        <v/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25">
      <c r="A674" s="58">
        <v>46198</v>
      </c>
      <c r="B674" s="9">
        <f t="shared" si="149"/>
        <v>1.2916666666666667</v>
      </c>
      <c r="C674" s="10"/>
      <c r="D674" s="10"/>
      <c r="E674" s="11"/>
      <c r="F674" s="12" t="str">
        <f t="shared" si="147"/>
        <v/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25">
      <c r="A675" s="90" t="s">
        <v>182</v>
      </c>
      <c r="B675" s="90"/>
      <c r="C675" s="90"/>
      <c r="D675" s="90"/>
      <c r="E675" s="19">
        <f>SUM(E663:E674)</f>
        <v>0</v>
      </c>
      <c r="F675" s="19">
        <f>SUM(F663:F674)</f>
        <v>0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181</v>
      </c>
      <c r="N675" s="20"/>
    </row>
    <row r="676" spans="1:14" ht="18" customHeight="1" x14ac:dyDescent="0.25">
      <c r="A676" s="91" t="s">
        <v>183</v>
      </c>
      <c r="B676" s="91"/>
      <c r="C676" s="91"/>
      <c r="D676" s="91"/>
      <c r="E676" s="22">
        <f>E662+E675</f>
        <v>0</v>
      </c>
      <c r="F676" s="22">
        <f>F662+F675</f>
        <v>0</v>
      </c>
      <c r="G676" s="21"/>
      <c r="H676" s="21"/>
      <c r="I676" s="21"/>
      <c r="J676" s="21"/>
      <c r="K676" s="21"/>
      <c r="L676" s="73">
        <f>IFERROR(L662+L675,"")</f>
        <v>0</v>
      </c>
      <c r="M676" s="22" t="s">
        <v>184</v>
      </c>
      <c r="N676" s="31">
        <f>IFERROR(N662+N675,"")</f>
        <v>0</v>
      </c>
    </row>
    <row r="677" spans="1:14" ht="15" customHeight="1" x14ac:dyDescent="0.25">
      <c r="A677" s="59">
        <v>46199</v>
      </c>
      <c r="B677" s="15">
        <v>0.33333333333333298</v>
      </c>
      <c r="C677" s="16"/>
      <c r="D677" s="16"/>
      <c r="E677" s="11"/>
      <c r="F677" s="17" t="str">
        <f t="shared" ref="F677:F688" si="150">IF(E677="","",E677*4)</f>
        <v/>
      </c>
      <c r="G677" s="16"/>
      <c r="H677" s="16"/>
      <c r="I677" s="16"/>
      <c r="J677" s="13"/>
      <c r="K677" s="13"/>
      <c r="L677" s="71" t="str">
        <f t="shared" ref="L677:L688" si="151">IFERROR(IF(K677="","",IF(K677&gt;=J677,K677-J677,K677+1-J677)),"")</f>
        <v/>
      </c>
      <c r="M677" s="11"/>
      <c r="N677" s="30"/>
    </row>
    <row r="678" spans="1:14" ht="15" customHeight="1" x14ac:dyDescent="0.25">
      <c r="A678" s="58">
        <v>46199</v>
      </c>
      <c r="B678" s="9">
        <f t="shared" ref="B678:B688" si="152">B677+TIME(0,60,0)</f>
        <v>0.37499999999999967</v>
      </c>
      <c r="C678" s="10"/>
      <c r="D678" s="10"/>
      <c r="E678" s="11"/>
      <c r="F678" s="12" t="str">
        <f t="shared" si="150"/>
        <v/>
      </c>
      <c r="G678" s="10"/>
      <c r="H678" s="10"/>
      <c r="I678" s="10"/>
      <c r="J678" s="13"/>
      <c r="K678" s="13"/>
      <c r="L678" s="70" t="str">
        <f t="shared" si="151"/>
        <v/>
      </c>
      <c r="M678" s="11"/>
      <c r="N678" s="30"/>
    </row>
    <row r="679" spans="1:14" ht="15" customHeight="1" x14ac:dyDescent="0.25">
      <c r="A679" s="59">
        <v>46199</v>
      </c>
      <c r="B679" s="15">
        <f t="shared" si="152"/>
        <v>0.41666666666666635</v>
      </c>
      <c r="C679" s="16"/>
      <c r="D679" s="16"/>
      <c r="E679" s="11"/>
      <c r="F679" s="17" t="str">
        <f t="shared" si="150"/>
        <v/>
      </c>
      <c r="G679" s="16"/>
      <c r="H679" s="16"/>
      <c r="I679" s="16"/>
      <c r="J679" s="13"/>
      <c r="K679" s="13"/>
      <c r="L679" s="71" t="str">
        <f t="shared" si="151"/>
        <v/>
      </c>
      <c r="M679" s="11"/>
      <c r="N679" s="30"/>
    </row>
    <row r="680" spans="1:14" ht="15" customHeight="1" x14ac:dyDescent="0.25">
      <c r="A680" s="58">
        <v>46199</v>
      </c>
      <c r="B680" s="9">
        <f t="shared" si="152"/>
        <v>0.45833333333333304</v>
      </c>
      <c r="C680" s="10"/>
      <c r="D680" s="10"/>
      <c r="E680" s="11"/>
      <c r="F680" s="12" t="str">
        <f t="shared" si="150"/>
        <v/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25">
      <c r="A681" s="59">
        <v>46199</v>
      </c>
      <c r="B681" s="15">
        <f t="shared" si="152"/>
        <v>0.49999999999999972</v>
      </c>
      <c r="C681" s="16"/>
      <c r="D681" s="16"/>
      <c r="E681" s="11"/>
      <c r="F681" s="17" t="str">
        <f t="shared" si="150"/>
        <v/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25">
      <c r="A682" s="58">
        <v>46199</v>
      </c>
      <c r="B682" s="9">
        <f t="shared" si="152"/>
        <v>0.54166666666666641</v>
      </c>
      <c r="C682" s="10"/>
      <c r="D682" s="10"/>
      <c r="E682" s="11"/>
      <c r="F682" s="12" t="str">
        <f t="shared" si="150"/>
        <v/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25">
      <c r="A683" s="59">
        <v>46199</v>
      </c>
      <c r="B683" s="15">
        <f t="shared" si="152"/>
        <v>0.58333333333333304</v>
      </c>
      <c r="C683" s="16"/>
      <c r="D683" s="16"/>
      <c r="E683" s="11"/>
      <c r="F683" s="17" t="str">
        <f t="shared" si="150"/>
        <v/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25">
      <c r="A684" s="58">
        <v>46199</v>
      </c>
      <c r="B684" s="9">
        <f t="shared" si="152"/>
        <v>0.62499999999999967</v>
      </c>
      <c r="C684" s="10"/>
      <c r="D684" s="10"/>
      <c r="E684" s="11"/>
      <c r="F684" s="12" t="str">
        <f t="shared" si="150"/>
        <v/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25">
      <c r="A685" s="59">
        <v>46199</v>
      </c>
      <c r="B685" s="15">
        <f t="shared" si="152"/>
        <v>0.6666666666666663</v>
      </c>
      <c r="C685" s="16"/>
      <c r="D685" s="16"/>
      <c r="E685" s="11"/>
      <c r="F685" s="17" t="str">
        <f t="shared" si="150"/>
        <v/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25">
      <c r="A686" s="58">
        <v>46199</v>
      </c>
      <c r="B686" s="9">
        <f t="shared" si="152"/>
        <v>0.70833333333333293</v>
      </c>
      <c r="C686" s="10"/>
      <c r="D686" s="10"/>
      <c r="E686" s="11"/>
      <c r="F686" s="12" t="str">
        <f t="shared" si="150"/>
        <v/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25">
      <c r="A687" s="59">
        <v>46199</v>
      </c>
      <c r="B687" s="15">
        <f t="shared" si="152"/>
        <v>0.74999999999999956</v>
      </c>
      <c r="C687" s="16"/>
      <c r="D687" s="16"/>
      <c r="E687" s="11"/>
      <c r="F687" s="17" t="str">
        <f t="shared" si="150"/>
        <v/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25">
      <c r="A688" s="58">
        <v>46199</v>
      </c>
      <c r="B688" s="9">
        <f t="shared" si="152"/>
        <v>0.79166666666666619</v>
      </c>
      <c r="C688" s="10"/>
      <c r="D688" s="10"/>
      <c r="E688" s="11"/>
      <c r="F688" s="12" t="str">
        <f t="shared" si="150"/>
        <v/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25">
      <c r="A689" s="90" t="s">
        <v>180</v>
      </c>
      <c r="B689" s="90"/>
      <c r="C689" s="90"/>
      <c r="D689" s="90"/>
      <c r="E689" s="19">
        <f>SUM(E677:E688)</f>
        <v>0</v>
      </c>
      <c r="F689" s="19">
        <f>SUM(F677:F688)</f>
        <v>0</v>
      </c>
      <c r="G689" s="18"/>
      <c r="H689" s="18"/>
      <c r="I689" s="18"/>
      <c r="J689" s="18"/>
      <c r="K689" s="18"/>
      <c r="L689" s="72">
        <f>IFERROR(SUM(L677:L688),"")</f>
        <v>0</v>
      </c>
      <c r="M689" s="19" t="s">
        <v>181</v>
      </c>
      <c r="N689" s="20"/>
    </row>
    <row r="690" spans="1:14" ht="15" customHeight="1" x14ac:dyDescent="0.25">
      <c r="A690" s="58">
        <v>46199</v>
      </c>
      <c r="B690" s="9">
        <v>0.83333333333333304</v>
      </c>
      <c r="C690" s="10"/>
      <c r="D690" s="10"/>
      <c r="E690" s="11"/>
      <c r="F690" s="12" t="str">
        <f t="shared" ref="F690:F701" si="153">IF(E690="","",E690*4)</f>
        <v/>
      </c>
      <c r="G690" s="10"/>
      <c r="H690" s="10"/>
      <c r="I690" s="10"/>
      <c r="J690" s="13"/>
      <c r="K690" s="13"/>
      <c r="L690" s="70" t="str">
        <f t="shared" ref="L690:L701" si="154">IFERROR(IF(K690="","",IF(K690&gt;=J690,K690-J690,K690+1-J690)),"")</f>
        <v/>
      </c>
      <c r="M690" s="11"/>
      <c r="N690" s="30"/>
    </row>
    <row r="691" spans="1:14" ht="15" customHeight="1" x14ac:dyDescent="0.25">
      <c r="A691" s="59">
        <v>46199</v>
      </c>
      <c r="B691" s="15">
        <f t="shared" ref="B691:B701" si="155">B690+TIME(0,60,0)</f>
        <v>0.87499999999999967</v>
      </c>
      <c r="C691" s="16"/>
      <c r="D691" s="16"/>
      <c r="E691" s="11"/>
      <c r="F691" s="17" t="str">
        <f t="shared" si="153"/>
        <v/>
      </c>
      <c r="G691" s="16"/>
      <c r="H691" s="16"/>
      <c r="I691" s="16"/>
      <c r="J691" s="13"/>
      <c r="K691" s="13"/>
      <c r="L691" s="71" t="str">
        <f t="shared" si="154"/>
        <v/>
      </c>
      <c r="M691" s="11"/>
      <c r="N691" s="30"/>
    </row>
    <row r="692" spans="1:14" ht="15" customHeight="1" x14ac:dyDescent="0.25">
      <c r="A692" s="58">
        <v>46199</v>
      </c>
      <c r="B692" s="9">
        <f t="shared" si="155"/>
        <v>0.9166666666666663</v>
      </c>
      <c r="C692" s="10"/>
      <c r="D692" s="10"/>
      <c r="E692" s="11"/>
      <c r="F692" s="12" t="str">
        <f t="shared" si="153"/>
        <v/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25">
      <c r="A693" s="59">
        <v>46199</v>
      </c>
      <c r="B693" s="15">
        <f t="shared" si="155"/>
        <v>0.95833333333333293</v>
      </c>
      <c r="C693" s="16"/>
      <c r="D693" s="16"/>
      <c r="E693" s="11"/>
      <c r="F693" s="17" t="str">
        <f t="shared" si="153"/>
        <v/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25">
      <c r="A694" s="58">
        <v>46199</v>
      </c>
      <c r="B694" s="9">
        <f t="shared" si="155"/>
        <v>0.99999999999999956</v>
      </c>
      <c r="C694" s="10"/>
      <c r="D694" s="10"/>
      <c r="E694" s="11"/>
      <c r="F694" s="12" t="str">
        <f t="shared" si="153"/>
        <v/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25">
      <c r="A695" s="59">
        <v>46199</v>
      </c>
      <c r="B695" s="15">
        <f t="shared" si="155"/>
        <v>1.0416666666666663</v>
      </c>
      <c r="C695" s="16"/>
      <c r="D695" s="16"/>
      <c r="E695" s="11"/>
      <c r="F695" s="17" t="str">
        <f t="shared" si="153"/>
        <v/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25">
      <c r="A696" s="58">
        <v>46199</v>
      </c>
      <c r="B696" s="9">
        <f t="shared" si="155"/>
        <v>1.083333333333333</v>
      </c>
      <c r="C696" s="10"/>
      <c r="D696" s="10"/>
      <c r="E696" s="11"/>
      <c r="F696" s="12" t="str">
        <f t="shared" si="153"/>
        <v/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25">
      <c r="A697" s="59">
        <v>46199</v>
      </c>
      <c r="B697" s="15">
        <f t="shared" si="155"/>
        <v>1.1249999999999998</v>
      </c>
      <c r="C697" s="16"/>
      <c r="D697" s="16"/>
      <c r="E697" s="11"/>
      <c r="F697" s="17" t="str">
        <f t="shared" si="153"/>
        <v/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25">
      <c r="A698" s="58">
        <v>46199</v>
      </c>
      <c r="B698" s="9">
        <f t="shared" si="155"/>
        <v>1.1666666666666665</v>
      </c>
      <c r="C698" s="10"/>
      <c r="D698" s="10"/>
      <c r="E698" s="11"/>
      <c r="F698" s="12" t="str">
        <f t="shared" si="153"/>
        <v/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25">
      <c r="A699" s="59">
        <v>46199</v>
      </c>
      <c r="B699" s="15">
        <f t="shared" si="155"/>
        <v>1.2083333333333333</v>
      </c>
      <c r="C699" s="16"/>
      <c r="D699" s="16"/>
      <c r="E699" s="11"/>
      <c r="F699" s="17" t="str">
        <f t="shared" si="153"/>
        <v/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25">
      <c r="A700" s="58">
        <v>46199</v>
      </c>
      <c r="B700" s="9">
        <f t="shared" si="155"/>
        <v>1.25</v>
      </c>
      <c r="C700" s="10"/>
      <c r="D700" s="10"/>
      <c r="E700" s="11"/>
      <c r="F700" s="12" t="str">
        <f t="shared" si="153"/>
        <v/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25">
      <c r="A701" s="59">
        <v>46199</v>
      </c>
      <c r="B701" s="15">
        <f t="shared" si="155"/>
        <v>1.2916666666666667</v>
      </c>
      <c r="C701" s="16"/>
      <c r="D701" s="16"/>
      <c r="E701" s="11"/>
      <c r="F701" s="17" t="str">
        <f t="shared" si="153"/>
        <v/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25">
      <c r="A702" s="90" t="s">
        <v>182</v>
      </c>
      <c r="B702" s="90"/>
      <c r="C702" s="90"/>
      <c r="D702" s="90"/>
      <c r="E702" s="19">
        <f>SUM(E690:E701)</f>
        <v>0</v>
      </c>
      <c r="F702" s="19">
        <f>SUM(F690:F701)</f>
        <v>0</v>
      </c>
      <c r="G702" s="18"/>
      <c r="H702" s="18"/>
      <c r="I702" s="18"/>
      <c r="J702" s="18"/>
      <c r="K702" s="18"/>
      <c r="L702" s="72">
        <f>IFERROR(SUM(L690:L701),"")</f>
        <v>0</v>
      </c>
      <c r="M702" s="19" t="s">
        <v>181</v>
      </c>
      <c r="N702" s="20"/>
    </row>
    <row r="703" spans="1:14" ht="18" customHeight="1" x14ac:dyDescent="0.25">
      <c r="A703" s="91" t="s">
        <v>183</v>
      </c>
      <c r="B703" s="91"/>
      <c r="C703" s="91"/>
      <c r="D703" s="91"/>
      <c r="E703" s="22">
        <f>E689+E702</f>
        <v>0</v>
      </c>
      <c r="F703" s="22">
        <f>F689+F702</f>
        <v>0</v>
      </c>
      <c r="G703" s="21"/>
      <c r="H703" s="21"/>
      <c r="I703" s="21"/>
      <c r="J703" s="21"/>
      <c r="K703" s="21"/>
      <c r="L703" s="73">
        <f>IFERROR(L689+L702,"")</f>
        <v>0</v>
      </c>
      <c r="M703" s="22" t="s">
        <v>184</v>
      </c>
      <c r="N703" s="31">
        <f>IFERROR(N689+N702,"")</f>
        <v>0</v>
      </c>
    </row>
    <row r="704" spans="1:14" ht="15" customHeight="1" x14ac:dyDescent="0.25">
      <c r="A704" s="58">
        <v>46200</v>
      </c>
      <c r="B704" s="9">
        <v>0.33333333333333298</v>
      </c>
      <c r="C704" s="10"/>
      <c r="D704" s="10"/>
      <c r="E704" s="11"/>
      <c r="F704" s="12" t="str">
        <f t="shared" ref="F704:F715" si="156">IF(E704="","",E704*4)</f>
        <v/>
      </c>
      <c r="G704" s="10"/>
      <c r="H704" s="10"/>
      <c r="I704" s="10"/>
      <c r="J704" s="13"/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4" ht="15" customHeight="1" x14ac:dyDescent="0.25">
      <c r="A705" s="59">
        <v>46200</v>
      </c>
      <c r="B705" s="15">
        <f t="shared" ref="B705:B715" si="158">B704+TIME(0,60,0)</f>
        <v>0.37499999999999967</v>
      </c>
      <c r="C705" s="16"/>
      <c r="D705" s="16"/>
      <c r="E705" s="11"/>
      <c r="F705" s="17" t="str">
        <f t="shared" si="156"/>
        <v/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 x14ac:dyDescent="0.25">
      <c r="A706" s="58">
        <v>46200</v>
      </c>
      <c r="B706" s="9">
        <f t="shared" si="158"/>
        <v>0.41666666666666635</v>
      </c>
      <c r="C706" s="10"/>
      <c r="D706" s="10"/>
      <c r="E706" s="11"/>
      <c r="F706" s="12" t="str">
        <f t="shared" si="156"/>
        <v/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 x14ac:dyDescent="0.25">
      <c r="A707" s="59">
        <v>46200</v>
      </c>
      <c r="B707" s="15">
        <f t="shared" si="158"/>
        <v>0.45833333333333304</v>
      </c>
      <c r="C707" s="16"/>
      <c r="D707" s="16"/>
      <c r="E707" s="11"/>
      <c r="F707" s="17" t="str">
        <f t="shared" si="156"/>
        <v/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 x14ac:dyDescent="0.25">
      <c r="A708" s="58">
        <v>46200</v>
      </c>
      <c r="B708" s="9">
        <f t="shared" si="158"/>
        <v>0.49999999999999972</v>
      </c>
      <c r="C708" s="10"/>
      <c r="D708" s="10"/>
      <c r="E708" s="11"/>
      <c r="F708" s="12" t="str">
        <f t="shared" si="156"/>
        <v/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 x14ac:dyDescent="0.25">
      <c r="A709" s="59">
        <v>46200</v>
      </c>
      <c r="B709" s="15">
        <f t="shared" si="158"/>
        <v>0.54166666666666641</v>
      </c>
      <c r="C709" s="16"/>
      <c r="D709" s="16"/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 x14ac:dyDescent="0.25">
      <c r="A710" s="58">
        <v>46200</v>
      </c>
      <c r="B710" s="9">
        <f t="shared" si="158"/>
        <v>0.58333333333333304</v>
      </c>
      <c r="C710" s="10"/>
      <c r="D710" s="10"/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 x14ac:dyDescent="0.25">
      <c r="A711" s="59">
        <v>46200</v>
      </c>
      <c r="B711" s="15">
        <f t="shared" si="158"/>
        <v>0.62499999999999967</v>
      </c>
      <c r="C711" s="16"/>
      <c r="D711" s="16"/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 x14ac:dyDescent="0.25">
      <c r="A712" s="58">
        <v>46200</v>
      </c>
      <c r="B712" s="9">
        <f t="shared" si="158"/>
        <v>0.6666666666666663</v>
      </c>
      <c r="C712" s="10"/>
      <c r="D712" s="10"/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 x14ac:dyDescent="0.25">
      <c r="A713" s="59">
        <v>46200</v>
      </c>
      <c r="B713" s="15">
        <f t="shared" si="158"/>
        <v>0.70833333333333293</v>
      </c>
      <c r="C713" s="16"/>
      <c r="D713" s="16"/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 x14ac:dyDescent="0.25">
      <c r="A714" s="58">
        <v>46200</v>
      </c>
      <c r="B714" s="9">
        <f t="shared" si="158"/>
        <v>0.74999999999999956</v>
      </c>
      <c r="C714" s="10"/>
      <c r="D714" s="10"/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 x14ac:dyDescent="0.25">
      <c r="A715" s="59">
        <v>46200</v>
      </c>
      <c r="B715" s="15">
        <f t="shared" si="158"/>
        <v>0.79166666666666619</v>
      </c>
      <c r="C715" s="16"/>
      <c r="D715" s="16"/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 x14ac:dyDescent="0.25">
      <c r="A716" s="90" t="s">
        <v>180</v>
      </c>
      <c r="B716" s="90"/>
      <c r="C716" s="90"/>
      <c r="D716" s="90"/>
      <c r="E716" s="19">
        <f>SUM(E704:E715)</f>
        <v>0</v>
      </c>
      <c r="F716" s="19">
        <f>SUM(F704:F715)</f>
        <v>0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181</v>
      </c>
      <c r="N716" s="20"/>
    </row>
    <row r="717" spans="1:14" ht="15" customHeight="1" x14ac:dyDescent="0.25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 x14ac:dyDescent="0.25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 x14ac:dyDescent="0.25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 x14ac:dyDescent="0.25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25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25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25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25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25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25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25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25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25">
      <c r="A729" s="90" t="s">
        <v>182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181</v>
      </c>
      <c r="N729" s="20"/>
    </row>
    <row r="730" spans="1:14" ht="18" customHeight="1" x14ac:dyDescent="0.25">
      <c r="A730" s="91" t="s">
        <v>183</v>
      </c>
      <c r="B730" s="91"/>
      <c r="C730" s="91"/>
      <c r="D730" s="91"/>
      <c r="E730" s="22">
        <f>E716+E729</f>
        <v>0</v>
      </c>
      <c r="F730" s="22">
        <f>F716+F729</f>
        <v>0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184</v>
      </c>
      <c r="N730" s="31">
        <f>IFERROR(N716+N729,"")</f>
        <v>0</v>
      </c>
    </row>
    <row r="731" spans="1:14" ht="15" customHeight="1" x14ac:dyDescent="0.25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 x14ac:dyDescent="0.25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 x14ac:dyDescent="0.25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25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25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25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25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25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25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25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25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25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25">
      <c r="A743" s="90" t="s">
        <v>180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181</v>
      </c>
      <c r="N743" s="20"/>
    </row>
    <row r="744" spans="1:14" ht="15" customHeight="1" x14ac:dyDescent="0.25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 x14ac:dyDescent="0.25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25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25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25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25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25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25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25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25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25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25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25">
      <c r="A756" s="90" t="s">
        <v>182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181</v>
      </c>
      <c r="N756" s="20"/>
    </row>
    <row r="757" spans="1:14" ht="18" customHeight="1" x14ac:dyDescent="0.25">
      <c r="A757" s="91" t="s">
        <v>183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184</v>
      </c>
      <c r="N757" s="31">
        <f>IFERROR(N743+N756,"")</f>
        <v>0</v>
      </c>
    </row>
    <row r="758" spans="1:14" ht="15" customHeight="1" x14ac:dyDescent="0.25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 x14ac:dyDescent="0.25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 x14ac:dyDescent="0.25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25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25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25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25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25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25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25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25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25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25">
      <c r="A770" s="90" t="s">
        <v>180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181</v>
      </c>
      <c r="N770" s="20"/>
    </row>
    <row r="771" spans="1:14" ht="15" customHeight="1" x14ac:dyDescent="0.25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25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25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25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25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25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25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25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25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25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25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25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25">
      <c r="A783" s="90" t="s">
        <v>182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181</v>
      </c>
      <c r="N783" s="20"/>
    </row>
    <row r="784" spans="1:14" ht="18" customHeight="1" x14ac:dyDescent="0.25">
      <c r="A784" s="91" t="s">
        <v>183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184</v>
      </c>
      <c r="N784" s="31">
        <f>IFERROR(N770+N783,"")</f>
        <v>0</v>
      </c>
    </row>
    <row r="785" spans="1:14" ht="15" customHeight="1" x14ac:dyDescent="0.25">
      <c r="A785" s="59">
        <v>46203</v>
      </c>
      <c r="B785" s="15">
        <v>0.33333333333333298</v>
      </c>
      <c r="C785" s="16"/>
      <c r="D785" s="16"/>
      <c r="E785" s="11"/>
      <c r="F785" s="17" t="str">
        <f t="shared" ref="F785:F796" si="174">IF(E785="","",E785*4)</f>
        <v/>
      </c>
      <c r="G785" s="16"/>
      <c r="H785" s="16"/>
      <c r="I785" s="16"/>
      <c r="J785" s="13"/>
      <c r="K785" s="13"/>
      <c r="L785" s="71" t="str">
        <f t="shared" ref="L785:L796" si="175">IFERROR(IF(K785="","",IF(K785&gt;=J785,K785-J785,K785+1-J785)),"")</f>
        <v/>
      </c>
      <c r="M785" s="11"/>
      <c r="N785" s="30"/>
    </row>
    <row r="786" spans="1:14" ht="15" customHeight="1" x14ac:dyDescent="0.25">
      <c r="A786" s="58">
        <v>46203</v>
      </c>
      <c r="B786" s="9">
        <f t="shared" ref="B786:B796" si="176">B785+TIME(0,60,0)</f>
        <v>0.37499999999999967</v>
      </c>
      <c r="C786" s="10"/>
      <c r="D786" s="10"/>
      <c r="E786" s="11"/>
      <c r="F786" s="12" t="str">
        <f t="shared" si="174"/>
        <v/>
      </c>
      <c r="G786" s="10"/>
      <c r="H786" s="10"/>
      <c r="I786" s="10"/>
      <c r="J786" s="13"/>
      <c r="K786" s="13"/>
      <c r="L786" s="70" t="str">
        <f t="shared" si="175"/>
        <v/>
      </c>
      <c r="M786" s="11"/>
      <c r="N786" s="30"/>
    </row>
    <row r="787" spans="1:14" ht="15" customHeight="1" x14ac:dyDescent="0.25">
      <c r="A787" s="59">
        <v>46203</v>
      </c>
      <c r="B787" s="15">
        <f t="shared" si="176"/>
        <v>0.41666666666666635</v>
      </c>
      <c r="C787" s="16"/>
      <c r="D787" s="16"/>
      <c r="E787" s="11"/>
      <c r="F787" s="17" t="str">
        <f t="shared" si="174"/>
        <v/>
      </c>
      <c r="G787" s="16"/>
      <c r="H787" s="16"/>
      <c r="I787" s="16"/>
      <c r="J787" s="13"/>
      <c r="K787" s="13"/>
      <c r="L787" s="71" t="str">
        <f t="shared" si="175"/>
        <v/>
      </c>
      <c r="M787" s="11"/>
      <c r="N787" s="30"/>
    </row>
    <row r="788" spans="1:14" ht="15" customHeight="1" x14ac:dyDescent="0.25">
      <c r="A788" s="58">
        <v>46203</v>
      </c>
      <c r="B788" s="9">
        <f t="shared" si="176"/>
        <v>0.45833333333333304</v>
      </c>
      <c r="C788" s="10"/>
      <c r="D788" s="10"/>
      <c r="E788" s="11"/>
      <c r="F788" s="12" t="str">
        <f t="shared" si="174"/>
        <v/>
      </c>
      <c r="G788" s="10"/>
      <c r="H788" s="10"/>
      <c r="I788" s="10"/>
      <c r="J788" s="13"/>
      <c r="K788" s="13"/>
      <c r="L788" s="70" t="str">
        <f t="shared" si="175"/>
        <v/>
      </c>
      <c r="M788" s="11"/>
      <c r="N788" s="30"/>
    </row>
    <row r="789" spans="1:14" ht="15" customHeight="1" x14ac:dyDescent="0.25">
      <c r="A789" s="59">
        <v>46203</v>
      </c>
      <c r="B789" s="15">
        <f t="shared" si="176"/>
        <v>0.49999999999999972</v>
      </c>
      <c r="C789" s="16"/>
      <c r="D789" s="16"/>
      <c r="E789" s="11"/>
      <c r="F789" s="17" t="str">
        <f t="shared" si="174"/>
        <v/>
      </c>
      <c r="G789" s="16"/>
      <c r="H789" s="16"/>
      <c r="I789" s="16"/>
      <c r="J789" s="13"/>
      <c r="K789" s="13"/>
      <c r="L789" s="71" t="str">
        <f t="shared" si="175"/>
        <v/>
      </c>
      <c r="M789" s="11"/>
      <c r="N789" s="30"/>
    </row>
    <row r="790" spans="1:14" ht="15" customHeight="1" x14ac:dyDescent="0.25">
      <c r="A790" s="58">
        <v>46203</v>
      </c>
      <c r="B790" s="9">
        <f t="shared" si="176"/>
        <v>0.54166666666666641</v>
      </c>
      <c r="C790" s="10"/>
      <c r="D790" s="10"/>
      <c r="E790" s="11"/>
      <c r="F790" s="12" t="str">
        <f t="shared" si="174"/>
        <v/>
      </c>
      <c r="G790" s="10"/>
      <c r="H790" s="10"/>
      <c r="I790" s="10"/>
      <c r="J790" s="13"/>
      <c r="K790" s="13"/>
      <c r="L790" s="70" t="str">
        <f t="shared" si="175"/>
        <v/>
      </c>
      <c r="M790" s="11"/>
      <c r="N790" s="30"/>
    </row>
    <row r="791" spans="1:14" ht="15" customHeight="1" x14ac:dyDescent="0.25">
      <c r="A791" s="59">
        <v>46203</v>
      </c>
      <c r="B791" s="15">
        <f t="shared" si="176"/>
        <v>0.58333333333333304</v>
      </c>
      <c r="C791" s="16"/>
      <c r="D791" s="16"/>
      <c r="E791" s="11"/>
      <c r="F791" s="17" t="str">
        <f t="shared" si="174"/>
        <v/>
      </c>
      <c r="G791" s="16"/>
      <c r="H791" s="16"/>
      <c r="I791" s="16"/>
      <c r="J791" s="13"/>
      <c r="K791" s="13"/>
      <c r="L791" s="71" t="str">
        <f t="shared" si="175"/>
        <v/>
      </c>
      <c r="M791" s="11"/>
      <c r="N791" s="30"/>
    </row>
    <row r="792" spans="1:14" ht="15" customHeight="1" x14ac:dyDescent="0.25">
      <c r="A792" s="58">
        <v>46203</v>
      </c>
      <c r="B792" s="9">
        <f t="shared" si="176"/>
        <v>0.62499999999999967</v>
      </c>
      <c r="C792" s="10"/>
      <c r="D792" s="10"/>
      <c r="E792" s="11"/>
      <c r="F792" s="12" t="str">
        <f t="shared" si="174"/>
        <v/>
      </c>
      <c r="G792" s="10"/>
      <c r="H792" s="10"/>
      <c r="I792" s="10"/>
      <c r="J792" s="13"/>
      <c r="K792" s="13"/>
      <c r="L792" s="70" t="str">
        <f t="shared" si="175"/>
        <v/>
      </c>
      <c r="M792" s="11"/>
      <c r="N792" s="30"/>
    </row>
    <row r="793" spans="1:14" ht="15" customHeight="1" x14ac:dyDescent="0.25">
      <c r="A793" s="59">
        <v>46203</v>
      </c>
      <c r="B793" s="15">
        <f t="shared" si="176"/>
        <v>0.6666666666666663</v>
      </c>
      <c r="C793" s="16"/>
      <c r="D793" s="16"/>
      <c r="E793" s="11"/>
      <c r="F793" s="17" t="str">
        <f t="shared" si="174"/>
        <v/>
      </c>
      <c r="G793" s="16"/>
      <c r="H793" s="16"/>
      <c r="I793" s="16"/>
      <c r="J793" s="13"/>
      <c r="K793" s="13"/>
      <c r="L793" s="71" t="str">
        <f t="shared" si="175"/>
        <v/>
      </c>
      <c r="M793" s="11"/>
      <c r="N793" s="30"/>
    </row>
    <row r="794" spans="1:14" ht="15" customHeight="1" x14ac:dyDescent="0.25">
      <c r="A794" s="58">
        <v>46203</v>
      </c>
      <c r="B794" s="9">
        <f t="shared" si="176"/>
        <v>0.70833333333333293</v>
      </c>
      <c r="C794" s="10"/>
      <c r="D794" s="10"/>
      <c r="E794" s="11"/>
      <c r="F794" s="12" t="str">
        <f t="shared" si="174"/>
        <v/>
      </c>
      <c r="G794" s="10"/>
      <c r="H794" s="10"/>
      <c r="I794" s="10"/>
      <c r="J794" s="13"/>
      <c r="K794" s="13"/>
      <c r="L794" s="70" t="str">
        <f t="shared" si="175"/>
        <v/>
      </c>
      <c r="M794" s="11"/>
      <c r="N794" s="30"/>
    </row>
    <row r="795" spans="1:14" ht="15" customHeight="1" x14ac:dyDescent="0.25">
      <c r="A795" s="59">
        <v>46203</v>
      </c>
      <c r="B795" s="15">
        <f t="shared" si="176"/>
        <v>0.74999999999999956</v>
      </c>
      <c r="C795" s="16"/>
      <c r="D795" s="16"/>
      <c r="E795" s="11"/>
      <c r="F795" s="17" t="str">
        <f t="shared" si="174"/>
        <v/>
      </c>
      <c r="G795" s="16"/>
      <c r="H795" s="16"/>
      <c r="I795" s="16"/>
      <c r="J795" s="13"/>
      <c r="K795" s="13"/>
      <c r="L795" s="71" t="str">
        <f t="shared" si="175"/>
        <v/>
      </c>
      <c r="M795" s="11"/>
      <c r="N795" s="30"/>
    </row>
    <row r="796" spans="1:14" ht="15" customHeight="1" x14ac:dyDescent="0.25">
      <c r="A796" s="58">
        <v>46203</v>
      </c>
      <c r="B796" s="9">
        <f t="shared" si="176"/>
        <v>0.79166666666666619</v>
      </c>
      <c r="C796" s="10"/>
      <c r="D796" s="10"/>
      <c r="E796" s="11"/>
      <c r="F796" s="12" t="str">
        <f t="shared" si="174"/>
        <v/>
      </c>
      <c r="G796" s="10"/>
      <c r="H796" s="10"/>
      <c r="I796" s="10"/>
      <c r="J796" s="13"/>
      <c r="K796" s="13"/>
      <c r="L796" s="70" t="str">
        <f t="shared" si="175"/>
        <v/>
      </c>
      <c r="M796" s="11"/>
      <c r="N796" s="30"/>
    </row>
    <row r="797" spans="1:14" ht="15.75" customHeight="1" x14ac:dyDescent="0.25">
      <c r="A797" s="90" t="s">
        <v>180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181</v>
      </c>
      <c r="N797" s="20"/>
    </row>
    <row r="798" spans="1:14" ht="15" customHeight="1" x14ac:dyDescent="0.25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77">IF(E798="","",E798*4)</f>
        <v/>
      </c>
      <c r="G798" s="10"/>
      <c r="H798" s="10"/>
      <c r="I798" s="10"/>
      <c r="J798" s="13"/>
      <c r="K798" s="13"/>
      <c r="L798" s="70" t="str">
        <f t="shared" ref="L798:L809" si="178">IFERROR(IF(K798="","",IF(K798&gt;=J798,K798-J798,K798+1-J798)),"")</f>
        <v/>
      </c>
      <c r="M798" s="11"/>
      <c r="N798" s="30"/>
    </row>
    <row r="799" spans="1:14" ht="15" customHeight="1" x14ac:dyDescent="0.25">
      <c r="A799" s="59">
        <v>46203</v>
      </c>
      <c r="B799" s="15">
        <f t="shared" ref="B799:B809" si="179">B798+TIME(0,60,0)</f>
        <v>0.87499999999999967</v>
      </c>
      <c r="C799" s="16"/>
      <c r="D799" s="16"/>
      <c r="E799" s="11"/>
      <c r="F799" s="17" t="str">
        <f t="shared" si="177"/>
        <v/>
      </c>
      <c r="G799" s="16"/>
      <c r="H799" s="16"/>
      <c r="I799" s="16"/>
      <c r="J799" s="13"/>
      <c r="K799" s="13"/>
      <c r="L799" s="71" t="str">
        <f t="shared" si="178"/>
        <v/>
      </c>
      <c r="M799" s="11"/>
      <c r="N799" s="30"/>
    </row>
    <row r="800" spans="1:14" ht="15" customHeight="1" x14ac:dyDescent="0.25">
      <c r="A800" s="58">
        <v>46203</v>
      </c>
      <c r="B800" s="9">
        <f t="shared" si="179"/>
        <v>0.9166666666666663</v>
      </c>
      <c r="C800" s="10"/>
      <c r="D800" s="10"/>
      <c r="E800" s="11"/>
      <c r="F800" s="12" t="str">
        <f t="shared" si="177"/>
        <v/>
      </c>
      <c r="G800" s="10"/>
      <c r="H800" s="10"/>
      <c r="I800" s="10"/>
      <c r="J800" s="13"/>
      <c r="K800" s="13"/>
      <c r="L800" s="70" t="str">
        <f t="shared" si="178"/>
        <v/>
      </c>
      <c r="M800" s="11"/>
      <c r="N800" s="30"/>
    </row>
    <row r="801" spans="1:14" ht="15" customHeight="1" x14ac:dyDescent="0.25">
      <c r="A801" s="59">
        <v>46203</v>
      </c>
      <c r="B801" s="15">
        <f t="shared" si="179"/>
        <v>0.95833333333333293</v>
      </c>
      <c r="C801" s="16"/>
      <c r="D801" s="16"/>
      <c r="E801" s="11"/>
      <c r="F801" s="17" t="str">
        <f t="shared" si="177"/>
        <v/>
      </c>
      <c r="G801" s="16"/>
      <c r="H801" s="16"/>
      <c r="I801" s="16"/>
      <c r="J801" s="13"/>
      <c r="K801" s="13"/>
      <c r="L801" s="71" t="str">
        <f t="shared" si="178"/>
        <v/>
      </c>
      <c r="M801" s="11"/>
      <c r="N801" s="30"/>
    </row>
    <row r="802" spans="1:14" ht="15" customHeight="1" x14ac:dyDescent="0.25">
      <c r="A802" s="58">
        <v>46203</v>
      </c>
      <c r="B802" s="9">
        <f t="shared" si="179"/>
        <v>0.99999999999999956</v>
      </c>
      <c r="C802" s="10"/>
      <c r="D802" s="10"/>
      <c r="E802" s="11"/>
      <c r="F802" s="12" t="str">
        <f t="shared" si="177"/>
        <v/>
      </c>
      <c r="G802" s="10"/>
      <c r="H802" s="10"/>
      <c r="I802" s="10"/>
      <c r="J802" s="13"/>
      <c r="K802" s="13"/>
      <c r="L802" s="70" t="str">
        <f t="shared" si="178"/>
        <v/>
      </c>
      <c r="M802" s="11"/>
      <c r="N802" s="30"/>
    </row>
    <row r="803" spans="1:14" ht="15" customHeight="1" x14ac:dyDescent="0.25">
      <c r="A803" s="59">
        <v>46203</v>
      </c>
      <c r="B803" s="15">
        <f t="shared" si="179"/>
        <v>1.0416666666666663</v>
      </c>
      <c r="C803" s="16"/>
      <c r="D803" s="16"/>
      <c r="E803" s="11"/>
      <c r="F803" s="17" t="str">
        <f t="shared" si="177"/>
        <v/>
      </c>
      <c r="G803" s="16"/>
      <c r="H803" s="16"/>
      <c r="I803" s="16"/>
      <c r="J803" s="13"/>
      <c r="K803" s="13"/>
      <c r="L803" s="71" t="str">
        <f t="shared" si="178"/>
        <v/>
      </c>
      <c r="M803" s="11"/>
      <c r="N803" s="30"/>
    </row>
    <row r="804" spans="1:14" ht="15" customHeight="1" x14ac:dyDescent="0.25">
      <c r="A804" s="58">
        <v>46203</v>
      </c>
      <c r="B804" s="9">
        <f t="shared" si="179"/>
        <v>1.083333333333333</v>
      </c>
      <c r="C804" s="10"/>
      <c r="D804" s="10"/>
      <c r="E804" s="11"/>
      <c r="F804" s="12" t="str">
        <f t="shared" si="177"/>
        <v/>
      </c>
      <c r="G804" s="10"/>
      <c r="H804" s="10"/>
      <c r="I804" s="10"/>
      <c r="J804" s="13"/>
      <c r="K804" s="13"/>
      <c r="L804" s="70" t="str">
        <f t="shared" si="178"/>
        <v/>
      </c>
      <c r="M804" s="11"/>
      <c r="N804" s="30"/>
    </row>
    <row r="805" spans="1:14" ht="15" customHeight="1" x14ac:dyDescent="0.25">
      <c r="A805" s="59">
        <v>46203</v>
      </c>
      <c r="B805" s="15">
        <f t="shared" si="179"/>
        <v>1.1249999999999998</v>
      </c>
      <c r="C805" s="16"/>
      <c r="D805" s="16"/>
      <c r="E805" s="11"/>
      <c r="F805" s="17" t="str">
        <f t="shared" si="177"/>
        <v/>
      </c>
      <c r="G805" s="16"/>
      <c r="H805" s="16"/>
      <c r="I805" s="16"/>
      <c r="J805" s="13"/>
      <c r="K805" s="13"/>
      <c r="L805" s="71" t="str">
        <f t="shared" si="178"/>
        <v/>
      </c>
      <c r="M805" s="11"/>
      <c r="N805" s="30"/>
    </row>
    <row r="806" spans="1:14" ht="15" customHeight="1" x14ac:dyDescent="0.25">
      <c r="A806" s="58">
        <v>46203</v>
      </c>
      <c r="B806" s="9">
        <f t="shared" si="179"/>
        <v>1.1666666666666665</v>
      </c>
      <c r="C806" s="10"/>
      <c r="D806" s="10"/>
      <c r="E806" s="11"/>
      <c r="F806" s="12" t="str">
        <f t="shared" si="177"/>
        <v/>
      </c>
      <c r="G806" s="10"/>
      <c r="H806" s="10"/>
      <c r="I806" s="10"/>
      <c r="J806" s="13"/>
      <c r="K806" s="13"/>
      <c r="L806" s="70" t="str">
        <f t="shared" si="178"/>
        <v/>
      </c>
      <c r="M806" s="11"/>
      <c r="N806" s="30"/>
    </row>
    <row r="807" spans="1:14" ht="15" customHeight="1" x14ac:dyDescent="0.25">
      <c r="A807" s="59">
        <v>46203</v>
      </c>
      <c r="B807" s="15">
        <f t="shared" si="179"/>
        <v>1.2083333333333333</v>
      </c>
      <c r="C807" s="16"/>
      <c r="D807" s="16"/>
      <c r="E807" s="11"/>
      <c r="F807" s="17" t="str">
        <f t="shared" si="177"/>
        <v/>
      </c>
      <c r="G807" s="16"/>
      <c r="H807" s="16"/>
      <c r="I807" s="16"/>
      <c r="J807" s="13"/>
      <c r="K807" s="13"/>
      <c r="L807" s="71" t="str">
        <f t="shared" si="178"/>
        <v/>
      </c>
      <c r="M807" s="11"/>
      <c r="N807" s="30"/>
    </row>
    <row r="808" spans="1:14" ht="15" customHeight="1" x14ac:dyDescent="0.25">
      <c r="A808" s="58">
        <v>46203</v>
      </c>
      <c r="B808" s="9">
        <f t="shared" si="179"/>
        <v>1.25</v>
      </c>
      <c r="C808" s="10"/>
      <c r="D808" s="10"/>
      <c r="E808" s="11"/>
      <c r="F808" s="12" t="str">
        <f t="shared" si="177"/>
        <v/>
      </c>
      <c r="G808" s="10"/>
      <c r="H808" s="10"/>
      <c r="I808" s="10"/>
      <c r="J808" s="13"/>
      <c r="K808" s="13"/>
      <c r="L808" s="70" t="str">
        <f t="shared" si="178"/>
        <v/>
      </c>
      <c r="M808" s="11"/>
      <c r="N808" s="30"/>
    </row>
    <row r="809" spans="1:14" ht="15" customHeight="1" x14ac:dyDescent="0.25">
      <c r="A809" s="59">
        <v>46203</v>
      </c>
      <c r="B809" s="15">
        <f t="shared" si="179"/>
        <v>1.2916666666666667</v>
      </c>
      <c r="C809" s="16"/>
      <c r="D809" s="16"/>
      <c r="E809" s="11"/>
      <c r="F809" s="17" t="str">
        <f t="shared" si="177"/>
        <v/>
      </c>
      <c r="G809" s="16"/>
      <c r="H809" s="16"/>
      <c r="I809" s="16"/>
      <c r="J809" s="13"/>
      <c r="K809" s="13"/>
      <c r="L809" s="71" t="str">
        <f t="shared" si="178"/>
        <v/>
      </c>
      <c r="M809" s="11"/>
      <c r="N809" s="30"/>
    </row>
    <row r="810" spans="1:14" ht="15.75" customHeight="1" x14ac:dyDescent="0.25">
      <c r="A810" s="90" t="s">
        <v>182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181</v>
      </c>
      <c r="N810" s="20"/>
    </row>
    <row r="811" spans="1:14" ht="18" customHeight="1" x14ac:dyDescent="0.25">
      <c r="A811" s="91" t="s">
        <v>183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18" activePane="bottomLeft" state="frozen"/>
      <selection activeCell="D1" sqref="D1"/>
      <selection pane="bottomLeft" activeCell="I624" sqref="I624"/>
    </sheetView>
  </sheetViews>
  <sheetFormatPr defaultColWidth="8.5703125" defaultRowHeight="15" x14ac:dyDescent="0.2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61.28515625" style="37" customWidth="1"/>
    <col min="14" max="14" width="14" style="37" customWidth="1"/>
  </cols>
  <sheetData>
    <row r="1" spans="1:14" ht="37.5" customHeight="1" x14ac:dyDescent="0.25">
      <c r="A1" s="57" t="s">
        <v>7</v>
      </c>
      <c r="B1" s="8" t="s">
        <v>170</v>
      </c>
      <c r="C1" s="8" t="s">
        <v>12</v>
      </c>
      <c r="D1" s="57" t="s">
        <v>13</v>
      </c>
      <c r="E1" s="8" t="s">
        <v>171</v>
      </c>
      <c r="F1" s="8" t="s">
        <v>285</v>
      </c>
      <c r="G1" s="8" t="s">
        <v>14</v>
      </c>
      <c r="H1" s="8" t="s">
        <v>15</v>
      </c>
      <c r="I1" s="8" t="s">
        <v>173</v>
      </c>
      <c r="J1" s="8" t="s">
        <v>174</v>
      </c>
      <c r="K1" s="8" t="s">
        <v>175</v>
      </c>
      <c r="L1" s="69" t="s">
        <v>176</v>
      </c>
      <c r="M1" s="8" t="s">
        <v>177</v>
      </c>
      <c r="N1" s="8" t="s">
        <v>178</v>
      </c>
    </row>
    <row r="2" spans="1:14" ht="15" customHeight="1" x14ac:dyDescent="0.25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286</v>
      </c>
      <c r="I2" s="10" t="s">
        <v>287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25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286</v>
      </c>
      <c r="I3" s="16" t="s">
        <v>287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25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286</v>
      </c>
      <c r="I4" s="10" t="s">
        <v>287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25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286</v>
      </c>
      <c r="I5" s="16" t="s">
        <v>287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25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286</v>
      </c>
      <c r="I6" s="10" t="s">
        <v>287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25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286</v>
      </c>
      <c r="I7" s="16" t="s">
        <v>287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25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286</v>
      </c>
      <c r="I8" s="10" t="s">
        <v>287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25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286</v>
      </c>
      <c r="I9" s="16" t="s">
        <v>287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25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286</v>
      </c>
      <c r="I10" s="10" t="s">
        <v>287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25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286</v>
      </c>
      <c r="I11" s="16" t="s">
        <v>287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25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286</v>
      </c>
      <c r="I12" s="10" t="s">
        <v>287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25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286</v>
      </c>
      <c r="I13" s="16" t="s">
        <v>287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25">
      <c r="A14" s="90" t="s">
        <v>180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181</v>
      </c>
      <c r="N14" s="20">
        <v>50000</v>
      </c>
    </row>
    <row r="15" spans="1:14" ht="15" customHeight="1" x14ac:dyDescent="0.25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25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25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25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25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122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25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120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25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25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25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25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120</v>
      </c>
      <c r="I24" s="10" t="s">
        <v>288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25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25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25">
      <c r="A27" s="90" t="s">
        <v>182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181</v>
      </c>
      <c r="N27" s="20">
        <v>537710</v>
      </c>
    </row>
    <row r="28" spans="1:14" ht="18" customHeight="1" x14ac:dyDescent="0.25">
      <c r="A28" s="91" t="s">
        <v>183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184</v>
      </c>
      <c r="N28" s="23">
        <f>IFERROR(N14+N27,"")</f>
        <v>587710</v>
      </c>
    </row>
    <row r="29" spans="1:14" ht="15" customHeight="1" x14ac:dyDescent="0.25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25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289</v>
      </c>
      <c r="I30" s="10" t="s">
        <v>94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25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25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25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290</v>
      </c>
      <c r="I33" s="16" t="s">
        <v>291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25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25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25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179</v>
      </c>
      <c r="H36" s="10" t="s">
        <v>292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25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25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25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25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25">
      <c r="A41" s="90" t="s">
        <v>180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181</v>
      </c>
      <c r="N41" s="20">
        <v>609900</v>
      </c>
    </row>
    <row r="42" spans="1:14" ht="15" customHeight="1" x14ac:dyDescent="0.25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25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122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25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25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25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25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25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25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25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25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25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25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216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25">
      <c r="A54" s="90" t="s">
        <v>182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181</v>
      </c>
      <c r="N54" s="20">
        <v>800250</v>
      </c>
    </row>
    <row r="55" spans="1:14" ht="18" customHeight="1" x14ac:dyDescent="0.25">
      <c r="A55" s="91" t="s">
        <v>183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184</v>
      </c>
      <c r="N55" s="23">
        <f>IFERROR(N41+N54,"")</f>
        <v>1410150</v>
      </c>
    </row>
    <row r="56" spans="1:14" ht="15" customHeight="1" x14ac:dyDescent="0.25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25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25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25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25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25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25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25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25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25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131</v>
      </c>
      <c r="I65" s="16" t="s">
        <v>106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25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131</v>
      </c>
      <c r="I66" s="10" t="s">
        <v>106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25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131</v>
      </c>
      <c r="I67" s="16" t="s">
        <v>106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25">
      <c r="A68" s="90" t="s">
        <v>180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181</v>
      </c>
      <c r="N68" s="20">
        <v>635860</v>
      </c>
    </row>
    <row r="69" spans="1:14" ht="15" customHeight="1" x14ac:dyDescent="0.25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25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131</v>
      </c>
      <c r="I70" s="10" t="s">
        <v>98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25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292</v>
      </c>
      <c r="I71" s="16" t="s">
        <v>122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25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25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25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25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25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25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143</v>
      </c>
      <c r="I77" s="16" t="s">
        <v>110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25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25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25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25">
      <c r="A81" s="90" t="s">
        <v>182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181</v>
      </c>
      <c r="N81" s="20">
        <v>423590</v>
      </c>
    </row>
    <row r="82" spans="1:14" ht="18" customHeight="1" x14ac:dyDescent="0.25">
      <c r="A82" s="91" t="s">
        <v>183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184</v>
      </c>
      <c r="N82" s="23">
        <f>IFERROR(N68+N81,"")</f>
        <v>1059450</v>
      </c>
    </row>
    <row r="83" spans="1:14" ht="15" customHeight="1" x14ac:dyDescent="0.25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150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25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131</v>
      </c>
      <c r="I84" s="10" t="s">
        <v>122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25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131</v>
      </c>
      <c r="I85" s="16" t="s">
        <v>78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25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25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25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25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25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25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25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25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25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25">
      <c r="A95" s="90" t="s">
        <v>180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181</v>
      </c>
      <c r="N95" s="20">
        <v>244460</v>
      </c>
    </row>
    <row r="96" spans="1:14" ht="15" customHeight="1" x14ac:dyDescent="0.25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25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293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25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25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25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25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25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25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25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25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25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25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25">
      <c r="A108" s="90" t="s">
        <v>182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181</v>
      </c>
      <c r="N108" s="20">
        <v>784300</v>
      </c>
    </row>
    <row r="109" spans="1:14" ht="18" customHeight="1" x14ac:dyDescent="0.25">
      <c r="A109" s="91" t="s">
        <v>183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184</v>
      </c>
      <c r="N109" s="23">
        <f>IFERROR(N95+N108,"")</f>
        <v>1028760</v>
      </c>
    </row>
    <row r="110" spans="1:14" ht="15" customHeight="1" x14ac:dyDescent="0.25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112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25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25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25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150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25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25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25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25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25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25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25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25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25">
      <c r="A122" s="90" t="s">
        <v>180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181</v>
      </c>
      <c r="N122" s="20">
        <v>687850</v>
      </c>
    </row>
    <row r="123" spans="1:14" ht="15" customHeight="1" x14ac:dyDescent="0.25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122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25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179</v>
      </c>
      <c r="H124" s="10" t="s">
        <v>150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25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25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25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25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25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25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25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25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25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25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25">
      <c r="A135" s="90" t="s">
        <v>182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181</v>
      </c>
      <c r="N135" s="20">
        <v>527600</v>
      </c>
    </row>
    <row r="136" spans="1:14" ht="18" customHeight="1" x14ac:dyDescent="0.25">
      <c r="A136" s="91" t="s">
        <v>183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184</v>
      </c>
      <c r="N136" s="23">
        <f>IFERROR(N122+N135,"")</f>
        <v>1215450</v>
      </c>
    </row>
    <row r="137" spans="1:14" ht="15" customHeight="1" x14ac:dyDescent="0.25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150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25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109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25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179</v>
      </c>
      <c r="H139" s="16" t="s">
        <v>101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25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150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25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131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25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25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25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25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25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25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25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25">
      <c r="A149" s="90" t="s">
        <v>180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181</v>
      </c>
      <c r="N149" s="20">
        <v>790080</v>
      </c>
    </row>
    <row r="150" spans="1:14" ht="15" customHeight="1" x14ac:dyDescent="0.25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131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25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25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25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25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25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25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25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25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25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25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25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25">
      <c r="A162" s="90" t="s">
        <v>182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181</v>
      </c>
      <c r="N162" s="20">
        <v>215370</v>
      </c>
    </row>
    <row r="163" spans="1:14" ht="18" customHeight="1" x14ac:dyDescent="0.25">
      <c r="A163" s="91" t="s">
        <v>183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184</v>
      </c>
      <c r="N163" s="23">
        <f>IFERROR(N149+N162,"")</f>
        <v>1005450</v>
      </c>
    </row>
    <row r="164" spans="1:14" ht="15" customHeight="1" x14ac:dyDescent="0.25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131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25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131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25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131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25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131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25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131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25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131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25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131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25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131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25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131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25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131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25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131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25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131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25">
      <c r="A176" s="90" t="s">
        <v>180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181</v>
      </c>
      <c r="N176" s="20">
        <v>0</v>
      </c>
    </row>
    <row r="177" spans="1:14" ht="15" customHeight="1" x14ac:dyDescent="0.25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131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25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131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25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131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25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131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25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131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25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131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25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131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25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131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25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131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25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131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25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131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25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131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25">
      <c r="A189" s="90" t="s">
        <v>182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181</v>
      </c>
      <c r="N189" s="20">
        <v>400530</v>
      </c>
    </row>
    <row r="190" spans="1:14" ht="18" customHeight="1" x14ac:dyDescent="0.25">
      <c r="A190" s="91" t="s">
        <v>183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184</v>
      </c>
      <c r="N190" s="23">
        <f>IFERROR(N176+N189,"")</f>
        <v>400530</v>
      </c>
    </row>
    <row r="191" spans="1:14" ht="15" customHeight="1" x14ac:dyDescent="0.25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109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25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25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131</v>
      </c>
      <c r="I193" s="16" t="s">
        <v>294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25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25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25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25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25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25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25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25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25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25">
      <c r="A203" s="90" t="s">
        <v>180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181</v>
      </c>
      <c r="N203" s="28">
        <v>225530</v>
      </c>
    </row>
    <row r="204" spans="1:14" ht="15" customHeight="1" x14ac:dyDescent="0.25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25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25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219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25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25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25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25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25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25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25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25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25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25">
      <c r="A216" s="90" t="s">
        <v>182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181</v>
      </c>
      <c r="N216" s="28">
        <v>704110</v>
      </c>
    </row>
    <row r="217" spans="1:14" ht="18" customHeight="1" x14ac:dyDescent="0.25">
      <c r="A217" s="91" t="s">
        <v>183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184</v>
      </c>
      <c r="N217" s="31">
        <f>IFERROR(N203+N216,"")</f>
        <v>929640</v>
      </c>
    </row>
    <row r="218" spans="1:14" ht="15" customHeight="1" x14ac:dyDescent="0.25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150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25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131</v>
      </c>
      <c r="I219" s="16" t="s">
        <v>295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25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109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234</v>
      </c>
      <c r="N220" s="41"/>
    </row>
    <row r="221" spans="1:14" ht="15" customHeight="1" x14ac:dyDescent="0.25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25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25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25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25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25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25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25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25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25">
      <c r="A230" s="90" t="s">
        <v>180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181</v>
      </c>
      <c r="N230" s="20">
        <v>793480</v>
      </c>
    </row>
    <row r="231" spans="1:14" ht="15" customHeight="1" x14ac:dyDescent="0.25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128</v>
      </c>
      <c r="I231" s="16" t="s">
        <v>90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25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25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25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25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25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25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25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25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25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25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25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25">
      <c r="A243" s="90" t="s">
        <v>182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181</v>
      </c>
      <c r="N243" s="20">
        <v>0</v>
      </c>
    </row>
    <row r="244" spans="1:14" ht="18" customHeight="1" x14ac:dyDescent="0.25">
      <c r="A244" s="91" t="s">
        <v>183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184</v>
      </c>
      <c r="N244" s="31">
        <f>IFERROR(N230+N243,"")</f>
        <v>793480</v>
      </c>
    </row>
    <row r="245" spans="1:14" ht="15" customHeight="1" x14ac:dyDescent="0.25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25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140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296</v>
      </c>
      <c r="N246" s="41"/>
    </row>
    <row r="247" spans="1:14" ht="15" customHeight="1" x14ac:dyDescent="0.25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25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25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25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25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25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25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25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25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25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25">
      <c r="A257" s="90" t="s">
        <v>180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181</v>
      </c>
      <c r="N257" s="20">
        <v>92660</v>
      </c>
    </row>
    <row r="258" spans="1:14" ht="15" customHeight="1" x14ac:dyDescent="0.25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150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25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25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25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25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25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25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25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25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25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25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25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25">
      <c r="A270" s="90" t="s">
        <v>182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181</v>
      </c>
      <c r="N270" s="20">
        <f>214250+252630</f>
        <v>466880</v>
      </c>
    </row>
    <row r="271" spans="1:14" ht="18" customHeight="1" x14ac:dyDescent="0.25">
      <c r="A271" s="91" t="s">
        <v>183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184</v>
      </c>
      <c r="N271" s="31">
        <f>IFERROR(N257+N270,"")</f>
        <v>559540</v>
      </c>
    </row>
    <row r="272" spans="1:14" ht="15" customHeight="1" x14ac:dyDescent="0.25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25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140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25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131</v>
      </c>
      <c r="I274" s="10" t="s">
        <v>78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297</v>
      </c>
      <c r="N274" s="41"/>
    </row>
    <row r="275" spans="1:14" ht="15" customHeight="1" x14ac:dyDescent="0.25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25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150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25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25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25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25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25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25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25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25">
      <c r="A284" s="90" t="s">
        <v>180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181</v>
      </c>
      <c r="N284" s="20">
        <v>409113</v>
      </c>
    </row>
    <row r="285" spans="1:14" ht="15" customHeight="1" x14ac:dyDescent="0.25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298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25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299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25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300</v>
      </c>
      <c r="N287" s="41"/>
    </row>
    <row r="288" spans="1:14" ht="15" customHeight="1" x14ac:dyDescent="0.25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25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25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25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25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25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25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25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25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25">
      <c r="A297" s="90" t="s">
        <v>182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181</v>
      </c>
      <c r="N297" s="20">
        <f>124260+105220</f>
        <v>229480</v>
      </c>
    </row>
    <row r="298" spans="1:14" ht="18" customHeight="1" x14ac:dyDescent="0.25">
      <c r="A298" s="91" t="s">
        <v>183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184</v>
      </c>
      <c r="N298" s="31">
        <f>IFERROR(N284+N297,"")</f>
        <v>638593</v>
      </c>
    </row>
    <row r="299" spans="1:14" ht="15" customHeight="1" x14ac:dyDescent="0.25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299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301</v>
      </c>
      <c r="N299" s="41"/>
    </row>
    <row r="300" spans="1:14" ht="15" customHeight="1" x14ac:dyDescent="0.25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276</v>
      </c>
      <c r="N300" s="41"/>
    </row>
    <row r="301" spans="1:14" ht="15" customHeight="1" x14ac:dyDescent="0.25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25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25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25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25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25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25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25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25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25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25">
      <c r="A311" s="90" t="s">
        <v>180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181</v>
      </c>
      <c r="N311" s="20">
        <v>459880</v>
      </c>
    </row>
    <row r="312" spans="1:14" ht="15" customHeight="1" x14ac:dyDescent="0.25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25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302</v>
      </c>
      <c r="N313" s="41"/>
    </row>
    <row r="314" spans="1:14" ht="15" customHeight="1" x14ac:dyDescent="0.25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150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302</v>
      </c>
      <c r="N314" s="41"/>
    </row>
    <row r="315" spans="1:14" ht="15" customHeight="1" x14ac:dyDescent="0.25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25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25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150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302</v>
      </c>
      <c r="N317" s="41"/>
    </row>
    <row r="318" spans="1:14" ht="15" customHeight="1" x14ac:dyDescent="0.25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150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303</v>
      </c>
      <c r="N318" s="41"/>
    </row>
    <row r="319" spans="1:14" ht="15" customHeight="1" x14ac:dyDescent="0.25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25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25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25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25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25">
      <c r="A324" s="90" t="s">
        <v>182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181</v>
      </c>
      <c r="N324" s="20">
        <f>311920+165290</f>
        <v>477210</v>
      </c>
    </row>
    <row r="325" spans="1:14" ht="18" customHeight="1" x14ac:dyDescent="0.25">
      <c r="A325" s="91" t="s">
        <v>183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184</v>
      </c>
      <c r="N325" s="31">
        <f>IFERROR(N311+N324,"")</f>
        <v>937090</v>
      </c>
    </row>
    <row r="326" spans="1:14" ht="15" customHeight="1" x14ac:dyDescent="0.25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150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25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25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25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25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25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25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25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25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25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25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25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25">
      <c r="A338" s="90" t="s">
        <v>180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181</v>
      </c>
      <c r="N338" s="20">
        <f>94060+504430</f>
        <v>598490</v>
      </c>
    </row>
    <row r="339" spans="1:14" ht="15" customHeight="1" x14ac:dyDescent="0.25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150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304</v>
      </c>
      <c r="N339" s="41"/>
    </row>
    <row r="340" spans="1:14" ht="15" customHeight="1" x14ac:dyDescent="0.25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150</v>
      </c>
      <c r="I340" s="10" t="s">
        <v>107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239</v>
      </c>
      <c r="N340" s="41"/>
    </row>
    <row r="341" spans="1:14" ht="15" customHeight="1" x14ac:dyDescent="0.25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25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25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25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25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25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25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25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25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25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25">
      <c r="A351" s="90" t="s">
        <v>182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181</v>
      </c>
      <c r="N351" s="20">
        <f>117790+390790</f>
        <v>508580</v>
      </c>
    </row>
    <row r="352" spans="1:14" ht="18" customHeight="1" x14ac:dyDescent="0.25">
      <c r="A352" s="91" t="s">
        <v>183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184</v>
      </c>
      <c r="N352" s="31">
        <f>IFERROR(N338+N351,"")</f>
        <v>1107070</v>
      </c>
    </row>
    <row r="353" spans="1:14" ht="15" customHeight="1" x14ac:dyDescent="0.25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97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305</v>
      </c>
      <c r="N353" s="41"/>
    </row>
    <row r="354" spans="1:14" ht="15" customHeight="1" x14ac:dyDescent="0.25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306</v>
      </c>
      <c r="N354" s="41"/>
    </row>
    <row r="355" spans="1:14" ht="15" customHeight="1" x14ac:dyDescent="0.25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278</v>
      </c>
      <c r="N355" s="41"/>
    </row>
    <row r="356" spans="1:14" ht="15" customHeight="1" x14ac:dyDescent="0.25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25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25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25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25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25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25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25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25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25">
      <c r="A365" s="90" t="s">
        <v>180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181</v>
      </c>
      <c r="N365" s="20">
        <f>331370+57650</f>
        <v>389020</v>
      </c>
    </row>
    <row r="366" spans="1:14" ht="15" customHeight="1" x14ac:dyDescent="0.25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150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25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25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25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25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25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25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25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25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25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25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25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25">
      <c r="A378" s="90" t="s">
        <v>182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181</v>
      </c>
      <c r="N378" s="20">
        <f>490380+390690</f>
        <v>881070</v>
      </c>
    </row>
    <row r="379" spans="1:14" ht="18" customHeight="1" x14ac:dyDescent="0.25">
      <c r="A379" s="91" t="s">
        <v>183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184</v>
      </c>
      <c r="N379" s="31">
        <f>IFERROR(N365+N378,"")</f>
        <v>1270090</v>
      </c>
    </row>
    <row r="380" spans="1:14" ht="15" customHeight="1" x14ac:dyDescent="0.25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122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25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150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25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25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25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25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25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25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25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25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25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25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25">
      <c r="A392" s="90" t="s">
        <v>180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181</v>
      </c>
      <c r="N392" s="20">
        <v>629980</v>
      </c>
    </row>
    <row r="393" spans="1:14" ht="15" customHeight="1" x14ac:dyDescent="0.25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153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25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150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25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97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25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25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25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25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25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25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140</v>
      </c>
      <c r="I401" s="16" t="s">
        <v>118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25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25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25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25">
      <c r="A405" s="90" t="s">
        <v>182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181</v>
      </c>
      <c r="N405" s="20">
        <v>745910</v>
      </c>
    </row>
    <row r="406" spans="1:14" ht="18" customHeight="1" x14ac:dyDescent="0.25">
      <c r="A406" s="91" t="s">
        <v>183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184</v>
      </c>
      <c r="N406" s="31">
        <f>IFERROR(N392+N405,"")</f>
        <v>1375890</v>
      </c>
    </row>
    <row r="407" spans="1:14" ht="15" customHeight="1" x14ac:dyDescent="0.25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307</v>
      </c>
      <c r="N407" s="41"/>
    </row>
    <row r="408" spans="1:14" ht="15" customHeight="1" x14ac:dyDescent="0.25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25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308</v>
      </c>
      <c r="N409" s="41"/>
    </row>
    <row r="410" spans="1:14" ht="15" customHeight="1" x14ac:dyDescent="0.25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309</v>
      </c>
      <c r="N410" s="41"/>
    </row>
    <row r="411" spans="1:14" ht="15" customHeight="1" x14ac:dyDescent="0.25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25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25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25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25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25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25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25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25">
      <c r="A419" s="90" t="s">
        <v>180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181</v>
      </c>
      <c r="N419" s="20">
        <v>456300</v>
      </c>
    </row>
    <row r="420" spans="1:14" ht="15" customHeight="1" x14ac:dyDescent="0.25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150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25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25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25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25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25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25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25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25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25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25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25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25">
      <c r="A432" s="90" t="s">
        <v>182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181</v>
      </c>
      <c r="N432" s="20">
        <v>669300</v>
      </c>
    </row>
    <row r="433" spans="1:16" ht="18" customHeight="1" x14ac:dyDescent="0.25">
      <c r="A433" s="91" t="s">
        <v>183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184</v>
      </c>
      <c r="N433" s="31">
        <f>IFERROR(N419+N432,"")</f>
        <v>1125600</v>
      </c>
    </row>
    <row r="434" spans="1:16" ht="15" customHeight="1" x14ac:dyDescent="0.25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140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25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25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25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25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25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25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25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25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25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25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25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25">
      <c r="A446" s="90" t="s">
        <v>180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181</v>
      </c>
      <c r="N446" s="20">
        <v>32</v>
      </c>
    </row>
    <row r="447" spans="1:16" ht="15" customHeight="1" x14ac:dyDescent="0.25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120</v>
      </c>
      <c r="I447" s="16" t="s">
        <v>160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25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299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25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119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25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150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25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25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299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25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25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25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25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25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25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25">
      <c r="A459" s="90" t="s">
        <v>182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181</v>
      </c>
      <c r="N459" s="20">
        <v>561580</v>
      </c>
    </row>
    <row r="460" spans="1:14" ht="18" customHeight="1" x14ac:dyDescent="0.25">
      <c r="A460" s="91" t="s">
        <v>183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184</v>
      </c>
      <c r="N460" s="31">
        <f>IFERROR(N446+N459,"")</f>
        <v>561612</v>
      </c>
    </row>
    <row r="461" spans="1:14" ht="15" customHeight="1" x14ac:dyDescent="0.25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25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140</v>
      </c>
      <c r="I462" s="10" t="s">
        <v>156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25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105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25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25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25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25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25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256</v>
      </c>
      <c r="N468" s="41"/>
    </row>
    <row r="469" spans="1:14" ht="15" customHeight="1" x14ac:dyDescent="0.25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25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25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25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256</v>
      </c>
      <c r="N472" s="41"/>
    </row>
    <row r="473" spans="1:14" ht="15.75" customHeight="1" x14ac:dyDescent="0.25">
      <c r="A473" s="90" t="s">
        <v>180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181</v>
      </c>
      <c r="N473" s="20">
        <v>327080</v>
      </c>
    </row>
    <row r="474" spans="1:14" ht="15" customHeight="1" x14ac:dyDescent="0.25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150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310</v>
      </c>
      <c r="N474" s="41"/>
    </row>
    <row r="475" spans="1:14" ht="15" customHeight="1" x14ac:dyDescent="0.25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25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311</v>
      </c>
      <c r="N476" s="41"/>
    </row>
    <row r="477" spans="1:14" ht="15" customHeight="1" x14ac:dyDescent="0.25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312</v>
      </c>
      <c r="N477" s="41"/>
    </row>
    <row r="478" spans="1:14" ht="15" customHeight="1" x14ac:dyDescent="0.25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25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25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25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25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25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25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25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25">
      <c r="A486" s="90" t="s">
        <v>182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181</v>
      </c>
      <c r="N486" s="20">
        <v>508000</v>
      </c>
    </row>
    <row r="487" spans="1:14" ht="18" customHeight="1" x14ac:dyDescent="0.25">
      <c r="A487" s="91" t="s">
        <v>183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184</v>
      </c>
      <c r="N487" s="31">
        <f>IFERROR(N473+N486,"")</f>
        <v>835080</v>
      </c>
    </row>
    <row r="488" spans="1:14" ht="15" customHeight="1" x14ac:dyDescent="0.25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25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25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25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25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25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25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25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25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25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25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25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25">
      <c r="A500" s="90" t="s">
        <v>180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181</v>
      </c>
      <c r="N500" s="20">
        <f>311280+52610+97870</f>
        <v>461760</v>
      </c>
    </row>
    <row r="501" spans="1:14" ht="15" customHeight="1" x14ac:dyDescent="0.25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313</v>
      </c>
      <c r="N501" s="41"/>
    </row>
    <row r="502" spans="1:14" ht="15" customHeight="1" x14ac:dyDescent="0.25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150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25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25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25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25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154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25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85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314</v>
      </c>
      <c r="N507" s="41"/>
    </row>
    <row r="508" spans="1:14" ht="15" customHeight="1" x14ac:dyDescent="0.25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25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25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25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25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25">
      <c r="A513" s="90" t="s">
        <v>182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181</v>
      </c>
      <c r="N513" s="20">
        <v>745760</v>
      </c>
    </row>
    <row r="514" spans="1:14" ht="18" customHeight="1" x14ac:dyDescent="0.25">
      <c r="A514" s="91" t="s">
        <v>183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184</v>
      </c>
      <c r="N514" s="31">
        <f>IFERROR(N500+N513,"")</f>
        <v>1207520</v>
      </c>
    </row>
    <row r="515" spans="1:14" ht="15" customHeight="1" x14ac:dyDescent="0.25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85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25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25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25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25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25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25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25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25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25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25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25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25">
      <c r="A527" s="90" t="s">
        <v>180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181</v>
      </c>
      <c r="N527" s="20">
        <v>474000</v>
      </c>
    </row>
    <row r="528" spans="1:14" ht="15" customHeight="1" x14ac:dyDescent="0.25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150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25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101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25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150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315</v>
      </c>
      <c r="N530" s="41"/>
    </row>
    <row r="531" spans="1:14" ht="15" customHeight="1" x14ac:dyDescent="0.25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95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316</v>
      </c>
      <c r="N531" s="41"/>
    </row>
    <row r="532" spans="1:14" ht="15" customHeight="1" x14ac:dyDescent="0.25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93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25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101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25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25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234</v>
      </c>
      <c r="N535" s="41"/>
    </row>
    <row r="536" spans="1:14" ht="15" customHeight="1" x14ac:dyDescent="0.25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25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25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25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25">
      <c r="A540" s="90" t="s">
        <v>182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181</v>
      </c>
      <c r="N540" s="20">
        <v>426450</v>
      </c>
    </row>
    <row r="541" spans="1:14" ht="18" customHeight="1" x14ac:dyDescent="0.25">
      <c r="A541" s="91" t="s">
        <v>183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184</v>
      </c>
      <c r="N541" s="31">
        <f>IFERROR(N527+N540,"")</f>
        <v>900450</v>
      </c>
    </row>
    <row r="542" spans="1:14" ht="15" customHeight="1" x14ac:dyDescent="0.25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317</v>
      </c>
      <c r="N542" s="41"/>
    </row>
    <row r="543" spans="1:14" ht="15" customHeight="1" x14ac:dyDescent="0.25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25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25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318</v>
      </c>
      <c r="N545" s="41"/>
    </row>
    <row r="546" spans="1:14" ht="15" customHeight="1" x14ac:dyDescent="0.25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25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25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25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25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25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25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25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25">
      <c r="A554" s="90" t="s">
        <v>180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181</v>
      </c>
      <c r="N554" s="20">
        <v>630510</v>
      </c>
    </row>
    <row r="555" spans="1:14" ht="15" customHeight="1" x14ac:dyDescent="0.25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25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25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319</v>
      </c>
      <c r="N557" s="41"/>
    </row>
    <row r="558" spans="1:14" ht="15" customHeight="1" x14ac:dyDescent="0.25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146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25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25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150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25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25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25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25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25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25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25">
      <c r="A567" s="90" t="s">
        <v>182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181</v>
      </c>
      <c r="N567" s="20">
        <v>652080</v>
      </c>
    </row>
    <row r="568" spans="1:14" ht="18" customHeight="1" x14ac:dyDescent="0.25">
      <c r="A568" s="91" t="s">
        <v>183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184</v>
      </c>
      <c r="N568" s="31">
        <f>IFERROR(N554+N567,"")</f>
        <v>1282590</v>
      </c>
    </row>
    <row r="569" spans="1:14" ht="15" customHeight="1" x14ac:dyDescent="0.25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25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25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320</v>
      </c>
      <c r="N571" s="41"/>
    </row>
    <row r="572" spans="1:14" ht="15" customHeight="1" x14ac:dyDescent="0.25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152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321</v>
      </c>
      <c r="N572" s="41"/>
    </row>
    <row r="573" spans="1:14" ht="15" customHeight="1" x14ac:dyDescent="0.25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140</v>
      </c>
      <c r="I573" s="16" t="s">
        <v>118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25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157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25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25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25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25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25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25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25">
      <c r="A581" s="19" t="s">
        <v>180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181</v>
      </c>
      <c r="N581" s="20">
        <v>472220</v>
      </c>
    </row>
    <row r="582" spans="1:14" ht="15" customHeight="1" x14ac:dyDescent="0.25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322</v>
      </c>
      <c r="N582" s="41"/>
    </row>
    <row r="583" spans="1:14" ht="15" customHeight="1" x14ac:dyDescent="0.25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25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154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25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260</v>
      </c>
      <c r="N585" s="41"/>
    </row>
    <row r="586" spans="1:14" ht="15" customHeight="1" x14ac:dyDescent="0.25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234</v>
      </c>
      <c r="N586" s="41"/>
    </row>
    <row r="587" spans="1:14" ht="15" customHeight="1" x14ac:dyDescent="0.25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25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25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25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25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25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25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25">
      <c r="A594" s="90" t="s">
        <v>182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181</v>
      </c>
      <c r="N594" s="20">
        <v>800310</v>
      </c>
    </row>
    <row r="595" spans="1:14" ht="18" customHeight="1" x14ac:dyDescent="0.25">
      <c r="A595" s="91" t="s">
        <v>183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184</v>
      </c>
      <c r="N595" s="31">
        <f>IFERROR(N581+N594,"")</f>
        <v>1272530</v>
      </c>
    </row>
    <row r="596" spans="1:14" ht="15" customHeight="1" x14ac:dyDescent="0.25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25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120</v>
      </c>
      <c r="I597" s="16" t="s">
        <v>104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25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120</v>
      </c>
      <c r="I598" s="10" t="s">
        <v>104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25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120</v>
      </c>
      <c r="I599" s="16" t="s">
        <v>104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25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120</v>
      </c>
      <c r="I600" s="10" t="s">
        <v>104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323</v>
      </c>
      <c r="N600" s="41"/>
    </row>
    <row r="601" spans="1:14" ht="15" customHeight="1" x14ac:dyDescent="0.25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25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25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25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25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25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25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25">
      <c r="A608" s="90" t="s">
        <v>180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181</v>
      </c>
      <c r="N608" s="20">
        <v>600580</v>
      </c>
    </row>
    <row r="609" spans="1:14" ht="15" customHeight="1" x14ac:dyDescent="0.25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25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25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25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25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25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25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25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25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158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324</v>
      </c>
      <c r="N617" s="41"/>
    </row>
    <row r="618" spans="1:14" ht="15" customHeight="1" x14ac:dyDescent="0.25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25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25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25">
      <c r="A621" s="90" t="s">
        <v>182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181</v>
      </c>
      <c r="N621" s="20">
        <v>141320</v>
      </c>
    </row>
    <row r="622" spans="1:14" ht="18" customHeight="1" x14ac:dyDescent="0.25">
      <c r="A622" s="91" t="s">
        <v>183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184</v>
      </c>
      <c r="N622" s="31">
        <f>IFERROR(N608+N621,"")</f>
        <v>741900</v>
      </c>
    </row>
    <row r="623" spans="1:14" ht="15" customHeight="1" x14ac:dyDescent="0.25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311</v>
      </c>
      <c r="N623" s="41"/>
    </row>
    <row r="624" spans="1:14" ht="15" customHeight="1" x14ac:dyDescent="0.25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/>
      <c r="L624" s="70" t="str">
        <f t="shared" si="140"/>
        <v/>
      </c>
      <c r="M624" s="11"/>
      <c r="N624" s="41"/>
    </row>
    <row r="625" spans="1:14" ht="15" customHeight="1" x14ac:dyDescent="0.25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/>
      <c r="H625" s="16"/>
      <c r="I625" s="16"/>
      <c r="J625" s="13"/>
      <c r="K625" s="13"/>
      <c r="L625" s="71" t="str">
        <f t="shared" si="140"/>
        <v/>
      </c>
      <c r="M625" s="11"/>
      <c r="N625" s="41"/>
    </row>
    <row r="626" spans="1:14" ht="15" customHeight="1" x14ac:dyDescent="0.25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/>
      <c r="H626" s="10"/>
      <c r="I626" s="10"/>
      <c r="J626" s="13"/>
      <c r="K626" s="13"/>
      <c r="L626" s="70" t="str">
        <f t="shared" si="140"/>
        <v/>
      </c>
      <c r="M626" s="11"/>
      <c r="N626" s="41"/>
    </row>
    <row r="627" spans="1:14" ht="15" customHeight="1" x14ac:dyDescent="0.25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25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25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25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/>
      <c r="F630" s="12" t="str">
        <f t="shared" si="139"/>
        <v/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25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/>
      <c r="F631" s="17" t="str">
        <f t="shared" si="139"/>
        <v/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25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/>
      <c r="F632" s="12" t="str">
        <f t="shared" si="139"/>
        <v/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25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/>
      <c r="F633" s="17" t="str">
        <f t="shared" si="139"/>
        <v/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25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/>
      <c r="F634" s="12" t="str">
        <f t="shared" si="139"/>
        <v/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25">
      <c r="A635" s="90" t="s">
        <v>180</v>
      </c>
      <c r="B635" s="90"/>
      <c r="C635" s="90"/>
      <c r="D635" s="90"/>
      <c r="E635" s="19">
        <f>SUM(E623:E634)</f>
        <v>7</v>
      </c>
      <c r="F635" s="19">
        <f>SUM(F623:F634)</f>
        <v>28</v>
      </c>
      <c r="G635" s="38"/>
      <c r="H635" s="38"/>
      <c r="I635" s="38"/>
      <c r="J635" s="38"/>
      <c r="K635" s="38"/>
      <c r="L635" s="72">
        <f>IFERROR(SUM(L623:L634),"")</f>
        <v>0.25694444444444448</v>
      </c>
      <c r="M635" s="19" t="s">
        <v>181</v>
      </c>
      <c r="N635" s="20"/>
    </row>
    <row r="636" spans="1:14" ht="15" customHeight="1" x14ac:dyDescent="0.25">
      <c r="A636" s="58">
        <v>46197</v>
      </c>
      <c r="B636" s="9">
        <v>0.83333333333333304</v>
      </c>
      <c r="C636" s="10"/>
      <c r="D636" s="62"/>
      <c r="E636" s="11"/>
      <c r="F636" s="12" t="str">
        <f t="shared" ref="F636:F647" si="142">IF(E636="","",E636*4)</f>
        <v/>
      </c>
      <c r="G636" s="10"/>
      <c r="H636" s="10"/>
      <c r="I636" s="10"/>
      <c r="J636" s="13"/>
      <c r="K636" s="13"/>
      <c r="L636" s="70" t="str">
        <f t="shared" ref="L636:L647" si="143">IFERROR(IF(K636="","",IF(K636&gt;=J636,K636-J636,K636+1-J636)),"")</f>
        <v/>
      </c>
      <c r="M636" s="11"/>
      <c r="N636" s="41"/>
    </row>
    <row r="637" spans="1:14" ht="15" customHeight="1" x14ac:dyDescent="0.25">
      <c r="A637" s="59">
        <v>46197</v>
      </c>
      <c r="B637" s="15">
        <f t="shared" ref="B637:B647" si="144">B636+TIME(0,60,0)</f>
        <v>0.87499999999999967</v>
      </c>
      <c r="C637" s="16"/>
      <c r="D637" s="63"/>
      <c r="E637" s="11"/>
      <c r="F637" s="17" t="str">
        <f t="shared" si="142"/>
        <v/>
      </c>
      <c r="G637" s="16"/>
      <c r="H637" s="16"/>
      <c r="I637" s="16"/>
      <c r="J637" s="13"/>
      <c r="K637" s="13"/>
      <c r="L637" s="71" t="str">
        <f t="shared" si="143"/>
        <v/>
      </c>
      <c r="M637" s="11"/>
      <c r="N637" s="41"/>
    </row>
    <row r="638" spans="1:14" ht="15" customHeight="1" x14ac:dyDescent="0.25">
      <c r="A638" s="58">
        <v>46197</v>
      </c>
      <c r="B638" s="9">
        <f t="shared" si="144"/>
        <v>0.9166666666666663</v>
      </c>
      <c r="C638" s="10"/>
      <c r="D638" s="62"/>
      <c r="E638" s="11"/>
      <c r="F638" s="12" t="str">
        <f t="shared" si="142"/>
        <v/>
      </c>
      <c r="G638" s="10"/>
      <c r="H638" s="10"/>
      <c r="I638" s="10"/>
      <c r="J638" s="13"/>
      <c r="K638" s="13"/>
      <c r="L638" s="70" t="str">
        <f t="shared" si="143"/>
        <v/>
      </c>
      <c r="M638" s="11"/>
      <c r="N638" s="41"/>
    </row>
    <row r="639" spans="1:14" ht="15" customHeight="1" x14ac:dyDescent="0.25">
      <c r="A639" s="59">
        <v>46197</v>
      </c>
      <c r="B639" s="15">
        <f t="shared" si="144"/>
        <v>0.95833333333333293</v>
      </c>
      <c r="C639" s="16"/>
      <c r="D639" s="63"/>
      <c r="E639" s="11"/>
      <c r="F639" s="17" t="str">
        <f t="shared" si="142"/>
        <v/>
      </c>
      <c r="G639" s="16"/>
      <c r="H639" s="16"/>
      <c r="I639" s="16"/>
      <c r="J639" s="13"/>
      <c r="K639" s="13"/>
      <c r="L639" s="71" t="str">
        <f t="shared" si="143"/>
        <v/>
      </c>
      <c r="M639" s="11"/>
      <c r="N639" s="41"/>
    </row>
    <row r="640" spans="1:14" ht="15" customHeight="1" x14ac:dyDescent="0.25">
      <c r="A640" s="58">
        <v>46197</v>
      </c>
      <c r="B640" s="9">
        <f t="shared" si="144"/>
        <v>0.99999999999999956</v>
      </c>
      <c r="C640" s="10"/>
      <c r="D640" s="62"/>
      <c r="E640" s="11"/>
      <c r="F640" s="12" t="str">
        <f t="shared" si="142"/>
        <v/>
      </c>
      <c r="G640" s="10"/>
      <c r="H640" s="10"/>
      <c r="I640" s="10"/>
      <c r="J640" s="13"/>
      <c r="K640" s="13"/>
      <c r="L640" s="70" t="str">
        <f t="shared" si="143"/>
        <v/>
      </c>
      <c r="M640" s="11"/>
      <c r="N640" s="41"/>
    </row>
    <row r="641" spans="1:14" ht="15" customHeight="1" x14ac:dyDescent="0.25">
      <c r="A641" s="59">
        <v>46197</v>
      </c>
      <c r="B641" s="15">
        <f t="shared" si="144"/>
        <v>1.0416666666666663</v>
      </c>
      <c r="C641" s="16"/>
      <c r="D641" s="63"/>
      <c r="E641" s="11"/>
      <c r="F641" s="17" t="str">
        <f t="shared" si="142"/>
        <v/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25">
      <c r="A642" s="58">
        <v>46197</v>
      </c>
      <c r="B642" s="9">
        <f t="shared" si="144"/>
        <v>1.083333333333333</v>
      </c>
      <c r="C642" s="10"/>
      <c r="D642" s="62"/>
      <c r="E642" s="11"/>
      <c r="F642" s="12" t="str">
        <f t="shared" si="142"/>
        <v/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25">
      <c r="A643" s="59">
        <v>46197</v>
      </c>
      <c r="B643" s="15">
        <f t="shared" si="144"/>
        <v>1.1249999999999998</v>
      </c>
      <c r="C643" s="16"/>
      <c r="D643" s="63"/>
      <c r="E643" s="11"/>
      <c r="F643" s="17" t="str">
        <f t="shared" si="142"/>
        <v/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25">
      <c r="A644" s="58">
        <v>46197</v>
      </c>
      <c r="B644" s="9">
        <f t="shared" si="144"/>
        <v>1.1666666666666665</v>
      </c>
      <c r="C644" s="10"/>
      <c r="D644" s="62"/>
      <c r="E644" s="11"/>
      <c r="F644" s="12" t="str">
        <f t="shared" si="142"/>
        <v/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25">
      <c r="A645" s="59">
        <v>46197</v>
      </c>
      <c r="B645" s="15">
        <f t="shared" si="144"/>
        <v>1.2083333333333333</v>
      </c>
      <c r="C645" s="16"/>
      <c r="D645" s="63"/>
      <c r="E645" s="11"/>
      <c r="F645" s="17" t="str">
        <f t="shared" si="142"/>
        <v/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25">
      <c r="A646" s="58">
        <v>46197</v>
      </c>
      <c r="B646" s="9">
        <f t="shared" si="144"/>
        <v>1.25</v>
      </c>
      <c r="C646" s="10"/>
      <c r="D646" s="62"/>
      <c r="E646" s="11"/>
      <c r="F646" s="12" t="str">
        <f t="shared" si="142"/>
        <v/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25">
      <c r="A647" s="59">
        <v>46197</v>
      </c>
      <c r="B647" s="15">
        <f t="shared" si="144"/>
        <v>1.2916666666666667</v>
      </c>
      <c r="C647" s="16"/>
      <c r="D647" s="63"/>
      <c r="E647" s="11"/>
      <c r="F647" s="17" t="str">
        <f t="shared" si="142"/>
        <v/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25">
      <c r="A648" s="90" t="s">
        <v>182</v>
      </c>
      <c r="B648" s="90"/>
      <c r="C648" s="90"/>
      <c r="D648" s="90"/>
      <c r="E648" s="19">
        <f>SUM(E636:E647)</f>
        <v>0</v>
      </c>
      <c r="F648" s="19">
        <f>SUM(F636:F647)</f>
        <v>0</v>
      </c>
      <c r="G648" s="38"/>
      <c r="H648" s="38"/>
      <c r="I648" s="38"/>
      <c r="J648" s="38"/>
      <c r="K648" s="38"/>
      <c r="L648" s="72">
        <f>IFERROR(SUM(L636:L647),"")</f>
        <v>0</v>
      </c>
      <c r="M648" s="19" t="s">
        <v>181</v>
      </c>
      <c r="N648" s="20"/>
    </row>
    <row r="649" spans="1:14" ht="18" customHeight="1" x14ac:dyDescent="0.25">
      <c r="A649" s="91" t="s">
        <v>183</v>
      </c>
      <c r="B649" s="91"/>
      <c r="C649" s="91"/>
      <c r="D649" s="91"/>
      <c r="E649" s="22">
        <f>E635+E648</f>
        <v>7</v>
      </c>
      <c r="F649" s="22">
        <f>F635+F648</f>
        <v>28</v>
      </c>
      <c r="G649" s="39"/>
      <c r="H649" s="39"/>
      <c r="I649" s="39"/>
      <c r="J649" s="39"/>
      <c r="K649" s="39"/>
      <c r="L649" s="73">
        <f>IFERROR(L635+L648,"")</f>
        <v>0.25694444444444448</v>
      </c>
      <c r="M649" s="22" t="s">
        <v>184</v>
      </c>
      <c r="N649" s="31">
        <f>IFERROR(N635+N648,"")</f>
        <v>0</v>
      </c>
    </row>
    <row r="650" spans="1:14" ht="15" customHeight="1" x14ac:dyDescent="0.25">
      <c r="A650" s="58">
        <v>46198</v>
      </c>
      <c r="B650" s="9">
        <v>0.33333333333333298</v>
      </c>
      <c r="C650" s="10"/>
      <c r="D650" s="62"/>
      <c r="E650" s="11"/>
      <c r="F650" s="12" t="str">
        <f t="shared" ref="F650:F661" si="145">IF(E650="","",E650*4)</f>
        <v/>
      </c>
      <c r="G650" s="10"/>
      <c r="H650" s="10"/>
      <c r="I650" s="10"/>
      <c r="J650" s="13"/>
      <c r="K650" s="13"/>
      <c r="L650" s="70" t="str">
        <f t="shared" ref="L650:L661" si="146">IFERROR(IF(K650="","",IF(K650&gt;=J650,K650-J650,K650+1-J650)),"")</f>
        <v/>
      </c>
      <c r="M650" s="11"/>
      <c r="N650" s="41"/>
    </row>
    <row r="651" spans="1:14" ht="15" customHeight="1" x14ac:dyDescent="0.25">
      <c r="A651" s="59">
        <v>46198</v>
      </c>
      <c r="B651" s="15">
        <f t="shared" ref="B651:B661" si="147">B650+TIME(0,60,0)</f>
        <v>0.37499999999999967</v>
      </c>
      <c r="C651" s="16"/>
      <c r="D651" s="63"/>
      <c r="E651" s="11"/>
      <c r="F651" s="17" t="str">
        <f t="shared" si="145"/>
        <v/>
      </c>
      <c r="G651" s="16"/>
      <c r="H651" s="16"/>
      <c r="I651" s="16"/>
      <c r="J651" s="13"/>
      <c r="K651" s="13"/>
      <c r="L651" s="71" t="str">
        <f t="shared" si="146"/>
        <v/>
      </c>
      <c r="M651" s="11"/>
      <c r="N651" s="41"/>
    </row>
    <row r="652" spans="1:14" ht="15" customHeight="1" x14ac:dyDescent="0.25">
      <c r="A652" s="58">
        <v>46198</v>
      </c>
      <c r="B652" s="9">
        <f t="shared" si="147"/>
        <v>0.41666666666666635</v>
      </c>
      <c r="C652" s="10"/>
      <c r="D652" s="62"/>
      <c r="E652" s="11"/>
      <c r="F652" s="12" t="str">
        <f t="shared" si="145"/>
        <v/>
      </c>
      <c r="G652" s="10"/>
      <c r="H652" s="10"/>
      <c r="I652" s="10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25">
      <c r="A653" s="59">
        <v>46198</v>
      </c>
      <c r="B653" s="15">
        <f t="shared" si="147"/>
        <v>0.45833333333333304</v>
      </c>
      <c r="C653" s="16"/>
      <c r="D653" s="63"/>
      <c r="E653" s="11"/>
      <c r="F653" s="17" t="str">
        <f t="shared" si="145"/>
        <v/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25">
      <c r="A654" s="58">
        <v>46198</v>
      </c>
      <c r="B654" s="9">
        <f t="shared" si="147"/>
        <v>0.49999999999999972</v>
      </c>
      <c r="C654" s="10"/>
      <c r="D654" s="62"/>
      <c r="E654" s="11"/>
      <c r="F654" s="12" t="str">
        <f t="shared" si="145"/>
        <v/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25">
      <c r="A655" s="59">
        <v>46198</v>
      </c>
      <c r="B655" s="15">
        <f t="shared" si="147"/>
        <v>0.54166666666666641</v>
      </c>
      <c r="C655" s="16"/>
      <c r="D655" s="63"/>
      <c r="E655" s="11"/>
      <c r="F655" s="17" t="str">
        <f t="shared" si="145"/>
        <v/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25">
      <c r="A656" s="58">
        <v>46198</v>
      </c>
      <c r="B656" s="9">
        <f t="shared" si="147"/>
        <v>0.58333333333333304</v>
      </c>
      <c r="C656" s="10"/>
      <c r="D656" s="62"/>
      <c r="E656" s="11"/>
      <c r="F656" s="12" t="str">
        <f t="shared" si="145"/>
        <v/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25">
      <c r="A657" s="59">
        <v>46198</v>
      </c>
      <c r="B657" s="15">
        <f t="shared" si="147"/>
        <v>0.62499999999999967</v>
      </c>
      <c r="C657" s="16"/>
      <c r="D657" s="63"/>
      <c r="E657" s="11"/>
      <c r="F657" s="17" t="str">
        <f t="shared" si="145"/>
        <v/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25">
      <c r="A658" s="58">
        <v>46198</v>
      </c>
      <c r="B658" s="9">
        <f t="shared" si="147"/>
        <v>0.6666666666666663</v>
      </c>
      <c r="C658" s="10"/>
      <c r="D658" s="62"/>
      <c r="E658" s="11"/>
      <c r="F658" s="12" t="str">
        <f t="shared" si="145"/>
        <v/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25">
      <c r="A659" s="59">
        <v>46198</v>
      </c>
      <c r="B659" s="15">
        <f t="shared" si="147"/>
        <v>0.70833333333333293</v>
      </c>
      <c r="C659" s="16"/>
      <c r="D659" s="63"/>
      <c r="E659" s="11"/>
      <c r="F659" s="17" t="str">
        <f t="shared" si="145"/>
        <v/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25">
      <c r="A660" s="58">
        <v>46198</v>
      </c>
      <c r="B660" s="9">
        <f t="shared" si="147"/>
        <v>0.74999999999999956</v>
      </c>
      <c r="C660" s="10"/>
      <c r="D660" s="62"/>
      <c r="E660" s="11"/>
      <c r="F660" s="12" t="str">
        <f t="shared" si="145"/>
        <v/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25">
      <c r="A661" s="59">
        <v>46198</v>
      </c>
      <c r="B661" s="15">
        <f t="shared" si="147"/>
        <v>0.79166666666666619</v>
      </c>
      <c r="C661" s="16"/>
      <c r="D661" s="63"/>
      <c r="E661" s="11"/>
      <c r="F661" s="17" t="str">
        <f t="shared" si="145"/>
        <v/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25">
      <c r="A662" s="90" t="s">
        <v>180</v>
      </c>
      <c r="B662" s="90"/>
      <c r="C662" s="90"/>
      <c r="D662" s="90"/>
      <c r="E662" s="19">
        <f>SUM(E650:E661)</f>
        <v>0</v>
      </c>
      <c r="F662" s="19">
        <f>SUM(F650:F661)</f>
        <v>0</v>
      </c>
      <c r="G662" s="38"/>
      <c r="H662" s="38"/>
      <c r="I662" s="38"/>
      <c r="J662" s="38"/>
      <c r="K662" s="38"/>
      <c r="L662" s="72">
        <f>IFERROR(SUM(L650:L661),"")</f>
        <v>0</v>
      </c>
      <c r="M662" s="19" t="s">
        <v>181</v>
      </c>
      <c r="N662" s="20"/>
    </row>
    <row r="663" spans="1:14" ht="15" customHeight="1" x14ac:dyDescent="0.25">
      <c r="A663" s="59">
        <v>46198</v>
      </c>
      <c r="B663" s="15">
        <v>0.83333333333333304</v>
      </c>
      <c r="C663" s="16"/>
      <c r="D663" s="63"/>
      <c r="E663" s="11"/>
      <c r="F663" s="17" t="str">
        <f t="shared" ref="F663:F674" si="148">IF(E663="","",E663*4)</f>
        <v/>
      </c>
      <c r="G663" s="16"/>
      <c r="H663" s="16"/>
      <c r="I663" s="16"/>
      <c r="J663" s="13"/>
      <c r="K663" s="13"/>
      <c r="L663" s="71" t="str">
        <f t="shared" ref="L663:L674" si="149">IFERROR(IF(K663="","",IF(K663&gt;=J663,K663-J663,K663+1-J663)),"")</f>
        <v/>
      </c>
      <c r="M663" s="11"/>
      <c r="N663" s="41"/>
    </row>
    <row r="664" spans="1:14" ht="15" customHeight="1" x14ac:dyDescent="0.25">
      <c r="A664" s="58">
        <v>46198</v>
      </c>
      <c r="B664" s="9">
        <f t="shared" ref="B664:B674" si="150">B663+TIME(0,60,0)</f>
        <v>0.87499999999999967</v>
      </c>
      <c r="C664" s="10"/>
      <c r="D664" s="62"/>
      <c r="E664" s="11"/>
      <c r="F664" s="12" t="str">
        <f t="shared" si="148"/>
        <v/>
      </c>
      <c r="G664" s="10"/>
      <c r="H664" s="10"/>
      <c r="I664" s="10"/>
      <c r="J664" s="13"/>
      <c r="K664" s="13"/>
      <c r="L664" s="70" t="str">
        <f t="shared" si="149"/>
        <v/>
      </c>
      <c r="M664" s="11"/>
      <c r="N664" s="41"/>
    </row>
    <row r="665" spans="1:14" ht="15" customHeight="1" x14ac:dyDescent="0.25">
      <c r="A665" s="59">
        <v>46198</v>
      </c>
      <c r="B665" s="15">
        <f t="shared" si="150"/>
        <v>0.9166666666666663</v>
      </c>
      <c r="C665" s="16"/>
      <c r="D665" s="63"/>
      <c r="E665" s="11"/>
      <c r="F665" s="17" t="str">
        <f t="shared" si="148"/>
        <v/>
      </c>
      <c r="G665" s="16"/>
      <c r="H665" s="16"/>
      <c r="I665" s="16"/>
      <c r="J665" s="13"/>
      <c r="K665" s="13"/>
      <c r="L665" s="71" t="str">
        <f t="shared" si="149"/>
        <v/>
      </c>
      <c r="M665" s="11"/>
      <c r="N665" s="41"/>
    </row>
    <row r="666" spans="1:14" ht="15" customHeight="1" x14ac:dyDescent="0.25">
      <c r="A666" s="58">
        <v>46198</v>
      </c>
      <c r="B666" s="9">
        <f t="shared" si="150"/>
        <v>0.95833333333333293</v>
      </c>
      <c r="C666" s="10"/>
      <c r="D666" s="62"/>
      <c r="E666" s="11"/>
      <c r="F666" s="12" t="str">
        <f t="shared" si="148"/>
        <v/>
      </c>
      <c r="G666" s="10"/>
      <c r="H666" s="10"/>
      <c r="I666" s="10"/>
      <c r="J666" s="13"/>
      <c r="K666" s="13"/>
      <c r="L666" s="70" t="str">
        <f t="shared" si="149"/>
        <v/>
      </c>
      <c r="M666" s="11"/>
      <c r="N666" s="41"/>
    </row>
    <row r="667" spans="1:14" ht="15" customHeight="1" x14ac:dyDescent="0.25">
      <c r="A667" s="59">
        <v>46198</v>
      </c>
      <c r="B667" s="15">
        <f t="shared" si="150"/>
        <v>0.99999999999999956</v>
      </c>
      <c r="C667" s="16"/>
      <c r="D667" s="63"/>
      <c r="E667" s="11"/>
      <c r="F667" s="17" t="str">
        <f t="shared" si="148"/>
        <v/>
      </c>
      <c r="G667" s="16"/>
      <c r="H667" s="16"/>
      <c r="I667" s="16"/>
      <c r="J667" s="13"/>
      <c r="K667" s="13"/>
      <c r="L667" s="71" t="str">
        <f t="shared" si="149"/>
        <v/>
      </c>
      <c r="M667" s="11"/>
      <c r="N667" s="41"/>
    </row>
    <row r="668" spans="1:14" ht="15" customHeight="1" x14ac:dyDescent="0.25">
      <c r="A668" s="58">
        <v>46198</v>
      </c>
      <c r="B668" s="9">
        <f t="shared" si="150"/>
        <v>1.0416666666666663</v>
      </c>
      <c r="C668" s="10"/>
      <c r="D668" s="62"/>
      <c r="E668" s="11"/>
      <c r="F668" s="12" t="str">
        <f t="shared" si="148"/>
        <v/>
      </c>
      <c r="G668" s="10"/>
      <c r="H668" s="10"/>
      <c r="I668" s="10"/>
      <c r="J668" s="13"/>
      <c r="K668" s="13"/>
      <c r="L668" s="70" t="str">
        <f t="shared" si="149"/>
        <v/>
      </c>
      <c r="M668" s="11"/>
      <c r="N668" s="41"/>
    </row>
    <row r="669" spans="1:14" ht="15" customHeight="1" x14ac:dyDescent="0.25">
      <c r="A669" s="59">
        <v>46198</v>
      </c>
      <c r="B669" s="15">
        <f t="shared" si="150"/>
        <v>1.083333333333333</v>
      </c>
      <c r="C669" s="16"/>
      <c r="D669" s="63"/>
      <c r="E669" s="11"/>
      <c r="F669" s="17" t="str">
        <f t="shared" si="148"/>
        <v/>
      </c>
      <c r="G669" s="16"/>
      <c r="H669" s="16"/>
      <c r="I669" s="16"/>
      <c r="J669" s="13"/>
      <c r="K669" s="13"/>
      <c r="L669" s="71" t="str">
        <f t="shared" si="149"/>
        <v/>
      </c>
      <c r="M669" s="11"/>
      <c r="N669" s="41"/>
    </row>
    <row r="670" spans="1:14" ht="15" customHeight="1" x14ac:dyDescent="0.25">
      <c r="A670" s="58">
        <v>46198</v>
      </c>
      <c r="B670" s="9">
        <f t="shared" si="150"/>
        <v>1.1249999999999998</v>
      </c>
      <c r="C670" s="10"/>
      <c r="D670" s="62"/>
      <c r="E670" s="11"/>
      <c r="F670" s="12" t="str">
        <f t="shared" si="148"/>
        <v/>
      </c>
      <c r="G670" s="10"/>
      <c r="H670" s="10"/>
      <c r="I670" s="10"/>
      <c r="J670" s="13"/>
      <c r="K670" s="13"/>
      <c r="L670" s="70" t="str">
        <f t="shared" si="149"/>
        <v/>
      </c>
      <c r="M670" s="11"/>
      <c r="N670" s="41"/>
    </row>
    <row r="671" spans="1:14" ht="15" customHeight="1" x14ac:dyDescent="0.25">
      <c r="A671" s="59">
        <v>46198</v>
      </c>
      <c r="B671" s="15">
        <f t="shared" si="150"/>
        <v>1.1666666666666665</v>
      </c>
      <c r="C671" s="16"/>
      <c r="D671" s="63"/>
      <c r="E671" s="11"/>
      <c r="F671" s="17" t="str">
        <f t="shared" si="148"/>
        <v/>
      </c>
      <c r="G671" s="16"/>
      <c r="H671" s="16"/>
      <c r="I671" s="16"/>
      <c r="J671" s="13"/>
      <c r="K671" s="13"/>
      <c r="L671" s="71" t="str">
        <f t="shared" si="149"/>
        <v/>
      </c>
      <c r="M671" s="11"/>
      <c r="N671" s="41"/>
    </row>
    <row r="672" spans="1:14" ht="15" customHeight="1" x14ac:dyDescent="0.25">
      <c r="A672" s="58">
        <v>46198</v>
      </c>
      <c r="B672" s="9">
        <f t="shared" si="150"/>
        <v>1.2083333333333333</v>
      </c>
      <c r="C672" s="10"/>
      <c r="D672" s="62"/>
      <c r="E672" s="11"/>
      <c r="F672" s="12" t="str">
        <f t="shared" si="148"/>
        <v/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25">
      <c r="A673" s="59">
        <v>46198</v>
      </c>
      <c r="B673" s="15">
        <f t="shared" si="150"/>
        <v>1.25</v>
      </c>
      <c r="C673" s="16"/>
      <c r="D673" s="63"/>
      <c r="E673" s="11"/>
      <c r="F673" s="17" t="str">
        <f t="shared" si="148"/>
        <v/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25">
      <c r="A674" s="58">
        <v>46198</v>
      </c>
      <c r="B674" s="9">
        <f t="shared" si="150"/>
        <v>1.2916666666666667</v>
      </c>
      <c r="C674" s="10"/>
      <c r="D674" s="62"/>
      <c r="E674" s="11"/>
      <c r="F674" s="12" t="str">
        <f t="shared" si="148"/>
        <v/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25">
      <c r="A675" s="90" t="s">
        <v>182</v>
      </c>
      <c r="B675" s="90"/>
      <c r="C675" s="90"/>
      <c r="D675" s="90"/>
      <c r="E675" s="19">
        <f>SUM(E663:E674)</f>
        <v>0</v>
      </c>
      <c r="F675" s="19">
        <f>SUM(F663:F674)</f>
        <v>0</v>
      </c>
      <c r="G675" s="38"/>
      <c r="H675" s="38"/>
      <c r="I675" s="38"/>
      <c r="J675" s="38"/>
      <c r="K675" s="38"/>
      <c r="L675" s="72">
        <f>IFERROR(SUM(L663:L674),"")</f>
        <v>0</v>
      </c>
      <c r="M675" s="19" t="s">
        <v>181</v>
      </c>
      <c r="N675" s="20"/>
    </row>
    <row r="676" spans="1:14" ht="18" customHeight="1" x14ac:dyDescent="0.25">
      <c r="A676" s="91" t="s">
        <v>183</v>
      </c>
      <c r="B676" s="91"/>
      <c r="C676" s="91"/>
      <c r="D676" s="91"/>
      <c r="E676" s="22">
        <f>E662+E675</f>
        <v>0</v>
      </c>
      <c r="F676" s="22">
        <f>F662+F675</f>
        <v>0</v>
      </c>
      <c r="G676" s="39"/>
      <c r="H676" s="39"/>
      <c r="I676" s="39"/>
      <c r="J676" s="39"/>
      <c r="K676" s="39"/>
      <c r="L676" s="73">
        <f>IFERROR(L662+L675,"")</f>
        <v>0</v>
      </c>
      <c r="M676" s="22" t="s">
        <v>184</v>
      </c>
      <c r="N676" s="31">
        <f>IFERROR(N662+N675,"")</f>
        <v>0</v>
      </c>
    </row>
    <row r="677" spans="1:14" ht="15" customHeight="1" x14ac:dyDescent="0.25">
      <c r="A677" s="59">
        <v>46199</v>
      </c>
      <c r="B677" s="15">
        <v>0.33333333333333298</v>
      </c>
      <c r="C677" s="16"/>
      <c r="D677" s="63"/>
      <c r="E677" s="11"/>
      <c r="F677" s="17" t="str">
        <f t="shared" ref="F677:F688" si="151">IF(E677="","",E677*4)</f>
        <v/>
      </c>
      <c r="G677" s="16"/>
      <c r="H677" s="16"/>
      <c r="I677" s="16"/>
      <c r="J677" s="13"/>
      <c r="K677" s="13"/>
      <c r="L677" s="71" t="str">
        <f t="shared" ref="L677:L688" si="152">IFERROR(IF(K677="","",IF(K677&gt;=J677,K677-J677,K677+1-J677)),"")</f>
        <v/>
      </c>
      <c r="M677" s="11"/>
      <c r="N677" s="41"/>
    </row>
    <row r="678" spans="1:14" ht="15" customHeight="1" x14ac:dyDescent="0.25">
      <c r="A678" s="58">
        <v>46199</v>
      </c>
      <c r="B678" s="9">
        <f t="shared" ref="B678:B688" si="153">B677+TIME(0,60,0)</f>
        <v>0.37499999999999967</v>
      </c>
      <c r="C678" s="10"/>
      <c r="D678" s="62"/>
      <c r="E678" s="11"/>
      <c r="F678" s="12" t="str">
        <f t="shared" si="151"/>
        <v/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25">
      <c r="A679" s="59">
        <v>46199</v>
      </c>
      <c r="B679" s="15">
        <f t="shared" si="153"/>
        <v>0.41666666666666635</v>
      </c>
      <c r="C679" s="16"/>
      <c r="D679" s="63"/>
      <c r="E679" s="11"/>
      <c r="F679" s="17" t="str">
        <f t="shared" si="151"/>
        <v/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25">
      <c r="A680" s="58">
        <v>46199</v>
      </c>
      <c r="B680" s="9">
        <f t="shared" si="153"/>
        <v>0.45833333333333304</v>
      </c>
      <c r="C680" s="10"/>
      <c r="D680" s="62"/>
      <c r="E680" s="11"/>
      <c r="F680" s="12" t="str">
        <f t="shared" si="151"/>
        <v/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25">
      <c r="A681" s="59">
        <v>46199</v>
      </c>
      <c r="B681" s="15">
        <f t="shared" si="153"/>
        <v>0.49999999999999972</v>
      </c>
      <c r="C681" s="16"/>
      <c r="D681" s="63"/>
      <c r="E681" s="11"/>
      <c r="F681" s="17" t="str">
        <f t="shared" si="151"/>
        <v/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25">
      <c r="A682" s="58">
        <v>46199</v>
      </c>
      <c r="B682" s="9">
        <f t="shared" si="153"/>
        <v>0.54166666666666641</v>
      </c>
      <c r="C682" s="10"/>
      <c r="D682" s="62"/>
      <c r="E682" s="11"/>
      <c r="F682" s="12" t="str">
        <f t="shared" si="151"/>
        <v/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25">
      <c r="A683" s="59">
        <v>46199</v>
      </c>
      <c r="B683" s="15">
        <f t="shared" si="153"/>
        <v>0.58333333333333304</v>
      </c>
      <c r="C683" s="16"/>
      <c r="D683" s="63"/>
      <c r="E683" s="11"/>
      <c r="F683" s="17" t="str">
        <f t="shared" si="151"/>
        <v/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25">
      <c r="A684" s="58">
        <v>46199</v>
      </c>
      <c r="B684" s="9">
        <f t="shared" si="153"/>
        <v>0.62499999999999967</v>
      </c>
      <c r="C684" s="10"/>
      <c r="D684" s="62"/>
      <c r="E684" s="11"/>
      <c r="F684" s="12" t="str">
        <f t="shared" si="151"/>
        <v/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25">
      <c r="A685" s="59">
        <v>46199</v>
      </c>
      <c r="B685" s="15">
        <f t="shared" si="153"/>
        <v>0.6666666666666663</v>
      </c>
      <c r="C685" s="16"/>
      <c r="D685" s="63"/>
      <c r="E685" s="11"/>
      <c r="F685" s="17" t="str">
        <f t="shared" si="151"/>
        <v/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25">
      <c r="A686" s="58">
        <v>46199</v>
      </c>
      <c r="B686" s="9">
        <f t="shared" si="153"/>
        <v>0.70833333333333293</v>
      </c>
      <c r="C686" s="10"/>
      <c r="D686" s="62"/>
      <c r="E686" s="11"/>
      <c r="F686" s="12" t="str">
        <f t="shared" si="151"/>
        <v/>
      </c>
      <c r="G686" s="10"/>
      <c r="H686" s="10"/>
      <c r="I686" s="10"/>
      <c r="J686" s="13"/>
      <c r="K686" s="13"/>
      <c r="L686" s="70" t="str">
        <f t="shared" si="152"/>
        <v/>
      </c>
      <c r="M686" s="11"/>
      <c r="N686" s="41"/>
    </row>
    <row r="687" spans="1:14" ht="15" customHeight="1" x14ac:dyDescent="0.25">
      <c r="A687" s="59">
        <v>46199</v>
      </c>
      <c r="B687" s="15">
        <f t="shared" si="153"/>
        <v>0.74999999999999956</v>
      </c>
      <c r="C687" s="16"/>
      <c r="D687" s="63"/>
      <c r="E687" s="11"/>
      <c r="F687" s="17" t="str">
        <f t="shared" si="151"/>
        <v/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25">
      <c r="A688" s="58">
        <v>46199</v>
      </c>
      <c r="B688" s="9">
        <f t="shared" si="153"/>
        <v>0.79166666666666619</v>
      </c>
      <c r="C688" s="10"/>
      <c r="D688" s="62"/>
      <c r="E688" s="11"/>
      <c r="F688" s="12" t="str">
        <f t="shared" si="151"/>
        <v/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25">
      <c r="A689" s="90" t="s">
        <v>180</v>
      </c>
      <c r="B689" s="90"/>
      <c r="C689" s="90"/>
      <c r="D689" s="90"/>
      <c r="E689" s="19">
        <f>SUM(E677:E688)</f>
        <v>0</v>
      </c>
      <c r="F689" s="19">
        <f>SUM(F677:F688)</f>
        <v>0</v>
      </c>
      <c r="G689" s="38"/>
      <c r="H689" s="38"/>
      <c r="I689" s="38"/>
      <c r="J689" s="38"/>
      <c r="K689" s="38"/>
      <c r="L689" s="72">
        <f>IFERROR(SUM(L677:L688),"")</f>
        <v>0</v>
      </c>
      <c r="M689" s="19" t="s">
        <v>181</v>
      </c>
      <c r="N689" s="20"/>
    </row>
    <row r="690" spans="1:14" ht="15" customHeight="1" x14ac:dyDescent="0.25">
      <c r="A690" s="58">
        <v>46199</v>
      </c>
      <c r="B690" s="9">
        <v>0.83333333333333304</v>
      </c>
      <c r="C690" s="10"/>
      <c r="D690" s="62"/>
      <c r="E690" s="11"/>
      <c r="F690" s="12" t="str">
        <f t="shared" ref="F690:F701" si="154">IF(E690="","",E690*4)</f>
        <v/>
      </c>
      <c r="G690" s="10"/>
      <c r="H690" s="10"/>
      <c r="I690" s="10"/>
      <c r="J690" s="13"/>
      <c r="K690" s="13"/>
      <c r="L690" s="70" t="str">
        <f t="shared" ref="L690:L701" si="155">IFERROR(IF(K690="","",IF(K690&gt;=J690,K690-J690,K690+1-J690)),"")</f>
        <v/>
      </c>
      <c r="M690" s="11"/>
      <c r="N690" s="41"/>
    </row>
    <row r="691" spans="1:14" ht="15" customHeight="1" x14ac:dyDescent="0.25">
      <c r="A691" s="59">
        <v>46199</v>
      </c>
      <c r="B691" s="15">
        <f t="shared" ref="B691:B701" si="156">B690+TIME(0,60,0)</f>
        <v>0.87499999999999967</v>
      </c>
      <c r="C691" s="16"/>
      <c r="D691" s="63"/>
      <c r="E691" s="11"/>
      <c r="F691" s="17" t="str">
        <f t="shared" si="154"/>
        <v/>
      </c>
      <c r="G691" s="16"/>
      <c r="H691" s="16"/>
      <c r="I691" s="16"/>
      <c r="J691" s="13"/>
      <c r="K691" s="13"/>
      <c r="L691" s="71" t="str">
        <f t="shared" si="155"/>
        <v/>
      </c>
      <c r="M691" s="11"/>
      <c r="N691" s="41"/>
    </row>
    <row r="692" spans="1:14" ht="15" customHeight="1" x14ac:dyDescent="0.25">
      <c r="A692" s="58">
        <v>46199</v>
      </c>
      <c r="B692" s="9">
        <f t="shared" si="156"/>
        <v>0.9166666666666663</v>
      </c>
      <c r="C692" s="10"/>
      <c r="D692" s="62"/>
      <c r="E692" s="11"/>
      <c r="F692" s="12" t="str">
        <f t="shared" si="154"/>
        <v/>
      </c>
      <c r="G692" s="10"/>
      <c r="H692" s="10"/>
      <c r="I692" s="10"/>
      <c r="J692" s="13"/>
      <c r="K692" s="13"/>
      <c r="L692" s="70" t="str">
        <f t="shared" si="155"/>
        <v/>
      </c>
      <c r="M692" s="11"/>
      <c r="N692" s="41"/>
    </row>
    <row r="693" spans="1:14" ht="15" customHeight="1" x14ac:dyDescent="0.25">
      <c r="A693" s="59">
        <v>46199</v>
      </c>
      <c r="B693" s="15">
        <f t="shared" si="156"/>
        <v>0.95833333333333293</v>
      </c>
      <c r="C693" s="16"/>
      <c r="D693" s="63"/>
      <c r="E693" s="11"/>
      <c r="F693" s="17" t="str">
        <f t="shared" si="154"/>
        <v/>
      </c>
      <c r="G693" s="16"/>
      <c r="H693" s="16"/>
      <c r="I693" s="16"/>
      <c r="J693" s="13"/>
      <c r="K693" s="13"/>
      <c r="L693" s="71" t="str">
        <f t="shared" si="155"/>
        <v/>
      </c>
      <c r="M693" s="11"/>
      <c r="N693" s="41"/>
    </row>
    <row r="694" spans="1:14" ht="15" customHeight="1" x14ac:dyDescent="0.25">
      <c r="A694" s="58">
        <v>46199</v>
      </c>
      <c r="B694" s="9">
        <f t="shared" si="156"/>
        <v>0.99999999999999956</v>
      </c>
      <c r="C694" s="10"/>
      <c r="D694" s="62"/>
      <c r="E694" s="11"/>
      <c r="F694" s="12" t="str">
        <f t="shared" si="154"/>
        <v/>
      </c>
      <c r="G694" s="10"/>
      <c r="H694" s="10"/>
      <c r="I694" s="10"/>
      <c r="J694" s="13"/>
      <c r="K694" s="13"/>
      <c r="L694" s="70" t="str">
        <f t="shared" si="155"/>
        <v/>
      </c>
      <c r="M694" s="11"/>
      <c r="N694" s="41"/>
    </row>
    <row r="695" spans="1:14" ht="15" customHeight="1" x14ac:dyDescent="0.25">
      <c r="A695" s="59">
        <v>46199</v>
      </c>
      <c r="B695" s="15">
        <f t="shared" si="156"/>
        <v>1.0416666666666663</v>
      </c>
      <c r="C695" s="16"/>
      <c r="D695" s="63"/>
      <c r="E695" s="11"/>
      <c r="F695" s="17" t="str">
        <f t="shared" si="154"/>
        <v/>
      </c>
      <c r="G695" s="16"/>
      <c r="H695" s="16"/>
      <c r="I695" s="16"/>
      <c r="J695" s="13"/>
      <c r="K695" s="13"/>
      <c r="L695" s="71" t="str">
        <f t="shared" si="155"/>
        <v/>
      </c>
      <c r="M695" s="11"/>
      <c r="N695" s="41"/>
    </row>
    <row r="696" spans="1:14" ht="15" customHeight="1" x14ac:dyDescent="0.25">
      <c r="A696" s="58">
        <v>46199</v>
      </c>
      <c r="B696" s="9">
        <f t="shared" si="156"/>
        <v>1.083333333333333</v>
      </c>
      <c r="C696" s="10"/>
      <c r="D696" s="62"/>
      <c r="E696" s="11"/>
      <c r="F696" s="12" t="str">
        <f t="shared" si="154"/>
        <v/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25">
      <c r="A697" s="59">
        <v>46199</v>
      </c>
      <c r="B697" s="15">
        <f t="shared" si="156"/>
        <v>1.1249999999999998</v>
      </c>
      <c r="C697" s="16"/>
      <c r="D697" s="63"/>
      <c r="E697" s="11"/>
      <c r="F697" s="17" t="str">
        <f t="shared" si="154"/>
        <v/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25">
      <c r="A698" s="58">
        <v>46199</v>
      </c>
      <c r="B698" s="9">
        <f t="shared" si="156"/>
        <v>1.1666666666666665</v>
      </c>
      <c r="C698" s="10"/>
      <c r="D698" s="62"/>
      <c r="E698" s="11"/>
      <c r="F698" s="12" t="str">
        <f t="shared" si="154"/>
        <v/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25">
      <c r="A699" s="59">
        <v>46199</v>
      </c>
      <c r="B699" s="15">
        <f t="shared" si="156"/>
        <v>1.2083333333333333</v>
      </c>
      <c r="C699" s="16"/>
      <c r="D699" s="63"/>
      <c r="E699" s="11"/>
      <c r="F699" s="17" t="str">
        <f t="shared" si="154"/>
        <v/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25">
      <c r="A700" s="58">
        <v>46199</v>
      </c>
      <c r="B700" s="9">
        <f t="shared" si="156"/>
        <v>1.25</v>
      </c>
      <c r="C700" s="10"/>
      <c r="D700" s="62"/>
      <c r="E700" s="11"/>
      <c r="F700" s="12" t="str">
        <f t="shared" si="154"/>
        <v/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25">
      <c r="A701" s="59">
        <v>46199</v>
      </c>
      <c r="B701" s="15">
        <f t="shared" si="156"/>
        <v>1.2916666666666667</v>
      </c>
      <c r="C701" s="16"/>
      <c r="D701" s="63"/>
      <c r="E701" s="11"/>
      <c r="F701" s="17" t="str">
        <f t="shared" si="154"/>
        <v/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25">
      <c r="A702" s="90" t="s">
        <v>182</v>
      </c>
      <c r="B702" s="90"/>
      <c r="C702" s="90"/>
      <c r="D702" s="90"/>
      <c r="E702" s="19">
        <f>SUM(E690:E701)</f>
        <v>0</v>
      </c>
      <c r="F702" s="19">
        <f>SUM(F690:F701)</f>
        <v>0</v>
      </c>
      <c r="G702" s="38"/>
      <c r="H702" s="38"/>
      <c r="I702" s="38"/>
      <c r="J702" s="38"/>
      <c r="K702" s="38"/>
      <c r="L702" s="72">
        <f>IFERROR(SUM(L690:L701),"")</f>
        <v>0</v>
      </c>
      <c r="M702" s="19" t="s">
        <v>181</v>
      </c>
      <c r="N702" s="20"/>
    </row>
    <row r="703" spans="1:14" ht="18" customHeight="1" x14ac:dyDescent="0.25">
      <c r="A703" s="91" t="s">
        <v>183</v>
      </c>
      <c r="B703" s="91"/>
      <c r="C703" s="91"/>
      <c r="D703" s="91"/>
      <c r="E703" s="22">
        <f>E689+E702</f>
        <v>0</v>
      </c>
      <c r="F703" s="22">
        <f>F689+F702</f>
        <v>0</v>
      </c>
      <c r="G703" s="39"/>
      <c r="H703" s="39"/>
      <c r="I703" s="39"/>
      <c r="J703" s="39"/>
      <c r="K703" s="39"/>
      <c r="L703" s="73">
        <f>IFERROR(L689+L702,"")</f>
        <v>0</v>
      </c>
      <c r="M703" s="22" t="s">
        <v>184</v>
      </c>
      <c r="N703" s="31">
        <f>IFERROR(N689+N702,"")</f>
        <v>0</v>
      </c>
    </row>
    <row r="704" spans="1:14" ht="15" customHeight="1" x14ac:dyDescent="0.25">
      <c r="A704" s="58">
        <v>46200</v>
      </c>
      <c r="B704" s="9">
        <v>0.33333333333333298</v>
      </c>
      <c r="C704" s="10"/>
      <c r="D704" s="62"/>
      <c r="E704" s="11"/>
      <c r="F704" s="12" t="str">
        <f t="shared" ref="F704:F715" si="157">IF(E704="","",E704*4)</f>
        <v/>
      </c>
      <c r="G704" s="10"/>
      <c r="H704" s="10"/>
      <c r="I704" s="10"/>
      <c r="J704" s="13"/>
      <c r="K704" s="13"/>
      <c r="L704" s="70" t="str">
        <f t="shared" ref="L704:L715" si="158">IFERROR(IF(K704="","",IF(K704&gt;=J704,K704-J704,K704+1-J704)),"")</f>
        <v/>
      </c>
      <c r="M704" s="11"/>
      <c r="N704" s="41"/>
    </row>
    <row r="705" spans="1:14" ht="15" customHeight="1" x14ac:dyDescent="0.25">
      <c r="A705" s="59">
        <v>46200</v>
      </c>
      <c r="B705" s="15">
        <f t="shared" ref="B705:B715" si="159">B704+TIME(0,60,0)</f>
        <v>0.37499999999999967</v>
      </c>
      <c r="C705" s="16"/>
      <c r="D705" s="63"/>
      <c r="E705" s="11"/>
      <c r="F705" s="17" t="str">
        <f t="shared" si="157"/>
        <v/>
      </c>
      <c r="G705" s="16"/>
      <c r="H705" s="16"/>
      <c r="I705" s="16"/>
      <c r="J705" s="13"/>
      <c r="K705" s="13"/>
      <c r="L705" s="71" t="str">
        <f t="shared" si="158"/>
        <v/>
      </c>
      <c r="M705" s="11"/>
      <c r="N705" s="41"/>
    </row>
    <row r="706" spans="1:14" ht="15" customHeight="1" x14ac:dyDescent="0.25">
      <c r="A706" s="58">
        <v>46200</v>
      </c>
      <c r="B706" s="9">
        <f t="shared" si="159"/>
        <v>0.41666666666666635</v>
      </c>
      <c r="C706" s="10"/>
      <c r="D706" s="62"/>
      <c r="E706" s="11"/>
      <c r="F706" s="12" t="str">
        <f t="shared" si="157"/>
        <v/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 x14ac:dyDescent="0.25">
      <c r="A707" s="59">
        <v>46200</v>
      </c>
      <c r="B707" s="15">
        <f t="shared" si="159"/>
        <v>0.45833333333333304</v>
      </c>
      <c r="C707" s="16"/>
      <c r="D707" s="63"/>
      <c r="E707" s="11"/>
      <c r="F707" s="17" t="str">
        <f t="shared" si="157"/>
        <v/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 x14ac:dyDescent="0.25">
      <c r="A708" s="58">
        <v>46200</v>
      </c>
      <c r="B708" s="9">
        <f t="shared" si="159"/>
        <v>0.49999999999999972</v>
      </c>
      <c r="C708" s="10"/>
      <c r="D708" s="62"/>
      <c r="E708" s="11"/>
      <c r="F708" s="12" t="str">
        <f t="shared" si="157"/>
        <v/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 x14ac:dyDescent="0.25">
      <c r="A709" s="59">
        <v>46200</v>
      </c>
      <c r="B709" s="15">
        <f t="shared" si="159"/>
        <v>0.54166666666666641</v>
      </c>
      <c r="C709" s="16"/>
      <c r="D709" s="63"/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 x14ac:dyDescent="0.25">
      <c r="A710" s="58">
        <v>46200</v>
      </c>
      <c r="B710" s="9">
        <f t="shared" si="159"/>
        <v>0.58333333333333304</v>
      </c>
      <c r="C710" s="10"/>
      <c r="D710" s="62"/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 x14ac:dyDescent="0.25">
      <c r="A711" s="59">
        <v>46200</v>
      </c>
      <c r="B711" s="15">
        <f t="shared" si="159"/>
        <v>0.62499999999999967</v>
      </c>
      <c r="C711" s="16"/>
      <c r="D711" s="63"/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 x14ac:dyDescent="0.25">
      <c r="A712" s="58">
        <v>46200</v>
      </c>
      <c r="B712" s="9">
        <f t="shared" si="159"/>
        <v>0.6666666666666663</v>
      </c>
      <c r="C712" s="10"/>
      <c r="D712" s="62"/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 x14ac:dyDescent="0.25">
      <c r="A713" s="59">
        <v>46200</v>
      </c>
      <c r="B713" s="15">
        <f t="shared" si="159"/>
        <v>0.70833333333333293</v>
      </c>
      <c r="C713" s="16"/>
      <c r="D713" s="63"/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 x14ac:dyDescent="0.25">
      <c r="A714" s="58">
        <v>46200</v>
      </c>
      <c r="B714" s="9">
        <f t="shared" si="159"/>
        <v>0.74999999999999956</v>
      </c>
      <c r="C714" s="10"/>
      <c r="D714" s="62"/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 x14ac:dyDescent="0.25">
      <c r="A715" s="59">
        <v>46200</v>
      </c>
      <c r="B715" s="15">
        <f t="shared" si="159"/>
        <v>0.79166666666666619</v>
      </c>
      <c r="C715" s="16"/>
      <c r="D715" s="63"/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 x14ac:dyDescent="0.25">
      <c r="A716" s="90" t="s">
        <v>180</v>
      </c>
      <c r="B716" s="90"/>
      <c r="C716" s="90"/>
      <c r="D716" s="90"/>
      <c r="E716" s="19">
        <f>SUM(E704:E715)</f>
        <v>0</v>
      </c>
      <c r="F716" s="19">
        <f>SUM(F704:F715)</f>
        <v>0</v>
      </c>
      <c r="G716" s="38"/>
      <c r="H716" s="38"/>
      <c r="I716" s="38"/>
      <c r="J716" s="38"/>
      <c r="K716" s="38"/>
      <c r="L716" s="72">
        <f>IFERROR(SUM(L704:L715),"")</f>
        <v>0</v>
      </c>
      <c r="M716" s="19" t="s">
        <v>181</v>
      </c>
      <c r="N716" s="20"/>
    </row>
    <row r="717" spans="1:14" ht="15" customHeight="1" x14ac:dyDescent="0.25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 x14ac:dyDescent="0.25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 x14ac:dyDescent="0.25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 x14ac:dyDescent="0.25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25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25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25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25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25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25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25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25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25">
      <c r="A729" s="90" t="s">
        <v>182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181</v>
      </c>
      <c r="N729" s="20"/>
    </row>
    <row r="730" spans="1:14" ht="18" customHeight="1" x14ac:dyDescent="0.25">
      <c r="A730" s="91" t="s">
        <v>183</v>
      </c>
      <c r="B730" s="91"/>
      <c r="C730" s="91"/>
      <c r="D730" s="91"/>
      <c r="E730" s="22">
        <f>E716+E729</f>
        <v>0</v>
      </c>
      <c r="F730" s="22">
        <f>F716+F729</f>
        <v>0</v>
      </c>
      <c r="G730" s="39"/>
      <c r="H730" s="39"/>
      <c r="I730" s="39"/>
      <c r="J730" s="39"/>
      <c r="K730" s="39"/>
      <c r="L730" s="73">
        <f>IFERROR(L716+L729,"")</f>
        <v>0</v>
      </c>
      <c r="M730" s="22" t="s">
        <v>184</v>
      </c>
      <c r="N730" s="31">
        <f>IFERROR(N716+N729,"")</f>
        <v>0</v>
      </c>
    </row>
    <row r="731" spans="1:14" ht="15" customHeight="1" x14ac:dyDescent="0.25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 x14ac:dyDescent="0.25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 x14ac:dyDescent="0.25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 x14ac:dyDescent="0.25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 x14ac:dyDescent="0.25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25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25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25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25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25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25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25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25">
      <c r="A743" s="90" t="s">
        <v>180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181</v>
      </c>
      <c r="N743" s="20"/>
    </row>
    <row r="744" spans="1:14" ht="15" customHeight="1" x14ac:dyDescent="0.25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 x14ac:dyDescent="0.25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 x14ac:dyDescent="0.25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25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25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25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25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25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25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25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25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25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25">
      <c r="A756" s="90" t="s">
        <v>182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181</v>
      </c>
      <c r="N756" s="20"/>
    </row>
    <row r="757" spans="1:14" ht="18" customHeight="1" x14ac:dyDescent="0.25">
      <c r="A757" s="91" t="s">
        <v>183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184</v>
      </c>
      <c r="N757" s="31">
        <f>IFERROR(N743+N756,"")</f>
        <v>0</v>
      </c>
    </row>
    <row r="758" spans="1:14" ht="15" customHeight="1" x14ac:dyDescent="0.25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 x14ac:dyDescent="0.25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 x14ac:dyDescent="0.25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 x14ac:dyDescent="0.25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 x14ac:dyDescent="0.25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25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25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25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25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25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25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25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25">
      <c r="A770" s="90" t="s">
        <v>180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181</v>
      </c>
      <c r="N770" s="20"/>
    </row>
    <row r="771" spans="1:14" ht="15" customHeight="1" x14ac:dyDescent="0.25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 x14ac:dyDescent="0.25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25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25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25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25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25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25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25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25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25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25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25">
      <c r="A783" s="90" t="s">
        <v>182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181</v>
      </c>
      <c r="N783" s="20"/>
    </row>
    <row r="784" spans="1:14" ht="18" customHeight="1" x14ac:dyDescent="0.25">
      <c r="A784" s="91" t="s">
        <v>183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184</v>
      </c>
      <c r="N784" s="31">
        <f>IFERROR(N770+N783,"")</f>
        <v>0</v>
      </c>
    </row>
    <row r="785" spans="1:14" ht="15" customHeight="1" x14ac:dyDescent="0.25">
      <c r="A785" s="59">
        <v>46203</v>
      </c>
      <c r="B785" s="15">
        <v>0.33333333333333298</v>
      </c>
      <c r="C785" s="16"/>
      <c r="D785" s="63"/>
      <c r="E785" s="11"/>
      <c r="F785" s="17" t="str">
        <f t="shared" ref="F785:F796" si="175">IF(E785="","",E785*4)</f>
        <v/>
      </c>
      <c r="G785" s="16"/>
      <c r="H785" s="16"/>
      <c r="I785" s="16"/>
      <c r="J785" s="13"/>
      <c r="K785" s="13"/>
      <c r="L785" s="71" t="str">
        <f t="shared" ref="L785:L796" si="176">IFERROR(IF(K785="","",IF(K785&gt;=J785,K785-J785,K785+1-J785)),"")</f>
        <v/>
      </c>
      <c r="M785" s="11"/>
      <c r="N785" s="41"/>
    </row>
    <row r="786" spans="1:14" ht="15" customHeight="1" x14ac:dyDescent="0.25">
      <c r="A786" s="58">
        <v>46203</v>
      </c>
      <c r="B786" s="9">
        <f t="shared" ref="B786:B796" si="177">B785+TIME(0,60,0)</f>
        <v>0.37499999999999967</v>
      </c>
      <c r="C786" s="10"/>
      <c r="D786" s="62"/>
      <c r="E786" s="11"/>
      <c r="F786" s="12" t="str">
        <f t="shared" si="175"/>
        <v/>
      </c>
      <c r="G786" s="10"/>
      <c r="H786" s="10"/>
      <c r="I786" s="10"/>
      <c r="J786" s="13"/>
      <c r="K786" s="13"/>
      <c r="L786" s="70" t="str">
        <f t="shared" si="176"/>
        <v/>
      </c>
      <c r="M786" s="11"/>
      <c r="N786" s="41"/>
    </row>
    <row r="787" spans="1:14" ht="15" customHeight="1" x14ac:dyDescent="0.25">
      <c r="A787" s="59">
        <v>46203</v>
      </c>
      <c r="B787" s="15">
        <f t="shared" si="177"/>
        <v>0.41666666666666635</v>
      </c>
      <c r="C787" s="16"/>
      <c r="D787" s="63"/>
      <c r="E787" s="11"/>
      <c r="F787" s="17" t="str">
        <f t="shared" si="175"/>
        <v/>
      </c>
      <c r="G787" s="16"/>
      <c r="H787" s="16"/>
      <c r="I787" s="16"/>
      <c r="J787" s="13"/>
      <c r="K787" s="13"/>
      <c r="L787" s="71" t="str">
        <f t="shared" si="176"/>
        <v/>
      </c>
      <c r="M787" s="11"/>
      <c r="N787" s="41"/>
    </row>
    <row r="788" spans="1:14" ht="15" customHeight="1" x14ac:dyDescent="0.25">
      <c r="A788" s="58">
        <v>46203</v>
      </c>
      <c r="B788" s="9">
        <f t="shared" si="177"/>
        <v>0.45833333333333304</v>
      </c>
      <c r="C788" s="10"/>
      <c r="D788" s="62"/>
      <c r="E788" s="11"/>
      <c r="F788" s="12" t="str">
        <f t="shared" si="175"/>
        <v/>
      </c>
      <c r="G788" s="10"/>
      <c r="H788" s="10"/>
      <c r="I788" s="10"/>
      <c r="J788" s="13"/>
      <c r="K788" s="13"/>
      <c r="L788" s="70" t="str">
        <f t="shared" si="176"/>
        <v/>
      </c>
      <c r="M788" s="11"/>
      <c r="N788" s="41"/>
    </row>
    <row r="789" spans="1:14" ht="15" customHeight="1" x14ac:dyDescent="0.25">
      <c r="A789" s="59">
        <v>46203</v>
      </c>
      <c r="B789" s="15">
        <f t="shared" si="177"/>
        <v>0.49999999999999972</v>
      </c>
      <c r="C789" s="16"/>
      <c r="D789" s="63"/>
      <c r="E789" s="11"/>
      <c r="F789" s="17" t="str">
        <f t="shared" si="175"/>
        <v/>
      </c>
      <c r="G789" s="16"/>
      <c r="H789" s="16"/>
      <c r="I789" s="16"/>
      <c r="J789" s="13"/>
      <c r="K789" s="13"/>
      <c r="L789" s="71" t="str">
        <f t="shared" si="176"/>
        <v/>
      </c>
      <c r="M789" s="11"/>
      <c r="N789" s="41"/>
    </row>
    <row r="790" spans="1:14" ht="15" customHeight="1" x14ac:dyDescent="0.25">
      <c r="A790" s="58">
        <v>46203</v>
      </c>
      <c r="B790" s="9">
        <f t="shared" si="177"/>
        <v>0.54166666666666641</v>
      </c>
      <c r="C790" s="10"/>
      <c r="D790" s="62"/>
      <c r="E790" s="11"/>
      <c r="F790" s="12" t="str">
        <f t="shared" si="175"/>
        <v/>
      </c>
      <c r="G790" s="10"/>
      <c r="H790" s="10"/>
      <c r="I790" s="10"/>
      <c r="J790" s="13"/>
      <c r="K790" s="13"/>
      <c r="L790" s="70" t="str">
        <f t="shared" si="176"/>
        <v/>
      </c>
      <c r="M790" s="11"/>
      <c r="N790" s="41"/>
    </row>
    <row r="791" spans="1:14" ht="15" customHeight="1" x14ac:dyDescent="0.25">
      <c r="A791" s="59">
        <v>46203</v>
      </c>
      <c r="B791" s="15">
        <f t="shared" si="177"/>
        <v>0.58333333333333304</v>
      </c>
      <c r="C791" s="16"/>
      <c r="D791" s="63"/>
      <c r="E791" s="11"/>
      <c r="F791" s="17" t="str">
        <f t="shared" si="175"/>
        <v/>
      </c>
      <c r="G791" s="16"/>
      <c r="H791" s="16"/>
      <c r="I791" s="16"/>
      <c r="J791" s="13"/>
      <c r="K791" s="13"/>
      <c r="L791" s="71" t="str">
        <f t="shared" si="176"/>
        <v/>
      </c>
      <c r="M791" s="11"/>
      <c r="N791" s="41"/>
    </row>
    <row r="792" spans="1:14" ht="15" customHeight="1" x14ac:dyDescent="0.25">
      <c r="A792" s="58">
        <v>46203</v>
      </c>
      <c r="B792" s="9">
        <f t="shared" si="177"/>
        <v>0.62499999999999967</v>
      </c>
      <c r="C792" s="10"/>
      <c r="D792" s="62"/>
      <c r="E792" s="11"/>
      <c r="F792" s="12" t="str">
        <f t="shared" si="175"/>
        <v/>
      </c>
      <c r="G792" s="10"/>
      <c r="H792" s="10"/>
      <c r="I792" s="10"/>
      <c r="J792" s="13"/>
      <c r="K792" s="13"/>
      <c r="L792" s="70" t="str">
        <f t="shared" si="176"/>
        <v/>
      </c>
      <c r="M792" s="11"/>
      <c r="N792" s="41"/>
    </row>
    <row r="793" spans="1:14" ht="15" customHeight="1" x14ac:dyDescent="0.25">
      <c r="A793" s="59">
        <v>46203</v>
      </c>
      <c r="B793" s="15">
        <f t="shared" si="177"/>
        <v>0.6666666666666663</v>
      </c>
      <c r="C793" s="16"/>
      <c r="D793" s="63"/>
      <c r="E793" s="11"/>
      <c r="F793" s="17" t="str">
        <f t="shared" si="175"/>
        <v/>
      </c>
      <c r="G793" s="16"/>
      <c r="H793" s="16"/>
      <c r="I793" s="16"/>
      <c r="J793" s="13"/>
      <c r="K793" s="13"/>
      <c r="L793" s="71" t="str">
        <f t="shared" si="176"/>
        <v/>
      </c>
      <c r="M793" s="11"/>
      <c r="N793" s="41"/>
    </row>
    <row r="794" spans="1:14" ht="15" customHeight="1" x14ac:dyDescent="0.25">
      <c r="A794" s="58">
        <v>46203</v>
      </c>
      <c r="B794" s="9">
        <f t="shared" si="177"/>
        <v>0.70833333333333293</v>
      </c>
      <c r="C794" s="10"/>
      <c r="D794" s="62"/>
      <c r="E794" s="11"/>
      <c r="F794" s="12" t="str">
        <f t="shared" si="175"/>
        <v/>
      </c>
      <c r="G794" s="10"/>
      <c r="H794" s="10"/>
      <c r="I794" s="10"/>
      <c r="J794" s="13"/>
      <c r="K794" s="13"/>
      <c r="L794" s="70" t="str">
        <f t="shared" si="176"/>
        <v/>
      </c>
      <c r="M794" s="11"/>
      <c r="N794" s="41"/>
    </row>
    <row r="795" spans="1:14" ht="15" customHeight="1" x14ac:dyDescent="0.25">
      <c r="A795" s="59">
        <v>46203</v>
      </c>
      <c r="B795" s="15">
        <f t="shared" si="177"/>
        <v>0.74999999999999956</v>
      </c>
      <c r="C795" s="16"/>
      <c r="D795" s="63"/>
      <c r="E795" s="11"/>
      <c r="F795" s="17" t="str">
        <f t="shared" si="175"/>
        <v/>
      </c>
      <c r="G795" s="16"/>
      <c r="H795" s="16"/>
      <c r="I795" s="16"/>
      <c r="J795" s="13"/>
      <c r="K795" s="13"/>
      <c r="L795" s="71" t="str">
        <f t="shared" si="176"/>
        <v/>
      </c>
      <c r="M795" s="11"/>
      <c r="N795" s="41"/>
    </row>
    <row r="796" spans="1:14" ht="15" customHeight="1" x14ac:dyDescent="0.25">
      <c r="A796" s="58">
        <v>46203</v>
      </c>
      <c r="B796" s="9">
        <f t="shared" si="177"/>
        <v>0.79166666666666619</v>
      </c>
      <c r="C796" s="10"/>
      <c r="D796" s="62"/>
      <c r="E796" s="11"/>
      <c r="F796" s="12" t="str">
        <f t="shared" si="175"/>
        <v/>
      </c>
      <c r="G796" s="10"/>
      <c r="H796" s="10"/>
      <c r="I796" s="10"/>
      <c r="J796" s="13"/>
      <c r="K796" s="13"/>
      <c r="L796" s="70" t="str">
        <f t="shared" si="176"/>
        <v/>
      </c>
      <c r="M796" s="11"/>
      <c r="N796" s="41"/>
    </row>
    <row r="797" spans="1:14" ht="15.75" customHeight="1" x14ac:dyDescent="0.25">
      <c r="A797" s="90" t="s">
        <v>180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181</v>
      </c>
      <c r="N797" s="20"/>
    </row>
    <row r="798" spans="1:14" ht="15" customHeight="1" x14ac:dyDescent="0.25">
      <c r="A798" s="58">
        <v>46203</v>
      </c>
      <c r="B798" s="9">
        <v>0.83333333333333304</v>
      </c>
      <c r="C798" s="10"/>
      <c r="D798" s="62"/>
      <c r="E798" s="11"/>
      <c r="F798" s="12" t="str">
        <f t="shared" ref="F798:F809" si="178">IF(E798="","",E798*4)</f>
        <v/>
      </c>
      <c r="G798" s="10"/>
      <c r="H798" s="10"/>
      <c r="I798" s="10"/>
      <c r="J798" s="13"/>
      <c r="K798" s="13"/>
      <c r="L798" s="70" t="str">
        <f t="shared" ref="L798:L809" si="179">IFERROR(IF(K798="","",IF(K798&gt;=J798,K798-J798,K798+1-J798)),"")</f>
        <v/>
      </c>
      <c r="M798" s="11"/>
      <c r="N798" s="41"/>
    </row>
    <row r="799" spans="1:14" ht="15" customHeight="1" x14ac:dyDescent="0.25">
      <c r="A799" s="59">
        <v>46203</v>
      </c>
      <c r="B799" s="15">
        <f t="shared" ref="B799:B809" si="180">B798+TIME(0,60,0)</f>
        <v>0.87499999999999967</v>
      </c>
      <c r="C799" s="16"/>
      <c r="D799" s="63"/>
      <c r="E799" s="11"/>
      <c r="F799" s="17" t="str">
        <f t="shared" si="178"/>
        <v/>
      </c>
      <c r="G799" s="16"/>
      <c r="H799" s="16"/>
      <c r="I799" s="16"/>
      <c r="J799" s="13"/>
      <c r="K799" s="13"/>
      <c r="L799" s="71" t="str">
        <f t="shared" si="179"/>
        <v/>
      </c>
      <c r="M799" s="11"/>
      <c r="N799" s="41"/>
    </row>
    <row r="800" spans="1:14" ht="15" customHeight="1" x14ac:dyDescent="0.25">
      <c r="A800" s="58">
        <v>46203</v>
      </c>
      <c r="B800" s="9">
        <f t="shared" si="180"/>
        <v>0.9166666666666663</v>
      </c>
      <c r="C800" s="10"/>
      <c r="D800" s="62"/>
      <c r="E800" s="11"/>
      <c r="F800" s="12" t="str">
        <f t="shared" si="178"/>
        <v/>
      </c>
      <c r="G800" s="10"/>
      <c r="H800" s="10"/>
      <c r="I800" s="10"/>
      <c r="J800" s="13"/>
      <c r="K800" s="13"/>
      <c r="L800" s="70" t="str">
        <f t="shared" si="179"/>
        <v/>
      </c>
      <c r="M800" s="11"/>
      <c r="N800" s="41"/>
    </row>
    <row r="801" spans="1:14" ht="15" customHeight="1" x14ac:dyDescent="0.25">
      <c r="A801" s="59">
        <v>46203</v>
      </c>
      <c r="B801" s="15">
        <f t="shared" si="180"/>
        <v>0.95833333333333293</v>
      </c>
      <c r="C801" s="16"/>
      <c r="D801" s="63"/>
      <c r="E801" s="11"/>
      <c r="F801" s="17" t="str">
        <f t="shared" si="178"/>
        <v/>
      </c>
      <c r="G801" s="16"/>
      <c r="H801" s="16"/>
      <c r="I801" s="16"/>
      <c r="J801" s="13"/>
      <c r="K801" s="13"/>
      <c r="L801" s="71" t="str">
        <f t="shared" si="179"/>
        <v/>
      </c>
      <c r="M801" s="11"/>
      <c r="N801" s="41"/>
    </row>
    <row r="802" spans="1:14" ht="15" customHeight="1" x14ac:dyDescent="0.25">
      <c r="A802" s="58">
        <v>46203</v>
      </c>
      <c r="B802" s="9">
        <f t="shared" si="180"/>
        <v>0.99999999999999956</v>
      </c>
      <c r="C802" s="10"/>
      <c r="D802" s="62"/>
      <c r="E802" s="11"/>
      <c r="F802" s="12" t="str">
        <f t="shared" si="178"/>
        <v/>
      </c>
      <c r="G802" s="10"/>
      <c r="H802" s="10"/>
      <c r="I802" s="10"/>
      <c r="J802" s="13"/>
      <c r="K802" s="13"/>
      <c r="L802" s="70" t="str">
        <f t="shared" si="179"/>
        <v/>
      </c>
      <c r="M802" s="11"/>
      <c r="N802" s="41"/>
    </row>
    <row r="803" spans="1:14" ht="15" customHeight="1" x14ac:dyDescent="0.25">
      <c r="A803" s="59">
        <v>46203</v>
      </c>
      <c r="B803" s="15">
        <f t="shared" si="180"/>
        <v>1.0416666666666663</v>
      </c>
      <c r="C803" s="16"/>
      <c r="D803" s="63"/>
      <c r="E803" s="11"/>
      <c r="F803" s="17" t="str">
        <f t="shared" si="178"/>
        <v/>
      </c>
      <c r="G803" s="16"/>
      <c r="H803" s="16"/>
      <c r="I803" s="16"/>
      <c r="J803" s="13"/>
      <c r="K803" s="13"/>
      <c r="L803" s="71" t="str">
        <f t="shared" si="179"/>
        <v/>
      </c>
      <c r="M803" s="11"/>
      <c r="N803" s="41"/>
    </row>
    <row r="804" spans="1:14" ht="15" customHeight="1" x14ac:dyDescent="0.25">
      <c r="A804" s="58">
        <v>46203</v>
      </c>
      <c r="B804" s="9">
        <f t="shared" si="180"/>
        <v>1.083333333333333</v>
      </c>
      <c r="C804" s="10"/>
      <c r="D804" s="62"/>
      <c r="E804" s="11"/>
      <c r="F804" s="12" t="str">
        <f t="shared" si="178"/>
        <v/>
      </c>
      <c r="G804" s="10"/>
      <c r="H804" s="10"/>
      <c r="I804" s="10"/>
      <c r="J804" s="13"/>
      <c r="K804" s="13"/>
      <c r="L804" s="70" t="str">
        <f t="shared" si="179"/>
        <v/>
      </c>
      <c r="M804" s="11"/>
      <c r="N804" s="41"/>
    </row>
    <row r="805" spans="1:14" ht="15" customHeight="1" x14ac:dyDescent="0.25">
      <c r="A805" s="59">
        <v>46203</v>
      </c>
      <c r="B805" s="15">
        <f t="shared" si="180"/>
        <v>1.1249999999999998</v>
      </c>
      <c r="C805" s="16"/>
      <c r="D805" s="63"/>
      <c r="E805" s="11"/>
      <c r="F805" s="17" t="str">
        <f t="shared" si="178"/>
        <v/>
      </c>
      <c r="G805" s="16"/>
      <c r="H805" s="16"/>
      <c r="I805" s="16"/>
      <c r="J805" s="13"/>
      <c r="K805" s="13"/>
      <c r="L805" s="71" t="str">
        <f t="shared" si="179"/>
        <v/>
      </c>
      <c r="M805" s="11"/>
      <c r="N805" s="41"/>
    </row>
    <row r="806" spans="1:14" ht="15" customHeight="1" x14ac:dyDescent="0.25">
      <c r="A806" s="58">
        <v>46203</v>
      </c>
      <c r="B806" s="9">
        <f t="shared" si="180"/>
        <v>1.1666666666666665</v>
      </c>
      <c r="C806" s="10"/>
      <c r="D806" s="62"/>
      <c r="E806" s="11"/>
      <c r="F806" s="12" t="str">
        <f t="shared" si="178"/>
        <v/>
      </c>
      <c r="G806" s="10"/>
      <c r="H806" s="10"/>
      <c r="I806" s="10"/>
      <c r="J806" s="13"/>
      <c r="K806" s="13"/>
      <c r="L806" s="70" t="str">
        <f t="shared" si="179"/>
        <v/>
      </c>
      <c r="M806" s="11"/>
      <c r="N806" s="41"/>
    </row>
    <row r="807" spans="1:14" ht="15" customHeight="1" x14ac:dyDescent="0.25">
      <c r="A807" s="59">
        <v>46203</v>
      </c>
      <c r="B807" s="15">
        <f t="shared" si="180"/>
        <v>1.2083333333333333</v>
      </c>
      <c r="C807" s="16"/>
      <c r="D807" s="63"/>
      <c r="E807" s="11"/>
      <c r="F807" s="17" t="str">
        <f t="shared" si="178"/>
        <v/>
      </c>
      <c r="G807" s="16"/>
      <c r="H807" s="16"/>
      <c r="I807" s="16"/>
      <c r="J807" s="13"/>
      <c r="K807" s="13"/>
      <c r="L807" s="71" t="str">
        <f t="shared" si="179"/>
        <v/>
      </c>
      <c r="M807" s="11"/>
      <c r="N807" s="41"/>
    </row>
    <row r="808" spans="1:14" ht="15" customHeight="1" x14ac:dyDescent="0.25">
      <c r="A808" s="58">
        <v>46203</v>
      </c>
      <c r="B808" s="9">
        <f t="shared" si="180"/>
        <v>1.25</v>
      </c>
      <c r="C808" s="10"/>
      <c r="D808" s="62"/>
      <c r="E808" s="11"/>
      <c r="F808" s="12" t="str">
        <f t="shared" si="178"/>
        <v/>
      </c>
      <c r="G808" s="10"/>
      <c r="H808" s="10"/>
      <c r="I808" s="10"/>
      <c r="J808" s="13"/>
      <c r="K808" s="13"/>
      <c r="L808" s="70" t="str">
        <f t="shared" si="179"/>
        <v/>
      </c>
      <c r="M808" s="11"/>
      <c r="N808" s="41"/>
    </row>
    <row r="809" spans="1:14" ht="15" customHeight="1" x14ac:dyDescent="0.25">
      <c r="A809" s="59">
        <v>46203</v>
      </c>
      <c r="B809" s="15">
        <f t="shared" si="180"/>
        <v>1.2916666666666667</v>
      </c>
      <c r="C809" s="16"/>
      <c r="D809" s="63"/>
      <c r="E809" s="11"/>
      <c r="F809" s="17" t="str">
        <f t="shared" si="178"/>
        <v/>
      </c>
      <c r="G809" s="16"/>
      <c r="H809" s="16"/>
      <c r="I809" s="16"/>
      <c r="J809" s="13"/>
      <c r="K809" s="13"/>
      <c r="L809" s="71" t="str">
        <f t="shared" si="179"/>
        <v/>
      </c>
      <c r="M809" s="11"/>
      <c r="N809" s="41"/>
    </row>
    <row r="810" spans="1:14" ht="15.75" customHeight="1" x14ac:dyDescent="0.25">
      <c r="A810" s="90" t="s">
        <v>182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181</v>
      </c>
      <c r="N810" s="20"/>
    </row>
    <row r="811" spans="1:14" ht="18" customHeight="1" x14ac:dyDescent="0.25">
      <c r="A811" s="91" t="s">
        <v>183</v>
      </c>
      <c r="B811" s="91"/>
      <c r="C811" s="91"/>
      <c r="D811" s="91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2026-06-24T18:29:08Z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