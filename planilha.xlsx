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44" documentId="8_{AF585B22-221D-4780-BB9C-493D365A6A02}" xr6:coauthVersionLast="47" xr6:coauthVersionMax="47" xr10:uidLastSave="{07CC8A6E-E1EF-4A07-99BC-3ABC95DC6C9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<sst xmlns="http://schemas.openxmlformats.org/spreadsheetml/2006/main" count="12575" uniqueCount="445">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</sst>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L827" sqref="L8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234</v>
      </c>
      <c r="B662" s="114"/>
      <c r="C662" s="114"/>
      <c r="D662" s="114"/>
      <c r="E662" s="11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174</v>
      </c>
      <c r="G837" s="109">
        <f>SUM(G825:G836)</f>
        <v>870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307</v>
      </c>
      <c r="G838" s="111">
        <f>G824+G837</f>
        <v>870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11" activePane="bottomLeft" state="frozen"/>
      <selection pane="bottomLeft" activeCell="L830" sqref="L8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0.86282349536486436</v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1.0204623842537532</v>
      </c>
      <c r="N378" s="36" t="s">
        <v>237</v>
      </c>
      <c r="O378" s="77">
        <v>511980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1.1301846064759755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0.84129571758967359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1.012129050923007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1.1572679398118959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143</v>
      </c>
      <c r="G837" s="109">
        <f>SUM(G825:G836)</f>
        <v>613.40000000000009</v>
      </c>
      <c r="H837" s="37"/>
      <c r="I837" s="37"/>
      <c r="J837" s="37"/>
      <c r="K837" s="37"/>
      <c r="L837" s="37"/>
      <c r="M837" s="110">
        <f ca="1">IFERROR(SUM(M825:M836),"")</f>
        <v>4.0972222222222146E-2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312</v>
      </c>
      <c r="G838" s="111">
        <f>G824+G837</f>
        <v>1323.2000000000003</v>
      </c>
      <c r="H838" s="41"/>
      <c r="I838" s="41"/>
      <c r="J838" s="41"/>
      <c r="K838" s="41"/>
      <c r="L838" s="41"/>
      <c r="M838" s="112">
        <f ca="1">IFERROR(M824+M837,"")</f>
        <v>0.14583333333333326</v>
      </c>
      <c r="N838" s="111" t="s">
        <v>240</v>
      </c>
      <c r="O838" s="82">
        <f>IFERROR(O824+O837,"")</f>
        <v>741170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622:E622"/>
    <mergeCell ref="A635:E635"/>
    <mergeCell ref="A810:E810"/>
    <mergeCell ref="A811:E811"/>
    <mergeCell ref="A730:E730"/>
    <mergeCell ref="A743:E743"/>
    <mergeCell ref="A756:E756"/>
    <mergeCell ref="A757:E757"/>
    <mergeCell ref="A770:E770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L826" sqref="L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91</v>
      </c>
      <c r="G837" s="109">
        <f>SUM(G825:G836)</f>
        <v>391</v>
      </c>
      <c r="H837" s="37"/>
      <c r="I837" s="37"/>
      <c r="J837" s="37"/>
      <c r="K837" s="37"/>
      <c r="L837" s="37"/>
      <c r="M837" s="110">
        <f ca="1">IFERROR(SUM(M825:M836),"")</f>
        <v>2.0833333333333259E-3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186</v>
      </c>
      <c r="G838" s="111">
        <f>G824+G837</f>
        <v>790</v>
      </c>
      <c r="H838" s="41"/>
      <c r="I838" s="41"/>
      <c r="J838" s="41"/>
      <c r="K838" s="41"/>
      <c r="L838" s="41"/>
      <c r="M838" s="112">
        <f ca="1">IFERROR(M824+M837,"")</f>
        <v>5.9722222222222232E-2</v>
      </c>
      <c r="N838" s="111" t="s">
        <v>240</v>
      </c>
      <c r="O838" s="82">
        <f>IFERROR(O824+O837,"")</f>
        <v>441270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2" sqref="F8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0.85310127314733109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1.0524068287028867</v>
      </c>
      <c r="N135" s="36" t="s">
        <v>237</v>
      </c>
      <c r="O135" s="39">
        <v>729290</v>
      </c>
    </row>
    <row r="136" spans="1:18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1.4197679398139977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3" t="s">
        <v>236</v>
      </c>
      <c r="B338" s="114"/>
      <c r="C338" s="114"/>
      <c r="D338" s="114"/>
      <c r="E338" s="11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79</v>
      </c>
      <c r="G837" s="109">
        <f>SUM(G825:G836)</f>
        <v>331.8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198</v>
      </c>
      <c r="G838" s="111">
        <f>G824+G837</f>
        <v>831.60000000000014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2026-08-01T06:27:58Z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