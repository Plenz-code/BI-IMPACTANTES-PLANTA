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238" documentId="13_ncr:1_{0A10D8D4-8450-4366-8075-B53B08E6B7EA}" xr6:coauthVersionLast="47" xr6:coauthVersionMax="47" xr10:uidLastSave="{9AA3124E-C483-4929-836E-46DBDDB3EB60}"/>
  <bookViews>
    <workbookView xWindow="-28920" yWindow="-6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5" l="1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<sst xmlns="http://schemas.openxmlformats.org/spreadsheetml/2006/main" count="6516" uniqueCount="347">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</sst>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D357" sqref="D35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400</v>
      </c>
      <c r="G379" s="40">
        <f>G365+G378</f>
        <v>1966.4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N366" sqref="N36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0.71125150462466991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0.85014039351355875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0.93486261573578111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 t="s">
        <v>25</v>
      </c>
      <c r="M366" s="26" t="s">
        <v>143</v>
      </c>
      <c r="N366" s="26" t="s">
        <v>126</v>
      </c>
      <c r="O366" s="29">
        <v>0.29166666666666669</v>
      </c>
      <c r="P366" s="29"/>
      <c r="Q366" s="30">
        <f t="shared" ref="Q366:Q377" ca="1" si="88">IFERROR(IF(O366="","",IF(P366="",MOD(NOW()-O366,1),IF(P366&gt;=O366,P366-O366,P366+1-O366))),"")</f>
        <v>0.5411126157414401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0.5411126157414401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108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453.6</v>
      </c>
      <c r="L379" s="41"/>
      <c r="M379" s="41"/>
      <c r="N379" s="41"/>
      <c r="O379" s="41"/>
      <c r="P379" s="41"/>
      <c r="Q379" s="42">
        <f ca="1">IFERROR(Q365+Q378,"")</f>
        <v>0.62444594907477335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50" activePane="bottomLeft" state="frozen"/>
      <selection pane="bottomLeft" activeCell="O367" sqref="O36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/>
      <c r="Q366" s="30">
        <f t="shared" ref="Q366:Q377" ca="1" si="86">IFERROR(IF(O366="","",IF(P366="",MOD(NOW()-O366,1),IF(P366&gt;=O366,P366-O366,P366+1-O366))),"")</f>
        <v>2.3751504624669906E-2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2.3751504624669906E-2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90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378.00000000000011</v>
      </c>
      <c r="L379" s="41"/>
      <c r="M379" s="41"/>
      <c r="N379" s="41"/>
      <c r="O379" s="41"/>
      <c r="P379" s="41"/>
      <c r="Q379" s="42">
        <f ca="1">IFERROR(Q365+Q378,"")</f>
        <v>0.21889039351355871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O367" sqref="O36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/>
      <c r="H366" s="140" t="str">
        <f>IFERROR(IF($G366="","",$G366*$S$378/$G$378/Cadastro!$E$33),"")</f>
        <v/>
      </c>
      <c r="I366" s="141">
        <f>IFERROR(IF($D366="","",VLOOKUP($D366,Cadastro!$C$4:$G$7,5,FALSE)),"")</f>
        <v>0.6</v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/>
      <c r="Q366" s="30">
        <f t="shared" ref="Q366:Q377" ca="1" si="88">IFERROR(IF(O366="","",IF(P366="",MOD(NOW()-O366,1),IF(P366&gt;=O366,P366-O366,P366+1-O366))),"")</f>
        <v>1.1945949074288364E-2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/>
      <c r="H367" s="134" t="str">
        <f>IFERROR(IF($G367="","",$G367*$S$378/$G$378/Cadastro!$E$33),"")</f>
        <v/>
      </c>
      <c r="I367" s="135">
        <f>IFERROR(IF($D367="","",VLOOKUP($D367,Cadastro!$C$4:$G$7,5,FALSE)),"")</f>
        <v>0.6</v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/>
      <c r="H368" s="134" t="str">
        <f>IFERROR(IF($G368="","",$G368*$S$378/$G$378/Cadastro!$E$33),"")</f>
        <v/>
      </c>
      <c r="I368" s="135">
        <f>IFERROR(IF($D368="","",VLOOKUP($D368,Cadastro!$C$4:$G$7,5,FALSE)),"")</f>
        <v>0.6</v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/>
      <c r="H369" s="134" t="str">
        <f>IFERROR(IF($G369="","",$G369*$S$378/$G$378/Cadastro!$E$33),"")</f>
        <v/>
      </c>
      <c r="I369" s="135">
        <f>IFERROR(IF($D369="","",VLOOKUP($D369,Cadastro!$C$4:$G$7,5,FALSE)),"")</f>
        <v>0.6</v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/>
      <c r="H370" s="134" t="str">
        <f>IFERROR(IF($G370="","",$G370*$S$378/$G$378/Cadastro!$E$33),"")</f>
        <v/>
      </c>
      <c r="I370" s="135">
        <f>IFERROR(IF($D370="","",VLOOKUP($D370,Cadastro!$C$4:$G$7,5,FALSE)),"")</f>
        <v>0.6</v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1.1945949074288364E-2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823.2</v>
      </c>
      <c r="L379" s="41"/>
      <c r="M379" s="41"/>
      <c r="N379" s="41"/>
      <c r="O379" s="63"/>
      <c r="P379" s="63"/>
      <c r="Q379" s="42">
        <f ca="1">IFERROR(Q365+Q378,"")</f>
        <v>0.13000150462984406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2026-08-14T23:59:45Z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