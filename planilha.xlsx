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30" documentId="8_{AF585B22-221D-4780-BB9C-493D365A6A02}" xr6:coauthVersionLast="47" xr6:coauthVersionMax="47" xr10:uidLastSave="{818EA967-BB71-49B6-8633-BBB63520312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<sst xmlns="http://schemas.openxmlformats.org/spreadsheetml/2006/main" count="2941" uniqueCount="251">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</sst>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563870</v>
      </c>
      <c r="E9" s="11">
        <f>IFERROR('Linha 2'!O163,"")</f>
        <v>392960</v>
      </c>
      <c r="F9" s="11">
        <f>IFERROR('Linha 3'!O163,"")</f>
        <v>1190340</v>
      </c>
      <c r="G9" s="12">
        <f t="shared" si="0"/>
        <v>2147170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6328720</v>
      </c>
      <c r="E35" s="13">
        <f>IFERROR(SUM(E4:E34),"")</f>
        <v>3171550</v>
      </c>
      <c r="F35" s="13">
        <f>IFERROR(SUM(F4:F34),"")</f>
        <v>6166270</v>
      </c>
      <c r="G35" s="13">
        <f>IFERROR(SUM(G4:G34),"")</f>
        <v>15666540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O150" sqref="O1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79</v>
      </c>
      <c r="G163" s="40">
        <f>G149+G162</f>
        <v>395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O150" sqref="O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563870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95</v>
      </c>
      <c r="G163" s="40">
        <f>G149+G162</f>
        <v>475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563870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O150" sqref="O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392960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118</v>
      </c>
      <c r="G163" s="40">
        <f>G149+G162</f>
        <v>590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392960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O150" sqref="O1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0.5309956018536468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0.73030115740920243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1.0976622685203135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221</v>
      </c>
      <c r="G163" s="40">
        <f>G149+G162</f>
        <v>1105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2026-07-06T22:44:11Z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