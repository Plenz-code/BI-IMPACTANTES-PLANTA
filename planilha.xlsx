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387" documentId="8_{C51EB6CB-002B-4D6B-B68F-DDEBDB4460C0}" xr6:coauthVersionLast="47" xr6:coauthVersionMax="47" xr10:uidLastSave="{880DBF47-3782-4DED-A363-32C3CBCD53BF}"/>
  <bookViews>
    <workbookView xWindow="-108" yWindow="-108" windowWidth="23256" windowHeight="12456" tabRatio="500" firstSheet="4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57" i="5" l="1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M263" i="5"/>
  <c r="M262" i="5"/>
  <c r="G262" i="5"/>
  <c r="M261" i="5"/>
  <c r="G261" i="5"/>
  <c r="M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<sst xmlns="http://schemas.openxmlformats.org/spreadsheetml/2006/main" count="5284" uniqueCount="330">
  <si>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</si>
  <si>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</si>
  <si>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</si>
  <si>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</si>
  <si>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</si>
  <si>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</si>
  <si>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</si>
  <si>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</si>
  <si>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</si>
  <si>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</si>
  <si>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</si>
  <si>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</si>
  <si>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</si>
  <si>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</si>
  <si>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</si>
  <si>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</si>
  <si>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</si>
  <si>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</si>
  <si>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</si>
  <si>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</si>
  <si>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</si>
  <si>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</si>
  <si>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</si>
  <si>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</si>
  <si>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</si>
  <si>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</si>
  <si>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</si>
  <si>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</si>
  <si>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</si>
  <si>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</si>
  <si>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</si>
  <si>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</si>
  <si>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</si>
  <si>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</si>
  <si>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</si>
  <si>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</si>
  <si>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</si>
  <si>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</si>
  <si>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</si>
  <si>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</si>
  <si>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</si>
  <si>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</si>
  <si>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</si>
  <si>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</si>
  <si>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</si>
  <si>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</si>
  <si>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</si>
  <si>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</si>
  <si>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</si>
  <si>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</si>
  <si>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</si>
  <si>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</si>
  <si>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</si>
  <si>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</si>
  <si>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</si>
  <si>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</si>
  <si>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</si>
  <si>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</si>
  <si>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</si>
  <si>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</si>
  <si>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</si>
  <si>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</si>
  <si>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</si>
  <si>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</si>
  <si>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</si>
  <si>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</si>
  <si>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</si>
  <si>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</si>
  <si>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</si>
  <si>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</si>
  <si>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</si>
  <si>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</si>
  <si>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</si>
  <si>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</si>
  <si>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</si>
  <si>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</si>
  <si>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</si>
  <si>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</si>
  <si>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</si>
  <si>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</si>
  <si>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</si>
  <si>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</si>
  <si>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</si>
  <si>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</si>
  <si>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</si>
  <si>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</si>
  <si>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</si>
  <si>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</si>
  <si>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</si>
  <si>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</si>
  <si>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</si>
  <si>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</si>
  <si>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</si>
  <si>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</si>
  <si>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</si>
  <si>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</si>
  <si>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</si>
  <si>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</si>
  <si>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</si>
  <si>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</si>
  <si>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</si>
  <si>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</si>
  <si>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</si>
  <si>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</si>
  <si>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</si>
  <si>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</si>
  <si>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</si>
  <si>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</si>
  <si>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</si>
  <si>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</si>
  <si>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</si>
  <si>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</si>
  <si>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</si>
  <si>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</si>
  <si>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</si>
  <si>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</si>
  <si>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</si>
  <si>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</si>
  <si>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</si>
  <si>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</si>
  <si>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</si>
  <si>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</si>
  <si>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</si>
  <si>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</si>
  <si>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</si>
  <si>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</si>
  <si>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</si>
  <si>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</si>
  <si>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</si>
  <si>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</si>
  <si>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</si>
  <si>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</si>
  <si>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</si>
  <si>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</si>
  <si>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</si>
  <si>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</si>
  <si>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</si>
  <si>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</si>
  <si>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</si>
  <si>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</si>
  <si>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</si>
  <si>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</si>
  <si>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</si>
  <si>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</si>
  <si>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</si>
  <si>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</si>
  <si>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</si>
  <si>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</si>
  <si>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</si>
  <si>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</si>
  <si>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</si>
  <si>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</si>
  <si>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</si>
  <si>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</si>
  <si>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</si>
  <si>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</si>
  <si>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</si>
  <si>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</si>
  <si>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</si>
  <si>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</si>
  <si>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</si>
  <si>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</si>
  <si>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</si>
  <si>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</si>
  <si>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</si>
  <si>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</si>
  <si>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</si>
  <si>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</si>
  <si>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</si>
  <si>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</si>
  <si>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</si>
  <si>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</si>
  <si>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</si>
  <si>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</si>
  <si>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</si>
  <si>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</si>
  <si>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</si>
  <si>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</si>
  <si>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</si>
  <si>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</si>
  <si>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</si>
  <si>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</si>
  <si>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</si>
  <si>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</si>
  <si>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</si>
  <si>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</si>
  <si>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</si>
  <si>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</si>
  <si>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</si>
  <si>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</si>
  <si>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</si>
  <si>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</si>
  <si>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</si>
  <si>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</si>
  <si>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</si>
  <si>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</si>
  <si>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</si>
  <si>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</si>
  <si>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</si>
  <si>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</si>
  <si>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</si>
  <si>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</si>
  <si>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</si>
  <si>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</si>
  <si>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</si>
  <si>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</si>
  <si>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</si>
  <si>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</si>
  <si>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</si>
  <si>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</si>
  <si>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</si>
  <si>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</si>
  <si>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</si>
  <si>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</si>
  <si>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</si>
  <si>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</si>
  <si>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</si>
  <si>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</si>
  <si>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</si>
  <si>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</si>
  <si>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</si>
  <si>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</si>
  <si>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</si>
  <si>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</si>
  <si>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</si>
  <si>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</si>
  <si>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</si>
  <si>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</si>
  <si>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</si>
  <si>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</si>
  <si>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</si>
  <si>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</si>
  <si>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</si>
  <si>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</si>
  <si>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</si>
  <si>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</si>
  <si>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</si>
  <si>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</si>
  <si>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</si>
  <si>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</si>
  <si>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</si>
  <si>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</si>
  <si>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</si>
  <si>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</si>
  <si>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</si>
  <si>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</si>
  <si>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</si>
  <si>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</si>
  <si>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</si>
  <si>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</si>
  <si>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</si>
  <si>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</si>
  <si>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</si>
  <si>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</si>
  <si>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facas quebrou</t>
  </si>
  <si>
    <t>12 viagens com caminhão</t>
  </si>
  <si>
    <t>troca de pino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</si>
  <si>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</si>
  <si>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</si>
  <si>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</si>
  <si>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</si>
  <si>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</si>
  <si>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</si>
  <si>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</si>
  <si>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</si>
  <si>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</si>
  <si>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</si>
  <si>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</si>
  <si>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</si>
  <si>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</si>
  <si>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</si>
  <si>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</si>
  <si>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</si>
  <si>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</si>
  <si>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</si>
  <si>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</si>
  <si>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</si>
  <si>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</si>
  <si>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</si>
  <si>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</si>
  <si>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</si>
  <si>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</si>
  <si>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</si>
  <si>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serviço de solda nas grelhas e no queixo</t>
  </si>
  <si>
    <t>serviço de solda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</si>
  <si>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</si>
  <si>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</si>
  <si>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</si>
  <si>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</si>
  <si>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</si>
  <si>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</si>
  <si>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</si>
  <si>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</si>
  <si>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</si>
  <si>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</si>
  <si>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</si>
  <si>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</si>
  <si>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</si>
  <si>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</si>
  <si>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</si>
  <si>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</si>
  <si>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no moinho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</si>
  <si>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</si>
  <si>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</si>
  <si>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</si>
  <si>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</si>
  <si>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</si>
  <si>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</si>
  <si>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</si>
  <si>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</si>
  <si>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</si>
  <si>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</si>
  <si>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</si>
  <si>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</si>
  <si>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</si>
  <si>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</si>
  <si>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</si>
  <si>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</si>
  <si>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</si>
  <si>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</si>
  <si>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</si>
  <si>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</si>
  <si>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</si>
  <si>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</si>
  <si>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</si>
  <si>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</si>
  <si>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solda na grelha,ajuste no queixo</t>
  </si>
  <si>
    <t>foi feito um sevico de solda no moinho 4</t>
  </si>
  <si>
    <t xml:space="preserve">e troca de martelo 4/5 </t>
  </si>
  <si>
    <t>solda nas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</si>
</sst>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3694380</v>
      </c>
      <c r="D13" s="11">
        <f>IFERROR('Linha 1'!O271,"")</f>
        <v>1630320</v>
      </c>
      <c r="E13" s="11">
        <f>IFERROR('Linha 2'!O271,"")</f>
        <v>877340</v>
      </c>
      <c r="F13" s="11">
        <f>IFERROR('Linha 3'!O271,"")</f>
        <v>1486920</v>
      </c>
      <c r="G13" s="12">
        <f t="shared" si="0"/>
        <v>3994580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34131890</v>
      </c>
      <c r="D35" s="13">
        <f>IFERROR(SUM(D4:D34),"")</f>
        <v>11283420</v>
      </c>
      <c r="E35" s="13">
        <f>IFERROR(SUM(E4:E34),"")</f>
        <v>5437280</v>
      </c>
      <c r="F35" s="13">
        <f>IFERROR(SUM(F4:F34),"")</f>
        <v>13886140</v>
      </c>
      <c r="G35" s="13">
        <f>IFERROR(SUM(G4:G34),"")</f>
        <v>30606840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3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3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3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3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3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3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3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3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3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3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3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3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3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3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3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3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3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3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3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3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3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3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3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3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3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3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3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13"/>
      <c r="I58" s="16"/>
      <c r="J58" s="16"/>
      <c r="K58" s="16" t="s">
        <v>208</v>
      </c>
      <c r="L58" s="16"/>
      <c r="M58" s="16"/>
    </row>
    <row r="59" spans="1:13" ht="15" customHeight="1">
      <c r="H59" s="113"/>
      <c r="I59" s="17"/>
      <c r="J59" s="17"/>
      <c r="K59" s="17" t="s">
        <v>209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210</v>
      </c>
      <c r="L61" s="17"/>
      <c r="M61" s="17"/>
    </row>
    <row r="62" spans="1:13" ht="15" customHeight="1">
      <c r="H62" s="113"/>
      <c r="I62" s="16"/>
      <c r="J62" s="16"/>
      <c r="K62" s="16" t="s">
        <v>211</v>
      </c>
      <c r="L62" s="16"/>
      <c r="M62" s="16"/>
    </row>
    <row r="63" spans="1:13" ht="15" customHeight="1">
      <c r="H63" s="113"/>
      <c r="I63" s="17"/>
      <c r="J63" s="17"/>
      <c r="K63" s="17" t="s">
        <v>212</v>
      </c>
      <c r="L63" s="17"/>
      <c r="M63" s="17"/>
    </row>
    <row r="64" spans="1:13" ht="15" customHeight="1">
      <c r="H64" s="113"/>
      <c r="I64" s="16"/>
      <c r="J64" s="16"/>
      <c r="K64" s="16" t="s">
        <v>213</v>
      </c>
      <c r="L64" s="16"/>
      <c r="M64" s="16"/>
    </row>
    <row r="65" spans="8:13" ht="15" customHeight="1">
      <c r="H65" s="113"/>
      <c r="I65" s="17"/>
      <c r="J65" s="17"/>
      <c r="K65" s="17" t="s">
        <v>214</v>
      </c>
      <c r="L65" s="17"/>
      <c r="M65" s="17"/>
    </row>
    <row r="66" spans="8:13" ht="15" customHeight="1">
      <c r="H66" s="113"/>
      <c r="I66" s="16"/>
      <c r="J66" s="16"/>
      <c r="K66" s="16" t="s">
        <v>215</v>
      </c>
      <c r="L66" s="16"/>
      <c r="M66" s="16"/>
    </row>
    <row r="67" spans="8:13" ht="15" customHeight="1">
      <c r="H67" s="113"/>
      <c r="I67" s="17"/>
      <c r="J67" s="17"/>
      <c r="K67" s="17" t="s">
        <v>216</v>
      </c>
      <c r="L67" s="17"/>
      <c r="M67" s="17"/>
    </row>
    <row r="68" spans="8:13" ht="15" customHeight="1">
      <c r="H68" s="113"/>
      <c r="I68" s="16"/>
      <c r="J68" s="16"/>
      <c r="K68" s="16" t="s">
        <v>217</v>
      </c>
      <c r="L68" s="16"/>
      <c r="M68" s="16"/>
    </row>
    <row r="69" spans="8:13" ht="15" customHeight="1">
      <c r="H69" s="113"/>
      <c r="I69" s="17"/>
      <c r="J69" s="17"/>
      <c r="K69" s="17" t="s">
        <v>218</v>
      </c>
      <c r="L69" s="17"/>
      <c r="M69" s="17"/>
    </row>
    <row r="70" spans="8:13" ht="15" customHeight="1">
      <c r="H70" s="113"/>
      <c r="I70" s="16"/>
      <c r="J70" s="16"/>
      <c r="K70" s="16" t="s">
        <v>219</v>
      </c>
      <c r="L70" s="16"/>
      <c r="M70" s="16"/>
    </row>
    <row r="71" spans="8:13" ht="15" customHeight="1">
      <c r="H71" s="113"/>
      <c r="I71" s="17"/>
      <c r="J71" s="17"/>
      <c r="K71" s="17" t="s">
        <v>220</v>
      </c>
      <c r="L71" s="17"/>
      <c r="M71" s="17"/>
    </row>
    <row r="72" spans="8:13" ht="15" customHeight="1">
      <c r="H72" s="113"/>
      <c r="I72" s="16"/>
      <c r="J72" s="16"/>
      <c r="K72" s="16" t="s">
        <v>221</v>
      </c>
      <c r="L72" s="16"/>
      <c r="M72" s="16"/>
    </row>
    <row r="73" spans="8:13" ht="15" customHeight="1">
      <c r="H73" s="113"/>
      <c r="I73" s="17"/>
      <c r="J73" s="17"/>
      <c r="K73" s="17" t="s">
        <v>222</v>
      </c>
      <c r="L73" s="17"/>
      <c r="M73" s="17"/>
    </row>
    <row r="74" spans="8:13" ht="15" customHeight="1">
      <c r="H74" s="113"/>
      <c r="I74" s="16"/>
      <c r="J74" s="16"/>
      <c r="K74" s="16" t="s">
        <v>223</v>
      </c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60" zoomScaleNormal="60" workbookViewId="0">
      <pane ySplit="1" topLeftCell="A247" activePane="bottomLeft" state="frozen"/>
      <selection pane="bottomLeft" activeCell="E277" sqref="E277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15" t="s">
        <v>235</v>
      </c>
      <c r="B230" s="116"/>
      <c r="C230" s="116"/>
      <c r="D230" s="116"/>
      <c r="E230" s="117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 t="s">
        <v>19</v>
      </c>
      <c r="I247" s="33" t="s">
        <v>23</v>
      </c>
      <c r="J247" s="33" t="s">
        <v>67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 t="s">
        <v>254</v>
      </c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255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>
        <v>37</v>
      </c>
      <c r="G252" s="34">
        <f t="shared" si="54"/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234</v>
      </c>
      <c r="F254" s="27">
        <v>49</v>
      </c>
      <c r="G254" s="34">
        <f t="shared" si="54"/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27">
        <v>40</v>
      </c>
      <c r="G255" s="28">
        <f t="shared" si="54"/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27">
        <v>0</v>
      </c>
      <c r="G256" s="34">
        <f t="shared" si="54"/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236</v>
      </c>
      <c r="O257" s="39">
        <v>2149680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234</v>
      </c>
      <c r="F258" s="27">
        <v>0</v>
      </c>
      <c r="G258" s="34">
        <f t="shared" ref="G258:G269" si="57">IF(F258="","",IF(E258="PC 17",F258*4.2,IF(E258="PC 19",F258*5,IF(E258="CB",F258*35,""))))</f>
        <v>0</v>
      </c>
      <c r="H258" s="26" t="s">
        <v>19</v>
      </c>
      <c r="I258" s="26" t="s">
        <v>23</v>
      </c>
      <c r="J258" s="26" t="s">
        <v>89</v>
      </c>
      <c r="K258" s="29">
        <v>0.79652777777777772</v>
      </c>
      <c r="L258" s="29">
        <v>0.84652777777777777</v>
      </c>
      <c r="M258" s="30">
        <f t="shared" ref="M258:M269" ca="1" si="58">IFERROR(IF(K258="","",IF(L258="",MOD(NOW()-K258,1),IF(L258&gt;=K258,L258-K258,L258+1-K258))),"")</f>
        <v>5.0000000000000044E-2</v>
      </c>
      <c r="N258" s="46" t="s">
        <v>256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234</v>
      </c>
      <c r="F259" s="27">
        <v>15</v>
      </c>
      <c r="G259" s="28">
        <f t="shared" si="57"/>
        <v>75</v>
      </c>
      <c r="H259" s="50" t="s">
        <v>20</v>
      </c>
      <c r="I259" s="50" t="s">
        <v>23</v>
      </c>
      <c r="J259" s="50" t="s">
        <v>134</v>
      </c>
      <c r="K259" s="29">
        <v>0.20416666666666666</v>
      </c>
      <c r="L259" s="29">
        <v>0.23958333333333334</v>
      </c>
      <c r="M259" s="35">
        <f t="shared" ca="1" si="58"/>
        <v>3.541666666666668E-2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234</v>
      </c>
      <c r="F260" s="27">
        <v>10</v>
      </c>
      <c r="G260" s="34">
        <f t="shared" si="57"/>
        <v>50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234</v>
      </c>
      <c r="F261" s="27">
        <v>10</v>
      </c>
      <c r="G261" s="28">
        <f t="shared" si="57"/>
        <v>50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234</v>
      </c>
      <c r="F262" s="27">
        <v>20</v>
      </c>
      <c r="G262" s="34">
        <f t="shared" si="57"/>
        <v>100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234</v>
      </c>
      <c r="F263" s="27">
        <v>15</v>
      </c>
      <c r="G263" s="28">
        <f t="shared" si="57"/>
        <v>75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234</v>
      </c>
      <c r="F265" s="27">
        <v>27</v>
      </c>
      <c r="G265" s="28">
        <f t="shared" si="57"/>
        <v>135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234</v>
      </c>
      <c r="F266" s="27">
        <v>37</v>
      </c>
      <c r="G266" s="34">
        <f t="shared" si="57"/>
        <v>185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234</v>
      </c>
      <c r="F267" s="27">
        <v>29</v>
      </c>
      <c r="G267" s="28">
        <f t="shared" si="57"/>
        <v>145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234</v>
      </c>
      <c r="F268" s="27">
        <v>15</v>
      </c>
      <c r="G268" s="34">
        <f t="shared" si="57"/>
        <v>75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234</v>
      </c>
      <c r="F269" s="27">
        <v>27</v>
      </c>
      <c r="G269" s="28">
        <f t="shared" si="57"/>
        <v>135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236</v>
      </c>
      <c r="O270" s="39">
        <v>1544700</v>
      </c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240</v>
      </c>
      <c r="O271" s="48">
        <f>IFERROR(O257+O270,"")</f>
        <v>3694380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234</v>
      </c>
      <c r="F272" s="27">
        <v>37</v>
      </c>
      <c r="G272" s="28">
        <f t="shared" ref="G272:G283" si="60">IF(F272="","",IF(E272="PC 17",F272*4.2,IF(E272="PC 19",F272*5,IF(E272="CB",F272*35,""))))</f>
        <v>185</v>
      </c>
      <c r="H272" s="26" t="s">
        <v>18</v>
      </c>
      <c r="I272" s="26" t="s">
        <v>23</v>
      </c>
      <c r="J272" s="26" t="s">
        <v>166</v>
      </c>
      <c r="K272" s="29">
        <v>0.3347222222222222</v>
      </c>
      <c r="L272" s="29">
        <v>0.34097222222222223</v>
      </c>
      <c r="M272" s="30">
        <f t="shared" ref="M272:M283" ca="1" si="61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234</v>
      </c>
      <c r="F273" s="27">
        <v>31</v>
      </c>
      <c r="G273" s="34">
        <f t="shared" si="60"/>
        <v>155</v>
      </c>
      <c r="H273" s="33" t="s">
        <v>20</v>
      </c>
      <c r="I273" s="33" t="s">
        <v>23</v>
      </c>
      <c r="J273" s="33" t="s">
        <v>134</v>
      </c>
      <c r="K273" s="29">
        <v>0.39861111111111114</v>
      </c>
      <c r="L273" s="29">
        <v>0.44027777777777777</v>
      </c>
      <c r="M273" s="35">
        <f t="shared" ca="1" si="61"/>
        <v>4.166666666666663E-2</v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234</v>
      </c>
      <c r="F274" s="27">
        <v>20</v>
      </c>
      <c r="G274" s="28">
        <f t="shared" si="60"/>
        <v>100</v>
      </c>
      <c r="H274" s="26" t="s">
        <v>19</v>
      </c>
      <c r="I274" s="26" t="s">
        <v>23</v>
      </c>
      <c r="J274" s="26" t="s">
        <v>67</v>
      </c>
      <c r="K274" s="29">
        <v>0.44722222222222224</v>
      </c>
      <c r="L274" s="29"/>
      <c r="M274" s="30">
        <f t="shared" ca="1" si="61"/>
        <v>2.9762152771581896E-2</v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234</v>
      </c>
      <c r="F275" s="27">
        <v>8</v>
      </c>
      <c r="G275" s="34">
        <f t="shared" si="60"/>
        <v>40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234</v>
      </c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234</v>
      </c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96</v>
      </c>
      <c r="G284" s="36">
        <f>SUM(G272:G283)</f>
        <v>480</v>
      </c>
      <c r="H284" s="37"/>
      <c r="I284" s="37"/>
      <c r="J284" s="37"/>
      <c r="K284" s="37"/>
      <c r="L284" s="37"/>
      <c r="M284" s="38">
        <f ca="1">IFERROR(SUM(M272:M283),"")</f>
        <v>7.7678819438248559E-2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96</v>
      </c>
      <c r="G298" s="40">
        <f>G284+G297</f>
        <v>480</v>
      </c>
      <c r="H298" s="41"/>
      <c r="I298" s="41"/>
      <c r="J298" s="41"/>
      <c r="K298" s="41"/>
      <c r="L298" s="41"/>
      <c r="M298" s="42">
        <f ca="1">IFERROR(M284+M297,"")</f>
        <v>7.7678819438248559E-2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8" t="s">
        <v>239</v>
      </c>
      <c r="B811" s="119"/>
      <c r="C811" s="119"/>
      <c r="D811" s="119"/>
      <c r="E811" s="120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255" activePane="bottomLeft" state="frozen"/>
      <selection pane="bottomLeft" activeCell="N274" sqref="N27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257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258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259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260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261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262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263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264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0.35545659721537959</v>
      </c>
      <c r="N53" s="46" t="s">
        <v>265</v>
      </c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0.49434548610426848</v>
      </c>
      <c r="N54" s="36" t="s">
        <v>236</v>
      </c>
      <c r="O54" s="84">
        <v>352430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0.57906770832649079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257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266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267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268</v>
      </c>
      <c r="M96" s="30" t="str">
        <f t="shared" ref="M96:M107" ca="1" si="22">IFERROR(IF(K96="","",IF(L96="",MOD(NOW()-K96,1),IF(L96&gt;=K96,L96-K96,L96+1-K96))),"")</f>
        <v/>
      </c>
      <c r="N96" s="46" t="s">
        <v>269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270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271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272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273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274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275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277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274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278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279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272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266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280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281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282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235</v>
      </c>
      <c r="B230" s="116"/>
      <c r="C230" s="116"/>
      <c r="D230" s="116"/>
      <c r="E230" s="117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20</v>
      </c>
      <c r="G255" s="28">
        <f t="shared" si="54"/>
        <v>84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13</v>
      </c>
      <c r="G256" s="34">
        <f t="shared" si="54"/>
        <v>54.6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183</v>
      </c>
      <c r="G257" s="36">
        <f>SUM(G245:G256)</f>
        <v>825.4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>
        <v>898190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14</v>
      </c>
      <c r="G258" s="34">
        <f t="shared" ref="G258:G269" si="57">IF(F258="","",IF(E258="PC 17",F258*4.2,IF(E258="PC 19",F258*5,IF(E258="CB",F258*24,""))))</f>
        <v>58.800000000000004</v>
      </c>
      <c r="H258" s="26" t="s">
        <v>20</v>
      </c>
      <c r="I258" s="26"/>
      <c r="J258" s="26" t="s">
        <v>131</v>
      </c>
      <c r="K258" s="29">
        <v>0.82291666666666663</v>
      </c>
      <c r="L258" s="29">
        <v>0.82708333333333328</v>
      </c>
      <c r="M258" s="30">
        <f t="shared" ref="M258:M269" ca="1" si="58">IFERROR(IF(K258="","",IF(L258="",MOD(NOW()-K258,1),IF(L258&gt;=K258,L258-K258,L258+1-K258))),"")</f>
        <v>4.1666666666666519E-3</v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15</v>
      </c>
      <c r="G259" s="28">
        <f t="shared" si="57"/>
        <v>63</v>
      </c>
      <c r="H259" s="50" t="s">
        <v>19</v>
      </c>
      <c r="I259" s="50" t="s">
        <v>159</v>
      </c>
      <c r="J259" s="50" t="s">
        <v>27</v>
      </c>
      <c r="K259" s="29">
        <v>0.90347222222222223</v>
      </c>
      <c r="L259" s="29">
        <v>0.92986111111111114</v>
      </c>
      <c r="M259" s="35">
        <f t="shared" ca="1" si="58"/>
        <v>2.6388888888888906E-2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7</v>
      </c>
      <c r="G260" s="34">
        <f t="shared" si="57"/>
        <v>29.400000000000002</v>
      </c>
      <c r="H260" s="33" t="s">
        <v>20</v>
      </c>
      <c r="I260" s="26" t="s">
        <v>138</v>
      </c>
      <c r="J260" s="33" t="s">
        <v>74</v>
      </c>
      <c r="K260" s="29">
        <v>9.7222222222222224E-2</v>
      </c>
      <c r="L260" s="29">
        <v>0.125</v>
      </c>
      <c r="M260" s="30">
        <f t="shared" ca="1" si="58"/>
        <v>2.7777777777777776E-2</v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13</v>
      </c>
      <c r="G261" s="28">
        <f t="shared" si="57"/>
        <v>54.6</v>
      </c>
      <c r="H261" s="33" t="s">
        <v>19</v>
      </c>
      <c r="I261" s="33" t="s">
        <v>159</v>
      </c>
      <c r="J261" s="33" t="s">
        <v>27</v>
      </c>
      <c r="K261" s="29">
        <v>0.25</v>
      </c>
      <c r="L261" s="29">
        <v>0.27083333333333331</v>
      </c>
      <c r="M261" s="35">
        <f t="shared" ca="1" si="58"/>
        <v>2.0833333333333315E-2</v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24</v>
      </c>
      <c r="G262" s="34">
        <f t="shared" si="57"/>
        <v>100.80000000000001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12</v>
      </c>
      <c r="G263" s="28">
        <f t="shared" si="57"/>
        <v>50.400000000000006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22</v>
      </c>
      <c r="G264" s="34">
        <f t="shared" si="57"/>
        <v>92.4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23</v>
      </c>
      <c r="G266" s="34">
        <f t="shared" si="57"/>
        <v>96.600000000000009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13</v>
      </c>
      <c r="G267" s="28">
        <f t="shared" si="57"/>
        <v>54.6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17</v>
      </c>
      <c r="G268" s="34">
        <f t="shared" si="57"/>
        <v>71.400000000000006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4</v>
      </c>
      <c r="G269" s="28">
        <f t="shared" si="57"/>
        <v>16.8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164</v>
      </c>
      <c r="G270" s="36">
        <f>SUM(G258:G269)</f>
        <v>688.8</v>
      </c>
      <c r="H270" s="37"/>
      <c r="I270" s="37"/>
      <c r="J270" s="37"/>
      <c r="K270" s="37"/>
      <c r="L270" s="37"/>
      <c r="M270" s="38">
        <f ca="1">IFERROR(SUM(M258:M269),"")</f>
        <v>7.9166666666666649E-2</v>
      </c>
      <c r="N270" s="36" t="s">
        <v>236</v>
      </c>
      <c r="O270" s="77">
        <v>732130</v>
      </c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347</v>
      </c>
      <c r="G271" s="40">
        <f>G257+G270</f>
        <v>1514.1999999999998</v>
      </c>
      <c r="H271" s="41"/>
      <c r="I271" s="41"/>
      <c r="J271" s="41"/>
      <c r="K271" s="41"/>
      <c r="L271" s="41"/>
      <c r="M271" s="42">
        <f ca="1">IFERROR(M257+M270,"")</f>
        <v>0.10625000000000005</v>
      </c>
      <c r="N271" s="40" t="s">
        <v>240</v>
      </c>
      <c r="O271" s="83">
        <f>IFERROR(O257+O270,"")</f>
        <v>1630320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7</v>
      </c>
      <c r="G272" s="28">
        <f t="shared" ref="G272:G283" si="60">IF(F272="","",IF(E272="PC 17",F272*4.2,IF(E272="PC 19",F272*5,IF(E272="CB",F272*24,""))))</f>
        <v>29.400000000000002</v>
      </c>
      <c r="H272" s="26" t="s">
        <v>20</v>
      </c>
      <c r="I272" s="26" t="s">
        <v>31</v>
      </c>
      <c r="J272" s="26" t="s">
        <v>56</v>
      </c>
      <c r="K272" s="29">
        <v>0.29166666666666669</v>
      </c>
      <c r="L272" s="29">
        <v>0.31597222222222221</v>
      </c>
      <c r="M272" s="30">
        <f t="shared" ref="M272:M283" ca="1" si="61">IFERROR(IF(K272="","",IF(L272="",MOD(NOW()-K272,1),IF(L272&gt;=K272,L272-K272,L272+1-K272))),"")</f>
        <v>2.4305555555555525E-2</v>
      </c>
      <c r="N272" s="46" t="s">
        <v>283</v>
      </c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6</v>
      </c>
      <c r="G273" s="34">
        <f t="shared" si="60"/>
        <v>25.200000000000003</v>
      </c>
      <c r="H273" s="33" t="s">
        <v>20</v>
      </c>
      <c r="I273" s="33" t="s">
        <v>39</v>
      </c>
      <c r="J273" s="33" t="s">
        <v>56</v>
      </c>
      <c r="K273" s="29">
        <v>0.37152777777777779</v>
      </c>
      <c r="L273" s="29">
        <v>0.3840277777777778</v>
      </c>
      <c r="M273" s="35">
        <f t="shared" ca="1" si="61"/>
        <v>1.2500000000000011E-2</v>
      </c>
      <c r="N273" s="46" t="s">
        <v>284</v>
      </c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5</v>
      </c>
      <c r="G274" s="28">
        <f t="shared" si="60"/>
        <v>21</v>
      </c>
      <c r="H274" s="26" t="s">
        <v>20</v>
      </c>
      <c r="I274" s="26" t="s">
        <v>39</v>
      </c>
      <c r="J274" s="26" t="s">
        <v>51</v>
      </c>
      <c r="K274" s="29">
        <v>0.46597222222222223</v>
      </c>
      <c r="L274" s="29">
        <v>0.47430555555555554</v>
      </c>
      <c r="M274" s="30">
        <f t="shared" ca="1" si="61"/>
        <v>8.3333333333333037E-3</v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10</v>
      </c>
      <c r="G275" s="34">
        <f t="shared" si="60"/>
        <v>42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16</v>
      </c>
      <c r="G276" s="28">
        <f t="shared" si="60"/>
        <v>67.2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44</v>
      </c>
      <c r="G284" s="36">
        <f>SUM(G272:G283)</f>
        <v>184.8</v>
      </c>
      <c r="H284" s="37"/>
      <c r="I284" s="37"/>
      <c r="J284" s="37"/>
      <c r="K284" s="37"/>
      <c r="L284" s="37"/>
      <c r="M284" s="38">
        <f ca="1">IFERROR(SUM(M272:M283),"")</f>
        <v>4.513888888888884E-2</v>
      </c>
      <c r="N284" s="36" t="s">
        <v>236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77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44</v>
      </c>
      <c r="G298" s="40">
        <f>G284+G297</f>
        <v>184.8</v>
      </c>
      <c r="H298" s="41"/>
      <c r="I298" s="41"/>
      <c r="J298" s="41"/>
      <c r="K298" s="41"/>
      <c r="L298" s="41"/>
      <c r="M298" s="42">
        <f ca="1">IFERROR(M284+M297,"")</f>
        <v>4.513888888888884E-2</v>
      </c>
      <c r="N298" s="40" t="s">
        <v>240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77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54" zoomScale="50" zoomScaleNormal="50" workbookViewId="0">
      <selection activeCell="E279" sqref="E27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285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260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286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6" t="s">
        <v>238</v>
      </c>
      <c r="B27" s="107"/>
      <c r="C27" s="107"/>
      <c r="D27" s="107"/>
      <c r="E27" s="108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266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285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285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287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288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289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290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291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292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293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275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266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294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295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278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278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296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297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298</v>
      </c>
      <c r="M222" s="30" t="str">
        <f t="shared" ca="1" si="49"/>
        <v/>
      </c>
      <c r="N222" s="27" t="s">
        <v>299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6" t="s">
        <v>235</v>
      </c>
      <c r="B230" s="107"/>
      <c r="C230" s="107"/>
      <c r="D230" s="107"/>
      <c r="E230" s="108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300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 t="s">
        <v>20</v>
      </c>
      <c r="I248" s="26" t="s">
        <v>47</v>
      </c>
      <c r="J248" s="26" t="s">
        <v>28</v>
      </c>
      <c r="K248" s="29">
        <v>0.71180555555555558</v>
      </c>
      <c r="L248" s="29">
        <v>0.71527777777777779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 t="s">
        <v>19</v>
      </c>
      <c r="I249" s="33" t="s">
        <v>47</v>
      </c>
      <c r="J249" s="33" t="s">
        <v>27</v>
      </c>
      <c r="K249" s="29">
        <v>0.72777777777777775</v>
      </c>
      <c r="L249" s="29">
        <v>0.73958333333333337</v>
      </c>
      <c r="M249" s="35">
        <f t="shared" ca="1" si="55"/>
        <v>1.1805555555555625E-2</v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>
        <v>13</v>
      </c>
      <c r="G252" s="34">
        <f t="shared" si="54"/>
        <v>54.6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>
        <v>8</v>
      </c>
      <c r="G255" s="28">
        <f t="shared" si="54"/>
        <v>40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>
        <v>7</v>
      </c>
      <c r="G256" s="34">
        <f t="shared" si="54"/>
        <v>35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6" t="s">
        <v>235</v>
      </c>
      <c r="B257" s="107"/>
      <c r="C257" s="107"/>
      <c r="D257" s="107"/>
      <c r="E257" s="108"/>
      <c r="F257" s="101">
        <f>SUM(F245:F256)</f>
        <v>113</v>
      </c>
      <c r="G257" s="36">
        <f>SUM(G245:G256)</f>
        <v>512.20000000000005</v>
      </c>
      <c r="H257" s="37"/>
      <c r="I257" s="37"/>
      <c r="J257" s="37"/>
      <c r="K257" s="37"/>
      <c r="L257" s="37"/>
      <c r="M257" s="38">
        <f ca="1">IFERROR(SUM(M245:M256),"")</f>
        <v>6.1111111111111172E-2</v>
      </c>
      <c r="N257" s="36" t="s">
        <v>236</v>
      </c>
      <c r="O257" s="39">
        <v>549440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20" t="s">
        <v>250</v>
      </c>
      <c r="F258" s="102">
        <v>9</v>
      </c>
      <c r="G258" s="34">
        <f t="shared" ref="G258:G269" si="57">IF(F258="","",IF(E258="PC 17",F258*4.2,IF(E258="PC 19",F258*5,IF(E258="CB",F258*24,""))))</f>
        <v>37.800000000000004</v>
      </c>
      <c r="H258" s="26" t="s">
        <v>20</v>
      </c>
      <c r="I258" s="26" t="s">
        <v>138</v>
      </c>
      <c r="J258" s="26" t="s">
        <v>74</v>
      </c>
      <c r="K258" s="29">
        <v>9.7222222222222224E-2</v>
      </c>
      <c r="L258" s="29">
        <v>0.15902777777777777</v>
      </c>
      <c r="M258" s="30">
        <f t="shared" ref="M258:M269" ca="1" si="58">IFERROR(IF(K258="","",IF(L258="",MOD(NOW()-K258,1),IF(L258&gt;=K258,L258-K258,L258+1-K258))),"")</f>
        <v>6.1805555555555544E-2</v>
      </c>
      <c r="N258" s="27" t="s">
        <v>266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20" t="s">
        <v>250</v>
      </c>
      <c r="F259" s="102">
        <v>15</v>
      </c>
      <c r="G259" s="28">
        <f>IF(F259="","",IF(E260="PC 17",F259*4.2,IF(E260="PC 19",F259*5,IF(E260="CB",F259*24,""))))</f>
        <v>63</v>
      </c>
      <c r="H259" s="50" t="s">
        <v>18</v>
      </c>
      <c r="I259" s="50" t="s">
        <v>135</v>
      </c>
      <c r="J259" s="50" t="s">
        <v>118</v>
      </c>
      <c r="K259" s="29">
        <v>0.19444444444444445</v>
      </c>
      <c r="L259" s="29"/>
      <c r="M259" s="35">
        <f t="shared" ca="1" si="58"/>
        <v>0.28253993055113824</v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102">
        <v>7</v>
      </c>
      <c r="G260" s="34">
        <v>30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6</v>
      </c>
      <c r="G261" s="28">
        <f t="shared" si="57"/>
        <v>25.200000000000003</v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20" t="s">
        <v>250</v>
      </c>
      <c r="F262" s="27">
        <v>10</v>
      </c>
      <c r="G262" s="34">
        <f>IF(F262="","",IF(E263="PC 17",F262*4.2,IF(E263="PC 19",F262*5,IF(E263="CB",F262*24,""))))</f>
        <v>42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8</v>
      </c>
      <c r="G263" s="28">
        <v>30</v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3</v>
      </c>
      <c r="G264" s="34">
        <v>10</v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0</v>
      </c>
      <c r="G266" s="34">
        <f t="shared" si="57"/>
        <v>0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0</v>
      </c>
      <c r="G267" s="28">
        <f t="shared" si="57"/>
        <v>0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0</v>
      </c>
      <c r="G268" s="34">
        <f t="shared" si="57"/>
        <v>0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58</v>
      </c>
      <c r="G270" s="36">
        <f>SUM(G258:G269)</f>
        <v>238</v>
      </c>
      <c r="H270" s="37"/>
      <c r="I270" s="37"/>
      <c r="J270" s="37"/>
      <c r="K270" s="37"/>
      <c r="L270" s="37"/>
      <c r="M270" s="38">
        <f ca="1">IFERROR(SUM(M258:M269),"")</f>
        <v>0.3443454861066938</v>
      </c>
      <c r="N270" s="36" t="s">
        <v>236</v>
      </c>
      <c r="O270" s="39">
        <v>327900</v>
      </c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171</v>
      </c>
      <c r="G271" s="40">
        <f>G257+G270</f>
        <v>750.2</v>
      </c>
      <c r="H271" s="41"/>
      <c r="I271" s="41"/>
      <c r="J271" s="41"/>
      <c r="K271" s="41"/>
      <c r="L271" s="41"/>
      <c r="M271" s="42">
        <f ca="1">IFERROR(M257+M270,"")</f>
        <v>0.40545659721780497</v>
      </c>
      <c r="N271" s="40" t="s">
        <v>240</v>
      </c>
      <c r="O271" s="48">
        <f>IFERROR(O257+O270,"")</f>
        <v>877340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4</v>
      </c>
      <c r="G272" s="28">
        <f t="shared" ref="G272:G283" si="60">IF(F272="","",IF(E272="PC 17",F272*4.2,IF(E272="PC 19",F272*5,IF(E272="CB",F272*24,""))))</f>
        <v>16.8</v>
      </c>
      <c r="H272" s="26" t="s">
        <v>18</v>
      </c>
      <c r="I272" s="26" t="s">
        <v>135</v>
      </c>
      <c r="J272" s="26" t="s">
        <v>118</v>
      </c>
      <c r="K272" s="29">
        <v>0.29166666666666669</v>
      </c>
      <c r="L272" s="29">
        <v>0.31944444444444442</v>
      </c>
      <c r="M272" s="30">
        <f t="shared" ref="M272:M283" ca="1" si="61">IFERROR(IF(K272="","",IF(L272="",MOD(NOW()-K272,1),IF(L272&gt;=K272,L272-K272,L272+1-K272))),"")</f>
        <v>2.7777777777777735E-2</v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5</v>
      </c>
      <c r="G273" s="34">
        <f t="shared" si="60"/>
        <v>21</v>
      </c>
      <c r="H273" s="33" t="s">
        <v>20</v>
      </c>
      <c r="I273" s="33" t="s">
        <v>47</v>
      </c>
      <c r="J273" s="33" t="s">
        <v>183</v>
      </c>
      <c r="K273" s="29">
        <v>0.40277777777777779</v>
      </c>
      <c r="L273" s="29">
        <v>0.42291666666666666</v>
      </c>
      <c r="M273" s="35">
        <f t="shared" ca="1" si="61"/>
        <v>2.0138888888888873E-2</v>
      </c>
      <c r="N273" s="27" t="s">
        <v>301</v>
      </c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8</v>
      </c>
      <c r="G274" s="28">
        <f t="shared" si="60"/>
        <v>33.6</v>
      </c>
      <c r="H274" s="26" t="s">
        <v>20</v>
      </c>
      <c r="I274" s="26" t="s">
        <v>47</v>
      </c>
      <c r="J274" s="26" t="s">
        <v>62</v>
      </c>
      <c r="K274" s="29">
        <v>0.45277777777777778</v>
      </c>
      <c r="L274" s="29"/>
      <c r="M274" s="30">
        <f t="shared" ca="1" si="61"/>
        <v>2.4206597219745163E-2</v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5</v>
      </c>
      <c r="G275" s="34">
        <f t="shared" si="60"/>
        <v>21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22</v>
      </c>
      <c r="G284" s="36">
        <f>SUM(G272:G283)</f>
        <v>92.4</v>
      </c>
      <c r="H284" s="37"/>
      <c r="I284" s="37"/>
      <c r="J284" s="37"/>
      <c r="K284" s="37"/>
      <c r="L284" s="37"/>
      <c r="M284" s="38">
        <f ca="1">IFERROR(SUM(M272:M283),"")</f>
        <v>7.212326388641177E-2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22</v>
      </c>
      <c r="G298" s="40">
        <f>G284+G297</f>
        <v>92.4</v>
      </c>
      <c r="H298" s="41"/>
      <c r="I298" s="41"/>
      <c r="J298" s="41"/>
      <c r="K298" s="41"/>
      <c r="L298" s="41"/>
      <c r="M298" s="42">
        <f ca="1">IFERROR(M284+M297,"")</f>
        <v>7.212326388641177E-2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63:E380 E29:E256 E260:E261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D29:D256 D258:D294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53" activePane="bottomLeft" state="frozen"/>
      <selection pane="bottomLeft" activeCell="I278" sqref="I278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64.855468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302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263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285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303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304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6" t="s">
        <v>235</v>
      </c>
      <c r="B41" s="107"/>
      <c r="C41" s="107"/>
      <c r="D41" s="107"/>
      <c r="E41" s="108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305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306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307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308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285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285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309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310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266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285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311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312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275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313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314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315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316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317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318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319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320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321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322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6" t="s">
        <v>235</v>
      </c>
      <c r="B230" s="107"/>
      <c r="C230" s="107"/>
      <c r="D230" s="107"/>
      <c r="E230" s="108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323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324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325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 t="s">
        <v>20</v>
      </c>
      <c r="I252" s="26" t="s">
        <v>52</v>
      </c>
      <c r="J252" s="26" t="s">
        <v>56</v>
      </c>
      <c r="K252" s="29">
        <v>0.64027777777777772</v>
      </c>
      <c r="L252" s="29">
        <v>0.65625</v>
      </c>
      <c r="M252" s="35">
        <f t="shared" ca="1" si="55"/>
        <v>1.5972222222222276E-2</v>
      </c>
      <c r="N252" s="27" t="s">
        <v>326</v>
      </c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 t="s">
        <v>18</v>
      </c>
      <c r="I253" s="33" t="s">
        <v>52</v>
      </c>
      <c r="J253" s="33" t="s">
        <v>130</v>
      </c>
      <c r="K253" s="29">
        <v>0.75</v>
      </c>
      <c r="L253" s="29">
        <v>0.75972222222222219</v>
      </c>
      <c r="M253" s="30">
        <f t="shared" ca="1" si="55"/>
        <v>9.7222222222221877E-3</v>
      </c>
      <c r="N253" s="27" t="s">
        <v>292</v>
      </c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18</v>
      </c>
      <c r="G254" s="34">
        <f t="shared" si="54"/>
        <v>75.600000000000009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11</v>
      </c>
      <c r="G255" s="28">
        <f t="shared" si="54"/>
        <v>46.2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21</v>
      </c>
      <c r="G256" s="34">
        <f t="shared" si="54"/>
        <v>88.2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182</v>
      </c>
      <c r="G257" s="36">
        <f>SUM(G245:G256)</f>
        <v>822.80000000000007</v>
      </c>
      <c r="H257" s="37"/>
      <c r="I257" s="37"/>
      <c r="J257" s="37"/>
      <c r="K257" s="61"/>
      <c r="L257" s="61"/>
      <c r="M257" s="38">
        <f ca="1">IFERROR(SUM(M245:M256),"")</f>
        <v>9.166666666666673E-2</v>
      </c>
      <c r="N257" s="36" t="s">
        <v>236</v>
      </c>
      <c r="O257" s="39">
        <v>803560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</v>
      </c>
      <c r="G258" s="34">
        <f t="shared" ref="G258:G269" si="57">IF(F258="","",IF(E258="PC 17",F258*4.2,IF(E258="PC 19",F258*5,IF(E258="CB",F258*24,""))))</f>
        <v>4.2</v>
      </c>
      <c r="H258" s="26" t="s">
        <v>19</v>
      </c>
      <c r="I258" s="26" t="s">
        <v>162</v>
      </c>
      <c r="J258" s="26" t="s">
        <v>27</v>
      </c>
      <c r="K258" s="29">
        <v>0.79722222222222228</v>
      </c>
      <c r="L258" s="29">
        <v>0.84166666666666667</v>
      </c>
      <c r="M258" s="35">
        <f t="shared" ref="M258:M269" ca="1" si="58">IFERROR(IF(K258="","",IF(L258="",MOD(NOW()-K258,1),IF(L258&gt;=K258,L258-K258,L258+1-K258))),"")</f>
        <v>4.4444444444444398E-2</v>
      </c>
      <c r="N258" s="27" t="s">
        <v>327</v>
      </c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20</v>
      </c>
      <c r="G259" s="28">
        <f t="shared" si="57"/>
        <v>84</v>
      </c>
      <c r="H259" s="50" t="s">
        <v>20</v>
      </c>
      <c r="I259" s="50" t="s">
        <v>57</v>
      </c>
      <c r="J259" s="50" t="s">
        <v>200</v>
      </c>
      <c r="K259" s="29">
        <v>3.3333333333333333E-2</v>
      </c>
      <c r="L259" s="29">
        <v>9.0972222222222218E-2</v>
      </c>
      <c r="M259" s="30">
        <f t="shared" ca="1" si="58"/>
        <v>5.7638888888888885E-2</v>
      </c>
      <c r="N259" s="27" t="s">
        <v>328</v>
      </c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15</v>
      </c>
      <c r="G260" s="34">
        <f t="shared" si="57"/>
        <v>63</v>
      </c>
      <c r="H260" s="33" t="s">
        <v>20</v>
      </c>
      <c r="I260" s="26" t="s">
        <v>52</v>
      </c>
      <c r="J260" s="33" t="s">
        <v>28</v>
      </c>
      <c r="K260" s="29">
        <v>0.26458333333333334</v>
      </c>
      <c r="L260" s="29">
        <v>0.27083333333333331</v>
      </c>
      <c r="M260" s="35">
        <f t="shared" ca="1" si="58"/>
        <v>6.2499999999999778E-3</v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27</v>
      </c>
      <c r="G261" s="28">
        <f t="shared" si="57"/>
        <v>113.4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19</v>
      </c>
      <c r="G262" s="34">
        <f t="shared" si="57"/>
        <v>79.8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16</v>
      </c>
      <c r="G263" s="28">
        <f t="shared" si="57"/>
        <v>67.2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</v>
      </c>
      <c r="G264" s="34">
        <f t="shared" si="57"/>
        <v>8.4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16</v>
      </c>
      <c r="G265" s="28">
        <f t="shared" si="57"/>
        <v>67.2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14</v>
      </c>
      <c r="G266" s="34">
        <f t="shared" si="57"/>
        <v>58.800000000000004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21</v>
      </c>
      <c r="G267" s="28">
        <f t="shared" si="57"/>
        <v>88.2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20</v>
      </c>
      <c r="G268" s="34">
        <f t="shared" si="57"/>
        <v>84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180</v>
      </c>
      <c r="G270" s="36">
        <f>SUM(G258:G269)</f>
        <v>756</v>
      </c>
      <c r="H270" s="37"/>
      <c r="I270" s="37"/>
      <c r="J270" s="37"/>
      <c r="K270" s="61"/>
      <c r="L270" s="61"/>
      <c r="M270" s="38">
        <f ca="1">IFERROR(SUM(M258:M269),"")</f>
        <v>0.10833333333333325</v>
      </c>
      <c r="N270" s="36" t="s">
        <v>236</v>
      </c>
      <c r="O270" s="39">
        <v>683360</v>
      </c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362</v>
      </c>
      <c r="G271" s="40">
        <f>G257+G270</f>
        <v>1578.8000000000002</v>
      </c>
      <c r="H271" s="41"/>
      <c r="I271" s="41"/>
      <c r="J271" s="41"/>
      <c r="K271" s="63"/>
      <c r="L271" s="63"/>
      <c r="M271" s="42">
        <f ca="1">IFERROR(M257+M270,"")</f>
        <v>0.19999999999999998</v>
      </c>
      <c r="N271" s="40" t="s">
        <v>240</v>
      </c>
      <c r="O271" s="48">
        <f>IFERROR(O257+O270,"")</f>
        <v>1486920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20</v>
      </c>
      <c r="G272" s="28">
        <f t="shared" ref="G272:G283" si="60">IF(F272="","",IF(E272="PC 17",F272*4.2,IF(E272="PC 19",F272*5,IF(E272="CB",F272*24,""))))</f>
        <v>84</v>
      </c>
      <c r="H272" s="26" t="s">
        <v>20</v>
      </c>
      <c r="I272" s="26" t="s">
        <v>52</v>
      </c>
      <c r="J272" s="26" t="s">
        <v>28</v>
      </c>
      <c r="K272" s="29">
        <v>0.29791666666666666</v>
      </c>
      <c r="L272" s="29">
        <v>0.30416666666666664</v>
      </c>
      <c r="M272" s="30">
        <f t="shared" ref="M272:M277" ca="1" si="61">IFERROR(IF(K272="","",IF(L272="",MOD(NOW()-K272,1),IF(L272&gt;=K272,L272-K272,L272+1-K272))),"")</f>
        <v>6.2499999999999778E-3</v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15</v>
      </c>
      <c r="G273" s="34">
        <f t="shared" si="60"/>
        <v>63</v>
      </c>
      <c r="H273" s="33" t="s">
        <v>20</v>
      </c>
      <c r="I273" s="33" t="s">
        <v>52</v>
      </c>
      <c r="J273" s="33" t="s">
        <v>62</v>
      </c>
      <c r="K273" s="29">
        <v>0.31736111111111109</v>
      </c>
      <c r="L273" s="29">
        <v>0.31874999999999998</v>
      </c>
      <c r="M273" s="35">
        <f t="shared" ca="1" si="61"/>
        <v>1.388888888888884E-3</v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5</v>
      </c>
      <c r="G274" s="28">
        <f t="shared" si="60"/>
        <v>21</v>
      </c>
      <c r="H274" s="26" t="s">
        <v>20</v>
      </c>
      <c r="I274" s="26" t="s">
        <v>57</v>
      </c>
      <c r="J274" s="26" t="s">
        <v>62</v>
      </c>
      <c r="K274" s="29">
        <v>0.35902777777777778</v>
      </c>
      <c r="L274" s="29">
        <v>0.3611111111111111</v>
      </c>
      <c r="M274" s="30">
        <f t="shared" ca="1" si="61"/>
        <v>2.0833333333333259E-3</v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14</v>
      </c>
      <c r="G275" s="34">
        <f t="shared" si="60"/>
        <v>58.800000000000004</v>
      </c>
      <c r="H275" s="33" t="s">
        <v>20</v>
      </c>
      <c r="I275" s="33" t="s">
        <v>57</v>
      </c>
      <c r="J275" s="33" t="s">
        <v>62</v>
      </c>
      <c r="K275" s="29">
        <v>0.37152777777777779</v>
      </c>
      <c r="L275" s="29">
        <v>0.37708333333333333</v>
      </c>
      <c r="M275" s="35">
        <f t="shared" ca="1" si="61"/>
        <v>5.5555555555555358E-3</v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/>
      <c r="G276" s="28" t="str">
        <f t="shared" si="60"/>
        <v/>
      </c>
      <c r="H276" s="26" t="s">
        <v>20</v>
      </c>
      <c r="I276" s="26" t="s">
        <v>52</v>
      </c>
      <c r="J276" s="26" t="s">
        <v>56</v>
      </c>
      <c r="K276" s="29">
        <v>0.39930555555555558</v>
      </c>
      <c r="L276" s="29">
        <v>0.40972222222222221</v>
      </c>
      <c r="M276" s="30">
        <f t="shared" ca="1" si="61"/>
        <v>1.041666666666663E-2</v>
      </c>
      <c r="N276" s="27" t="s">
        <v>329</v>
      </c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/>
      <c r="G277" s="34" t="str">
        <f t="shared" si="60"/>
        <v/>
      </c>
      <c r="H277" s="33" t="s">
        <v>19</v>
      </c>
      <c r="I277" s="33" t="s">
        <v>57</v>
      </c>
      <c r="J277" s="33" t="s">
        <v>27</v>
      </c>
      <c r="K277" s="29">
        <v>0.40972222222222221</v>
      </c>
      <c r="L277" s="29">
        <v>0.43402777777777779</v>
      </c>
      <c r="M277" s="35">
        <f t="shared" ca="1" si="61"/>
        <v>2.430555555555558E-2</v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/>
      <c r="G278" s="28" t="str">
        <f t="shared" si="60"/>
        <v/>
      </c>
      <c r="H278" s="26" t="s">
        <v>20</v>
      </c>
      <c r="I278" s="26" t="s">
        <v>57</v>
      </c>
      <c r="J278" s="26" t="s">
        <v>28</v>
      </c>
      <c r="K278" s="29">
        <v>0.46944444444444444</v>
      </c>
      <c r="L278" s="29">
        <v>0.47361111111111109</v>
      </c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54</v>
      </c>
      <c r="G284" s="36">
        <f>SUM(G272:G283)</f>
        <v>226.8</v>
      </c>
      <c r="H284" s="37"/>
      <c r="I284" s="37"/>
      <c r="J284" s="37"/>
      <c r="K284" s="61"/>
      <c r="L284" s="61"/>
      <c r="M284" s="38">
        <f ca="1">IFERROR(SUM(M272:M283),"")</f>
        <v>4.9999999999999933E-2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54</v>
      </c>
      <c r="G298" s="40">
        <f>G284+G297</f>
        <v>226.8</v>
      </c>
      <c r="H298" s="41"/>
      <c r="I298" s="41"/>
      <c r="J298" s="41"/>
      <c r="K298" s="63"/>
      <c r="L298" s="63"/>
      <c r="M298" s="42">
        <f ca="1">IFERROR(M284+M297,"")</f>
        <v>4.9999999999999933E-2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6" t="s">
        <v>235</v>
      </c>
      <c r="B338" s="107"/>
      <c r="C338" s="107"/>
      <c r="D338" s="107"/>
      <c r="E338" s="108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2026-08-11T15:27:22Z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