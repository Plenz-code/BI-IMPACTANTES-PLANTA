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00" documentId="8_{AF585B22-221D-4780-BB9C-493D365A6A02}" xr6:coauthVersionLast="47" xr6:coauthVersionMax="47" xr10:uidLastSave="{D945A283-5073-4E07-AB7A-DA76A489B6B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<sst xmlns="http://schemas.openxmlformats.org/spreadsheetml/2006/main" count="1998" uniqueCount="216">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</sst>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1" sqref="F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42</v>
      </c>
      <c r="G81" s="36">
        <f>SUM(G69:G80)</f>
        <v>210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411</v>
      </c>
      <c r="G82" s="40">
        <f>G68+G81</f>
        <v>2055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129</v>
      </c>
      <c r="G82" s="40">
        <f>G68+G81</f>
        <v>541.79999999999995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55" activePane="bottomLeft" state="frozen"/>
      <selection pane="bottomLeft" activeCell="H71" sqref="H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 t="s">
        <v>18</v>
      </c>
      <c r="I71" s="33"/>
      <c r="J71" s="33"/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46</v>
      </c>
      <c r="G81" s="36">
        <f>SUM(G69:G80)</f>
        <v>193.2</v>
      </c>
      <c r="H81" s="37"/>
      <c r="I81" s="37"/>
      <c r="J81" s="37"/>
      <c r="K81" s="61"/>
      <c r="L81" s="61"/>
      <c r="M81" s="38">
        <f ca="1">IFERROR(SUM(M69:M80),"")</f>
        <v>3.8194444444444309E-2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241</v>
      </c>
      <c r="G82" s="40">
        <f>G68+G81</f>
        <v>1012.2</v>
      </c>
      <c r="H82" s="41"/>
      <c r="I82" s="41"/>
      <c r="J82" s="41"/>
      <c r="K82" s="63"/>
      <c r="L82" s="63"/>
      <c r="M82" s="42">
        <f ca="1">IFERROR(M68+M81,"")</f>
        <v>9.7916666666666541E-2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2026-07-04T01:43:46Z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