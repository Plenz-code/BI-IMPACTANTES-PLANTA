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82" documentId="8_{AF585B22-221D-4780-BB9C-493D365A6A02}" xr6:coauthVersionLast="47" xr6:coauthVersionMax="47" xr10:uidLastSave="{42997F83-EDE5-453E-85CA-24B931D8607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<sst xmlns="http://schemas.openxmlformats.org/spreadsheetml/2006/main" count="2744" uniqueCount="246">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</sst>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1693740</v>
      </c>
      <c r="E8" s="8">
        <f>IFERROR('Linha 2'!O136,"")</f>
        <v>314528</v>
      </c>
      <c r="F8" s="8">
        <f>IFERROR('Linha 3'!O136,"")</f>
        <v>1001740</v>
      </c>
      <c r="G8" s="9">
        <f t="shared" si="0"/>
        <v>3010008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5794850</v>
      </c>
      <c r="E35" s="13">
        <f>IFERROR(SUM(E4:E34),"")</f>
        <v>2660738</v>
      </c>
      <c r="F35" s="13">
        <f>IFERROR(SUM(F4:F34),"")</f>
        <v>4973930</v>
      </c>
      <c r="G35" s="13">
        <f>IFERROR(SUM(G4:G34),"")</f>
        <v>13429518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6" activePane="bottomLeft" state="frozen"/>
      <selection pane="bottomLeft" activeCell="L125" sqref="L1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/>
      <c r="M130" s="35">
        <f t="shared" ca="1" si="28"/>
        <v>7.2081250000337604E-2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0.24638680555589337</v>
      </c>
      <c r="N135" s="36" t="s">
        <v>204</v>
      </c>
      <c r="O135" s="54">
        <v>824480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0.38805347222256004</v>
      </c>
      <c r="N136" s="40" t="s">
        <v>207</v>
      </c>
      <c r="O136" s="83">
        <f>IFERROR(O122+O135,"")</f>
        <v>1693740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263398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314528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O136" sqref="O1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3.2497916668944526E-2</v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0.23180347222450015</v>
      </c>
      <c r="N135" s="36" t="s">
        <v>204</v>
      </c>
      <c r="O135" s="39">
        <v>727290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0.59916458333561118</v>
      </c>
      <c r="N136" s="40" t="s">
        <v>207</v>
      </c>
      <c r="O136" s="48">
        <f>IFERROR(O122+O135,"")</f>
        <v>1001740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2026-07-06T10:45:52Z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