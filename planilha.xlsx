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2156" documentId="13_ncr:1_{0A10D8D4-8450-4366-8075-B53B08E6B7EA}" xr6:coauthVersionLast="47" xr6:coauthVersionMax="47" xr10:uidLastSave="{644BB53D-0ED1-4031-9C75-1BA9AB2670C4}"/>
  <bookViews>
    <workbookView xWindow="-28920" yWindow="-60" windowWidth="29040" windowHeight="1572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406" i="4" l="1"/>
  <c r="K406" i="5"/>
  <c r="K406" i="6"/>
  <c r="G406" i="6"/>
  <c r="G406" i="5"/>
  <c r="G406" i="4"/>
  <c r="F406" i="3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8" i="5"/>
  <c r="J408" i="5" s="1"/>
  <c r="H409" i="5"/>
  <c r="J409" i="5" s="1"/>
  <c r="H410" i="5"/>
  <c r="J410" i="5" s="1"/>
  <c r="H411" i="5"/>
  <c r="J411" i="5" s="1"/>
  <c r="H412" i="5"/>
  <c r="J412" i="5" s="1"/>
  <c r="H413" i="5"/>
  <c r="J413" i="5" s="1"/>
  <c r="H414" i="5"/>
  <c r="J414" i="5" s="1"/>
  <c r="H415" i="5"/>
  <c r="J415" i="5" s="1"/>
  <c r="H416" i="5"/>
  <c r="J416" i="5" s="1"/>
  <c r="H417" i="5"/>
  <c r="J417" i="5" s="1"/>
  <c r="H418" i="5"/>
  <c r="J418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8" i="4"/>
  <c r="J408" i="4" s="1"/>
  <c r="H409" i="4"/>
  <c r="J409" i="4" s="1"/>
  <c r="H410" i="4"/>
  <c r="J410" i="4" s="1"/>
  <c r="H411" i="4"/>
  <c r="J411" i="4" s="1"/>
  <c r="H412" i="4"/>
  <c r="J412" i="4" s="1"/>
  <c r="H413" i="4"/>
  <c r="J413" i="4" s="1"/>
  <c r="H414" i="4"/>
  <c r="J414" i="4" s="1"/>
  <c r="H415" i="4"/>
  <c r="J415" i="4" s="1"/>
  <c r="H416" i="4"/>
  <c r="J416" i="4" s="1"/>
  <c r="H417" i="4"/>
  <c r="J417" i="4" s="1"/>
  <c r="H418" i="4"/>
  <c r="J418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621" i="4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432" i="4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87" i="5"/>
  <c r="H676" i="5"/>
  <c r="H460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H407" i="6" s="1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H407" i="5" s="1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H407" i="4" s="1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J407" i="6" l="1"/>
  <c r="J419" i="6" s="1"/>
  <c r="H419" i="6"/>
  <c r="H433" i="6" s="1"/>
  <c r="J407" i="5"/>
  <c r="J419" i="5" s="1"/>
  <c r="H419" i="5"/>
  <c r="H433" i="5" s="1"/>
  <c r="J407" i="4"/>
  <c r="J419" i="4" s="1"/>
  <c r="H419" i="4"/>
  <c r="H433" i="4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433" i="6" l="1"/>
  <c r="T433" i="6" s="1"/>
  <c r="T419" i="6"/>
  <c r="T419" i="5"/>
  <c r="J433" i="5"/>
  <c r="T433" i="5" s="1"/>
  <c r="T419" i="4"/>
  <c r="J433" i="4"/>
  <c r="T433" i="4" s="1"/>
  <c r="H19" i="1" s="1"/>
  <c r="J19" i="1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92" i="6" l="1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<sst xmlns="http://schemas.openxmlformats.org/spreadsheetml/2006/main" count="7102" uniqueCount="355">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</sst>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23" sqref="F23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  <col min="12" max="12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/>
      <c r="J18" s="129">
        <f t="shared" si="1"/>
        <v>0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56392520</v>
      </c>
      <c r="D35" s="13">
        <f t="shared" si="2"/>
        <v>18248020</v>
      </c>
      <c r="E35" s="13">
        <f t="shared" si="2"/>
        <v>9434670</v>
      </c>
      <c r="F35" s="13">
        <f t="shared" si="2"/>
        <v>23508930</v>
      </c>
      <c r="G35" s="13">
        <f t="shared" si="2"/>
        <v>51191620</v>
      </c>
      <c r="H35" s="97">
        <f t="shared" si="2"/>
        <v>3210.2952927907322</v>
      </c>
      <c r="I35" s="97">
        <f>IFERROR(SUM(I4:I34),"")</f>
        <v>2403.2399999999998</v>
      </c>
      <c r="J35" s="130">
        <f>IFERROR(AVERAGE(J4:J34),"-")</f>
        <v>0.71867777186346116</v>
      </c>
      <c r="K35" s="157">
        <f>SUM(K4:K34)</f>
        <v>450.78</v>
      </c>
    </row>
  </sheetData>
  <sheetProtection algorithmName="SHA-512" hashValue="IrfNho2feiWZfOO6d9dHLv1JXNgLv5M+T1rWWwVaGz2HqhHIHJyCr705on9TyGr+a1vmAN1YSqQCo1MQUxfY8Q==" saltValue="Q8MYCPwmSrWpCTh6lrtigA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54" zoomScale="85" zoomScaleNormal="85" workbookViewId="0">
      <selection activeCell="P76" sqref="P7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 t="s">
        <v>232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92" activePane="bottomLeft" state="frozen"/>
      <selection pane="bottomLeft" activeCell="F408" sqref="F408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244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76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>
        <v>2614830</v>
      </c>
    </row>
    <row r="379" spans="1:15" ht="18" customHeight="1">
      <c r="A379" s="160" t="s">
        <v>248</v>
      </c>
      <c r="B379" s="161"/>
      <c r="C379" s="161"/>
      <c r="D379" s="161"/>
      <c r="E379" s="17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243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243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243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243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243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243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243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243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243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243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243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243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76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243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269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243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243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243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243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243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243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243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243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243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243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243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76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245</v>
      </c>
      <c r="O405" s="39">
        <v>2612000</v>
      </c>
    </row>
    <row r="406" spans="1:15" ht="18" customHeight="1">
      <c r="A406" s="160" t="s">
        <v>248</v>
      </c>
      <c r="B406" s="161"/>
      <c r="C406" s="161"/>
      <c r="D406" s="161"/>
      <c r="E406" s="175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249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243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243</v>
      </c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243</v>
      </c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243</v>
      </c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243</v>
      </c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243</v>
      </c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243</v>
      </c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243</v>
      </c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243</v>
      </c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243</v>
      </c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243</v>
      </c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243</v>
      </c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76">
        <f>SUM(E407:E418)</f>
        <v>0</v>
      </c>
      <c r="F419" s="36">
        <f>SUM(F407:F418)</f>
        <v>40</v>
      </c>
      <c r="G419" s="36">
        <f>SUM(G407:G418)</f>
        <v>200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245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7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245</v>
      </c>
      <c r="O432" s="39"/>
    </row>
    <row r="433" spans="1:15" ht="18" customHeight="1">
      <c r="A433" s="160" t="s">
        <v>248</v>
      </c>
      <c r="B433" s="161"/>
      <c r="C433" s="161"/>
      <c r="D433" s="161"/>
      <c r="E433" s="175">
        <f>E419+E432</f>
        <v>0</v>
      </c>
      <c r="F433" s="40">
        <f>F419+F432</f>
        <v>40</v>
      </c>
      <c r="G433" s="40">
        <f>G419+G432</f>
        <v>200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249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2" t="s">
        <v>248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92" activePane="bottomLeft" state="frozen"/>
      <selection pane="bottomLeft" activeCell="G408" sqref="G408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272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273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274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275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276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277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278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279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0.22474745369981974</v>
      </c>
      <c r="R53" s="46" t="s">
        <v>280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0.36363634258870864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0.44835856481093095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272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281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282</v>
      </c>
      <c r="Q96" s="30" t="str">
        <f t="shared" ref="Q96:Q107" ca="1" si="22">IFERROR(IF(O96="","",IF(P96="",MOD(NOW()-O96,1),IF(P96&gt;=O96,P96-O96,P96+1-O96))),"")</f>
        <v/>
      </c>
      <c r="R96" s="46" t="s">
        <v>283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284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285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286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287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288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289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290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291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288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292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293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286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281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294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295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296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244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297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298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299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300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301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293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288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281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302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245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249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259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259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303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245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304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165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175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165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245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249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0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0</v>
      </c>
      <c r="K407" s="34">
        <f t="shared" ref="K407:K418" si="99">IF(G407="","",IF(E407="PC 17",G407*4.2,IF(E407="PC 19",G407*5,IF(E407="CB",G407*24,""))))</f>
        <v>58.800000000000004</v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/>
      <c r="H408" s="134" t="str">
        <f>IFERROR(IF($G408="","",$G408*$S$419/$G$419/Cadastro!$E$33),"")</f>
        <v/>
      </c>
      <c r="I408" s="135">
        <f>IFERROR(IF($D408="","",VLOOKUP($D408,Cadastro!$C$4:$G$7,5,FALSE)),"")</f>
        <v>0.6</v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/>
      <c r="H409" s="134" t="str">
        <f>IFERROR(IF($G409="","",$G409*$S$419/$G$419/Cadastro!$E$33),"")</f>
        <v/>
      </c>
      <c r="I409" s="135">
        <f>IFERROR(IF($D409="","",VLOOKUP($D409,Cadastro!$C$4:$G$7,5,FALSE)),"")</f>
        <v>0.6</v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/>
      <c r="H410" s="134" t="str">
        <f>IFERROR(IF($G410="","",$G410*$S$419/$G$419/Cadastro!$E$33),"")</f>
        <v/>
      </c>
      <c r="I410" s="135">
        <f>IFERROR(IF($D410="","",VLOOKUP($D410,Cadastro!$C$4:$G$7,5,FALSE)),"")</f>
        <v>0.6</v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/>
      <c r="H411" s="134" t="str">
        <f>IFERROR(IF($G411="","",$G411*$S$419/$G$419/Cadastro!$E$33),"")</f>
        <v/>
      </c>
      <c r="I411" s="135">
        <f>IFERROR(IF($D411="","",VLOOKUP($D411,Cadastro!$C$4:$G$7,5,FALSE)),"")</f>
        <v>0.6</v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/>
      <c r="H412" s="134" t="str">
        <f>IFERROR(IF($G412="","",$G412*$S$419/$G$419/Cadastro!$E$33),"")</f>
        <v/>
      </c>
      <c r="I412" s="135">
        <f>IFERROR(IF($D412="","",VLOOKUP($D412,Cadastro!$C$4:$G$7,5,FALSE)),"")</f>
        <v>0.6</v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/>
      <c r="H413" s="134" t="str">
        <f>IFERROR(IF($G413="","",$G413*$S$419/$G$419/Cadastro!$E$33),"")</f>
        <v/>
      </c>
      <c r="I413" s="135">
        <f>IFERROR(IF($D413="","",VLOOKUP($D413,Cadastro!$C$4:$G$7,5,FALSE)),"")</f>
        <v>0.6</v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/>
      <c r="H414" s="134" t="str">
        <f>IFERROR(IF($G414="","",$G414*$S$419/$G$419/Cadastro!$E$33),"")</f>
        <v/>
      </c>
      <c r="I414" s="135">
        <f>IFERROR(IF($D414="","",VLOOKUP($D414,Cadastro!$C$4:$G$7,5,FALSE)),"")</f>
        <v>0.6</v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/>
      <c r="H415" s="134" t="str">
        <f>IFERROR(IF($G415="","",$G415*$S$419/$G$419/Cadastro!$E$33),"")</f>
        <v/>
      </c>
      <c r="I415" s="135">
        <f>IFERROR(IF($D415="","",VLOOKUP($D415,Cadastro!$C$4:$G$7,5,FALSE)),"")</f>
        <v>0.6</v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/>
      <c r="H416" s="134" t="str">
        <f>IFERROR(IF($G416="","",$G416*$S$419/$G$419/Cadastro!$E$33),"")</f>
        <v/>
      </c>
      <c r="I416" s="135">
        <f>IFERROR(IF($D416="","",VLOOKUP($D416,Cadastro!$C$4:$G$7,5,FALSE)),"")</f>
        <v>0.6</v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/>
      <c r="H417" s="134" t="str">
        <f>IFERROR(IF($G417="","",$G417*$S$419/$G$419/Cadastro!$E$33),"")</f>
        <v/>
      </c>
      <c r="I417" s="135">
        <f>IFERROR(IF($D417="","",VLOOKUP($D417,Cadastro!$C$4:$G$7,5,FALSE)),"")</f>
        <v>0.6</v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/>
      <c r="H418" s="137" t="str">
        <f>IFERROR(IF($G418="","",$G418*$S$419/$G$419/Cadastro!$E$33),"")</f>
        <v/>
      </c>
      <c r="I418" s="138">
        <f>IFERROR(IF($D418="","",VLOOKUP($D418,Cadastro!$C$4:$G$7,5,FALSE)),"")</f>
        <v>0.6</v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58.800000000000004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45"/>
      <c r="T432" s="122">
        <f>IFERROR(J432,"")</f>
        <v>0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14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58.800000000000004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yGJdA/lqfZVSPgXUXmdYkWK8SERml5tC5o+rbaIKyY+gYt6zszxYCklhyp2snYv5zb26tq21RRk7BTb6BWrjMw==" saltValue="PgeBFLM8fu/4ApGRBj4Sp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92" activePane="bottomLeft" state="frozen"/>
      <selection pane="bottomLeft" activeCell="G408" sqref="G408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305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275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306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281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305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305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307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308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309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310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311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312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313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289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281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314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315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292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292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316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317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318</v>
      </c>
      <c r="Q222" s="30" t="str">
        <f t="shared" ca="1" si="49"/>
        <v/>
      </c>
      <c r="R222" s="27" t="s">
        <v>319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320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299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321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300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281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245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249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322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303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245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165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165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245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249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0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0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/>
      <c r="Q407" s="35">
        <f t="shared" ref="Q407:Q418" ca="1" si="98">IFERROR(IF(O407="","",IF(P407="",MOD(NOW()-O407,1),IF(P407&gt;=O407,P407-O407,P407+1-O407))),"")</f>
        <v>5.9974536998197436E-3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/>
      <c r="H408" s="134" t="str">
        <f>IFERROR(IF($G408="","",$G408*$S$419/$G$419/Cadastro!$E$33),"")</f>
        <v/>
      </c>
      <c r="I408" s="135">
        <f>IFERROR(IF($D408="","",VLOOKUP($D408,Cadastro!$C$4:$G$7,5,FALSE)),"")</f>
        <v>0.6</v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/>
      <c r="H409" s="134" t="str">
        <f>IFERROR(IF($G409="","",$G409*$S$419/$G$419/Cadastro!$E$33),"")</f>
        <v/>
      </c>
      <c r="I409" s="135">
        <f>IFERROR(IF($D409="","",VLOOKUP($D409,Cadastro!$C$4:$G$7,5,FALSE)),"")</f>
        <v>0.6</v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/>
      <c r="H410" s="134" t="str">
        <f>IFERROR(IF($G410="","",$G410*$S$419/$G$419/Cadastro!$E$33),"")</f>
        <v/>
      </c>
      <c r="I410" s="135">
        <f>IFERROR(IF($D410="","",VLOOKUP($D410,Cadastro!$C$4:$G$7,5,FALSE)),"")</f>
        <v>0.6</v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/>
      <c r="H411" s="134" t="str">
        <f>IFERROR(IF($G411="","",$G411*$S$419/$G$419/Cadastro!$E$33),"")</f>
        <v/>
      </c>
      <c r="I411" s="135">
        <f>IFERROR(IF($D411="","",VLOOKUP($D411,Cadastro!$C$4:$G$7,5,FALSE)),"")</f>
        <v>0.6</v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/>
      <c r="H412" s="134" t="str">
        <f>IFERROR(IF($G412="","",$G412*$S$419/$G$419/Cadastro!$E$33),"")</f>
        <v/>
      </c>
      <c r="I412" s="135">
        <f>IFERROR(IF($D412="","",VLOOKUP($D412,Cadastro!$C$4:$G$7,5,FALSE)),"")</f>
        <v>0.6</v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/>
      <c r="H413" s="134" t="str">
        <f>IFERROR(IF($G413="","",$G413*$S$419/$G$419/Cadastro!$E$33),"")</f>
        <v/>
      </c>
      <c r="I413" s="135">
        <f>IFERROR(IF($D413="","",VLOOKUP($D413,Cadastro!$C$4:$G$7,5,FALSE)),"")</f>
        <v>0.6</v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/>
      <c r="H414" s="134" t="str">
        <f>IFERROR(IF($G414="","",$G414*$S$419/$G$419/Cadastro!$E$33),"")</f>
        <v/>
      </c>
      <c r="I414" s="135">
        <f>IFERROR(IF($D414="","",VLOOKUP($D414,Cadastro!$C$4:$G$7,5,FALSE)),"")</f>
        <v>0.6</v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/>
      <c r="H415" s="134" t="str">
        <f>IFERROR(IF($G415="","",$G415*$S$419/$G$419/Cadastro!$E$33),"")</f>
        <v/>
      </c>
      <c r="I415" s="135">
        <f>IFERROR(IF($D415="","",VLOOKUP($D415,Cadastro!$C$4:$G$7,5,FALSE)),"")</f>
        <v>0.6</v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/>
      <c r="H416" s="134" t="str">
        <f>IFERROR(IF($G416="","",$G416*$S$419/$G$419/Cadastro!$E$33),"")</f>
        <v/>
      </c>
      <c r="I416" s="135">
        <f>IFERROR(IF($D416="","",VLOOKUP($D416,Cadastro!$C$4:$G$7,5,FALSE)),"")</f>
        <v>0.6</v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/>
      <c r="H417" s="134" t="str">
        <f>IFERROR(IF($G417="","",$G417*$S$419/$G$419/Cadastro!$E$33),"")</f>
        <v/>
      </c>
      <c r="I417" s="135">
        <f>IFERROR(IF($D417="","",VLOOKUP($D417,Cadastro!$C$4:$G$7,5,FALSE)),"")</f>
        <v>0.6</v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/>
      <c r="H418" s="137" t="str">
        <f>IFERROR(IF($G418="","",$G418*$S$419/$G$419/Cadastro!$E$33),"")</f>
        <v/>
      </c>
      <c r="I418" s="138">
        <f>IFERROR(IF($D418="","",VLOOKUP($D418,Cadastro!$C$4:$G$7,5,FALSE)),"")</f>
        <v>0.6</v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16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67.2</v>
      </c>
      <c r="L419" s="37"/>
      <c r="M419" s="37"/>
      <c r="N419" s="37"/>
      <c r="O419" s="37"/>
      <c r="P419" s="37"/>
      <c r="Q419" s="38">
        <f ca="1">IFERROR(SUM(Q407:Q418),"")</f>
        <v>5.9974536998197436E-3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16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67.2</v>
      </c>
      <c r="L433" s="41"/>
      <c r="M433" s="41"/>
      <c r="N433" s="41"/>
      <c r="O433" s="41"/>
      <c r="P433" s="41"/>
      <c r="Q433" s="42">
        <f ca="1">IFERROR(Q419+Q432,"")</f>
        <v>5.9974536998197436E-3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392" activePane="bottomLeft" state="frozen"/>
      <selection pane="bottomLeft" activeCell="G408" sqref="G408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323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278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305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324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325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326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327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328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329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305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305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330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331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281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305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332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333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289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334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335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336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337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338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339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340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341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342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343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344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345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 t="s">
        <v>269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346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347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348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349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350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351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245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249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259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303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/>
      <c r="Q385" s="35">
        <f t="shared" ca="1" si="92"/>
        <v>0.71849745370127494</v>
      </c>
      <c r="R385" s="27" t="s">
        <v>352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0.78308078703460815</v>
      </c>
      <c r="R392" s="36" t="s">
        <v>245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353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245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0.84280300925683038</v>
      </c>
      <c r="R406" s="40" t="s">
        <v>249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0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0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232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354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/>
      <c r="H408" s="134" t="str">
        <f>IFERROR(IF($G408="","",$G408*$S$419/$G$419/Cadastro!$E$33),"")</f>
        <v/>
      </c>
      <c r="I408" s="135">
        <f>IFERROR(IF($D408="","",VLOOKUP($D408,Cadastro!$C$4:$G$7,5,FALSE)),"")</f>
        <v>0.6</v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/>
      <c r="H409" s="134" t="str">
        <f>IFERROR(IF($G409="","",$G409*$S$419/$G$419/Cadastro!$E$33),"")</f>
        <v/>
      </c>
      <c r="I409" s="135">
        <f>IFERROR(IF($D409="","",VLOOKUP($D409,Cadastro!$C$4:$G$7,5,FALSE)),"")</f>
        <v>0.6</v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/>
      <c r="H410" s="134" t="str">
        <f>IFERROR(IF($G410="","",$G410*$S$419/$G$419/Cadastro!$E$33),"")</f>
        <v/>
      </c>
      <c r="I410" s="135">
        <f>IFERROR(IF($D410="","",VLOOKUP($D410,Cadastro!$C$4:$G$7,5,FALSE)),"")</f>
        <v>0.6</v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/>
      <c r="H411" s="134" t="str">
        <f>IFERROR(IF($G411="","",$G411*$S$419/$G$419/Cadastro!$E$33),"")</f>
        <v/>
      </c>
      <c r="I411" s="135">
        <f>IFERROR(IF($D411="","",VLOOKUP($D411,Cadastro!$C$4:$G$7,5,FALSE)),"")</f>
        <v>0.6</v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/>
      <c r="H412" s="134" t="str">
        <f>IFERROR(IF($G412="","",$G412*$S$419/$G$419/Cadastro!$E$33),"")</f>
        <v/>
      </c>
      <c r="I412" s="135">
        <f>IFERROR(IF($D412="","",VLOOKUP($D412,Cadastro!$C$4:$G$7,5,FALSE)),"")</f>
        <v>0.6</v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/>
      <c r="H413" s="134" t="str">
        <f>IFERROR(IF($G413="","",$G413*$S$419/$G$419/Cadastro!$E$33),"")</f>
        <v/>
      </c>
      <c r="I413" s="135">
        <f>IFERROR(IF($D413="","",VLOOKUP($D413,Cadastro!$C$4:$G$7,5,FALSE)),"")</f>
        <v>0.6</v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/>
      <c r="H414" s="134" t="str">
        <f>IFERROR(IF($G414="","",$G414*$S$419/$G$419/Cadastro!$E$33),"")</f>
        <v/>
      </c>
      <c r="I414" s="135">
        <f>IFERROR(IF($D414="","",VLOOKUP($D414,Cadastro!$C$4:$G$7,5,FALSE)),"")</f>
        <v>0.6</v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/>
      <c r="H415" s="134" t="str">
        <f>IFERROR(IF($G415="","",$G415*$S$419/$G$419/Cadastro!$E$33),"")</f>
        <v/>
      </c>
      <c r="I415" s="135">
        <f>IFERROR(IF($D415="","",VLOOKUP($D415,Cadastro!$C$4:$G$7,5,FALSE)),"")</f>
        <v>0.6</v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/>
      <c r="H416" s="134" t="str">
        <f>IFERROR(IF($G416="","",$G416*$S$419/$G$419/Cadastro!$E$33),"")</f>
        <v/>
      </c>
      <c r="I416" s="135">
        <f>IFERROR(IF($D416="","",VLOOKUP($D416,Cadastro!$C$4:$G$7,5,FALSE)),"")</f>
        <v>0.6</v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/>
      <c r="H417" s="134" t="str">
        <f>IFERROR(IF($G417="","",$G417*$S$419/$G$419/Cadastro!$E$33),"")</f>
        <v/>
      </c>
      <c r="I417" s="135">
        <f>IFERROR(IF($D417="","",VLOOKUP($D417,Cadastro!$C$4:$G$7,5,FALSE)),"")</f>
        <v>0.6</v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/>
      <c r="H418" s="137" t="str">
        <f>IFERROR(IF($G418="","",$G418*$S$419/$G$419/Cadastro!$E$33),"")</f>
        <v/>
      </c>
      <c r="I418" s="138">
        <f>IFERROR(IF($D418="","",VLOOKUP($D418,Cadastro!$C$4:$G$7,5,FALSE)),"")</f>
        <v>0.6</v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42</v>
      </c>
      <c r="L419" s="37"/>
      <c r="M419" s="37"/>
      <c r="N419" s="37"/>
      <c r="O419" s="61"/>
      <c r="P419" s="61"/>
      <c r="Q419" s="38">
        <f ca="1">IFERROR(SUM(Q407:Q418),"")</f>
        <v>1.2500000000000011E-2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10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42</v>
      </c>
      <c r="L433" s="41"/>
      <c r="M433" s="41"/>
      <c r="N433" s="41"/>
      <c r="O433" s="63"/>
      <c r="P433" s="63"/>
      <c r="Q433" s="42">
        <f ca="1">IFERROR(Q419+Q432,"")</f>
        <v>1.2500000000000011E-2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bvw+RGYaUQuFq9Nz3KeyxCGoE7oj3kds1lTfP/UkR9+s3IwCE9QDw5zVVtvRw8iwUwoh3tcyVO+EuOGXUPyC4A==" saltValue="MBjXyA7K/JEGpLssZ3ih0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2026-08-16T12:20:04Z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