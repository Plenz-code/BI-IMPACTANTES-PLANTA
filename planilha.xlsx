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442" documentId="13_ncr:1_{0A10D8D4-8450-4366-8075-B53B08E6B7EA}" xr6:coauthVersionLast="47" xr6:coauthVersionMax="47" xr10:uidLastSave="{7D817626-4D4C-4A08-813A-83B2D12D2B4E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6" i="5" l="1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<sst xmlns="http://schemas.openxmlformats.org/spreadsheetml/2006/main" count="5939" uniqueCount="340">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</sst>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9" activePane="bottomLeft" state="frozen"/>
      <selection pane="bottomLeft" activeCell="F338" sqref="F33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232</v>
      </c>
      <c r="G352" s="40">
        <f>G338+G351</f>
        <v>1160</v>
      </c>
      <c r="H352" s="41"/>
      <c r="I352" s="41"/>
      <c r="J352" s="41"/>
      <c r="K352" s="41"/>
      <c r="L352" s="41"/>
      <c r="M352" s="42">
        <f ca="1">IFERROR(M338+M351,"")</f>
        <v>7.7083333333333393E-2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G338" sqref="G33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0.66640023147920147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0.80528912036809031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0.89001134259031267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/>
      <c r="Q332" s="30">
        <f t="shared" ca="1" si="76"/>
        <v>3.0289120368252043E-2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0</v>
      </c>
      <c r="I337" s="138">
        <f>IFERROR(IF($D337="","",VLOOKUP($D337,Cadastro!$C$4:$G$7,5,FALSE)),"")</f>
        <v>0.6</v>
      </c>
      <c r="J337" s="139">
        <f t="shared" si="74"/>
        <v>0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0.33862245370158528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37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173</v>
      </c>
      <c r="L352" s="41"/>
      <c r="M352" s="41"/>
      <c r="N352" s="41"/>
      <c r="O352" s="41"/>
      <c r="P352" s="41"/>
      <c r="Q352" s="42">
        <f ca="1">IFERROR(Q338+Q351,"")</f>
        <v>0.33862245370158528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38" sqref="G33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2"/>
        <v>0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0</v>
      </c>
      <c r="I337" s="138">
        <f>IFERROR(IF($D337="","",VLOOKUP($D337,Cadastro!$C$4:$G$7,5,FALSE)),"")</f>
        <v>0.6</v>
      </c>
      <c r="J337" s="139">
        <f t="shared" si="72"/>
        <v>0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61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297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22" activePane="bottomLeft" state="frozen"/>
      <selection pane="bottomLeft" activeCell="G338" sqref="G33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0</v>
      </c>
      <c r="I337" s="138">
        <f>IFERROR(IF($D337="","",VLOOKUP($D337,Cadastro!$C$4:$G$7,5,FALSE)),"")</f>
        <v>0.6</v>
      </c>
      <c r="J337" s="139">
        <f t="shared" si="74"/>
        <v>0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217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968.2</v>
      </c>
      <c r="L352" s="41"/>
      <c r="M352" s="41"/>
      <c r="N352" s="41"/>
      <c r="O352" s="63"/>
      <c r="P352" s="63"/>
      <c r="Q352" s="42">
        <f ca="1">IFERROR(Q338+Q351,"")</f>
        <v>4.0972222222222132E-2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2026-08-13T22:54:56Z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