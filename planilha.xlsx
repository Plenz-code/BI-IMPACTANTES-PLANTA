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54" documentId="13_ncr:1_{0A10D8D4-8450-4366-8075-B53B08E6B7EA}" xr6:coauthVersionLast="47" xr6:coauthVersionMax="47" xr10:uidLastSave="{601EB374-055A-41D1-976D-914AF395ADE7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2" i="6" s="1"/>
  <c r="J422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2" i="5" s="1"/>
  <c r="J422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2" i="4" s="1"/>
  <c r="J422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0" i="6" l="1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<sst xmlns="http://schemas.openxmlformats.org/spreadsheetml/2006/main" count="7309" uniqueCount="358">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</sst>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2" sqref="F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55</v>
      </c>
      <c r="G432" s="36">
        <f>SUM(G420:G431)</f>
        <v>275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265</v>
      </c>
      <c r="G433" s="40">
        <f>G419+G432</f>
        <v>1325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M425" sqref="M42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0.80839432869834127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0.94728321758723011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1.0320054398094525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/>
      <c r="Q421" s="35">
        <f t="shared" ca="1" si="104"/>
        <v>1.3255439815111458E-2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48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201.60000000000002</v>
      </c>
      <c r="L432" s="37"/>
      <c r="M432" s="37"/>
      <c r="N432" s="37"/>
      <c r="O432" s="37"/>
      <c r="P432" s="37"/>
      <c r="Q432" s="38">
        <f ca="1">IFERROR(SUM(Q420:Q431),"")</f>
        <v>3.7560995370667039E-2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195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819.00000000000011</v>
      </c>
      <c r="L433" s="41"/>
      <c r="M433" s="41"/>
      <c r="N433" s="41"/>
      <c r="O433" s="41"/>
      <c r="P433" s="41"/>
      <c r="Q433" s="42">
        <f ca="1">IFERROR(Q419+Q432,"")</f>
        <v>0.12853321759288927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8" activePane="bottomLeft" state="frozen"/>
      <selection pane="bottomLeft" activeCell="N421" sqref="N42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35</v>
      </c>
      <c r="O421" s="29">
        <v>0.9145833333333333</v>
      </c>
      <c r="P421" s="29"/>
      <c r="Q421" s="85">
        <f t="shared" ca="1" si="102"/>
        <v>1.5338773147959728E-2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46.2</v>
      </c>
      <c r="L432" s="37"/>
      <c r="M432" s="37"/>
      <c r="N432" s="37"/>
      <c r="O432" s="37"/>
      <c r="P432" s="37"/>
      <c r="Q432" s="38">
        <f ca="1">IFERROR(SUM(Q420:Q431),"")</f>
        <v>4.4505439814626402E-2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554.40000000000009</v>
      </c>
      <c r="L433" s="41"/>
      <c r="M433" s="41"/>
      <c r="N433" s="41"/>
      <c r="O433" s="41"/>
      <c r="P433" s="41"/>
      <c r="Q433" s="42">
        <f ca="1">IFERROR(Q419+Q432,"")</f>
        <v>0.11742210648129314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3" sqref="G423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58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243.60000000000002</v>
      </c>
      <c r="L432" s="37"/>
      <c r="M432" s="37"/>
      <c r="N432" s="37"/>
      <c r="O432" s="61"/>
      <c r="P432" s="61"/>
      <c r="Q432" s="38">
        <f ca="1">IFERROR(SUM(Q420:Q431),"")</f>
        <v>2.3611111111111249E-2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200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840.00000000000011</v>
      </c>
      <c r="L433" s="41"/>
      <c r="M433" s="41"/>
      <c r="N433" s="41"/>
      <c r="O433" s="63"/>
      <c r="P433" s="63"/>
      <c r="Q433" s="42">
        <f ca="1">IFERROR(Q419+Q432,"")</f>
        <v>0.13888888888888906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2026-08-17T02:20:09Z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