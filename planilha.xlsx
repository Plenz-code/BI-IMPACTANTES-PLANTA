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312" documentId="13_ncr:1_{0A10D8D4-8450-4366-8075-B53B08E6B7EA}" xr6:coauthVersionLast="47" xr6:coauthVersionMax="47" xr10:uidLastSave="{30BD9130-800D-4AAA-9000-0C4638C8CA75}"/>
  <bookViews>
    <workbookView xWindow="-28920" yWindow="-60" windowWidth="29040" windowHeight="1572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2" i="6"/>
  <c r="J332" i="6" s="1"/>
  <c r="H333" i="6"/>
  <c r="J333" i="6" s="1"/>
  <c r="H334" i="6"/>
  <c r="J334" i="6" s="1"/>
  <c r="H335" i="6"/>
  <c r="J335" i="6" s="1"/>
  <c r="H336" i="6"/>
  <c r="J336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1" i="5"/>
  <c r="J331" i="5" s="1"/>
  <c r="H332" i="5"/>
  <c r="J332" i="5" s="1"/>
  <c r="H333" i="5"/>
  <c r="J333" i="5" s="1"/>
  <c r="H334" i="5"/>
  <c r="J334" i="5" s="1"/>
  <c r="H335" i="5"/>
  <c r="J335" i="5" s="1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1" i="4"/>
  <c r="J331" i="4" s="1"/>
  <c r="H332" i="4"/>
  <c r="J332" i="4" s="1"/>
  <c r="H333" i="4"/>
  <c r="J333" i="4" s="1"/>
  <c r="H334" i="4"/>
  <c r="J334" i="4" s="1"/>
  <c r="H335" i="4"/>
  <c r="J335" i="4" s="1"/>
  <c r="H336" i="4"/>
  <c r="J336" i="4" s="1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1" i="6" s="1"/>
  <c r="J331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H330" i="5" s="1"/>
  <c r="J330" i="5" s="1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0" i="4" s="1"/>
  <c r="J330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29" i="6" l="1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<sst xmlns="http://schemas.openxmlformats.org/spreadsheetml/2006/main" count="5893" uniqueCount="337">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</sst>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L327" sqref="L32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/>
      <c r="I327" s="33"/>
      <c r="J327" s="33"/>
      <c r="K327" s="29"/>
      <c r="L327" s="29"/>
      <c r="M327" s="35" t="str">
        <f t="shared" ca="1" si="68"/>
        <v/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/>
      <c r="F331" s="27"/>
      <c r="G331" s="34" t="str">
        <f t="shared" si="67"/>
        <v/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/>
      <c r="F332" s="27"/>
      <c r="G332" s="28" t="str">
        <f t="shared" si="67"/>
        <v/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/>
      <c r="F333" s="27"/>
      <c r="G333" s="34" t="str">
        <f t="shared" si="67"/>
        <v/>
      </c>
      <c r="H333" s="33"/>
      <c r="I333" s="33"/>
      <c r="J333" s="33"/>
      <c r="K333" s="29"/>
      <c r="L333" s="29"/>
      <c r="M333" s="35" t="str">
        <f t="shared" ca="1" si="68"/>
        <v/>
      </c>
      <c r="N333" s="46"/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/>
      <c r="F334" s="27"/>
      <c r="G334" s="28" t="str">
        <f t="shared" si="67"/>
        <v/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/>
      <c r="F335" s="27"/>
      <c r="G335" s="34" t="str">
        <f t="shared" si="67"/>
        <v/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/>
      <c r="F336" s="27"/>
      <c r="G336" s="28" t="str">
        <f t="shared" si="67"/>
        <v/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/>
      <c r="F337" s="27"/>
      <c r="G337" s="34" t="str">
        <f t="shared" si="67"/>
        <v/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5.3472222222222254E-2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5.3472222222222254E-2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E333" sqref="E333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267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268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269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270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271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272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273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274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0.39242303240462206</v>
      </c>
      <c r="R53" s="46" t="s">
        <v>275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0.5313119212935109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0.61603414351573327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267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276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277</v>
      </c>
      <c r="Q96" s="30" t="str">
        <f t="shared" ref="Q96:Q107" ca="1" si="22">IFERROR(IF(O96="","",IF(P96="",MOD(NOW()-O96,1),IF(P96&gt;=O96,P96-O96,P96+1-O96))),"")</f>
        <v/>
      </c>
      <c r="R96" s="46" t="s">
        <v>278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279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280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281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282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283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284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286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287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288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281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276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289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290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291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292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293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294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/>
      <c r="M330" s="26"/>
      <c r="N330" s="26"/>
      <c r="O330" s="29"/>
      <c r="P330" s="29"/>
      <c r="Q330" s="30" t="str">
        <f t="shared" ca="1" si="76"/>
        <v/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4"/>
        <v/>
      </c>
      <c r="K331" s="34" t="str">
        <f t="shared" si="75"/>
        <v/>
      </c>
      <c r="L331" s="33"/>
      <c r="M331" s="33"/>
      <c r="N331" s="33"/>
      <c r="O331" s="29"/>
      <c r="P331" s="29"/>
      <c r="Q331" s="35" t="str">
        <f t="shared" ca="1" si="76"/>
        <v/>
      </c>
      <c r="R331" s="46"/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5"/>
        <v/>
      </c>
      <c r="L332" s="26"/>
      <c r="M332" s="26"/>
      <c r="N332" s="26"/>
      <c r="O332" s="29"/>
      <c r="P332" s="29"/>
      <c r="Q332" s="30" t="str">
        <f t="shared" ca="1" si="76"/>
        <v/>
      </c>
      <c r="R332" s="46"/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5"/>
        <v/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5"/>
        <v/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5"/>
        <v/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5"/>
        <v/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22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110</v>
      </c>
      <c r="L338" s="37"/>
      <c r="M338" s="37"/>
      <c r="N338" s="37"/>
      <c r="O338" s="37"/>
      <c r="P338" s="37"/>
      <c r="Q338" s="38">
        <f ca="1">IFERROR(SUM(Q326:Q337),"")</f>
        <v>0.11180555555555549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22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110</v>
      </c>
      <c r="L352" s="41"/>
      <c r="M352" s="41"/>
      <c r="N352" s="41"/>
      <c r="O352" s="41"/>
      <c r="P352" s="41"/>
      <c r="Q352" s="42">
        <f ca="1">IFERROR(Q338+Q351,"")</f>
        <v>0.11180555555555549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E337" sqref="E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270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276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297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298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299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284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276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287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307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308</v>
      </c>
      <c r="Q222" s="30" t="str">
        <f t="shared" ca="1" si="49"/>
        <v/>
      </c>
      <c r="R222" s="27" t="s">
        <v>309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294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/>
      <c r="M328" s="26"/>
      <c r="N328" s="26"/>
      <c r="O328" s="29"/>
      <c r="P328" s="29"/>
      <c r="Q328" s="30" t="str">
        <f t="shared" ca="1" si="74"/>
        <v/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/>
      <c r="M329" s="33"/>
      <c r="N329" s="33"/>
      <c r="O329" s="29"/>
      <c r="P329" s="29"/>
      <c r="Q329" s="35" t="str">
        <f t="shared" ca="1" si="74"/>
        <v/>
      </c>
      <c r="R329" s="27"/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/>
      <c r="H331" s="134" t="str">
        <f>IFERROR(IF($G331="","",$G331*$S$338/$G$338/Cadastro!$E$33),"")</f>
        <v/>
      </c>
      <c r="I331" s="135">
        <f>IFERROR(IF($D331="","",VLOOKUP($D331,Cadastro!$C$4:$G$7,5,FALSE)),"")</f>
        <v>0.6</v>
      </c>
      <c r="J331" s="136" t="str">
        <f t="shared" si="72"/>
        <v/>
      </c>
      <c r="K331" s="34" t="str">
        <f t="shared" si="73"/>
        <v/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2"/>
        <v/>
      </c>
      <c r="K332" s="28" t="str">
        <f t="shared" si="73"/>
        <v/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2"/>
        <v/>
      </c>
      <c r="K333" s="34" t="str">
        <f t="shared" si="73"/>
        <v/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2"/>
        <v/>
      </c>
      <c r="K334" s="28" t="str">
        <f t="shared" si="73"/>
        <v/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2"/>
        <v/>
      </c>
      <c r="K335" s="34" t="str">
        <f t="shared" si="73"/>
        <v/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255</v>
      </c>
      <c r="L338" s="37"/>
      <c r="M338" s="37"/>
      <c r="N338" s="37"/>
      <c r="O338" s="37"/>
      <c r="P338" s="37"/>
      <c r="Q338" s="38">
        <f ca="1">IFERROR(SUM(Q326:Q337),"")</f>
        <v>3.7499999999999978E-2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255</v>
      </c>
      <c r="L352" s="41"/>
      <c r="M352" s="41"/>
      <c r="N352" s="41"/>
      <c r="O352" s="41"/>
      <c r="P352" s="41"/>
      <c r="Q352" s="42">
        <f ca="1">IFERROR(Q338+Q351,"")</f>
        <v>3.7499999999999978E-2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08" activePane="bottomLeft" state="frozen"/>
      <selection pane="bottomLeft" activeCell="E332" sqref="E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265</v>
      </c>
      <c r="I1" s="133" t="s">
        <v>18</v>
      </c>
      <c r="J1" s="133" t="s">
        <v>266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266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273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317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318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319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276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284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327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328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329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335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/>
      <c r="M327" s="33"/>
      <c r="N327" s="33"/>
      <c r="O327" s="29"/>
      <c r="P327" s="29"/>
      <c r="Q327" s="35" t="str">
        <f t="shared" ca="1" si="75"/>
        <v/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/>
      <c r="M328" s="26"/>
      <c r="N328" s="26"/>
      <c r="O328" s="29"/>
      <c r="P328" s="29"/>
      <c r="Q328" s="30" t="str">
        <f t="shared" ca="1" si="75"/>
        <v/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/>
      <c r="M329" s="33"/>
      <c r="N329" s="33"/>
      <c r="O329" s="29"/>
      <c r="P329" s="29"/>
      <c r="Q329" s="35" t="str">
        <f t="shared" ca="1" si="75"/>
        <v/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/>
      <c r="H332" s="134" t="str">
        <f>IFERROR(IF($G332="","",$G332*$S$338/$G$338/Cadastro!$E$33),"")</f>
        <v/>
      </c>
      <c r="I332" s="135">
        <f>IFERROR(IF($D332="","",VLOOKUP($D332,Cadastro!$C$4:$G$7,5,FALSE)),"")</f>
        <v>0.6</v>
      </c>
      <c r="J332" s="136" t="str">
        <f t="shared" si="74"/>
        <v/>
      </c>
      <c r="K332" s="28" t="str">
        <f t="shared" si="77"/>
        <v/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/>
      <c r="F333" s="134">
        <f>IFERROR(IF($D333="","",VLOOKUP($D333,Cadastro!$C$4:$E$7,3,FALSE)),"")</f>
        <v>0.24</v>
      </c>
      <c r="G333" s="105"/>
      <c r="H333" s="134" t="str">
        <f>IFERROR(IF($G333="","",$G333*$S$338/$G$338/Cadastro!$E$33),"")</f>
        <v/>
      </c>
      <c r="I333" s="135">
        <f>IFERROR(IF($D333="","",VLOOKUP($D333,Cadastro!$C$4:$G$7,5,FALSE)),"")</f>
        <v>0.6</v>
      </c>
      <c r="J333" s="136" t="str">
        <f t="shared" si="74"/>
        <v/>
      </c>
      <c r="K333" s="34" t="str">
        <f t="shared" si="77"/>
        <v/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/>
      <c r="F334" s="134">
        <f>IFERROR(IF($D334="","",VLOOKUP($D334,Cadastro!$C$4:$E$7,3,FALSE)),"")</f>
        <v>0.24</v>
      </c>
      <c r="G334" s="105"/>
      <c r="H334" s="134" t="str">
        <f>IFERROR(IF($G334="","",$G334*$S$338/$G$338/Cadastro!$E$33),"")</f>
        <v/>
      </c>
      <c r="I334" s="135">
        <f>IFERROR(IF($D334="","",VLOOKUP($D334,Cadastro!$C$4:$G$7,5,FALSE)),"")</f>
        <v>0.6</v>
      </c>
      <c r="J334" s="136" t="str">
        <f t="shared" si="74"/>
        <v/>
      </c>
      <c r="K334" s="28" t="str">
        <f t="shared" si="77"/>
        <v/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/>
      <c r="F335" s="134">
        <f>IFERROR(IF($D335="","",VLOOKUP($D335,Cadastro!$C$4:$E$7,3,FALSE)),"")</f>
        <v>0.24</v>
      </c>
      <c r="G335" s="105"/>
      <c r="H335" s="134" t="str">
        <f>IFERROR(IF($G335="","",$G335*$S$338/$G$338/Cadastro!$E$33),"")</f>
        <v/>
      </c>
      <c r="I335" s="135">
        <f>IFERROR(IF($D335="","",VLOOKUP($D335,Cadastro!$C$4:$G$7,5,FALSE)),"")</f>
        <v>0.6</v>
      </c>
      <c r="J335" s="136" t="str">
        <f t="shared" si="74"/>
        <v/>
      </c>
      <c r="K335" s="34" t="str">
        <f t="shared" si="77"/>
        <v/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/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4"/>
        <v/>
      </c>
      <c r="K336" s="28" t="str">
        <f t="shared" si="77"/>
        <v/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/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88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426.4</v>
      </c>
      <c r="L338" s="37"/>
      <c r="M338" s="37"/>
      <c r="N338" s="37"/>
      <c r="O338" s="61"/>
      <c r="P338" s="61"/>
      <c r="Q338" s="38">
        <f ca="1">IFERROR(SUM(Q326:Q337),"")</f>
        <v>1.1805555555555569E-2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88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426.4</v>
      </c>
      <c r="L352" s="41"/>
      <c r="M352" s="41"/>
      <c r="N352" s="41"/>
      <c r="O352" s="63"/>
      <c r="P352" s="63"/>
      <c r="Q352" s="42">
        <f ca="1">IFERROR(Q338+Q351,"")</f>
        <v>1.1805555555555569E-2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2026-08-13T16:20:15Z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