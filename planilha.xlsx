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04" documentId="8_{C51EB6CB-002B-4D6B-B68F-DDEBDB4460C0}" xr6:coauthVersionLast="47" xr6:coauthVersionMax="47" xr10:uidLastSave="{5074E1A5-EA79-4562-93EC-FBFAFBC430CB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<sst xmlns="http://schemas.openxmlformats.org/spreadsheetml/2006/main" count="1767" uniqueCount="256">
  <si>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</si>
  <si>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</si>
  <si>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</si>
  <si>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</si>
  <si>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</si>
  <si>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</si>
  <si>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</si>
  <si>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</si>
  <si>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</si>
  <si>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</si>
  <si>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</si>
  <si>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</si>
  <si>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</si>
  <si>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</si>
  <si>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</si>
  <si>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</si>
  <si>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</si>
  <si>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</si>
  <si>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</si>
  <si>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</si>
  <si>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</si>
  <si>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</si>
  <si>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</si>
  <si>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</si>
  <si>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</si>
  <si>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</si>
  <si>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</si>
  <si>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</si>
  <si>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</si>
  <si>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</si>
  <si>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</si>
  <si>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</si>
  <si>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</si>
  <si>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</si>
  <si>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</si>
  <si>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</si>
  <si>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</si>
  <si>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</si>
  <si>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</si>
  <si>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</si>
  <si>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</si>
  <si>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</si>
  <si>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</si>
  <si>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</si>
  <si>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</si>
  <si>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</si>
  <si>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</si>
  <si>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</si>
  <si>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</si>
  <si>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</si>
  <si>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</si>
  <si>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</si>
  <si>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</si>
  <si>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</si>
  <si>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</si>
  <si>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</si>
  <si>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</si>
  <si>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</si>
  <si>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</si>
  <si>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</si>
  <si>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</si>
  <si>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</si>
  <si>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</si>
  <si>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</si>
  <si>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</si>
  <si>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</si>
  <si>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</si>
  <si>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</si>
  <si>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</si>
  <si>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</si>
  <si>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</si>
  <si>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</si>
  <si>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</si>
  <si>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</si>
  <si>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</si>
  <si>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</si>
  <si>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</si>
  <si>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</si>
  <si>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</si>
  <si>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</si>
  <si>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</si>
  <si>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</si>
  <si>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</si>
  <si>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</si>
  <si>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</si>
  <si>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</si>
  <si>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</si>
  <si>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</si>
  <si>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</si>
  <si>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</si>
  <si>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</si>
  <si>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</si>
  <si>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</si>
  <si>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</si>
  <si>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</si>
  <si>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</si>
  <si>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</si>
  <si>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</si>
  <si>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</si>
  <si>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</si>
  <si>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</si>
  <si>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</si>
  <si>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</si>
  <si>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</si>
  <si>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</si>
  <si>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</si>
  <si>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</si>
  <si>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</si>
  <si>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</si>
  <si>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</si>
  <si>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</si>
  <si>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</si>
  <si>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</si>
  <si>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</si>
  <si>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</si>
  <si>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</si>
  <si>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</si>
  <si>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</si>
  <si>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</si>
  <si>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</si>
  <si>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</si>
  <si>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</si>
  <si>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</si>
  <si>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</si>
  <si>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</si>
  <si>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</si>
  <si>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</si>
  <si>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</si>
  <si>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</si>
  <si>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</si>
  <si>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</si>
  <si>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</si>
  <si>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</si>
  <si>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</si>
  <si>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</si>
  <si>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</si>
  <si>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</si>
  <si>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</si>
  <si>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</si>
  <si>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</si>
  <si>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</si>
  <si>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</si>
  <si>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</si>
  <si>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</si>
  <si>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</si>
  <si>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</si>
  <si>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</si>
  <si>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</si>
  <si>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</si>
  <si>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</si>
  <si>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</si>
  <si>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</si>
  <si>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</si>
  <si>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</si>
  <si>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</si>
  <si>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</si>
  <si>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</si>
  <si>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</si>
  <si>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</si>
  <si>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</si>
  <si>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</si>
  <si>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</si>
  <si>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</si>
  <si>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</si>
  <si>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</si>
  <si>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</si>
  <si>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</si>
  <si>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</si>
  <si>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</si>
  <si>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</si>
  <si>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</si>
  <si>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</si>
  <si>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</si>
  <si>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</si>
  <si>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</si>
  <si>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</si>
  <si>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</si>
  <si>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</si>
  <si>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</si>
  <si>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</si>
  <si>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</si>
  <si>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</si>
  <si>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</si>
  <si>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</si>
  <si>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</si>
  <si>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</si>
  <si>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</si>
  <si>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</si>
  <si>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</si>
  <si>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</si>
  <si>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</si>
  <si>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</si>
  <si>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</si>
  <si>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</si>
  <si>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</si>
  <si>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</si>
  <si>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</si>
  <si>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</si>
  <si>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</si>
  <si>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</si>
  <si>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</si>
  <si>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</si>
  <si>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</si>
  <si>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</si>
  <si>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</si>
  <si>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</si>
  <si>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</si>
  <si>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</si>
  <si>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</si>
  <si>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</si>
  <si>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</si>
  <si>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</si>
  <si>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</si>
  <si>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</si>
  <si>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</si>
  <si>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</si>
  <si>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</si>
  <si>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</si>
  <si>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</si>
  <si>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</si>
  <si>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</si>
  <si>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</si>
  <si>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</si>
  <si>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</si>
  <si>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</si>
  <si>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</si>
  <si>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</si>
  <si>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</si>
  <si>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</si>
  <si>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</si>
  <si>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</si>
  <si>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</si>
  <si>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</si>
  <si>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</si>
  <si>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</si>
  <si>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</si>
  <si>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</si>
  <si>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</si>
  <si>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</si>
  <si>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</si>
  <si>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</si>
  <si>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</si>
  <si>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</si>
  <si>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</si>
  <si>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</si>
  <si>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</si>
  <si>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</si>
  <si>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</si>
  <si>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</si>
  <si>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</si>
  <si>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troca de martelo</t>
  </si>
  <si>
    <t>processando blend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</si>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</sst>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" activePane="bottomLeft" state="frozen"/>
      <selection pane="bottomLeft" activeCell="N43" sqref="N4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/>
      <c r="M42" s="30">
        <f t="shared" ref="M42:M53" ca="1" si="10">IFERROR(IF(K42="","",IF(L42="",MOD(NOW()-K42,1),IF(L42&gt;=K42,L42-K42,L42+1-K42))),"")</f>
        <v>4.9139814815134741E-2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45</v>
      </c>
      <c r="G54" s="36">
        <f>SUM(G42:G53)</f>
        <v>225</v>
      </c>
      <c r="H54" s="37"/>
      <c r="I54" s="37"/>
      <c r="J54" s="37"/>
      <c r="K54" s="37"/>
      <c r="L54" s="37"/>
      <c r="M54" s="38">
        <f ca="1">IFERROR(SUM(M42:M53),"")</f>
        <v>4.9139814815134741E-2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298</v>
      </c>
      <c r="G55" s="40">
        <f>G41+G54</f>
        <v>920</v>
      </c>
      <c r="H55" s="41"/>
      <c r="I55" s="41"/>
      <c r="J55" s="41"/>
      <c r="K55" s="41"/>
      <c r="L55" s="41"/>
      <c r="M55" s="42">
        <f ca="1">IFERROR(M41+M54,"")</f>
        <v>0.10886203703735692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8" activePane="bottomLeft" state="frozen"/>
      <selection pane="bottomLeft" activeCell="K47" sqref="K4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/>
      <c r="G44" s="34" t="str">
        <f t="shared" si="9"/>
        <v/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/>
      <c r="I46" s="26"/>
      <c r="J46" s="26"/>
      <c r="K46" s="29">
        <v>0.88958333333333328</v>
      </c>
      <c r="L46" s="29"/>
      <c r="M46" s="30">
        <f t="shared" ca="1" si="11"/>
        <v>5.2870370564050972E-4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24</v>
      </c>
      <c r="G54" s="36">
        <f>SUM(G42:G53)</f>
        <v>100.80000000000001</v>
      </c>
      <c r="H54" s="37"/>
      <c r="I54" s="37"/>
      <c r="J54" s="37"/>
      <c r="K54" s="37"/>
      <c r="L54" s="37"/>
      <c r="M54" s="38">
        <f ca="1">IFERROR(SUM(M42:M53),"")</f>
        <v>2.6917592594529416E-2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104</v>
      </c>
      <c r="G55" s="40">
        <f>G41+G54</f>
        <v>424.2</v>
      </c>
      <c r="H55" s="41"/>
      <c r="I55" s="41"/>
      <c r="J55" s="41"/>
      <c r="K55" s="41"/>
      <c r="L55" s="41"/>
      <c r="M55" s="42">
        <f ca="1">IFERROR(M41+M54,"")</f>
        <v>0.11163981481675174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F44" sqref="F4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/>
      <c r="I43" s="33"/>
      <c r="J43" s="33"/>
      <c r="K43" s="29"/>
      <c r="L43" s="29"/>
      <c r="M43" s="35" t="str">
        <f t="shared" ca="1" si="10"/>
        <v/>
      </c>
      <c r="N43" s="27" t="s">
        <v>251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</v>
      </c>
      <c r="G54" s="36">
        <f>SUM(G42:G53)</f>
        <v>33.6</v>
      </c>
      <c r="H54" s="37"/>
      <c r="I54" s="37"/>
      <c r="J54" s="37"/>
      <c r="K54" s="37"/>
      <c r="L54" s="37"/>
      <c r="M54" s="38">
        <f ca="1">IFERROR(SUM(M42:M53),"")</f>
        <v>4.1666666666666741E-2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85</v>
      </c>
      <c r="G55" s="40">
        <f>G41+G54</f>
        <v>357.00000000000006</v>
      </c>
      <c r="H55" s="41"/>
      <c r="I55" s="41"/>
      <c r="J55" s="41"/>
      <c r="K55" s="41"/>
      <c r="L55" s="41"/>
      <c r="M55" s="42">
        <f ca="1">IFERROR(M41+M54,"")</f>
        <v>6.2500000000000111E-2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F44" sqref="F4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/>
      <c r="M43" s="35">
        <f t="shared" ca="1" si="10"/>
        <v>1.5112037035578396E-2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/>
      <c r="G44" s="34" t="str">
        <f t="shared" si="9"/>
        <v/>
      </c>
      <c r="H44" s="26" t="s">
        <v>20</v>
      </c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 t="s">
        <v>251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31</v>
      </c>
      <c r="G54" s="36">
        <f>SUM(G42:G53)</f>
        <v>130.20000000000002</v>
      </c>
      <c r="H54" s="37"/>
      <c r="I54" s="37"/>
      <c r="J54" s="37"/>
      <c r="K54" s="61"/>
      <c r="L54" s="61"/>
      <c r="M54" s="38">
        <f ca="1">IFERROR(SUM(M42:M53),"")</f>
        <v>2.9000925924467236E-2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172</v>
      </c>
      <c r="G55" s="40">
        <f>G41+G54</f>
        <v>688.80000000000007</v>
      </c>
      <c r="H55" s="41"/>
      <c r="I55" s="41"/>
      <c r="J55" s="41"/>
      <c r="K55" s="63"/>
      <c r="L55" s="63"/>
      <c r="M55" s="42">
        <f ca="1">IFERROR(M41+M54,"")</f>
        <v>4.0112037035578307E-2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2026-08-03T01:22:16Z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