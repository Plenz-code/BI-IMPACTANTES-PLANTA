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73" documentId="8_{C51EB6CB-002B-4D6B-B68F-DDEBDB4460C0}" xr6:coauthVersionLast="47" xr6:coauthVersionMax="47" xr10:uidLastSave="{FDEB0872-8194-4FFE-A1D3-0279BB79089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<sst xmlns="http://schemas.openxmlformats.org/spreadsheetml/2006/main" count="5618" uniqueCount="336">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</sst>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1" sqref="F30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/>
      <c r="M299" s="35">
        <f t="shared" ref="M299:M310" ca="1" si="67">IFERROR(IF(K299="","",IF(L299="",MOD(NOW()-K299,1),IF(L299&gt;=K299,L299-K299,L299+1-K299))),"")</f>
        <v>6.5570370374189224E-2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68</v>
      </c>
      <c r="G311" s="90">
        <f>SUM(G299:G310)</f>
        <v>340</v>
      </c>
      <c r="H311" s="37"/>
      <c r="I311" s="37"/>
      <c r="J311" s="37"/>
      <c r="K311" s="37"/>
      <c r="L311" s="37"/>
      <c r="M311" s="38">
        <f ca="1">IFERROR(SUM(M299:M310),"")</f>
        <v>6.5570370374189224E-2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68</v>
      </c>
      <c r="G325" s="40">
        <f>G311+G324</f>
        <v>340</v>
      </c>
      <c r="H325" s="41"/>
      <c r="I325" s="41"/>
      <c r="J325" s="41"/>
      <c r="K325" s="41"/>
      <c r="L325" s="41"/>
      <c r="M325" s="42">
        <f ca="1">IFERROR(M311+M324,"")</f>
        <v>6.5570370374189224E-2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F301" sqref="F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0.2627925925917225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0.40168148148061139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0.4864037037028337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29</v>
      </c>
      <c r="G311" s="36">
        <f>SUM(G299:G310)</f>
        <v>121.80000000000001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</v>
      </c>
      <c r="G325" s="40">
        <f>G311+G324</f>
        <v>121.80000000000001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85" zoomScale="68" zoomScaleNormal="68" workbookViewId="0">
      <selection activeCell="L300" sqref="L30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0.18987592592748115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0.25168148148303671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0.31279259259414788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>
        <v>17</v>
      </c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35</v>
      </c>
      <c r="G311" s="36">
        <f>SUM(G299:G310)</f>
        <v>75.599999999999994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35</v>
      </c>
      <c r="G325" s="40">
        <f>G311+G324</f>
        <v>75.599999999999994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00" sqref="F30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</v>
      </c>
      <c r="G311" s="36">
        <f>SUM(G299:G310)</f>
        <v>63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</v>
      </c>
      <c r="G325" s="40">
        <f>G311+G324</f>
        <v>63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2026-08-12T13:13:27Z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