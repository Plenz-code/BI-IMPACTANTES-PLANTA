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04" documentId="13_ncr:1_{0A10D8D4-8450-4366-8075-B53B08E6B7EA}" xr6:coauthVersionLast="47" xr6:coauthVersionMax="47" xr10:uidLastSave="{82169148-4CD6-4B7C-B774-0E0BB8667D73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6" i="5" l="1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<sst xmlns="http://schemas.openxmlformats.org/spreadsheetml/2006/main" count="6010" uniqueCount="340">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</sst>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E350" sqref="E35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232</v>
      </c>
      <c r="G352" s="40">
        <f>G338+G351</f>
        <v>1160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23" activePane="bottomLeft" state="frozen"/>
      <selection pane="bottomLeft" activeCell="E349" sqref="E34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0.69798402777814772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0.83687291666703656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0.92159513888925892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/>
      <c r="H339" s="140" t="str">
        <f>IFERROR(IF($G339="","",$G339*$S$351/$G$351/Cadastro!$E$33),"")</f>
        <v/>
      </c>
      <c r="I339" s="141">
        <f>IFERROR(IF($D339="","",VLOOKUP($D339,Cadastro!$C$4:$G$7,5,FALSE)),"")</f>
        <v>0.6</v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>
        <v>0.81736111111111109</v>
      </c>
      <c r="P339" s="29"/>
      <c r="Q339" s="35">
        <f t="shared" ref="Q339:Q350" ca="1" si="80">IFERROR(IF(O339="","",IF(P339="",MOD(NOW()-O339,1),IF(P339&gt;=O339,P339-O339,P339+1-O339))),"")</f>
        <v>2.1506944467546418E-3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/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2.1506944467546418E-3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37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173</v>
      </c>
      <c r="L352" s="41"/>
      <c r="M352" s="41"/>
      <c r="N352" s="41"/>
      <c r="O352" s="41"/>
      <c r="P352" s="41"/>
      <c r="Q352" s="42">
        <f ca="1">IFERROR(Q338+Q351,"")</f>
        <v>0.34451180555786565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S339" sqref="S33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61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297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S339" sqref="S33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217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968.2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2026-08-13T23:40:06Z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