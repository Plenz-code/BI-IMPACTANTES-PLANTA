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218" documentId="8_{AF585B22-221D-4780-BB9C-493D365A6A02}" xr6:coauthVersionLast="47" xr6:coauthVersionMax="47" xr10:uidLastSave="{B156DD4A-9677-4686-8C73-E93531739454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<sst xmlns="http://schemas.openxmlformats.org/spreadsheetml/2006/main" count="9671" uniqueCount="384">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</sst>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7" sqref="G27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70988998</v>
      </c>
      <c r="D35" s="13">
        <f>IFERROR(SUM(D4:D34),"")</f>
        <v>28216440</v>
      </c>
      <c r="E35" s="13">
        <f>IFERROR(SUM(E4:E34),"")</f>
        <v>16084900</v>
      </c>
      <c r="F35" s="13">
        <f>IFERROR(SUM(F4:F34),"")</f>
        <v>30397740</v>
      </c>
      <c r="G35" s="13">
        <f>IFERROR(SUM(G4:G34),"")</f>
        <v>74699080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613" activePane="bottomLeft" state="frozen"/>
      <selection pane="bottomLeft" activeCell="F634" sqref="F63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333</v>
      </c>
      <c r="G649" s="40">
        <f>G635+G648</f>
        <v>1665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13" activePane="bottomLeft" state="frozen"/>
      <selection pane="bottomLeft" activeCell="F633" sqref="F63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37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0.50727789351367392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0.6649167824025628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0.77463900462478497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0.48575011573848315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0.65658344907181654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0.80172233796070547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309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35" t="str">
        <f ca="1">IFERROR(IF(K623="","",IF(#REF!="",MOD(NOW()-K623,1),IF(#REF!&gt;=K623,#REF!-K623,#REF!+1-K623))),"")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21">
        <v>0.55138888888888893</v>
      </c>
      <c r="M624" s="30">
        <f ca="1">IFERROR(IF(K624="","",IF(L623="",MOD(NOW()-K624,1),IF(L623&gt;=K624,L623-K624,L623+1-K624))),"")</f>
        <v>0.95833333333333315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/>
      <c r="I625" s="33"/>
      <c r="J625" s="33"/>
      <c r="K625" s="29"/>
      <c r="L625" s="29"/>
      <c r="M625" s="35" t="str">
        <f t="shared" ref="M625:M634" ca="1" si="140">IFERROR(IF(K625="","",IF(L625="",MOD(NOW()-K625,1),IF(L625&gt;=K625,L625-K625,L625+1-K625))),"")</f>
        <v/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80</v>
      </c>
      <c r="G635" s="36">
        <f>SUM(G623:G634)</f>
        <v>336</v>
      </c>
      <c r="H635" s="37"/>
      <c r="I635" s="37"/>
      <c r="J635" s="37"/>
      <c r="K635" s="37"/>
      <c r="L635" s="37"/>
      <c r="M635" s="38">
        <f ca="1">IFERROR(SUM(M623:M634),"")</f>
        <v>0.95833333333333315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80</v>
      </c>
      <c r="G649" s="40">
        <f>G635+G648</f>
        <v>336</v>
      </c>
      <c r="H649" s="41"/>
      <c r="I649" s="41"/>
      <c r="J649" s="41"/>
      <c r="K649" s="41"/>
      <c r="L649" s="41"/>
      <c r="M649" s="42">
        <f ca="1">IFERROR(M635+M648,"")</f>
        <v>0.95833333333333315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07" zoomScale="50" zoomScaleNormal="50" workbookViewId="0">
      <selection activeCell="F633" sqref="F63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275</v>
      </c>
      <c r="K141" s="29">
        <v>0.71597222222222223</v>
      </c>
      <c r="L141" s="29" t="s">
        <v>316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318</v>
      </c>
      <c r="N166" s="27" t="s">
        <v>319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132</v>
      </c>
      <c r="G635" s="36">
        <f>SUM(G623:G634)</f>
        <v>554.4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132</v>
      </c>
      <c r="G649" s="40">
        <f>G635+G648</f>
        <v>554.4</v>
      </c>
      <c r="H649" s="41"/>
      <c r="I649" s="41"/>
      <c r="J649" s="41"/>
      <c r="K649" s="41"/>
      <c r="L649" s="41"/>
      <c r="M649" s="42">
        <f ca="1">IFERROR(M635+M648,"")</f>
        <v>5.5555555555555358E-3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07" activePane="bottomLeft" state="frozen"/>
      <selection pane="bottomLeft" activeCell="F633" sqref="F63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343</v>
      </c>
      <c r="L58" s="29">
        <v>0.54097222222222219</v>
      </c>
      <c r="M58" s="30" t="str">
        <f t="shared" ca="1" si="13"/>
        <v/>
      </c>
      <c r="N58" s="27" t="s">
        <v>344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0.49755567129614064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0.69686122685169627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1.0642223379628073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309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383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/>
      <c r="M628" s="30">
        <f t="shared" ca="1" si="139"/>
        <v>5.8666782402724493E-2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0.13158344906939129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86</v>
      </c>
      <c r="G649" s="40">
        <f>G635+G648</f>
        <v>361.20000000000005</v>
      </c>
      <c r="H649" s="41"/>
      <c r="I649" s="41"/>
      <c r="J649" s="41"/>
      <c r="K649" s="63"/>
      <c r="L649" s="63"/>
      <c r="M649" s="42">
        <f ca="1">IFERROR(M635+M648,"")</f>
        <v>0.13158344906939129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2026-07-24T21:56:00Z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