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1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13902" documentId="8_{AF585B22-221D-4780-BB9C-493D365A6A02}" xr6:coauthVersionLast="47" xr6:coauthVersionMax="47" xr10:uidLastSave="{C44278E4-C754-4886-BF22-50493F3F0F6B}"/>
  <bookViews>
    <workbookView xWindow="-110" yWindow="-110" windowWidth="25820" windowHeight="15500" tabRatio="500" firstSheet="2" activeTab="3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741" i="5" l="1"/>
  <c r="G742" i="5"/>
  <c r="E689" i="4"/>
  <c r="O703" i="4"/>
  <c r="G686" i="6"/>
  <c r="G686" i="5"/>
  <c r="M623" i="4"/>
  <c r="M624" i="4"/>
  <c r="G640" i="3"/>
  <c r="O595" i="6"/>
  <c r="G466" i="3"/>
  <c r="G412" i="4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5" i="3"/>
  <c r="G464" i="3"/>
  <c r="G463" i="3"/>
  <c r="G462" i="3"/>
  <c r="G461" i="3"/>
  <c r="G473" i="3" s="1"/>
  <c r="F459" i="3"/>
  <c r="G458" i="3"/>
  <c r="G457" i="3"/>
  <c r="G456" i="3"/>
  <c r="G455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D29" i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M685" i="6"/>
  <c r="G685" i="6"/>
  <c r="M684" i="6"/>
  <c r="G684" i="6"/>
  <c r="M683" i="6"/>
  <c r="G683" i="6"/>
  <c r="M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F25" i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G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G32" i="1" l="1"/>
  <c r="F136" i="6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<sst xmlns="http://schemas.openxmlformats.org/spreadsheetml/2006/main" count="11764" uniqueCount="426">
  <si>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</si>
  <si>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</si>
  <si>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</si>
  <si>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</si>
  <si>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</si>
  <si>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</si>
  <si>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</si>
  <si>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</si>
  <si>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</si>
  <si>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</si>
  <si>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</si>
  <si>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</si>
  <si>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</si>
  <si>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</si>
  <si>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</si>
  <si>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</si>
  <si>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</si>
  <si>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</si>
  <si>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</si>
  <si>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</si>
  <si>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</si>
  <si>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</si>
  <si>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</si>
  <si>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</si>
  <si>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</si>
  <si>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</si>
  <si>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</si>
  <si>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</si>
  <si>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</si>
  <si>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</si>
  <si>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</si>
  <si>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</si>
  <si>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</si>
  <si>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</si>
  <si>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</si>
  <si>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</si>
  <si>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</si>
  <si>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</si>
  <si>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</si>
  <si>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</si>
  <si>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</si>
  <si>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</si>
  <si>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</si>
  <si>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</si>
  <si>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</si>
  <si>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</si>
  <si>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</si>
  <si>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</si>
  <si>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</si>
  <si>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</si>
  <si>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</si>
  <si>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</si>
  <si>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</si>
  <si>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</si>
  <si>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</si>
  <si>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</si>
  <si>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</si>
  <si>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</si>
  <si>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</si>
  <si>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</si>
  <si>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</si>
  <si>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</si>
  <si>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</si>
  <si>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</si>
  <si>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</si>
  <si>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</si>
  <si>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</si>
  <si>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</si>
  <si>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</si>
  <si>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</si>
  <si>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</si>
  <si>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</si>
  <si>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</si>
  <si>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</si>
  <si>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</si>
  <si>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</si>
  <si>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</si>
  <si>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</si>
  <si>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</si>
  <si>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</si>
  <si>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</si>
  <si>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</si>
  <si>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</si>
  <si>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</si>
  <si>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</si>
  <si>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</si>
  <si>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</si>
  <si>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</si>
  <si>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</si>
  <si>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</si>
  <si>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</si>
  <si>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</si>
  <si>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</si>
  <si>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</si>
  <si>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</si>
  <si>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</si>
  <si>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</si>
  <si>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</si>
  <si>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</si>
  <si>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</si>
  <si>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</si>
  <si>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</si>
  <si>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</si>
  <si>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</si>
  <si>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</si>
  <si>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</si>
  <si>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</si>
  <si>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</si>
  <si>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</si>
  <si>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</si>
  <si>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</si>
  <si>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</si>
  <si>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</si>
  <si>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</si>
  <si>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</si>
  <si>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do desjuntor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</si>
  <si>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</si>
  <si>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</si>
  <si>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</si>
  <si>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</si>
  <si>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</si>
  <si>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</si>
  <si>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</si>
  <si>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</si>
  <si>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</si>
  <si>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</si>
  <si>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</si>
  <si>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</si>
  <si>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</si>
  <si>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</si>
  <si>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</si>
  <si>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</si>
  <si>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</si>
  <si>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</si>
  <si>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</si>
  <si>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</si>
  <si>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</si>
  <si>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</si>
  <si>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</si>
  <si>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</si>
  <si>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</si>
  <si>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</si>
  <si>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</si>
  <si>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</si>
  <si>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</si>
  <si>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</si>
  <si>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</si>
  <si>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</si>
  <si>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</si>
  <si>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</si>
  <si>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</si>
  <si>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</si>
  <si>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</si>
  <si>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</si>
  <si>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</si>
  <si>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</si>
  <si>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</si>
  <si>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</si>
  <si>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</si>
  <si>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</si>
  <si>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</si>
  <si>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</si>
  <si>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</si>
  <si>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</si>
  <si>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</si>
  <si>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</si>
  <si>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</si>
  <si>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</si>
  <si>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</si>
  <si>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</si>
  <si>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</si>
  <si>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</si>
  <si>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</si>
  <si>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</si>
  <si>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</si>
  <si>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</si>
  <si>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</si>
  <si>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</si>
  <si>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</si>
  <si>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</si>
  <si>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</si>
  <si>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</si>
  <si>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</si>
  <si>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</si>
  <si>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</si>
  <si>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</si>
  <si>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</si>
  <si>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</si>
  <si>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</si>
  <si>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</si>
  <si>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</si>
  <si>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</si>
  <si>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</si>
  <si>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</si>
  <si>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</si>
  <si>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</si>
  <si>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</si>
  <si>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</si>
  <si>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</si>
  <si>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</si>
  <si>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</si>
  <si>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</si>
  <si>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</si>
  <si>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</si>
  <si>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material muito molhado esta preso na caixa do britador</t>
  </si>
  <si>
    <t>Bomba não jogando material pro hidrociclone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</si>
  <si>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</si>
  <si>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</si>
  <si>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</si>
  <si>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</si>
  <si>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</si>
  <si>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</si>
  <si>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</si>
  <si>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</si>
  <si>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</si>
  <si>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</si>
  <si>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</si>
  <si>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</si>
  <si>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</si>
  <si>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</si>
  <si>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Manutenção na correia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</si>
  <si>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</si>
  <si>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</si>
  <si>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</si>
  <si>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</si>
  <si>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</si>
  <si>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</si>
  <si>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</si>
  <si>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</si>
  <si>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</si>
  <si>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</si>
  <si>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</si>
  <si>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</si>
  <si>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</si>
  <si>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</si>
  <si>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</si>
  <si>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</si>
  <si>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</si>
  <si>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</si>
  <si>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</si>
  <si>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</si>
  <si>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</si>
  <si>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</si>
  <si>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</si>
  <si>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</si>
  <si>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</si>
  <si>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</si>
  <si>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</si>
  <si>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</si>
  <si>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</si>
  <si>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</si>
  <si>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</si>
  <si>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</si>
  <si>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</si>
  <si>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</si>
  <si>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</si>
  <si>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troca de pino</t>
  </si>
  <si>
    <t>jogado 4 caminhões basculantes</t>
  </si>
  <si>
    <t>inspeção nos mancais</t>
  </si>
  <si>
    <t>PC 17</t>
  </si>
  <si>
    <t>troca de facas, engraxamento dos mancais,, troca de balata</t>
  </si>
  <si>
    <t>teve que a fasta o roto um pouco prolado</t>
  </si>
  <si>
    <t>ajuste no rolamento do rotor do britador, 5s, feito tampa do chute do britador, colocado rolete na TC1</t>
  </si>
  <si>
    <t>ajuste na bucha do mancal  do britado</t>
  </si>
  <si>
    <t>engraxamento dos mancais, troca de parafuso dos mancais</t>
  </si>
  <si>
    <t>chute do britador obstruído, troca de pino e virada de faca</t>
  </si>
  <si>
    <t>troca das balatas</t>
  </si>
  <si>
    <t>desobstrução no britador</t>
  </si>
  <si>
    <t>ajuste no rolamento do rotor, solda na franja do motor do britador, aperto do mancal, solda na tampa do mancal</t>
  </si>
  <si>
    <t>troca de faca, pino e engraxamento dos mancais</t>
  </si>
  <si>
    <t>caminhão basculante</t>
  </si>
  <si>
    <t>desobstrução</t>
  </si>
  <si>
    <t>apertar parafuso do mancal,manutenção na balata e colocar borracha</t>
  </si>
  <si>
    <t>apertar parafuso mancal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</si>
  <si>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</si>
  <si>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</si>
  <si>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</si>
  <si>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</si>
  <si>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</si>
  <si>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</si>
  <si>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</si>
  <si>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</si>
  <si>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</si>
  <si>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</si>
  <si>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</si>
  <si>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</si>
  <si>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</si>
  <si>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</si>
  <si>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</si>
  <si>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</si>
  <si>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</si>
  <si>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</si>
  <si>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</si>
  <si>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</si>
  <si>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</si>
  <si>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</si>
  <si>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</si>
  <si>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</si>
  <si>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</si>
  <si>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</si>
  <si>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</si>
  <si>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</si>
  <si>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</si>
  <si>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</si>
  <si>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</si>
  <si>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</si>
  <si>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</si>
  <si>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 xml:space="preserve">A obstrução foi devido a falha na bomba d'agua </t>
  </si>
  <si>
    <t>deso</t>
  </si>
  <si>
    <t>obstrução no moinho 2</t>
  </si>
  <si>
    <t>troca de martelo</t>
  </si>
  <si>
    <t>borracha da bica caiu no moinho 1</t>
  </si>
  <si>
    <t>solda na grelha, troca de martelo 1 e 2</t>
  </si>
  <si>
    <t>troca de martelo moinho 1</t>
  </si>
  <si>
    <t>e troca de martelo 1e2</t>
  </si>
  <si>
    <t>troca de martelo moinho 2 e solda na grelha</t>
  </si>
  <si>
    <t xml:space="preserve">obstrução no moinho 1 </t>
  </si>
  <si>
    <t>solda para sanar vazamento</t>
  </si>
  <si>
    <t>e troca de martelo mm1</t>
  </si>
  <si>
    <t xml:space="preserve">16:41, centrífuga do bola1 </t>
  </si>
  <si>
    <t>troca de martelos mm1 e 2,aperto dos parafusos do revestimento</t>
  </si>
  <si>
    <t>pc19</t>
  </si>
  <si>
    <t>troca de martelo ,grelha</t>
  </si>
  <si>
    <t>solda na caixa de recebimeto do hidrociclone</t>
  </si>
  <si>
    <t>solda na grelha</t>
  </si>
  <si>
    <t>adicionado mais 1 grelha</t>
  </si>
  <si>
    <t>serviço de solda na grelha</t>
  </si>
  <si>
    <t>15;05</t>
  </si>
  <si>
    <t>solda e recolocação de grelha</t>
  </si>
  <si>
    <t>troca de martelo mm1 e mm2</t>
  </si>
  <si>
    <t>reajuste das grelhas</t>
  </si>
  <si>
    <t xml:space="preserve">manutenção no shutt </t>
  </si>
  <si>
    <t>operando com m2</t>
  </si>
  <si>
    <t>bola 1 vomitando, recolocação de grelha</t>
  </si>
  <si>
    <t>troca de martelo mm2</t>
  </si>
  <si>
    <t>serviço de solda no queixo e grelha</t>
  </si>
  <si>
    <t>adicionou 2 grelhas e solda no queixo</t>
  </si>
  <si>
    <t>9;15</t>
  </si>
  <si>
    <t>solda no queixo mm 2</t>
  </si>
  <si>
    <t>barramento bomba de rejeito 03</t>
  </si>
  <si>
    <t>solda na tampa do moinho</t>
  </si>
  <si>
    <t>troca de grelha e martelo, manutenção bomba de rejeito</t>
  </si>
  <si>
    <t>material processado Blend rabo de bica com baixo teor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</si>
  <si>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</si>
  <si>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</si>
  <si>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</si>
  <si>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</si>
  <si>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</si>
  <si>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</si>
  <si>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</si>
  <si>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</si>
  <si>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</si>
  <si>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</si>
  <si>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</si>
  <si>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</si>
  <si>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</si>
  <si>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</si>
  <si>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</si>
  <si>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troca de martelo, troca de motor</t>
  </si>
  <si>
    <t>troca de martelo moinho 3</t>
  </si>
  <si>
    <t>um sevico de solda nas grelhas</t>
  </si>
  <si>
    <t>coloca grelha no moinho moendo grosso</t>
  </si>
  <si>
    <t>arrebentou as balata e quebrou as grelhas e teve troca de martelo</t>
  </si>
  <si>
    <t>solda na tampa do mancal</t>
  </si>
  <si>
    <t>nos martelo</t>
  </si>
  <si>
    <t xml:space="preserve">troca de grelha e martelo </t>
  </si>
  <si>
    <t>troca de grelha,martelo e serviço de solda</t>
  </si>
  <si>
    <t>solda na caixa de recebimento do hidrociclone</t>
  </si>
  <si>
    <t>forramento do mm3</t>
  </si>
  <si>
    <t>material preso caiu de uma vez e fez moinho entupir</t>
  </si>
  <si>
    <t>alimentação da linha 2 no 5%,  material caindo com alimentação parada</t>
  </si>
  <si>
    <t>solda na grelha e queixo</t>
  </si>
  <si>
    <t>barramento da bomba de rejeito 03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</si>
  <si>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</si>
  <si>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</si>
  <si>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</si>
  <si>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</si>
  <si>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</si>
  <si>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</si>
  <si>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</si>
  <si>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</si>
  <si>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</si>
  <si>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</si>
  <si>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</si>
  <si>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</si>
  <si>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</si>
  <si>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</si>
  <si>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</si>
  <si>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</si>
  <si>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</si>
  <si>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</si>
  <si>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</si>
  <si>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</si>
  <si>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</si>
  <si>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</si>
  <si>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</si>
  <si>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</si>
  <si>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</si>
  <si>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</si>
  <si>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</si>
  <si>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</si>
  <si>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</si>
  <si>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</si>
  <si>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</si>
  <si>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</si>
  <si>
    <t>adicionado 5 grelhas</t>
  </si>
  <si>
    <t>desobstrução do moinho de bola 4, troca de martelo moinho 4</t>
  </si>
  <si>
    <t>troca de martelo 4</t>
  </si>
  <si>
    <t>reajute nas grelhas correia da moega esta rasgada</t>
  </si>
  <si>
    <t xml:space="preserve">manutenção no acoplamento do moinho de bola 3, solda na chapa da alimentação </t>
  </si>
  <si>
    <t>mm4 e mm5 trocado martelo</t>
  </si>
  <si>
    <t>ajuste para limpar caixa e trocar a bomba de pola 3</t>
  </si>
  <si>
    <t>solda no anel de vedação do mancal</t>
  </si>
  <si>
    <t>troca de rolamento mm5</t>
  </si>
  <si>
    <t>correia esta patinando</t>
  </si>
  <si>
    <t>colocado borracha para sanar vazamento nos moinhos, troca de revestimento</t>
  </si>
  <si>
    <t>solda na grelha mm 4</t>
  </si>
  <si>
    <t>alimentaçâo parada para colar adesivo identificação da moega</t>
  </si>
  <si>
    <t>troca de martelo mm 4 e mm5</t>
  </si>
  <si>
    <t>correia rasgada</t>
  </si>
  <si>
    <t>trocado cone do ciclone</t>
  </si>
  <si>
    <t>recolocação de grelha no queixo</t>
  </si>
  <si>
    <t>troca de martelo mm4 e mm5</t>
  </si>
  <si>
    <t>recolocação de grelha</t>
  </si>
  <si>
    <t>solda  na grelha, reajuste no queixo</t>
  </si>
  <si>
    <t>falha na bomba de polpa 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</si>
</sst>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8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166" fontId="20" fillId="13" borderId="2" xfId="0" applyNumberFormat="1" applyFont="1" applyFill="1" applyBorder="1" applyAlignment="1" applyProtection="1">
      <alignment horizontal="center" vertical="center"/>
      <protection locked="0"/>
    </xf>
    <xf numFmtId="164" fontId="20" fillId="8" borderId="2" xfId="0" applyNumberFormat="1" applyFont="1" applyFill="1" applyBorder="1" applyAlignment="1" applyProtection="1">
      <alignment horizontal="center" vertical="center"/>
      <protection locked="0"/>
    </xf>
    <xf numFmtId="0" fontId="20" fillId="13" borderId="2" xfId="0" applyFont="1" applyFill="1" applyBorder="1" applyAlignment="1" applyProtection="1">
      <alignment horizontal="center" vertical="center"/>
      <protection locked="0"/>
    </xf>
    <xf numFmtId="3" fontId="20" fillId="11" borderId="2" xfId="0" applyNumberFormat="1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8" activePane="bottomLeft" state="frozen"/>
      <selection pane="bottomLeft" activeCell="N20" sqref="N20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9" t="s">
        <v>0</v>
      </c>
      <c r="B1" s="109"/>
      <c r="C1" s="109"/>
      <c r="D1" s="109"/>
      <c r="E1" s="109"/>
      <c r="F1" s="109"/>
      <c r="G1" s="109"/>
    </row>
    <row r="2" spans="1:7" ht="24.75" customHeight="1">
      <c r="A2" s="110"/>
      <c r="B2" s="110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3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2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3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2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3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2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3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2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3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2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3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2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3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2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>IFERROR(D18+E18+F18,"")</f>
        <v>3265480</v>
      </c>
    </row>
    <row r="19" spans="1:7" ht="15.75" customHeight="1">
      <c r="A19" s="10">
        <v>16</v>
      </c>
      <c r="B19" s="73">
        <v>46219</v>
      </c>
      <c r="C19" s="11">
        <f>IFERROR(Britador!O433,"")</f>
        <v>3402600</v>
      </c>
      <c r="D19" s="11">
        <f>IFERROR('Linha 1'!O433,"")</f>
        <v>1184540</v>
      </c>
      <c r="E19" s="11">
        <f>IFERROR('Linha 2'!O433,"")</f>
        <v>438150</v>
      </c>
      <c r="F19" s="11">
        <f>IFERROR('Linha 3'!O433,"")</f>
        <v>1096740</v>
      </c>
      <c r="G19" s="12">
        <f t="shared" si="0"/>
        <v>2719430</v>
      </c>
    </row>
    <row r="20" spans="1:7" ht="15.75" customHeight="1">
      <c r="A20" s="7">
        <v>17</v>
      </c>
      <c r="B20" s="72">
        <v>46220</v>
      </c>
      <c r="C20" s="8">
        <f>IFERROR(Britador!O460,"")</f>
        <v>3916480</v>
      </c>
      <c r="D20" s="8">
        <f>IFERROR('Linha 1'!O460,"")</f>
        <v>1480620</v>
      </c>
      <c r="E20" s="8">
        <f>IFERROR('Linha 2'!O460,"")</f>
        <v>601310</v>
      </c>
      <c r="F20" s="8">
        <f>IFERROR('Linha 3'!O460,"")</f>
        <v>1493700</v>
      </c>
      <c r="G20" s="9">
        <f t="shared" si="0"/>
        <v>3575630</v>
      </c>
    </row>
    <row r="21" spans="1:7" ht="15.75" customHeight="1">
      <c r="A21" s="10">
        <v>18</v>
      </c>
      <c r="B21" s="73">
        <v>46221</v>
      </c>
      <c r="C21" s="11">
        <f>IFERROR(Britador!O487,"")</f>
        <v>4344880</v>
      </c>
      <c r="D21" s="11">
        <f>IFERROR('Linha 1'!O487,"")</f>
        <v>1840440</v>
      </c>
      <c r="E21" s="11">
        <f>IFERROR('Linha 2'!O487,"")</f>
        <v>570490</v>
      </c>
      <c r="F21" s="11">
        <f>IFERROR('Linha 3'!O487,"")</f>
        <v>1895030</v>
      </c>
      <c r="G21" s="12">
        <f t="shared" si="0"/>
        <v>4305960</v>
      </c>
    </row>
    <row r="22" spans="1:7" ht="15.75" customHeight="1">
      <c r="A22" s="7">
        <v>19</v>
      </c>
      <c r="B22" s="72">
        <v>46222</v>
      </c>
      <c r="C22" s="8">
        <f>IFERROR(Britador!O514,"")</f>
        <v>3397119</v>
      </c>
      <c r="D22" s="8">
        <f>IFERROR('Linha 1'!O514,"")</f>
        <v>1307150</v>
      </c>
      <c r="E22" s="8">
        <f>IFERROR('Linha 2'!O514,"")</f>
        <v>593040</v>
      </c>
      <c r="F22" s="8">
        <f>IFERROR('Linha 3'!O514,"")</f>
        <v>1447870</v>
      </c>
      <c r="G22" s="9">
        <f t="shared" si="0"/>
        <v>3348060</v>
      </c>
    </row>
    <row r="23" spans="1:7" ht="15.75" customHeight="1">
      <c r="A23" s="10">
        <v>20</v>
      </c>
      <c r="B23" s="73">
        <v>46223</v>
      </c>
      <c r="C23" s="11">
        <f>IFERROR(Britador!O541,"")</f>
        <v>2402710</v>
      </c>
      <c r="D23" s="11">
        <f>IFERROR('Linha 1'!O541,"")</f>
        <v>1375020</v>
      </c>
      <c r="E23" s="11">
        <f>IFERROR('Linha 2'!O541,"")</f>
        <v>429840</v>
      </c>
      <c r="F23" s="11">
        <f>IFERROR('Linha 3'!O541,"")</f>
        <v>766880</v>
      </c>
      <c r="G23" s="12">
        <f t="shared" si="0"/>
        <v>2571740</v>
      </c>
    </row>
    <row r="24" spans="1:7" ht="15.75" customHeight="1">
      <c r="A24" s="7">
        <v>21</v>
      </c>
      <c r="B24" s="72">
        <v>46224</v>
      </c>
      <c r="C24" s="8">
        <f>IFERROR(Britador!O568,"")</f>
        <v>2208200</v>
      </c>
      <c r="D24" s="8">
        <f>IFERROR('Linha 1'!O568,"")</f>
        <v>1725890</v>
      </c>
      <c r="E24" s="8">
        <f>IFERROR('Linha 2'!O568,"")</f>
        <v>487780</v>
      </c>
      <c r="F24" s="8">
        <f>IFERROR('Linha 3'!O568,"")</f>
        <v>1083200</v>
      </c>
      <c r="G24" s="9">
        <f t="shared" si="0"/>
        <v>3296870</v>
      </c>
    </row>
    <row r="25" spans="1:7" ht="15.75" customHeight="1">
      <c r="A25" s="10">
        <v>22</v>
      </c>
      <c r="B25" s="73">
        <v>46225</v>
      </c>
      <c r="C25" s="11">
        <f>IFERROR(Britador!O595,"")</f>
        <v>2666800</v>
      </c>
      <c r="D25" s="11">
        <f>IFERROR('Linha 1'!O595,"")</f>
        <v>1610900</v>
      </c>
      <c r="E25" s="11">
        <f>IFERROR('Linha 2'!O595,"")</f>
        <v>647530</v>
      </c>
      <c r="F25" s="11">
        <f>IFERROR('Linha 3'!O595,"")</f>
        <v>572580</v>
      </c>
      <c r="G25" s="12">
        <f t="shared" si="0"/>
        <v>2831010</v>
      </c>
    </row>
    <row r="26" spans="1:7" ht="15.75" customHeight="1">
      <c r="A26" s="7">
        <v>23</v>
      </c>
      <c r="B26" s="72">
        <v>46226</v>
      </c>
      <c r="C26" s="8">
        <f>IFERROR(Britador!O622,"")</f>
        <v>3728847</v>
      </c>
      <c r="D26" s="8">
        <f>IFERROR('Linha 1'!O622,"")</f>
        <v>1111290</v>
      </c>
      <c r="E26" s="8">
        <f>IFERROR('Linha 2'!O622,"")</f>
        <v>1109480</v>
      </c>
      <c r="F26" s="8">
        <f>IFERROR('Linha 3'!O622,"")</f>
        <v>1100720</v>
      </c>
      <c r="G26" s="9">
        <f t="shared" si="0"/>
        <v>3321490</v>
      </c>
    </row>
    <row r="27" spans="1:7" ht="15.75" customHeight="1">
      <c r="A27" s="10">
        <v>24</v>
      </c>
      <c r="B27" s="73">
        <v>46227</v>
      </c>
      <c r="C27" s="11">
        <f>IFERROR(Britador!O649,"")</f>
        <v>4167800</v>
      </c>
      <c r="D27" s="11">
        <f>IFERROR('Linha 1'!O649,"")</f>
        <v>1265250</v>
      </c>
      <c r="E27" s="11">
        <f>IFERROR('Linha 2'!O649,"")</f>
        <v>978870</v>
      </c>
      <c r="F27" s="11">
        <f>IFERROR('Linha 3'!O649,"")</f>
        <v>645270</v>
      </c>
      <c r="G27" s="12">
        <f t="shared" si="0"/>
        <v>2889390</v>
      </c>
    </row>
    <row r="28" spans="1:7" ht="15.75" customHeight="1">
      <c r="A28" s="7">
        <v>25</v>
      </c>
      <c r="B28" s="72">
        <v>46228</v>
      </c>
      <c r="C28" s="8">
        <f>IFERROR(Britador!O676,"")</f>
        <v>1398950</v>
      </c>
      <c r="D28" s="8">
        <f>IFERROR('Linha 1'!O676,"")</f>
        <v>1277320</v>
      </c>
      <c r="E28" s="8">
        <f>IFERROR('Linha 2'!O676,"")</f>
        <v>770460</v>
      </c>
      <c r="F28" s="8">
        <f>IFERROR('Linha 3'!O676,"")</f>
        <v>486620</v>
      </c>
      <c r="G28" s="9">
        <f t="shared" si="0"/>
        <v>2534400</v>
      </c>
    </row>
    <row r="29" spans="1:7" ht="15.75" customHeight="1">
      <c r="A29" s="10">
        <v>26</v>
      </c>
      <c r="B29" s="73">
        <v>46229</v>
      </c>
      <c r="C29" s="11">
        <f>IFERROR(Britador!O703,"")</f>
        <v>2973470</v>
      </c>
      <c r="D29" s="11">
        <f>IFERROR('Linha 1'!O703,"")</f>
        <v>1330200</v>
      </c>
      <c r="E29" s="11">
        <f>IFERROR('Linha 2'!O703,"")</f>
        <v>935030</v>
      </c>
      <c r="F29" s="11">
        <f>IFERROR('Linha 3'!O703,"")</f>
        <v>1826850</v>
      </c>
      <c r="G29" s="12">
        <f t="shared" si="0"/>
        <v>4092080</v>
      </c>
    </row>
    <row r="30" spans="1:7" ht="15.75" customHeight="1">
      <c r="A30" s="7">
        <v>27</v>
      </c>
      <c r="B30" s="72">
        <v>46230</v>
      </c>
      <c r="C30" s="8">
        <f>IFERROR(Britador!O730,"")</f>
        <v>2713590</v>
      </c>
      <c r="D30" s="8">
        <f>IFERROR('Linha 1'!O730,"")</f>
        <v>1246180</v>
      </c>
      <c r="E30" s="8">
        <f>IFERROR('Linha 2'!O730,"")</f>
        <v>509240</v>
      </c>
      <c r="F30" s="8">
        <f>IFERROR('Linha 3'!O730,"")</f>
        <v>1465730</v>
      </c>
      <c r="G30" s="9">
        <f t="shared" si="0"/>
        <v>3221150</v>
      </c>
    </row>
    <row r="31" spans="1:7" ht="15.75" customHeight="1">
      <c r="A31" s="10">
        <v>28</v>
      </c>
      <c r="B31" s="73">
        <v>46231</v>
      </c>
      <c r="C31" s="11">
        <f>IFERROR(Britador!O757,"")</f>
        <v>3538220</v>
      </c>
      <c r="D31" s="11">
        <f>IFERROR('Linha 1'!O757,"")</f>
        <v>1264410</v>
      </c>
      <c r="E31" s="11">
        <f>IFERROR('Linha 2'!O757,"")</f>
        <v>426160</v>
      </c>
      <c r="F31" s="11">
        <f>IFERROR('Linha 3'!O757,"")</f>
        <v>1181050</v>
      </c>
      <c r="G31" s="12">
        <f t="shared" si="0"/>
        <v>2871620</v>
      </c>
    </row>
    <row r="32" spans="1:7" ht="15.75" customHeight="1">
      <c r="A32" s="7">
        <v>29</v>
      </c>
      <c r="B32" s="72">
        <v>46232</v>
      </c>
      <c r="C32" s="8">
        <f>IFERROR(Britador!O784,"")</f>
        <v>1751285</v>
      </c>
      <c r="D32" s="8">
        <f>IFERROR('Linha 1'!O784,"")</f>
        <v>610890</v>
      </c>
      <c r="E32" s="8">
        <f>IFERROR('Linha 2'!O784,"")</f>
        <v>172140</v>
      </c>
      <c r="F32" s="8">
        <f>IFERROR('Linha 3'!O784,"")</f>
        <v>39360</v>
      </c>
      <c r="G32" s="9">
        <f>IFERROR(D32+E32+F32,"")</f>
        <v>822390</v>
      </c>
    </row>
    <row r="33" spans="1:7" ht="15.75" customHeight="1">
      <c r="A33" s="10">
        <v>30</v>
      </c>
      <c r="B33" s="73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11" t="s">
        <v>9</v>
      </c>
      <c r="B35" s="111"/>
      <c r="C35" s="13">
        <f>IFERROR(SUM(C4:C34),"")</f>
        <v>87532313</v>
      </c>
      <c r="D35" s="13">
        <f>IFERROR(SUM(D4:D34),"")</f>
        <v>35210690</v>
      </c>
      <c r="E35" s="13">
        <f>IFERROR(SUM(E4:E34),"")</f>
        <v>19876800</v>
      </c>
      <c r="F35" s="13">
        <f>IFERROR(SUM(F4:F34),"")</f>
        <v>36042620</v>
      </c>
      <c r="G35" s="13">
        <f>IFERROR(SUM(G4:G34),"")</f>
        <v>91130110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38" zoomScale="85" zoomScaleNormal="85" workbookViewId="0">
      <selection activeCell="M58" sqref="M58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12" t="s">
        <v>10</v>
      </c>
      <c r="B1" s="112"/>
      <c r="C1" s="112"/>
      <c r="D1" s="112"/>
      <c r="E1" s="112"/>
      <c r="F1" s="112"/>
      <c r="G1" s="112"/>
      <c r="H1" s="113"/>
      <c r="I1" s="114" t="s">
        <v>11</v>
      </c>
      <c r="J1" s="114"/>
      <c r="K1" s="114"/>
      <c r="L1" s="114"/>
      <c r="M1" s="114"/>
    </row>
    <row r="2" spans="1:13" ht="4.5" customHeight="1">
      <c r="H2" s="113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3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3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3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3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3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3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3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3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3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3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3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3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3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3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3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3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13"/>
      <c r="I19" s="17"/>
      <c r="J19" s="17" t="s">
        <v>115</v>
      </c>
      <c r="K19" s="17" t="s">
        <v>116</v>
      </c>
      <c r="L19" s="17"/>
      <c r="M19" s="17" t="s">
        <v>117</v>
      </c>
    </row>
    <row r="20" spans="1:13" ht="15.75" customHeight="1">
      <c r="A20" s="16"/>
      <c r="C20" s="16"/>
      <c r="E20" s="16"/>
      <c r="G20" s="16" t="s">
        <v>118</v>
      </c>
      <c r="H20" s="113"/>
      <c r="I20" s="16"/>
      <c r="J20" s="16"/>
      <c r="K20" s="16" t="s">
        <v>119</v>
      </c>
      <c r="L20" s="16"/>
      <c r="M20" s="16" t="s">
        <v>120</v>
      </c>
    </row>
    <row r="21" spans="1:13" ht="15.75" customHeight="1">
      <c r="A21" s="17"/>
      <c r="C21" s="17"/>
      <c r="E21" s="17"/>
      <c r="G21" s="17" t="s">
        <v>121</v>
      </c>
      <c r="H21" s="113"/>
      <c r="I21" s="17"/>
      <c r="J21" s="17"/>
      <c r="K21" s="17" t="s">
        <v>122</v>
      </c>
      <c r="L21" s="17"/>
      <c r="M21" s="17" t="s">
        <v>123</v>
      </c>
    </row>
    <row r="22" spans="1:13" ht="15.75" customHeight="1">
      <c r="A22" s="16"/>
      <c r="C22" s="16"/>
      <c r="E22" s="16"/>
      <c r="G22" s="16" t="s">
        <v>124</v>
      </c>
      <c r="H22" s="113"/>
      <c r="I22" s="16"/>
      <c r="J22" s="16"/>
      <c r="K22" s="16" t="s">
        <v>125</v>
      </c>
      <c r="L22" s="16"/>
      <c r="M22" s="16" t="s">
        <v>126</v>
      </c>
    </row>
    <row r="23" spans="1:13" ht="15.75" customHeight="1">
      <c r="A23" s="17"/>
      <c r="C23" s="17"/>
      <c r="E23" s="17"/>
      <c r="G23" s="17" t="s">
        <v>127</v>
      </c>
      <c r="H23" s="113"/>
      <c r="I23" s="17"/>
      <c r="J23" s="17"/>
      <c r="K23" s="17" t="s">
        <v>128</v>
      </c>
      <c r="L23" s="17"/>
      <c r="M23" s="17" t="s">
        <v>129</v>
      </c>
    </row>
    <row r="24" spans="1:13" ht="15.75" customHeight="1">
      <c r="A24" s="16"/>
      <c r="C24" s="16"/>
      <c r="E24" s="16"/>
      <c r="G24" s="16" t="s">
        <v>130</v>
      </c>
      <c r="H24" s="113"/>
      <c r="I24" s="16"/>
      <c r="J24" s="16"/>
      <c r="K24" s="16" t="s">
        <v>131</v>
      </c>
      <c r="L24" s="16"/>
      <c r="M24" s="16" t="s">
        <v>132</v>
      </c>
    </row>
    <row r="25" spans="1:13" ht="15.75" customHeight="1">
      <c r="A25" s="17"/>
      <c r="C25" s="17"/>
      <c r="E25" s="17"/>
      <c r="G25" s="17" t="s">
        <v>133</v>
      </c>
      <c r="H25" s="113"/>
      <c r="I25" s="17"/>
      <c r="J25" s="17"/>
      <c r="K25" s="17" t="s">
        <v>134</v>
      </c>
      <c r="L25" s="17"/>
      <c r="M25" s="17" t="s">
        <v>135</v>
      </c>
    </row>
    <row r="26" spans="1:13" ht="15.75" customHeight="1">
      <c r="A26" s="16"/>
      <c r="C26" s="16"/>
      <c r="E26" s="16"/>
      <c r="G26" s="16" t="s">
        <v>136</v>
      </c>
      <c r="H26" s="113"/>
      <c r="I26" s="16"/>
      <c r="J26" s="16"/>
      <c r="K26" s="16" t="s">
        <v>137</v>
      </c>
      <c r="L26" s="16"/>
      <c r="M26" s="16"/>
    </row>
    <row r="27" spans="1:13" ht="15.75" customHeight="1">
      <c r="A27" s="17"/>
      <c r="C27" s="17"/>
      <c r="E27" s="17"/>
      <c r="G27" s="17" t="s">
        <v>138</v>
      </c>
      <c r="H27" s="113"/>
      <c r="I27" s="17"/>
      <c r="J27" s="17"/>
      <c r="K27" s="17" t="s">
        <v>129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139</v>
      </c>
      <c r="H28" s="113"/>
      <c r="I28" s="16"/>
      <c r="J28" s="16"/>
      <c r="K28" s="16" t="s">
        <v>132</v>
      </c>
      <c r="L28" s="16"/>
      <c r="M28" s="16" t="s">
        <v>140</v>
      </c>
    </row>
    <row r="29" spans="1:13" ht="15.75" customHeight="1">
      <c r="A29" s="17"/>
      <c r="C29" s="17"/>
      <c r="E29" s="17"/>
      <c r="G29" s="17" t="s">
        <v>141</v>
      </c>
      <c r="H29" s="113"/>
      <c r="I29" s="17"/>
      <c r="J29" s="17"/>
      <c r="K29" s="17" t="s">
        <v>142</v>
      </c>
      <c r="L29" s="17"/>
      <c r="M29" s="17" t="s">
        <v>143</v>
      </c>
    </row>
    <row r="30" spans="1:13" ht="15.75" customHeight="1">
      <c r="A30" s="16"/>
      <c r="C30" s="16"/>
      <c r="E30" s="16"/>
      <c r="G30" s="16" t="s">
        <v>144</v>
      </c>
      <c r="H30" s="113"/>
      <c r="I30" s="16"/>
      <c r="J30" s="16"/>
      <c r="K30" s="16" t="s">
        <v>145</v>
      </c>
      <c r="L30" s="16"/>
      <c r="M30" s="16" t="s">
        <v>146</v>
      </c>
    </row>
    <row r="31" spans="1:13" ht="15.75" customHeight="1">
      <c r="A31" s="17"/>
      <c r="C31" s="17"/>
      <c r="E31" s="17"/>
      <c r="G31" s="17" t="s">
        <v>147</v>
      </c>
      <c r="H31" s="113"/>
      <c r="I31" s="17"/>
      <c r="J31" s="17"/>
      <c r="K31" s="18" t="s">
        <v>148</v>
      </c>
      <c r="L31" s="17"/>
      <c r="M31" s="17" t="s">
        <v>149</v>
      </c>
    </row>
    <row r="32" spans="1:13" ht="15.75" customHeight="1">
      <c r="A32" s="16"/>
      <c r="C32" s="16"/>
      <c r="E32" s="16"/>
      <c r="G32" s="16" t="s">
        <v>150</v>
      </c>
      <c r="H32" s="113"/>
      <c r="I32" s="16"/>
      <c r="J32" s="16"/>
      <c r="K32" s="16" t="s">
        <v>151</v>
      </c>
      <c r="L32" s="16"/>
      <c r="M32" t="s">
        <v>152</v>
      </c>
    </row>
    <row r="33" spans="1:13" ht="15.75" customHeight="1">
      <c r="A33" s="17"/>
      <c r="C33" s="17"/>
      <c r="E33" s="17"/>
      <c r="G33" s="17" t="s">
        <v>153</v>
      </c>
      <c r="H33" s="113"/>
      <c r="I33" s="17"/>
      <c r="J33" s="17"/>
      <c r="K33" s="18" t="s">
        <v>154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155</v>
      </c>
      <c r="H34" s="113"/>
      <c r="I34" s="16"/>
      <c r="J34" s="16"/>
      <c r="K34" s="16" t="s">
        <v>79</v>
      </c>
      <c r="L34" s="16"/>
      <c r="M34" s="16" t="s">
        <v>156</v>
      </c>
    </row>
    <row r="35" spans="1:13" ht="15.75" customHeight="1">
      <c r="A35" s="17"/>
      <c r="C35" s="17"/>
      <c r="E35" s="17"/>
      <c r="G35" s="17" t="s">
        <v>157</v>
      </c>
      <c r="H35" s="113"/>
      <c r="I35" s="17"/>
      <c r="J35" s="17"/>
      <c r="K35" s="17" t="s">
        <v>158</v>
      </c>
      <c r="L35" s="17"/>
      <c r="M35" s="17" t="s">
        <v>159</v>
      </c>
    </row>
    <row r="36" spans="1:13" ht="15.75" customHeight="1">
      <c r="A36" s="16"/>
      <c r="C36" s="16"/>
      <c r="E36" s="16"/>
      <c r="G36" s="16" t="s">
        <v>160</v>
      </c>
      <c r="H36" s="113"/>
      <c r="I36" s="16"/>
      <c r="J36" s="16"/>
      <c r="K36" s="16" t="s">
        <v>161</v>
      </c>
      <c r="L36" s="16"/>
      <c r="M36" s="16" t="s">
        <v>162</v>
      </c>
    </row>
    <row r="37" spans="1:13" ht="15.75" customHeight="1">
      <c r="A37" s="17"/>
      <c r="C37" s="17"/>
      <c r="E37" s="17"/>
      <c r="G37" s="17" t="s">
        <v>163</v>
      </c>
      <c r="H37" s="113"/>
      <c r="I37" s="17"/>
      <c r="J37" s="17"/>
      <c r="K37" s="17" t="s">
        <v>164</v>
      </c>
      <c r="L37" s="17"/>
      <c r="M37" s="17" t="s">
        <v>165</v>
      </c>
    </row>
    <row r="38" spans="1:13" ht="15.75" customHeight="1">
      <c r="A38" s="16"/>
      <c r="C38" s="16"/>
      <c r="E38" s="16"/>
      <c r="G38" s="16" t="s">
        <v>166</v>
      </c>
      <c r="H38" s="113"/>
      <c r="I38" s="16"/>
      <c r="J38" s="16"/>
      <c r="K38" s="16" t="s">
        <v>167</v>
      </c>
      <c r="L38" s="16"/>
      <c r="M38" s="16" t="s">
        <v>168</v>
      </c>
    </row>
    <row r="39" spans="1:13" ht="15.75" customHeight="1">
      <c r="A39" s="17"/>
      <c r="C39" s="17"/>
      <c r="E39" s="17"/>
      <c r="G39" s="17"/>
      <c r="H39" s="113"/>
      <c r="I39" s="17"/>
      <c r="J39" s="17"/>
      <c r="K39" s="17" t="s">
        <v>169</v>
      </c>
      <c r="L39" s="17"/>
      <c r="M39" s="17" t="s">
        <v>170</v>
      </c>
    </row>
    <row r="40" spans="1:13" ht="15.75" customHeight="1">
      <c r="A40" s="16"/>
      <c r="C40" s="16"/>
      <c r="E40" s="16"/>
      <c r="G40" s="16"/>
      <c r="H40" s="113"/>
      <c r="I40" s="16"/>
      <c r="J40" s="16"/>
      <c r="K40" s="16" t="s">
        <v>171</v>
      </c>
      <c r="L40" s="16"/>
      <c r="M40" s="16" t="s">
        <v>172</v>
      </c>
    </row>
    <row r="41" spans="1:13" ht="15.75" customHeight="1">
      <c r="A41" s="17"/>
      <c r="C41" s="17"/>
      <c r="E41" s="17"/>
      <c r="G41" s="17"/>
      <c r="H41" s="113"/>
      <c r="I41" s="17"/>
      <c r="J41" s="17"/>
      <c r="K41" s="17" t="s">
        <v>173</v>
      </c>
      <c r="L41" s="17"/>
      <c r="M41" s="17" t="s">
        <v>174</v>
      </c>
    </row>
    <row r="42" spans="1:13" ht="15.75" customHeight="1">
      <c r="A42" s="16"/>
      <c r="C42" s="16"/>
      <c r="E42" s="16"/>
      <c r="G42" s="16"/>
      <c r="H42" s="113"/>
      <c r="I42" s="16"/>
      <c r="J42" s="16"/>
      <c r="K42" s="16" t="s">
        <v>175</v>
      </c>
      <c r="L42" s="16"/>
      <c r="M42" s="16" t="s">
        <v>176</v>
      </c>
    </row>
    <row r="43" spans="1:13" ht="15.75" customHeight="1">
      <c r="A43" s="17"/>
      <c r="C43" s="17"/>
      <c r="E43" s="17"/>
      <c r="G43" s="17"/>
      <c r="H43" s="113"/>
      <c r="I43" s="17"/>
      <c r="J43" s="17"/>
      <c r="K43" s="17" t="s">
        <v>177</v>
      </c>
      <c r="L43" s="17"/>
      <c r="M43" s="17" t="s">
        <v>178</v>
      </c>
    </row>
    <row r="44" spans="1:13" ht="15.75" customHeight="1">
      <c r="A44" s="16"/>
      <c r="C44" s="16"/>
      <c r="E44" s="16"/>
      <c r="G44" s="16"/>
      <c r="H44" s="113"/>
      <c r="I44" s="16"/>
      <c r="J44" s="16"/>
      <c r="K44" s="16" t="s">
        <v>179</v>
      </c>
      <c r="L44" s="16"/>
      <c r="M44" s="16" t="s">
        <v>180</v>
      </c>
    </row>
    <row r="45" spans="1:13" ht="15.75" customHeight="1">
      <c r="A45" s="17"/>
      <c r="C45" s="17"/>
      <c r="E45" s="17"/>
      <c r="G45" s="17"/>
      <c r="H45" s="113"/>
      <c r="I45" s="17"/>
      <c r="J45" s="17"/>
      <c r="K45" s="17"/>
      <c r="L45" s="17"/>
      <c r="M45" s="17" t="s">
        <v>181</v>
      </c>
    </row>
    <row r="46" spans="1:13" ht="15.75" customHeight="1">
      <c r="A46" s="16"/>
      <c r="C46" s="16"/>
      <c r="E46" s="16"/>
      <c r="G46" s="16"/>
      <c r="H46" s="113"/>
      <c r="I46" s="16"/>
      <c r="J46" s="16"/>
      <c r="K46" s="16" t="s">
        <v>182</v>
      </c>
      <c r="L46" s="16"/>
      <c r="M46" s="16" t="s">
        <v>183</v>
      </c>
    </row>
    <row r="47" spans="1:13" ht="15.75" customHeight="1">
      <c r="A47" s="17"/>
      <c r="C47" s="17"/>
      <c r="E47" s="17"/>
      <c r="G47" s="17"/>
      <c r="H47" s="113"/>
      <c r="I47" s="17"/>
      <c r="J47" s="17"/>
      <c r="K47" s="17" t="s">
        <v>184</v>
      </c>
      <c r="L47" s="17"/>
      <c r="M47" s="17" t="s">
        <v>185</v>
      </c>
    </row>
    <row r="48" spans="1:13" ht="15.75" customHeight="1">
      <c r="A48" s="16"/>
      <c r="C48" s="16"/>
      <c r="E48" s="16"/>
      <c r="G48" s="16"/>
      <c r="H48" s="113"/>
      <c r="I48" s="16"/>
      <c r="J48" s="16"/>
      <c r="K48" s="16" t="s">
        <v>186</v>
      </c>
      <c r="L48" s="16"/>
      <c r="M48" s="16" t="s">
        <v>187</v>
      </c>
    </row>
    <row r="49" spans="1:13" ht="18" customHeight="1">
      <c r="H49" s="113"/>
      <c r="I49" s="17"/>
      <c r="J49" s="17"/>
      <c r="K49" s="17" t="s">
        <v>188</v>
      </c>
      <c r="L49" s="17"/>
      <c r="M49" s="17" t="s">
        <v>189</v>
      </c>
    </row>
    <row r="50" spans="1:13" ht="21" customHeight="1">
      <c r="A50" s="19" t="s">
        <v>190</v>
      </c>
      <c r="B50" s="19"/>
      <c r="C50" s="19"/>
      <c r="D50" s="19"/>
      <c r="E50" s="19"/>
      <c r="F50" s="19"/>
      <c r="G50" s="19"/>
      <c r="H50" s="113"/>
      <c r="I50" s="16"/>
      <c r="J50" s="16"/>
      <c r="K50" s="16" t="s">
        <v>191</v>
      </c>
      <c r="L50" s="16"/>
      <c r="M50" s="16" t="s">
        <v>192</v>
      </c>
    </row>
    <row r="51" spans="1:13" ht="24" customHeight="1">
      <c r="H51" s="113"/>
      <c r="I51" s="17"/>
      <c r="J51" s="17"/>
      <c r="K51" s="17" t="s">
        <v>193</v>
      </c>
      <c r="L51" s="17"/>
      <c r="M51" s="17" t="s">
        <v>194</v>
      </c>
    </row>
    <row r="52" spans="1:13" ht="24" customHeight="1">
      <c r="H52" s="113"/>
      <c r="I52" s="16"/>
      <c r="J52" s="16"/>
      <c r="K52" s="16" t="s">
        <v>195</v>
      </c>
      <c r="L52" s="16"/>
      <c r="M52" s="16" t="s">
        <v>196</v>
      </c>
    </row>
    <row r="53" spans="1:13" ht="36" customHeight="1">
      <c r="H53" s="113"/>
      <c r="I53" s="17"/>
      <c r="J53" s="17"/>
      <c r="K53" s="17" t="s">
        <v>197</v>
      </c>
      <c r="L53" s="17"/>
      <c r="M53" s="17" t="s">
        <v>198</v>
      </c>
    </row>
    <row r="54" spans="1:13" ht="15" customHeight="1">
      <c r="H54" s="113"/>
      <c r="I54" s="16"/>
      <c r="J54" s="16"/>
      <c r="K54" s="16" t="s">
        <v>199</v>
      </c>
      <c r="L54" s="16"/>
      <c r="M54" s="16" t="s">
        <v>200</v>
      </c>
    </row>
    <row r="55" spans="1:13" ht="15" customHeight="1">
      <c r="H55" s="113"/>
      <c r="I55" s="17"/>
      <c r="J55" s="17"/>
      <c r="K55" s="17" t="s">
        <v>201</v>
      </c>
      <c r="L55" s="17"/>
      <c r="M55" s="17" t="s">
        <v>202</v>
      </c>
    </row>
    <row r="56" spans="1:13" ht="15" customHeight="1">
      <c r="H56" s="113"/>
      <c r="I56" s="16"/>
      <c r="J56" s="16"/>
      <c r="K56" s="16" t="s">
        <v>203</v>
      </c>
      <c r="L56" s="16"/>
      <c r="M56" s="16" t="s">
        <v>204</v>
      </c>
    </row>
    <row r="57" spans="1:13" ht="15" customHeight="1">
      <c r="H57" s="113"/>
      <c r="I57" s="17"/>
      <c r="J57" s="17"/>
      <c r="K57" s="17" t="s">
        <v>50</v>
      </c>
      <c r="L57" s="17"/>
      <c r="M57" s="17" t="s">
        <v>205</v>
      </c>
    </row>
    <row r="58" spans="1:13" ht="15" customHeight="1">
      <c r="H58" s="113"/>
      <c r="I58" s="16"/>
      <c r="J58" s="16"/>
      <c r="K58" s="16" t="s">
        <v>206</v>
      </c>
      <c r="L58" s="16"/>
      <c r="M58" s="16"/>
    </row>
    <row r="59" spans="1:13" ht="15" customHeight="1">
      <c r="H59" s="113"/>
      <c r="I59" s="17"/>
      <c r="J59" s="17"/>
      <c r="K59" s="17" t="s">
        <v>207</v>
      </c>
      <c r="L59" s="17"/>
      <c r="M59" s="17"/>
    </row>
    <row r="60" spans="1:13" ht="15" customHeight="1">
      <c r="H60" s="113"/>
      <c r="I60" s="16"/>
      <c r="J60" s="16"/>
      <c r="K60" s="86" t="s">
        <v>105</v>
      </c>
      <c r="L60" s="16"/>
      <c r="M60" s="16"/>
    </row>
    <row r="61" spans="1:13" ht="15" customHeight="1">
      <c r="H61" s="113"/>
      <c r="I61" s="17"/>
      <c r="J61" s="17"/>
      <c r="K61" s="17" t="s">
        <v>208</v>
      </c>
      <c r="L61" s="17"/>
      <c r="M61" s="17"/>
    </row>
    <row r="62" spans="1:13" ht="15" customHeight="1">
      <c r="H62" s="113"/>
      <c r="I62" s="16"/>
      <c r="J62" s="16"/>
      <c r="K62" s="16" t="s">
        <v>209</v>
      </c>
      <c r="L62" s="16"/>
      <c r="M62" s="16"/>
    </row>
    <row r="63" spans="1:13" ht="15" customHeight="1">
      <c r="H63" s="113"/>
      <c r="I63" s="17"/>
      <c r="J63" s="17"/>
      <c r="K63" s="17" t="s">
        <v>210</v>
      </c>
      <c r="L63" s="17"/>
      <c r="M63" s="17"/>
    </row>
    <row r="64" spans="1:13" ht="15" customHeight="1">
      <c r="H64" s="113"/>
      <c r="I64" s="16"/>
      <c r="J64" s="16"/>
      <c r="K64" s="16" t="s">
        <v>211</v>
      </c>
      <c r="L64" s="16"/>
      <c r="M64" s="16"/>
    </row>
    <row r="65" spans="8:13" ht="15" customHeight="1">
      <c r="H65" s="113"/>
      <c r="I65" s="17"/>
      <c r="J65" s="17"/>
      <c r="K65" s="17" t="s">
        <v>212</v>
      </c>
      <c r="L65" s="17"/>
      <c r="M65" s="17"/>
    </row>
    <row r="66" spans="8:13" ht="15" customHeight="1">
      <c r="H66" s="113"/>
      <c r="I66" s="16"/>
      <c r="J66" s="16"/>
      <c r="K66" s="16" t="s">
        <v>213</v>
      </c>
      <c r="L66" s="16"/>
      <c r="M66" s="16"/>
    </row>
    <row r="67" spans="8:13" ht="15" customHeight="1">
      <c r="H67" s="113"/>
      <c r="I67" s="17"/>
      <c r="J67" s="17"/>
      <c r="K67" s="17" t="s">
        <v>214</v>
      </c>
      <c r="L67" s="17"/>
      <c r="M67" s="17"/>
    </row>
    <row r="68" spans="8:13" ht="15" customHeight="1">
      <c r="H68" s="113"/>
      <c r="I68" s="16"/>
      <c r="J68" s="16"/>
      <c r="K68" s="16" t="s">
        <v>215</v>
      </c>
      <c r="L68" s="16"/>
      <c r="M68" s="16"/>
    </row>
    <row r="69" spans="8:13" ht="15" customHeight="1">
      <c r="H69" s="113"/>
      <c r="I69" s="17"/>
      <c r="J69" s="17"/>
      <c r="K69" s="17" t="s">
        <v>216</v>
      </c>
      <c r="L69" s="17"/>
      <c r="M69" s="17"/>
    </row>
    <row r="70" spans="8:13" ht="15" customHeight="1">
      <c r="H70" s="113"/>
      <c r="I70" s="16"/>
      <c r="J70" s="16"/>
      <c r="K70" s="16" t="s">
        <v>217</v>
      </c>
      <c r="L70" s="16"/>
      <c r="M70" s="16"/>
    </row>
    <row r="71" spans="8:13" ht="15" customHeight="1">
      <c r="H71" s="113"/>
      <c r="I71" s="17"/>
      <c r="J71" s="17"/>
      <c r="K71" s="17" t="s">
        <v>218</v>
      </c>
      <c r="L71" s="17"/>
      <c r="M71" s="17"/>
    </row>
    <row r="72" spans="8:13" ht="15" customHeight="1">
      <c r="H72" s="113"/>
      <c r="I72" s="16"/>
      <c r="J72" s="16"/>
      <c r="K72" s="16" t="s">
        <v>219</v>
      </c>
      <c r="L72" s="16"/>
      <c r="M72" s="16"/>
    </row>
    <row r="73" spans="8:13" ht="15" customHeight="1">
      <c r="H73" s="113"/>
      <c r="I73" s="17"/>
      <c r="J73" s="17"/>
      <c r="K73" s="17" t="s">
        <v>220</v>
      </c>
      <c r="L73" s="17"/>
      <c r="M73" s="17"/>
    </row>
    <row r="74" spans="8:13" ht="15" customHeight="1">
      <c r="H74" s="113"/>
      <c r="I74" s="16"/>
      <c r="J74" s="16"/>
      <c r="K74" s="16"/>
      <c r="L74" s="16"/>
      <c r="M74" s="16"/>
    </row>
    <row r="75" spans="8:13" ht="15" customHeight="1">
      <c r="H75" s="113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2"/>
  <sheetViews>
    <sheetView showGridLines="0" zoomScale="60" zoomScaleNormal="60" workbookViewId="0">
      <pane ySplit="1" topLeftCell="A752" activePane="bottomLeft" state="frozen"/>
      <selection pane="bottomLeft" activeCell="F776" sqref="F776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79.42578125" style="20" customWidth="1"/>
    <col min="15" max="15" width="14" customWidth="1"/>
  </cols>
  <sheetData>
    <row r="1" spans="1:15" ht="37.5" customHeight="1">
      <c r="A1" s="67" t="s">
        <v>7</v>
      </c>
      <c r="B1" s="23" t="s">
        <v>221</v>
      </c>
      <c r="C1" s="23" t="s">
        <v>12</v>
      </c>
      <c r="D1" s="22" t="s">
        <v>13</v>
      </c>
      <c r="E1" s="22" t="s">
        <v>222</v>
      </c>
      <c r="F1" s="23" t="s">
        <v>223</v>
      </c>
      <c r="G1" s="23" t="s">
        <v>224</v>
      </c>
      <c r="H1" s="23" t="s">
        <v>14</v>
      </c>
      <c r="I1" s="23" t="s">
        <v>15</v>
      </c>
      <c r="J1" s="23" t="s">
        <v>225</v>
      </c>
      <c r="K1" s="23" t="s">
        <v>226</v>
      </c>
      <c r="L1" s="23" t="s">
        <v>227</v>
      </c>
      <c r="M1" s="24" t="s">
        <v>228</v>
      </c>
      <c r="N1" s="23" t="s">
        <v>229</v>
      </c>
      <c r="O1" s="23" t="s">
        <v>230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20" t="s">
        <v>231</v>
      </c>
      <c r="E2" s="59" t="s">
        <v>232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233</v>
      </c>
      <c r="O2" s="31"/>
    </row>
    <row r="3" spans="1:15" ht="15" customHeight="1">
      <c r="A3" s="69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232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143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8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232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232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232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232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232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232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232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232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232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232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3" t="s">
        <v>234</v>
      </c>
      <c r="B14" s="104"/>
      <c r="C14" s="104"/>
      <c r="D14" s="104"/>
      <c r="E14" s="105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235</v>
      </c>
      <c r="O14" s="39">
        <v>1489420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232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232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232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232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232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232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232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232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232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232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232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232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3" t="s">
        <v>236</v>
      </c>
      <c r="B27" s="104"/>
      <c r="C27" s="104"/>
      <c r="D27" s="104"/>
      <c r="E27" s="105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235</v>
      </c>
      <c r="O27" s="39">
        <v>1183060</v>
      </c>
    </row>
    <row r="28" spans="1:15" ht="18" customHeight="1">
      <c r="A28" s="106" t="s">
        <v>237</v>
      </c>
      <c r="B28" s="107"/>
      <c r="C28" s="107"/>
      <c r="D28" s="107"/>
      <c r="E28" s="108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238</v>
      </c>
      <c r="O28" s="43">
        <f>IFERROR(O14+O27,"")</f>
        <v>2672480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232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232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184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239</v>
      </c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232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232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232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232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232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232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232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232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232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232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3" t="s">
        <v>234</v>
      </c>
      <c r="B41" s="104"/>
      <c r="C41" s="104"/>
      <c r="D41" s="104"/>
      <c r="E41" s="105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235</v>
      </c>
      <c r="O41" s="39">
        <v>108620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232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232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232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232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232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232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232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232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232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232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232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232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3" t="s">
        <v>236</v>
      </c>
      <c r="B54" s="104"/>
      <c r="C54" s="104"/>
      <c r="D54" s="104"/>
      <c r="E54" s="105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235</v>
      </c>
      <c r="O54" s="39">
        <v>959290</v>
      </c>
    </row>
    <row r="55" spans="1:15" ht="18" customHeight="1">
      <c r="A55" s="106" t="s">
        <v>237</v>
      </c>
      <c r="B55" s="107"/>
      <c r="C55" s="107"/>
      <c r="D55" s="107"/>
      <c r="E55" s="108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238</v>
      </c>
      <c r="O55" s="43">
        <f>IFERROR(O41+O54,"")</f>
        <v>1067910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232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232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232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232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232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232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232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232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232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232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232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232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3" t="s">
        <v>234</v>
      </c>
      <c r="B68" s="104"/>
      <c r="C68" s="104"/>
      <c r="D68" s="104"/>
      <c r="E68" s="105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235</v>
      </c>
      <c r="O68" s="39">
        <v>1953130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232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181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232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132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240</v>
      </c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232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232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232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232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232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232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232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232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232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232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3" t="s">
        <v>236</v>
      </c>
      <c r="B81" s="104"/>
      <c r="C81" s="104"/>
      <c r="D81" s="104"/>
      <c r="E81" s="105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235</v>
      </c>
      <c r="O81" s="39">
        <v>878050</v>
      </c>
    </row>
    <row r="82" spans="1:15" ht="18" customHeight="1">
      <c r="A82" s="106" t="s">
        <v>237</v>
      </c>
      <c r="B82" s="107"/>
      <c r="C82" s="107"/>
      <c r="D82" s="107"/>
      <c r="E82" s="108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238</v>
      </c>
      <c r="O82" s="43">
        <f>IFERROR(O68+O81,"")</f>
        <v>2831180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232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167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241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232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232</v>
      </c>
      <c r="F85" s="27">
        <v>0</v>
      </c>
      <c r="G85" s="28">
        <f t="shared" si="18"/>
        <v>0</v>
      </c>
      <c r="H85" s="33" t="s">
        <v>20</v>
      </c>
      <c r="I85" s="33" t="s">
        <v>144</v>
      </c>
      <c r="J85" s="33" t="s">
        <v>129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232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193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232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232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232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232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232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232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232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232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3" t="s">
        <v>234</v>
      </c>
      <c r="B95" s="104"/>
      <c r="C95" s="104"/>
      <c r="D95" s="104"/>
      <c r="E95" s="105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235</v>
      </c>
      <c r="O95" s="39">
        <v>1704450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242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3" t="s">
        <v>236</v>
      </c>
      <c r="B108" s="104"/>
      <c r="C108" s="104"/>
      <c r="D108" s="104"/>
      <c r="E108" s="105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235</v>
      </c>
      <c r="O108" s="39">
        <v>1700000</v>
      </c>
    </row>
    <row r="109" spans="1:15" ht="18" customHeight="1">
      <c r="A109" s="106" t="s">
        <v>237</v>
      </c>
      <c r="B109" s="107"/>
      <c r="C109" s="107"/>
      <c r="D109" s="107"/>
      <c r="E109" s="108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238</v>
      </c>
      <c r="O109" s="43">
        <f>IFERROR(O95+O108,"")</f>
        <v>3404450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232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201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232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232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232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232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232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232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232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232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232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232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232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3" t="s">
        <v>234</v>
      </c>
      <c r="B122" s="104"/>
      <c r="C122" s="104"/>
      <c r="D122" s="104"/>
      <c r="E122" s="105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235</v>
      </c>
      <c r="O122" s="39">
        <v>1625420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187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232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189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3" t="s">
        <v>236</v>
      </c>
      <c r="B135" s="104"/>
      <c r="C135" s="104"/>
      <c r="D135" s="104"/>
      <c r="E135" s="105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235</v>
      </c>
      <c r="O135" s="39">
        <v>862330</v>
      </c>
    </row>
    <row r="136" spans="1:15" ht="18" customHeight="1">
      <c r="A136" s="106" t="s">
        <v>237</v>
      </c>
      <c r="B136" s="107"/>
      <c r="C136" s="107"/>
      <c r="D136" s="107"/>
      <c r="E136" s="108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238</v>
      </c>
      <c r="O136" s="43">
        <f>IFERROR(O122+O135,"")</f>
        <v>2487750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232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187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232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232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232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232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232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232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232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232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232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232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232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234</v>
      </c>
      <c r="B149" s="104"/>
      <c r="C149" s="104"/>
      <c r="D149" s="104"/>
      <c r="E149" s="105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235</v>
      </c>
      <c r="O149" s="44">
        <v>1121220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232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164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232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143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232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232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232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232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232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232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232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232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232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232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236</v>
      </c>
      <c r="B162" s="104"/>
      <c r="C162" s="104"/>
      <c r="D162" s="104"/>
      <c r="E162" s="105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235</v>
      </c>
      <c r="O162" s="44">
        <v>1546080</v>
      </c>
    </row>
    <row r="163" spans="1:15" ht="18" customHeight="1">
      <c r="A163" s="106" t="s">
        <v>237</v>
      </c>
      <c r="B163" s="107"/>
      <c r="C163" s="107"/>
      <c r="D163" s="107"/>
      <c r="E163" s="108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238</v>
      </c>
      <c r="O163" s="43">
        <f>IFERROR(O149+O162,"")</f>
        <v>2667300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232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128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232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232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232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232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232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232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232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232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232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232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232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234</v>
      </c>
      <c r="B176" s="104"/>
      <c r="C176" s="104"/>
      <c r="D176" s="104"/>
      <c r="E176" s="105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235</v>
      </c>
      <c r="O176" s="39">
        <v>1946430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232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232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232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232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232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232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232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232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232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232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232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232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236</v>
      </c>
      <c r="B189" s="104"/>
      <c r="C189" s="104"/>
      <c r="D189" s="104"/>
      <c r="E189" s="105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235</v>
      </c>
      <c r="O189" s="39">
        <v>2355810</v>
      </c>
    </row>
    <row r="190" spans="1:15" ht="18" customHeight="1">
      <c r="A190" s="106" t="s">
        <v>237</v>
      </c>
      <c r="B190" s="107"/>
      <c r="C190" s="107"/>
      <c r="D190" s="107"/>
      <c r="E190" s="108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238</v>
      </c>
      <c r="O190" s="43">
        <f>IFERROR(O176+O189,"")</f>
        <v>4302240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30</v>
      </c>
      <c r="E191" s="62" t="s">
        <v>232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232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232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232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232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232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232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232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232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232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232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232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234</v>
      </c>
      <c r="B203" s="104"/>
      <c r="C203" s="104"/>
      <c r="D203" s="104"/>
      <c r="E203" s="105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235</v>
      </c>
      <c r="O203" s="45">
        <v>1895110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232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232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154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232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232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232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232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232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232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232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232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232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232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3" t="s">
        <v>236</v>
      </c>
      <c r="B216" s="104"/>
      <c r="C216" s="104"/>
      <c r="D216" s="104"/>
      <c r="E216" s="105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235</v>
      </c>
      <c r="O216" s="45">
        <v>2013260</v>
      </c>
    </row>
    <row r="217" spans="1:15" ht="18" customHeight="1">
      <c r="A217" s="106" t="s">
        <v>237</v>
      </c>
      <c r="B217" s="107"/>
      <c r="C217" s="107"/>
      <c r="D217" s="107"/>
      <c r="E217" s="108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238</v>
      </c>
      <c r="O217" s="48">
        <f>IFERROR(O203+O216,"")</f>
        <v>3908370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232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243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232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232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232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232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232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232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232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232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232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232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232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03" t="s">
        <v>234</v>
      </c>
      <c r="B230" s="104"/>
      <c r="C230" s="104"/>
      <c r="D230" s="104"/>
      <c r="E230" s="105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235</v>
      </c>
      <c r="O230" s="39">
        <v>1436170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232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187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232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232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232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232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232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232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232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232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232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232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232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3" t="s">
        <v>236</v>
      </c>
      <c r="B243" s="104"/>
      <c r="C243" s="104"/>
      <c r="D243" s="104"/>
      <c r="E243" s="105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235</v>
      </c>
      <c r="O243" s="39">
        <v>1545480</v>
      </c>
    </row>
    <row r="244" spans="1:15" ht="18" customHeight="1">
      <c r="A244" s="106" t="s">
        <v>237</v>
      </c>
      <c r="B244" s="107"/>
      <c r="C244" s="107"/>
      <c r="D244" s="107"/>
      <c r="E244" s="108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238</v>
      </c>
      <c r="O244" s="48">
        <f>IFERROR(O230+O243,"")</f>
        <v>2981650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232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164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244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232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232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232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232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232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232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232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232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232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232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232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3" t="s">
        <v>234</v>
      </c>
      <c r="B257" s="104"/>
      <c r="C257" s="104"/>
      <c r="D257" s="104"/>
      <c r="E257" s="105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235</v>
      </c>
      <c r="O257" s="39">
        <v>2070060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232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232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232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232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232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232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232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232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232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232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232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232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3" t="s">
        <v>236</v>
      </c>
      <c r="B270" s="104"/>
      <c r="C270" s="104"/>
      <c r="D270" s="104"/>
      <c r="E270" s="105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235</v>
      </c>
      <c r="O270" s="39">
        <v>1182690</v>
      </c>
    </row>
    <row r="271" spans="1:15" ht="18" customHeight="1">
      <c r="A271" s="106" t="s">
        <v>237</v>
      </c>
      <c r="B271" s="107"/>
      <c r="C271" s="107"/>
      <c r="D271" s="107"/>
      <c r="E271" s="108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238</v>
      </c>
      <c r="O271" s="48">
        <f>IFERROR(O257+O270,"")</f>
        <v>3252750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232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232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232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232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232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232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232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232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232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232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232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232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3" t="s">
        <v>234</v>
      </c>
      <c r="B284" s="104"/>
      <c r="C284" s="104"/>
      <c r="D284" s="104"/>
      <c r="E284" s="105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235</v>
      </c>
      <c r="O284" s="39">
        <v>2448000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232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245</v>
      </c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232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232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232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232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246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232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246</v>
      </c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232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246</v>
      </c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232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246</v>
      </c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232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246</v>
      </c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232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246</v>
      </c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232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246</v>
      </c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232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246</v>
      </c>
      <c r="O296" s="47"/>
    </row>
    <row r="297" spans="1:15" ht="15.75" customHeight="1">
      <c r="A297" s="103" t="s">
        <v>236</v>
      </c>
      <c r="B297" s="104"/>
      <c r="C297" s="104"/>
      <c r="D297" s="104"/>
      <c r="E297" s="105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235</v>
      </c>
      <c r="O297" s="39">
        <v>1843460</v>
      </c>
    </row>
    <row r="298" spans="1:15" ht="18" customHeight="1">
      <c r="A298" s="106" t="s">
        <v>237</v>
      </c>
      <c r="B298" s="107"/>
      <c r="C298" s="107"/>
      <c r="D298" s="107"/>
      <c r="E298" s="108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238</v>
      </c>
      <c r="O298" s="48">
        <f>IFERROR(O284+O297,"")</f>
        <v>4291460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232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128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247</v>
      </c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232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232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132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248</v>
      </c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232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232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232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232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232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232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232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232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232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3" t="s">
        <v>234</v>
      </c>
      <c r="B311" s="104"/>
      <c r="C311" s="104"/>
      <c r="D311" s="104"/>
      <c r="E311" s="105">
        <f>SUM(E299:E310)</f>
        <v>0</v>
      </c>
      <c r="F311" s="36">
        <f>SUM(F299:F310)</f>
        <v>217</v>
      </c>
      <c r="G311" s="90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235</v>
      </c>
      <c r="O311" s="39">
        <v>955688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232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249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249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232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249</v>
      </c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249</v>
      </c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249</v>
      </c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232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249</v>
      </c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3" t="s">
        <v>236</v>
      </c>
      <c r="B324" s="104"/>
      <c r="C324" s="104"/>
      <c r="D324" s="104"/>
      <c r="E324" s="105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235</v>
      </c>
      <c r="O324" s="39">
        <v>1940000</v>
      </c>
    </row>
    <row r="325" spans="1:15" ht="18" customHeight="1">
      <c r="A325" s="106" t="s">
        <v>237</v>
      </c>
      <c r="B325" s="107"/>
      <c r="C325" s="107"/>
      <c r="D325" s="107"/>
      <c r="E325" s="108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238</v>
      </c>
      <c r="O325" s="48">
        <f>IFERROR(O311+O324,"")</f>
        <v>2895688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232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132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250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232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232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232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232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232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232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232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232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232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232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232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3" t="s">
        <v>234</v>
      </c>
      <c r="B338" s="104"/>
      <c r="C338" s="104"/>
      <c r="D338" s="104"/>
      <c r="E338" s="105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235</v>
      </c>
      <c r="O338" s="39">
        <v>1525000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232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232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232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177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232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177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232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232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232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232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232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232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232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232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3" t="s">
        <v>236</v>
      </c>
      <c r="B351" s="104"/>
      <c r="C351" s="104"/>
      <c r="D351" s="104"/>
      <c r="E351" s="105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235</v>
      </c>
      <c r="O351" s="39">
        <v>701874</v>
      </c>
    </row>
    <row r="352" spans="1:15" ht="18" customHeight="1">
      <c r="A352" s="106" t="s">
        <v>237</v>
      </c>
      <c r="B352" s="107"/>
      <c r="C352" s="107"/>
      <c r="D352" s="107"/>
      <c r="E352" s="108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238</v>
      </c>
      <c r="O352" s="48">
        <f>IFERROR(O338+O351,"")</f>
        <v>2226874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232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181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251</v>
      </c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232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187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232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232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232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232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232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232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232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232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232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232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3" t="s">
        <v>234</v>
      </c>
      <c r="B365" s="104"/>
      <c r="C365" s="104"/>
      <c r="D365" s="104"/>
      <c r="E365" s="105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235</v>
      </c>
      <c r="O365" s="39">
        <v>2064210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232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187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232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187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232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232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232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232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232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232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232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232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232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232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3" t="s">
        <v>236</v>
      </c>
      <c r="B378" s="104"/>
      <c r="C378" s="104"/>
      <c r="D378" s="104"/>
      <c r="E378" s="105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235</v>
      </c>
      <c r="O378" s="39">
        <v>1088710</v>
      </c>
    </row>
    <row r="379" spans="1:15" ht="18" customHeight="1">
      <c r="A379" s="106" t="s">
        <v>237</v>
      </c>
      <c r="B379" s="107"/>
      <c r="C379" s="107"/>
      <c r="D379" s="107"/>
      <c r="E379" s="108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238</v>
      </c>
      <c r="O379" s="48">
        <f>IFERROR(O365+O378,"")</f>
        <v>3152920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232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212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232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252</v>
      </c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232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253</v>
      </c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232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232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200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232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232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232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232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232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232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232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3" t="s">
        <v>234</v>
      </c>
      <c r="B392" s="104"/>
      <c r="C392" s="104"/>
      <c r="D392" s="104"/>
      <c r="E392" s="105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235</v>
      </c>
      <c r="O392" s="39">
        <v>1576070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232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164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232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232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132</v>
      </c>
      <c r="K395" s="29">
        <v>0.21180555555555555</v>
      </c>
      <c r="L395" s="29" t="s">
        <v>254</v>
      </c>
      <c r="M395" s="35" t="str">
        <f t="shared" ca="1" si="88"/>
        <v/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232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232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232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232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232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232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232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232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232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3" t="s">
        <v>236</v>
      </c>
      <c r="B405" s="104"/>
      <c r="C405" s="104"/>
      <c r="D405" s="104"/>
      <c r="E405" s="105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235</v>
      </c>
      <c r="O405" s="39">
        <v>1202270</v>
      </c>
    </row>
    <row r="406" spans="1:15" ht="18" customHeight="1">
      <c r="A406" s="106" t="s">
        <v>237</v>
      </c>
      <c r="B406" s="107"/>
      <c r="C406" s="107"/>
      <c r="D406" s="107"/>
      <c r="E406" s="108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238</v>
      </c>
      <c r="O406" s="48">
        <f>IFERROR(O392+O405,"")</f>
        <v>2778340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232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255</v>
      </c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232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164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232</v>
      </c>
      <c r="F409" s="27">
        <v>35</v>
      </c>
      <c r="G409" s="34">
        <f t="shared" si="90"/>
        <v>175</v>
      </c>
      <c r="H409" s="33" t="s">
        <v>20</v>
      </c>
      <c r="I409" s="33" t="s">
        <v>23</v>
      </c>
      <c r="J409" s="33" t="s">
        <v>132</v>
      </c>
      <c r="K409" s="29">
        <v>0.72013888888888888</v>
      </c>
      <c r="L409" s="29">
        <v>0.75902777777777775</v>
      </c>
      <c r="M409" s="35">
        <f t="shared" ca="1" si="91"/>
        <v>3.8888888888888862E-2</v>
      </c>
      <c r="N409" s="46" t="s">
        <v>256</v>
      </c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232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232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232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232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232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232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46" t="s">
        <v>257</v>
      </c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232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46" t="s">
        <v>257</v>
      </c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232</v>
      </c>
      <c r="F417" s="27">
        <v>14</v>
      </c>
      <c r="G417" s="34">
        <f t="shared" si="90"/>
        <v>70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232</v>
      </c>
      <c r="F418" s="27">
        <v>0</v>
      </c>
      <c r="G418" s="28">
        <f t="shared" si="90"/>
        <v>0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3" t="s">
        <v>234</v>
      </c>
      <c r="B419" s="104"/>
      <c r="C419" s="104"/>
      <c r="D419" s="104"/>
      <c r="E419" s="105">
        <f>SUM(E407:E418)</f>
        <v>0</v>
      </c>
      <c r="F419" s="36">
        <f>SUM(F407:F418)</f>
        <v>221</v>
      </c>
      <c r="G419" s="36">
        <f>SUM(G407:G418)</f>
        <v>1105</v>
      </c>
      <c r="H419" s="37"/>
      <c r="I419" s="37"/>
      <c r="J419" s="37"/>
      <c r="K419" s="37"/>
      <c r="L419" s="37"/>
      <c r="M419" s="38">
        <f ca="1">IFERROR(SUM(M407:M418),"")</f>
        <v>5.9027777777777735E-2</v>
      </c>
      <c r="N419" s="36" t="s">
        <v>235</v>
      </c>
      <c r="O419" s="39">
        <v>1600690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232</v>
      </c>
      <c r="F420" s="27">
        <v>20</v>
      </c>
      <c r="G420" s="28">
        <f t="shared" ref="G420:G431" si="93">IF(F420="","",IF(E420="PC 17",F420*4.2,IF(E420="PC 19",F420*5,"")))</f>
        <v>100</v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232</v>
      </c>
      <c r="F421" s="27">
        <v>27</v>
      </c>
      <c r="G421" s="34">
        <f t="shared" si="93"/>
        <v>135</v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232</v>
      </c>
      <c r="F422" s="27">
        <v>46</v>
      </c>
      <c r="G422" s="28">
        <f t="shared" si="93"/>
        <v>230</v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232</v>
      </c>
      <c r="F423" s="27">
        <v>42</v>
      </c>
      <c r="G423" s="34">
        <f t="shared" si="93"/>
        <v>210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232</v>
      </c>
      <c r="F424" s="27">
        <v>24</v>
      </c>
      <c r="G424" s="28">
        <f t="shared" si="93"/>
        <v>120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232</v>
      </c>
      <c r="F425" s="27">
        <v>17</v>
      </c>
      <c r="G425" s="34">
        <f t="shared" si="93"/>
        <v>85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232</v>
      </c>
      <c r="F426" s="27">
        <v>30</v>
      </c>
      <c r="G426" s="28">
        <f t="shared" si="93"/>
        <v>150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232</v>
      </c>
      <c r="F427" s="27">
        <v>33</v>
      </c>
      <c r="G427" s="34">
        <f t="shared" si="93"/>
        <v>165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232</v>
      </c>
      <c r="F428" s="27">
        <v>20</v>
      </c>
      <c r="G428" s="28">
        <f t="shared" si="93"/>
        <v>100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232</v>
      </c>
      <c r="F429" s="27">
        <v>32</v>
      </c>
      <c r="G429" s="34">
        <f t="shared" si="93"/>
        <v>160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232</v>
      </c>
      <c r="F430" s="27">
        <v>26</v>
      </c>
      <c r="G430" s="28">
        <f t="shared" si="93"/>
        <v>130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232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3" t="s">
        <v>236</v>
      </c>
      <c r="B432" s="104"/>
      <c r="C432" s="104"/>
      <c r="D432" s="104"/>
      <c r="E432" s="105">
        <f>SUM(E420:E431)</f>
        <v>0</v>
      </c>
      <c r="F432" s="36">
        <f>SUM(F420:F431)</f>
        <v>317</v>
      </c>
      <c r="G432" s="36">
        <f>SUM(G420:G431)</f>
        <v>1585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235</v>
      </c>
      <c r="O432" s="39">
        <v>1801910</v>
      </c>
    </row>
    <row r="433" spans="1:15" ht="18" customHeight="1">
      <c r="A433" s="106" t="s">
        <v>237</v>
      </c>
      <c r="B433" s="107"/>
      <c r="C433" s="107"/>
      <c r="D433" s="107"/>
      <c r="E433" s="108">
        <f>E419+E432</f>
        <v>0</v>
      </c>
      <c r="F433" s="40">
        <f>F419+F432</f>
        <v>538</v>
      </c>
      <c r="G433" s="40">
        <f>G419+G432</f>
        <v>2690</v>
      </c>
      <c r="H433" s="41"/>
      <c r="I433" s="41"/>
      <c r="J433" s="41"/>
      <c r="K433" s="41"/>
      <c r="L433" s="41"/>
      <c r="M433" s="42">
        <f ca="1">IFERROR(M419+M432,"")</f>
        <v>5.9027777777777735E-2</v>
      </c>
      <c r="N433" s="40" t="s">
        <v>238</v>
      </c>
      <c r="O433" s="48">
        <f>IFERROR(O419+O432,"")</f>
        <v>3402600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232</v>
      </c>
      <c r="F434" s="27">
        <v>7</v>
      </c>
      <c r="G434" s="28">
        <f t="shared" ref="G434:G445" si="96">IF(F434="","",IF(E434="PC 17",F434*4.2,IF(E434="PC 19",F434*5,"")))</f>
        <v>35</v>
      </c>
      <c r="H434" s="26" t="s">
        <v>18</v>
      </c>
      <c r="I434" s="26" t="s">
        <v>23</v>
      </c>
      <c r="J434" s="26" t="s">
        <v>216</v>
      </c>
      <c r="K434" s="29">
        <v>0.31805555555555554</v>
      </c>
      <c r="L434" s="29">
        <v>0.36805555555555558</v>
      </c>
      <c r="M434" s="30">
        <f t="shared" ref="M434:M445" ca="1" si="97">IFERROR(IF(K434="","",IF(L434="",MOD(NOW()-K434,1),IF(L434&gt;=K434,L434-K434,L434+1-K434))),"")</f>
        <v>5.0000000000000044E-2</v>
      </c>
      <c r="N434" s="46" t="s">
        <v>258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232</v>
      </c>
      <c r="F435" s="27">
        <v>0</v>
      </c>
      <c r="G435" s="28">
        <f t="shared" si="96"/>
        <v>0</v>
      </c>
      <c r="H435" s="33" t="s">
        <v>16</v>
      </c>
      <c r="I435" s="33"/>
      <c r="J435" s="33" t="s">
        <v>86</v>
      </c>
      <c r="K435" s="29">
        <v>0.58333333333333337</v>
      </c>
      <c r="L435" s="29">
        <v>0.77083333333333337</v>
      </c>
      <c r="M435" s="35">
        <f t="shared" ca="1" si="97"/>
        <v>0.1875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232</v>
      </c>
      <c r="F436" s="27">
        <v>40</v>
      </c>
      <c r="G436" s="28">
        <f t="shared" si="96"/>
        <v>200</v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232</v>
      </c>
      <c r="F437" s="27">
        <v>34</v>
      </c>
      <c r="G437" s="34">
        <f t="shared" si="96"/>
        <v>170</v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232</v>
      </c>
      <c r="F438" s="27">
        <v>30</v>
      </c>
      <c r="G438" s="28">
        <f t="shared" si="96"/>
        <v>150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232</v>
      </c>
      <c r="F439" s="27">
        <v>40</v>
      </c>
      <c r="G439" s="34">
        <f t="shared" si="96"/>
        <v>200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232</v>
      </c>
      <c r="F440" s="27">
        <v>28</v>
      </c>
      <c r="G440" s="28">
        <f t="shared" si="96"/>
        <v>140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232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232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232</v>
      </c>
      <c r="F443" s="27">
        <v>0</v>
      </c>
      <c r="G443" s="34">
        <f t="shared" si="96"/>
        <v>0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232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232</v>
      </c>
      <c r="F445" s="27">
        <v>0</v>
      </c>
      <c r="G445" s="34">
        <f t="shared" si="96"/>
        <v>0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3" t="s">
        <v>234</v>
      </c>
      <c r="B446" s="104"/>
      <c r="C446" s="104"/>
      <c r="D446" s="104"/>
      <c r="E446" s="105">
        <f>SUM(E434:E445)</f>
        <v>0</v>
      </c>
      <c r="F446" s="36">
        <f>SUM(F434:F445)</f>
        <v>179</v>
      </c>
      <c r="G446" s="36">
        <f>SUM(G434:G445)</f>
        <v>895</v>
      </c>
      <c r="H446" s="37"/>
      <c r="I446" s="37"/>
      <c r="J446" s="37"/>
      <c r="K446" s="37"/>
      <c r="L446" s="37"/>
      <c r="M446" s="38">
        <f ca="1">IFERROR(SUM(M434:M445),"")</f>
        <v>0.23750000000000004</v>
      </c>
      <c r="N446" s="36" t="s">
        <v>235</v>
      </c>
      <c r="O446" s="39">
        <v>1241480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259</v>
      </c>
      <c r="F447" s="27">
        <v>25</v>
      </c>
      <c r="G447" s="34">
        <f t="shared" ref="G447:G458" si="99">IF(F447="","",IF(E447="PC 17",F447*4.2,IF(E447="PC 19",F447*5,"")))</f>
        <v>105</v>
      </c>
      <c r="H447" s="33" t="s">
        <v>18</v>
      </c>
      <c r="I447" s="33" t="s">
        <v>23</v>
      </c>
      <c r="J447" s="33" t="s">
        <v>217</v>
      </c>
      <c r="K447" s="29">
        <v>0.82638888888888884</v>
      </c>
      <c r="L447" s="29">
        <v>0.8930555555555556</v>
      </c>
      <c r="M447" s="35">
        <f t="shared" ref="M447:M458" ca="1" si="100">IFERROR(IF(K447="","",IF(L447="",MOD(NOW()-K447,1),IF(L447&gt;=K447,L447-K447,L447+1-K447))),"")</f>
        <v>6.6666666666666763E-2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259</v>
      </c>
      <c r="F448" s="27">
        <v>0</v>
      </c>
      <c r="G448" s="28">
        <f t="shared" si="99"/>
        <v>0</v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259</v>
      </c>
      <c r="F449" s="27">
        <v>13</v>
      </c>
      <c r="G449" s="34">
        <f t="shared" si="99"/>
        <v>54.6</v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259</v>
      </c>
      <c r="F450" s="27">
        <v>21</v>
      </c>
      <c r="G450" s="28">
        <f t="shared" si="99"/>
        <v>88.2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259</v>
      </c>
      <c r="F451" s="27">
        <v>9</v>
      </c>
      <c r="G451" s="34">
        <f t="shared" si="99"/>
        <v>37.800000000000004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259</v>
      </c>
      <c r="F452" s="27">
        <v>9</v>
      </c>
      <c r="G452" s="28">
        <f t="shared" si="99"/>
        <v>37.800000000000004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20" t="s">
        <v>259</v>
      </c>
      <c r="F453" s="27">
        <v>7</v>
      </c>
      <c r="G453" s="34">
        <f>IF(F453="","",IF(E454="PC 17",F453*4.2,IF(E454="PC 19",F453*5,"")))</f>
        <v>29.400000000000002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259</v>
      </c>
      <c r="F454" s="27">
        <v>20</v>
      </c>
      <c r="G454" s="28">
        <v>100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259</v>
      </c>
      <c r="F455" s="27">
        <v>25</v>
      </c>
      <c r="G455" s="34">
        <f t="shared" si="99"/>
        <v>105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259</v>
      </c>
      <c r="F456" s="27">
        <v>20</v>
      </c>
      <c r="G456" s="28">
        <f t="shared" si="99"/>
        <v>84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259</v>
      </c>
      <c r="F457" s="27">
        <v>19</v>
      </c>
      <c r="G457" s="34">
        <f t="shared" si="99"/>
        <v>79.8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259</v>
      </c>
      <c r="F458" s="27">
        <v>18</v>
      </c>
      <c r="G458" s="28">
        <f t="shared" si="99"/>
        <v>75.600000000000009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3" t="s">
        <v>236</v>
      </c>
      <c r="B459" s="104"/>
      <c r="C459" s="104"/>
      <c r="D459" s="104"/>
      <c r="E459" s="105">
        <f>SUM(E447:E458)</f>
        <v>0</v>
      </c>
      <c r="F459" s="36">
        <f>SUM(F447:F458)</f>
        <v>186</v>
      </c>
      <c r="G459" s="36">
        <f>SUM(G447:G458)</f>
        <v>797.19999999999993</v>
      </c>
      <c r="H459" s="37"/>
      <c r="I459" s="37"/>
      <c r="J459" s="37"/>
      <c r="K459" s="37"/>
      <c r="L459" s="37"/>
      <c r="M459" s="38">
        <f ca="1">IFERROR(SUM(M447:M458),"")</f>
        <v>6.6666666666666763E-2</v>
      </c>
      <c r="N459" s="36" t="s">
        <v>235</v>
      </c>
      <c r="O459" s="39">
        <v>2675000</v>
      </c>
    </row>
    <row r="460" spans="1:15" ht="18" customHeight="1">
      <c r="A460" s="106" t="s">
        <v>237</v>
      </c>
      <c r="B460" s="107"/>
      <c r="C460" s="107"/>
      <c r="D460" s="107"/>
      <c r="E460" s="108">
        <f>E446+E459</f>
        <v>0</v>
      </c>
      <c r="F460" s="40">
        <f>F446+F459</f>
        <v>365</v>
      </c>
      <c r="G460" s="40">
        <f>G446+G459</f>
        <v>1692.1999999999998</v>
      </c>
      <c r="H460" s="41"/>
      <c r="I460" s="41"/>
      <c r="J460" s="41"/>
      <c r="K460" s="41"/>
      <c r="L460" s="41"/>
      <c r="M460" s="42">
        <f ca="1">IFERROR(M446+M459,"")</f>
        <v>0.30416666666666681</v>
      </c>
      <c r="N460" s="40" t="s">
        <v>238</v>
      </c>
      <c r="O460" s="48">
        <f>IFERROR(O446+O459,"")</f>
        <v>3916480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232</v>
      </c>
      <c r="F463" s="27">
        <v>4</v>
      </c>
      <c r="G463" s="34">
        <f t="shared" si="102"/>
        <v>20</v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232</v>
      </c>
      <c r="F466" s="27">
        <v>40</v>
      </c>
      <c r="G466" s="28">
        <f>IF(F466="","",IF(E466="PC 17",F466*4.2,IF(E466="PC 19",F466*5,"")))</f>
        <v>200</v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3" t="s">
        <v>234</v>
      </c>
      <c r="B473" s="104"/>
      <c r="C473" s="104"/>
      <c r="D473" s="104"/>
      <c r="E473" s="105">
        <f>SUM(E461:E472)</f>
        <v>0</v>
      </c>
      <c r="F473" s="36">
        <f>SUM(F461:F472)</f>
        <v>44</v>
      </c>
      <c r="G473" s="36">
        <f>SUM(G461:G472)</f>
        <v>220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235</v>
      </c>
      <c r="O473" s="39">
        <v>2034810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232</v>
      </c>
      <c r="F475" s="27">
        <v>10</v>
      </c>
      <c r="G475" s="34">
        <f t="shared" si="105"/>
        <v>50</v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3" t="s">
        <v>236</v>
      </c>
      <c r="B486" s="104"/>
      <c r="C486" s="104"/>
      <c r="D486" s="104"/>
      <c r="E486" s="105">
        <f>SUM(E474:E485)</f>
        <v>0</v>
      </c>
      <c r="F486" s="36">
        <f>SUM(F474:F485)</f>
        <v>10</v>
      </c>
      <c r="G486" s="36">
        <f>SUM(G474:G485)</f>
        <v>50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235</v>
      </c>
      <c r="O486" s="39">
        <v>2310070</v>
      </c>
    </row>
    <row r="487" spans="1:15" ht="18" customHeight="1">
      <c r="A487" s="106" t="s">
        <v>237</v>
      </c>
      <c r="B487" s="107"/>
      <c r="C487" s="107"/>
      <c r="D487" s="107"/>
      <c r="E487" s="108">
        <f>E473+E486</f>
        <v>0</v>
      </c>
      <c r="F487" s="40">
        <f>F473+F486</f>
        <v>54</v>
      </c>
      <c r="G487" s="40">
        <f>G473+G486</f>
        <v>270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238</v>
      </c>
      <c r="O487" s="48">
        <f>IFERROR(O473+O486,"")</f>
        <v>4344880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/>
      <c r="F488" s="27"/>
      <c r="G488" s="28" t="str">
        <f t="shared" ref="G488:G499" si="108">IF(F488="","",IF(E488="PC 17",F488*4.2,IF(E488="PC 19",F488*5,"")))</f>
        <v/>
      </c>
      <c r="H488" s="26" t="s">
        <v>18</v>
      </c>
      <c r="I488" s="26" t="s">
        <v>23</v>
      </c>
      <c r="J488" s="26" t="s">
        <v>164</v>
      </c>
      <c r="K488" s="29">
        <v>0.41319444444444442</v>
      </c>
      <c r="L488" s="29">
        <v>0.4201388888888889</v>
      </c>
      <c r="M488" s="30">
        <f t="shared" ref="M488:M499" ca="1" si="109">IFERROR(IF(K488="","",IF(L488="",MOD(NOW()-K488,1),IF(L488&gt;=K488,L488-K488,L488+1-K488))),"")</f>
        <v>6.9444444444444753E-3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/>
      <c r="F489" s="27"/>
      <c r="G489" s="34" t="str">
        <f t="shared" si="108"/>
        <v/>
      </c>
      <c r="H489" s="33" t="s">
        <v>20</v>
      </c>
      <c r="I489" s="33" t="s">
        <v>23</v>
      </c>
      <c r="J489" s="33" t="s">
        <v>187</v>
      </c>
      <c r="K489" s="29">
        <v>0.4465277777777778</v>
      </c>
      <c r="L489" s="29">
        <v>0.49027777777777776</v>
      </c>
      <c r="M489" s="35">
        <f t="shared" ca="1" si="109"/>
        <v>4.3749999999999956E-2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259</v>
      </c>
      <c r="F493" s="27">
        <v>30</v>
      </c>
      <c r="G493" s="34">
        <f t="shared" si="108"/>
        <v>126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259</v>
      </c>
      <c r="F494" s="27">
        <v>61</v>
      </c>
      <c r="G494" s="28">
        <f t="shared" si="108"/>
        <v>256.2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232</v>
      </c>
      <c r="F495" s="27">
        <v>35</v>
      </c>
      <c r="G495" s="34">
        <f t="shared" si="108"/>
        <v>175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232</v>
      </c>
      <c r="F496" s="27">
        <v>35</v>
      </c>
      <c r="G496" s="28">
        <f t="shared" si="108"/>
        <v>175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232</v>
      </c>
      <c r="F497" s="27">
        <v>25</v>
      </c>
      <c r="G497" s="34">
        <f t="shared" si="108"/>
        <v>125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232</v>
      </c>
      <c r="F498" s="27">
        <v>30</v>
      </c>
      <c r="G498" s="28">
        <f t="shared" si="108"/>
        <v>150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232</v>
      </c>
      <c r="F499" s="27">
        <v>15</v>
      </c>
      <c r="G499" s="34">
        <f t="shared" si="108"/>
        <v>75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3" t="s">
        <v>234</v>
      </c>
      <c r="B500" s="104"/>
      <c r="C500" s="104"/>
      <c r="D500" s="104"/>
      <c r="E500" s="105">
        <f>SUM(E488:E499)</f>
        <v>0</v>
      </c>
      <c r="F500" s="36">
        <f>SUM(F488:F499)</f>
        <v>231</v>
      </c>
      <c r="G500" s="36">
        <f>SUM(G488:G499)</f>
        <v>1082.2</v>
      </c>
      <c r="H500" s="37"/>
      <c r="I500" s="37"/>
      <c r="J500" s="37"/>
      <c r="K500" s="37"/>
      <c r="L500" s="37"/>
      <c r="M500" s="38">
        <f ca="1">IFERROR(SUM(M488:M499),"")</f>
        <v>5.0694444444444431E-2</v>
      </c>
      <c r="N500" s="36" t="s">
        <v>235</v>
      </c>
      <c r="O500" s="39">
        <v>2098690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232</v>
      </c>
      <c r="F501" s="27">
        <v>17</v>
      </c>
      <c r="G501" s="34">
        <f t="shared" ref="G501:G512" si="111">IF(F501="","",IF(E501="PC 17",F501*4.2,IF(E501="PC 19",F501*5,"")))</f>
        <v>85</v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232</v>
      </c>
      <c r="F502" s="27">
        <v>26</v>
      </c>
      <c r="G502" s="28">
        <f t="shared" si="111"/>
        <v>130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232</v>
      </c>
      <c r="F503" s="27">
        <v>10</v>
      </c>
      <c r="G503" s="34">
        <f t="shared" si="111"/>
        <v>50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232</v>
      </c>
      <c r="F504" s="27">
        <v>20</v>
      </c>
      <c r="G504" s="28">
        <f t="shared" si="111"/>
        <v>100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232</v>
      </c>
      <c r="F505" s="27">
        <v>36</v>
      </c>
      <c r="G505" s="34">
        <f t="shared" si="111"/>
        <v>180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232</v>
      </c>
      <c r="F506" s="27">
        <v>20</v>
      </c>
      <c r="G506" s="28">
        <f t="shared" si="111"/>
        <v>100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232</v>
      </c>
      <c r="F507" s="27">
        <v>28</v>
      </c>
      <c r="G507" s="34">
        <f t="shared" si="111"/>
        <v>140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232</v>
      </c>
      <c r="F508" s="27">
        <v>16</v>
      </c>
      <c r="G508" s="28">
        <f t="shared" si="111"/>
        <v>80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232</v>
      </c>
      <c r="F509" s="27">
        <v>35</v>
      </c>
      <c r="G509" s="34">
        <f t="shared" si="111"/>
        <v>175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232</v>
      </c>
      <c r="F510" s="27">
        <v>10</v>
      </c>
      <c r="G510" s="28">
        <f t="shared" si="111"/>
        <v>50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232</v>
      </c>
      <c r="F511" s="27">
        <v>14</v>
      </c>
      <c r="G511" s="34">
        <f t="shared" si="111"/>
        <v>70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232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3" t="s">
        <v>236</v>
      </c>
      <c r="B513" s="104"/>
      <c r="C513" s="104"/>
      <c r="D513" s="104"/>
      <c r="E513" s="105">
        <f>SUM(E501:E512)</f>
        <v>0</v>
      </c>
      <c r="F513" s="36">
        <f>SUM(F501:F512)</f>
        <v>232</v>
      </c>
      <c r="G513" s="36">
        <f>SUM(G501:G512)</f>
        <v>1160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235</v>
      </c>
      <c r="O513" s="39">
        <v>1298429</v>
      </c>
    </row>
    <row r="514" spans="1:15" ht="18" customHeight="1">
      <c r="A514" s="106" t="s">
        <v>237</v>
      </c>
      <c r="B514" s="107"/>
      <c r="C514" s="107"/>
      <c r="D514" s="107"/>
      <c r="E514" s="108">
        <f>E500+E513</f>
        <v>0</v>
      </c>
      <c r="F514" s="40">
        <f>F500+F513</f>
        <v>463</v>
      </c>
      <c r="G514" s="40">
        <f>G500+G513</f>
        <v>2242.1999999999998</v>
      </c>
      <c r="H514" s="41"/>
      <c r="I514" s="41"/>
      <c r="J514" s="41"/>
      <c r="K514" s="41"/>
      <c r="L514" s="41"/>
      <c r="M514" s="42">
        <f ca="1">IFERROR(M500+M513,"")</f>
        <v>5.0694444444444431E-2</v>
      </c>
      <c r="N514" s="40" t="s">
        <v>238</v>
      </c>
      <c r="O514" s="48">
        <f>IFERROR(O500+O513,"")</f>
        <v>3397119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232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19</v>
      </c>
      <c r="I515" s="33" t="s">
        <v>23</v>
      </c>
      <c r="J515" s="33" t="s">
        <v>107</v>
      </c>
      <c r="K515" s="29">
        <v>0.30138888888888887</v>
      </c>
      <c r="L515" s="29">
        <v>0.38680555555555557</v>
      </c>
      <c r="M515" s="35">
        <f t="shared" ref="M515:M526" ca="1" si="115">IFERROR(IF(K515="","",IF(L515="",MOD(NOW()-K515,1),IF(L515&gt;=K515,L515-K515,L515+1-K515))),"")</f>
        <v>8.5416666666666696E-2</v>
      </c>
      <c r="N515" s="46" t="s">
        <v>260</v>
      </c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232</v>
      </c>
      <c r="F516" s="27">
        <v>0</v>
      </c>
      <c r="G516" s="28">
        <f t="shared" si="114"/>
        <v>0</v>
      </c>
      <c r="H516" s="49" t="s">
        <v>18</v>
      </c>
      <c r="I516" s="26" t="s">
        <v>23</v>
      </c>
      <c r="J516" s="49" t="s">
        <v>34</v>
      </c>
      <c r="K516" s="29">
        <v>0.68055555555555558</v>
      </c>
      <c r="L516" s="29">
        <v>0.79166666666666663</v>
      </c>
      <c r="M516" s="30">
        <f t="shared" ca="1" si="115"/>
        <v>0.11111111111111105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232</v>
      </c>
      <c r="F517" s="27">
        <v>30</v>
      </c>
      <c r="G517" s="34">
        <f t="shared" si="114"/>
        <v>150</v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232</v>
      </c>
      <c r="F518" s="27">
        <v>30</v>
      </c>
      <c r="G518" s="28">
        <f t="shared" si="114"/>
        <v>150</v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232</v>
      </c>
      <c r="F519" s="27">
        <v>27</v>
      </c>
      <c r="G519" s="34">
        <f t="shared" si="114"/>
        <v>135</v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232</v>
      </c>
      <c r="F520" s="27">
        <v>24</v>
      </c>
      <c r="G520" s="28">
        <f t="shared" si="114"/>
        <v>120</v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232</v>
      </c>
      <c r="F521" s="27">
        <v>15</v>
      </c>
      <c r="G521" s="34">
        <f t="shared" si="114"/>
        <v>75</v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232</v>
      </c>
      <c r="F522" s="27">
        <v>28</v>
      </c>
      <c r="G522" s="28">
        <f t="shared" si="114"/>
        <v>140</v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232</v>
      </c>
      <c r="F523" s="27">
        <v>15</v>
      </c>
      <c r="G523" s="34">
        <f t="shared" si="114"/>
        <v>75</v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232</v>
      </c>
      <c r="F524" s="27">
        <v>5</v>
      </c>
      <c r="G524" s="28">
        <f t="shared" si="114"/>
        <v>25</v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232</v>
      </c>
      <c r="F525" s="27">
        <v>0</v>
      </c>
      <c r="G525" s="34">
        <f t="shared" si="114"/>
        <v>0</v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232</v>
      </c>
      <c r="F526" s="27">
        <v>0</v>
      </c>
      <c r="G526" s="28">
        <f t="shared" si="114"/>
        <v>0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3" t="s">
        <v>234</v>
      </c>
      <c r="B527" s="104"/>
      <c r="C527" s="104"/>
      <c r="D527" s="104"/>
      <c r="E527" s="105">
        <f>SUM(E515:E526)</f>
        <v>0</v>
      </c>
      <c r="F527" s="36">
        <f>SUM(F515:F526)</f>
        <v>174</v>
      </c>
      <c r="G527" s="36">
        <f>SUM(G515:G526)</f>
        <v>870</v>
      </c>
      <c r="H527" s="37"/>
      <c r="I527" s="37"/>
      <c r="J527" s="37"/>
      <c r="K527" s="37"/>
      <c r="L527" s="37"/>
      <c r="M527" s="38">
        <f ca="1">IFERROR(SUM(M515:M526),"")</f>
        <v>0.19652777777777775</v>
      </c>
      <c r="N527" s="36" t="s">
        <v>235</v>
      </c>
      <c r="O527" s="39">
        <v>1162570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232</v>
      </c>
      <c r="F528" s="27">
        <v>12</v>
      </c>
      <c r="G528" s="28">
        <f t="shared" ref="G528:G539" si="117">IF(F528="","",IF(E528="PC 17",F528*4.2,IF(E528="PC 19",F528*5,"")))</f>
        <v>60</v>
      </c>
      <c r="H528" s="26" t="s">
        <v>18</v>
      </c>
      <c r="I528" s="26" t="s">
        <v>23</v>
      </c>
      <c r="J528" s="26" t="s">
        <v>34</v>
      </c>
      <c r="K528" s="29">
        <v>0.29166666666666669</v>
      </c>
      <c r="L528" s="29">
        <v>0.82499999999999996</v>
      </c>
      <c r="M528" s="30">
        <v>3.3333333333333333E-2</v>
      </c>
      <c r="N528" s="46"/>
      <c r="O528" s="47"/>
    </row>
    <row r="529" spans="1:15" ht="15" customHeight="1">
      <c r="A529" s="69">
        <v>46223</v>
      </c>
      <c r="B529" s="32">
        <f t="shared" ref="B529:B539" si="118">B528+TIME(0,60,0)</f>
        <v>0.87499999999999967</v>
      </c>
      <c r="C529" s="26" t="s">
        <v>45</v>
      </c>
      <c r="D529" s="59" t="s">
        <v>30</v>
      </c>
      <c r="E529" s="59" t="s">
        <v>232</v>
      </c>
      <c r="F529" s="27">
        <v>21</v>
      </c>
      <c r="G529" s="34">
        <f t="shared" si="117"/>
        <v>105</v>
      </c>
      <c r="H529" s="33" t="s">
        <v>16</v>
      </c>
      <c r="I529" s="33" t="s">
        <v>23</v>
      </c>
      <c r="J529" s="33" t="s">
        <v>32</v>
      </c>
      <c r="K529" s="29">
        <v>5.7638888888888892E-2</v>
      </c>
      <c r="L529" s="29">
        <v>0.16250000000000001</v>
      </c>
      <c r="M529" s="35">
        <f t="shared" ref="M528:M539" ca="1" si="119">IFERROR(IF(K529="","",IF(L529="",MOD(NOW()-K529,1),IF(L529&gt;=K529,L529-K529,L529+1-K529))),"")</f>
        <v>0.10486111111111111</v>
      </c>
      <c r="N529" s="46" t="s">
        <v>261</v>
      </c>
      <c r="O529" s="47"/>
    </row>
    <row r="530" spans="1:15" ht="15" customHeight="1">
      <c r="A530" s="68">
        <v>46223</v>
      </c>
      <c r="B530" s="25">
        <f t="shared" si="118"/>
        <v>0.9166666666666663</v>
      </c>
      <c r="C530" s="26" t="s">
        <v>45</v>
      </c>
      <c r="D530" s="59" t="s">
        <v>30</v>
      </c>
      <c r="E530" s="59" t="s">
        <v>232</v>
      </c>
      <c r="F530" s="27">
        <v>20</v>
      </c>
      <c r="G530" s="28">
        <f t="shared" si="117"/>
        <v>100</v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46223</v>
      </c>
      <c r="B531" s="32">
        <f t="shared" si="118"/>
        <v>0.95833333333333293</v>
      </c>
      <c r="C531" s="26" t="s">
        <v>45</v>
      </c>
      <c r="D531" s="59" t="s">
        <v>30</v>
      </c>
      <c r="E531" s="59" t="s">
        <v>232</v>
      </c>
      <c r="F531" s="27">
        <v>30</v>
      </c>
      <c r="G531" s="34">
        <f t="shared" si="117"/>
        <v>150</v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46223</v>
      </c>
      <c r="B532" s="25">
        <f t="shared" si="118"/>
        <v>0.99999999999999956</v>
      </c>
      <c r="C532" s="26" t="s">
        <v>45</v>
      </c>
      <c r="D532" s="59" t="s">
        <v>30</v>
      </c>
      <c r="E532" s="59" t="s">
        <v>232</v>
      </c>
      <c r="F532" s="27">
        <v>32</v>
      </c>
      <c r="G532" s="28">
        <f t="shared" si="117"/>
        <v>160</v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46223</v>
      </c>
      <c r="B533" s="32">
        <f t="shared" si="118"/>
        <v>1.0416666666666663</v>
      </c>
      <c r="C533" s="26" t="s">
        <v>45</v>
      </c>
      <c r="D533" s="59" t="s">
        <v>30</v>
      </c>
      <c r="E533" s="59" t="s">
        <v>232</v>
      </c>
      <c r="F533" s="27">
        <v>33</v>
      </c>
      <c r="G533" s="34">
        <f t="shared" si="117"/>
        <v>165</v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46223</v>
      </c>
      <c r="B534" s="25">
        <f t="shared" si="118"/>
        <v>1.083333333333333</v>
      </c>
      <c r="C534" s="26" t="s">
        <v>45</v>
      </c>
      <c r="D534" s="59" t="s">
        <v>30</v>
      </c>
      <c r="E534" s="59" t="s">
        <v>232</v>
      </c>
      <c r="F534" s="27">
        <v>25</v>
      </c>
      <c r="G534" s="28">
        <f t="shared" si="117"/>
        <v>125</v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46223</v>
      </c>
      <c r="B535" s="32">
        <f t="shared" si="118"/>
        <v>1.1249999999999998</v>
      </c>
      <c r="C535" s="26" t="s">
        <v>45</v>
      </c>
      <c r="D535" s="59" t="s">
        <v>30</v>
      </c>
      <c r="E535" s="59" t="s">
        <v>232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46223</v>
      </c>
      <c r="B536" s="25">
        <f t="shared" si="118"/>
        <v>1.1666666666666665</v>
      </c>
      <c r="C536" s="26" t="s">
        <v>45</v>
      </c>
      <c r="D536" s="59" t="s">
        <v>30</v>
      </c>
      <c r="E536" s="59" t="s">
        <v>232</v>
      </c>
      <c r="F536" s="27">
        <v>0</v>
      </c>
      <c r="G536" s="28">
        <f t="shared" si="117"/>
        <v>0</v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46223</v>
      </c>
      <c r="B537" s="32">
        <f t="shared" si="118"/>
        <v>1.2083333333333333</v>
      </c>
      <c r="C537" s="26" t="s">
        <v>45</v>
      </c>
      <c r="D537" s="59" t="s">
        <v>30</v>
      </c>
      <c r="E537" s="59" t="s">
        <v>232</v>
      </c>
      <c r="F537" s="27">
        <v>25</v>
      </c>
      <c r="G537" s="34">
        <f t="shared" si="117"/>
        <v>125</v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46223</v>
      </c>
      <c r="B538" s="25">
        <f t="shared" si="118"/>
        <v>1.25</v>
      </c>
      <c r="C538" s="26" t="s">
        <v>45</v>
      </c>
      <c r="D538" s="59" t="s">
        <v>30</v>
      </c>
      <c r="E538" s="59" t="s">
        <v>232</v>
      </c>
      <c r="F538" s="27">
        <v>40</v>
      </c>
      <c r="G538" s="28">
        <f t="shared" si="117"/>
        <v>200</v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46223</v>
      </c>
      <c r="B539" s="32">
        <f t="shared" si="118"/>
        <v>1.2916666666666667</v>
      </c>
      <c r="C539" s="26" t="s">
        <v>45</v>
      </c>
      <c r="D539" s="59" t="s">
        <v>30</v>
      </c>
      <c r="E539" s="59" t="s">
        <v>232</v>
      </c>
      <c r="F539" s="27">
        <v>16</v>
      </c>
      <c r="G539" s="34">
        <f t="shared" si="117"/>
        <v>80</v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3" t="s">
        <v>236</v>
      </c>
      <c r="B540" s="104"/>
      <c r="C540" s="104"/>
      <c r="D540" s="104"/>
      <c r="E540" s="105">
        <f>SUM(E528:E539)</f>
        <v>0</v>
      </c>
      <c r="F540" s="36">
        <f>SUM(F528:F539)</f>
        <v>254</v>
      </c>
      <c r="G540" s="36">
        <f>SUM(G528:G539)</f>
        <v>1270</v>
      </c>
      <c r="H540" s="37"/>
      <c r="I540" s="37"/>
      <c r="J540" s="37"/>
      <c r="K540" s="37"/>
      <c r="L540" s="37"/>
      <c r="M540" s="38">
        <f ca="1">IFERROR(SUM(M528:M539),"")</f>
        <v>0.13819444444444445</v>
      </c>
      <c r="N540" s="36" t="s">
        <v>235</v>
      </c>
      <c r="O540" s="39">
        <v>1240140</v>
      </c>
    </row>
    <row r="541" spans="1:15" ht="18" customHeight="1">
      <c r="A541" s="106" t="s">
        <v>237</v>
      </c>
      <c r="B541" s="107"/>
      <c r="C541" s="107"/>
      <c r="D541" s="107"/>
      <c r="E541" s="108">
        <f>E527+E540</f>
        <v>0</v>
      </c>
      <c r="F541" s="40">
        <f>F527+F540</f>
        <v>428</v>
      </c>
      <c r="G541" s="40">
        <f>G527+G540</f>
        <v>2140</v>
      </c>
      <c r="H541" s="41"/>
      <c r="I541" s="41"/>
      <c r="J541" s="41"/>
      <c r="K541" s="41"/>
      <c r="L541" s="41"/>
      <c r="M541" s="42">
        <f ca="1">IFERROR(M527+M540,"")</f>
        <v>0.3347222222222222</v>
      </c>
      <c r="N541" s="40" t="s">
        <v>238</v>
      </c>
      <c r="O541" s="48">
        <f>IFERROR(O527+O540,"")</f>
        <v>2402710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232</v>
      </c>
      <c r="F542" s="27">
        <v>5</v>
      </c>
      <c r="G542" s="28">
        <f t="shared" ref="G542:G553" si="120">IF(F542="","",IF(E542="PC 17",F542*4.2,IF(E542="PC 19",F542*5,"")))</f>
        <v>25</v>
      </c>
      <c r="H542" s="26" t="s">
        <v>18</v>
      </c>
      <c r="I542" s="26" t="s">
        <v>23</v>
      </c>
      <c r="J542" s="26" t="s">
        <v>209</v>
      </c>
      <c r="K542" s="29">
        <v>0.30208333333333331</v>
      </c>
      <c r="L542" s="29">
        <v>0.625</v>
      </c>
      <c r="M542" s="30">
        <f t="shared" ref="M542:M553" ca="1" si="121">IFERROR(IF(K542="","",IF(L542="",MOD(NOW()-K542,1),IF(L542&gt;=K542,L542-K542,L542+1-K542))),"")</f>
        <v>0.32291666666666669</v>
      </c>
      <c r="N542" s="46" t="s">
        <v>262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232</v>
      </c>
      <c r="F543" s="27">
        <v>0</v>
      </c>
      <c r="G543" s="34">
        <f t="shared" si="120"/>
        <v>0</v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232</v>
      </c>
      <c r="F544" s="27">
        <v>0</v>
      </c>
      <c r="G544" s="28">
        <f t="shared" si="120"/>
        <v>0</v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232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232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30</v>
      </c>
      <c r="E547" s="59" t="s">
        <v>232</v>
      </c>
      <c r="F547" s="27">
        <v>0</v>
      </c>
      <c r="G547" s="34">
        <f t="shared" si="120"/>
        <v>0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30</v>
      </c>
      <c r="E548" s="59" t="s">
        <v>232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30</v>
      </c>
      <c r="E549" s="59" t="s">
        <v>232</v>
      </c>
      <c r="F549" s="27">
        <v>10</v>
      </c>
      <c r="G549" s="34">
        <f t="shared" si="120"/>
        <v>50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30</v>
      </c>
      <c r="E550" s="59" t="s">
        <v>232</v>
      </c>
      <c r="F550" s="27">
        <v>30</v>
      </c>
      <c r="G550" s="28">
        <f t="shared" si="120"/>
        <v>150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30</v>
      </c>
      <c r="E551" s="59" t="s">
        <v>232</v>
      </c>
      <c r="F551" s="27">
        <v>35</v>
      </c>
      <c r="G551" s="34">
        <f t="shared" si="120"/>
        <v>175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30</v>
      </c>
      <c r="E552" s="59" t="s">
        <v>232</v>
      </c>
      <c r="F552" s="27">
        <v>30</v>
      </c>
      <c r="G552" s="28">
        <f t="shared" si="120"/>
        <v>150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30</v>
      </c>
      <c r="E553" s="59" t="s">
        <v>232</v>
      </c>
      <c r="F553" s="27">
        <v>20</v>
      </c>
      <c r="G553" s="34">
        <f t="shared" si="120"/>
        <v>100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3" t="s">
        <v>234</v>
      </c>
      <c r="B554" s="104"/>
      <c r="C554" s="104"/>
      <c r="D554" s="104"/>
      <c r="E554" s="105">
        <f>SUM(E542:E553)</f>
        <v>0</v>
      </c>
      <c r="F554" s="36">
        <f>SUM(F542:F553)</f>
        <v>130</v>
      </c>
      <c r="G554" s="36">
        <f>SUM(G542:G553)</f>
        <v>650</v>
      </c>
      <c r="H554" s="37"/>
      <c r="I554" s="37"/>
      <c r="J554" s="37"/>
      <c r="K554" s="37"/>
      <c r="L554" s="37"/>
      <c r="M554" s="38">
        <f ca="1">IFERROR(SUM(M542:M553),"")</f>
        <v>0.32291666666666669</v>
      </c>
      <c r="N554" s="36" t="s">
        <v>235</v>
      </c>
      <c r="O554" s="39">
        <v>726090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232</v>
      </c>
      <c r="F555" s="27">
        <v>23</v>
      </c>
      <c r="G555" s="34">
        <f t="shared" ref="G555:G566" si="123">IF(F555="","",IF(E555="PC 17",F555*4.2,IF(E555="PC 19",F555*5,"")))</f>
        <v>115</v>
      </c>
      <c r="H555" s="33" t="s">
        <v>19</v>
      </c>
      <c r="I555" s="33" t="s">
        <v>23</v>
      </c>
      <c r="J555" s="33" t="s">
        <v>67</v>
      </c>
      <c r="K555" s="29">
        <v>0.99027777777777781</v>
      </c>
      <c r="L555" s="29">
        <v>1.8749999999999999E-2</v>
      </c>
      <c r="M555" s="35">
        <f t="shared" ref="M555:M566" ca="1" si="124">IFERROR(IF(K555="","",IF(L555="",MOD(NOW()-K555,1),IF(L555&gt;=K555,L555-K555,L555+1-K555))),"")</f>
        <v>2.8472222222222232E-2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232</v>
      </c>
      <c r="F556" s="27">
        <v>30</v>
      </c>
      <c r="G556" s="28">
        <f t="shared" si="123"/>
        <v>150</v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232</v>
      </c>
      <c r="F557" s="27">
        <v>0</v>
      </c>
      <c r="G557" s="34">
        <f t="shared" si="123"/>
        <v>0</v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232</v>
      </c>
      <c r="F558" s="27">
        <v>26</v>
      </c>
      <c r="G558" s="28">
        <f t="shared" si="123"/>
        <v>130</v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232</v>
      </c>
      <c r="F559" s="27">
        <v>0</v>
      </c>
      <c r="G559" s="34">
        <f t="shared" si="123"/>
        <v>0</v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232</v>
      </c>
      <c r="F560" s="27">
        <v>24</v>
      </c>
      <c r="G560" s="28">
        <f t="shared" si="123"/>
        <v>120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232</v>
      </c>
      <c r="F561" s="27">
        <v>32</v>
      </c>
      <c r="G561" s="34">
        <f t="shared" si="123"/>
        <v>160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232</v>
      </c>
      <c r="F562" s="27">
        <v>11</v>
      </c>
      <c r="G562" s="28">
        <f t="shared" si="123"/>
        <v>55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232</v>
      </c>
      <c r="F563" s="27">
        <v>31</v>
      </c>
      <c r="G563" s="34">
        <f t="shared" si="123"/>
        <v>155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232</v>
      </c>
      <c r="F564" s="27">
        <v>20</v>
      </c>
      <c r="G564" s="28">
        <f t="shared" si="123"/>
        <v>100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232</v>
      </c>
      <c r="F565" s="27">
        <v>18</v>
      </c>
      <c r="G565" s="34">
        <f t="shared" si="123"/>
        <v>90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232</v>
      </c>
      <c r="F566" s="27">
        <v>6</v>
      </c>
      <c r="G566" s="28">
        <f t="shared" si="123"/>
        <v>30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3" t="s">
        <v>236</v>
      </c>
      <c r="B567" s="104"/>
      <c r="C567" s="104"/>
      <c r="D567" s="104"/>
      <c r="E567" s="105">
        <f>SUM(E555:E566)</f>
        <v>0</v>
      </c>
      <c r="F567" s="36">
        <f>SUM(F555:F566)</f>
        <v>221</v>
      </c>
      <c r="G567" s="36">
        <f>SUM(G555:G566)</f>
        <v>1105</v>
      </c>
      <c r="H567" s="37"/>
      <c r="I567" s="37"/>
      <c r="J567" s="37"/>
      <c r="K567" s="37"/>
      <c r="L567" s="37"/>
      <c r="M567" s="38">
        <f ca="1">IFERROR(SUM(M555:M566),"")</f>
        <v>2.8472222222222232E-2</v>
      </c>
      <c r="N567" s="36" t="s">
        <v>235</v>
      </c>
      <c r="O567" s="39">
        <v>1482110</v>
      </c>
    </row>
    <row r="568" spans="1:15" ht="18" customHeight="1">
      <c r="A568" s="106" t="s">
        <v>237</v>
      </c>
      <c r="B568" s="107"/>
      <c r="C568" s="107"/>
      <c r="D568" s="107"/>
      <c r="E568" s="108">
        <f>E554+E567</f>
        <v>0</v>
      </c>
      <c r="F568" s="40">
        <f>F554+F567</f>
        <v>351</v>
      </c>
      <c r="G568" s="40">
        <f>G554+G567</f>
        <v>1755</v>
      </c>
      <c r="H568" s="41"/>
      <c r="I568" s="41"/>
      <c r="J568" s="41"/>
      <c r="K568" s="41"/>
      <c r="L568" s="41"/>
      <c r="M568" s="42">
        <f ca="1">IFERROR(M554+M567,"")</f>
        <v>0.35138888888888892</v>
      </c>
      <c r="N568" s="40" t="s">
        <v>238</v>
      </c>
      <c r="O568" s="48">
        <f>IFERROR(O554+O567,"")</f>
        <v>2208200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/>
      <c r="F569" s="27"/>
      <c r="G569" s="34" t="str">
        <f t="shared" ref="G569:G580" si="126">IF(F569="","",IF(E569="PC 17",F569*4.2,IF(E569="PC 19",F569*5,"")))</f>
        <v/>
      </c>
      <c r="H569" s="33" t="s">
        <v>19</v>
      </c>
      <c r="I569" s="33" t="s">
        <v>23</v>
      </c>
      <c r="J569" s="33" t="s">
        <v>67</v>
      </c>
      <c r="K569" s="29">
        <v>0.33333333333333331</v>
      </c>
      <c r="L569" s="29">
        <v>0.38194444444444442</v>
      </c>
      <c r="M569" s="35">
        <f t="shared" ref="M569:M580" ca="1" si="127">IFERROR(IF(K569="","",IF(L569="",MOD(NOW()-K569,1),IF(L569&gt;=K569,L569-K569,L569+1-K569))),"")</f>
        <v>4.8611111111111105E-2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/>
      <c r="F570" s="27"/>
      <c r="G570" s="34" t="str">
        <f t="shared" si="126"/>
        <v/>
      </c>
      <c r="H570" s="26" t="s">
        <v>18</v>
      </c>
      <c r="I570" s="26" t="s">
        <v>23</v>
      </c>
      <c r="J570" s="26" t="s">
        <v>164</v>
      </c>
      <c r="K570" s="29">
        <v>0.68055555555555558</v>
      </c>
      <c r="L570" s="29">
        <v>0.69027777777777777</v>
      </c>
      <c r="M570" s="30">
        <f t="shared" ca="1" si="127"/>
        <v>9.7222222222221877E-3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232</v>
      </c>
      <c r="F575" s="27">
        <v>32</v>
      </c>
      <c r="G575" s="34">
        <f t="shared" si="126"/>
        <v>160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232</v>
      </c>
      <c r="F576" s="55">
        <v>50</v>
      </c>
      <c r="G576" s="34">
        <f t="shared" si="126"/>
        <v>250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232</v>
      </c>
      <c r="F577" s="27">
        <v>20</v>
      </c>
      <c r="G577" s="34">
        <f t="shared" si="126"/>
        <v>100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232</v>
      </c>
      <c r="F578" s="27">
        <v>30</v>
      </c>
      <c r="G578" s="34">
        <f t="shared" si="126"/>
        <v>150</v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232</v>
      </c>
      <c r="F579" s="27">
        <v>35</v>
      </c>
      <c r="G579" s="34">
        <f t="shared" si="126"/>
        <v>175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232</v>
      </c>
      <c r="F580" s="27">
        <v>19</v>
      </c>
      <c r="G580" s="34">
        <f t="shared" si="126"/>
        <v>95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3" t="s">
        <v>234</v>
      </c>
      <c r="B581" s="104"/>
      <c r="C581" s="104"/>
      <c r="D581" s="104"/>
      <c r="E581" s="105">
        <f>SUM(E569:E580)</f>
        <v>0</v>
      </c>
      <c r="F581" s="36">
        <f>SUM(F569:F580)</f>
        <v>186</v>
      </c>
      <c r="G581" s="36">
        <f>SUM(G569:G580)</f>
        <v>930</v>
      </c>
      <c r="H581" s="37"/>
      <c r="I581" s="37"/>
      <c r="J581" s="37"/>
      <c r="K581" s="37"/>
      <c r="L581" s="37"/>
      <c r="M581" s="38">
        <f ca="1">IFERROR(SUM(M569:M580),"")</f>
        <v>5.8333333333333293E-2</v>
      </c>
      <c r="N581" s="36" t="s">
        <v>235</v>
      </c>
      <c r="O581" s="39">
        <v>1630000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232</v>
      </c>
      <c r="F582" s="27">
        <v>20</v>
      </c>
      <c r="G582" s="28">
        <f t="shared" ref="G582:G593" si="129">IF(F582="","",IF(E582="PC 17",F582*4.2,IF(E582="PC 19",F582*5,"")))</f>
        <v>100</v>
      </c>
      <c r="H582" s="26" t="s">
        <v>20</v>
      </c>
      <c r="I582" s="26" t="s">
        <v>23</v>
      </c>
      <c r="J582" s="26" t="s">
        <v>204</v>
      </c>
      <c r="K582" s="29">
        <v>0.95833333333333337</v>
      </c>
      <c r="L582" s="29">
        <v>0.97222222222222221</v>
      </c>
      <c r="M582" s="30">
        <f t="shared" ref="M582:M593" ca="1" si="130">IFERROR(IF(K582="","",IF(L582="",MOD(NOW()-K582,1),IF(L582&gt;=K582,L582-K582,L582+1-K582))),"")</f>
        <v>1.388888888888884E-2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232</v>
      </c>
      <c r="F583" s="27">
        <v>18</v>
      </c>
      <c r="G583" s="34">
        <f t="shared" si="129"/>
        <v>90</v>
      </c>
      <c r="H583" s="33" t="s">
        <v>20</v>
      </c>
      <c r="I583" s="33" t="s">
        <v>23</v>
      </c>
      <c r="J583" s="33" t="s">
        <v>204</v>
      </c>
      <c r="K583" s="29">
        <v>0.17916666666666667</v>
      </c>
      <c r="L583" s="29">
        <v>0.28680555555555554</v>
      </c>
      <c r="M583" s="35">
        <f t="shared" ca="1" si="130"/>
        <v>0.10763888888888887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232</v>
      </c>
      <c r="F584" s="27">
        <v>16</v>
      </c>
      <c r="G584" s="28">
        <f t="shared" si="129"/>
        <v>80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232</v>
      </c>
      <c r="F585" s="27">
        <v>13</v>
      </c>
      <c r="G585" s="34">
        <f t="shared" si="129"/>
        <v>65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232</v>
      </c>
      <c r="F586" s="27">
        <v>0</v>
      </c>
      <c r="G586" s="28">
        <f t="shared" si="129"/>
        <v>0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232</v>
      </c>
      <c r="F587" s="27">
        <v>25</v>
      </c>
      <c r="G587" s="34">
        <f t="shared" si="129"/>
        <v>125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259</v>
      </c>
      <c r="F588" s="27">
        <v>31</v>
      </c>
      <c r="G588" s="28">
        <f t="shared" si="129"/>
        <v>130.20000000000002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232</v>
      </c>
      <c r="F589" s="27">
        <v>32</v>
      </c>
      <c r="G589" s="34">
        <f t="shared" si="129"/>
        <v>160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232</v>
      </c>
      <c r="F590" s="27">
        <v>21</v>
      </c>
      <c r="G590" s="28">
        <f t="shared" si="129"/>
        <v>105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232</v>
      </c>
      <c r="F591" s="27">
        <v>0</v>
      </c>
      <c r="G591" s="34">
        <f t="shared" si="129"/>
        <v>0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232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232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3" t="s">
        <v>236</v>
      </c>
      <c r="B594" s="104"/>
      <c r="C594" s="104"/>
      <c r="D594" s="104"/>
      <c r="E594" s="105">
        <f>SUM(E582:E593)</f>
        <v>0</v>
      </c>
      <c r="F594" s="36">
        <f>SUM(F582:F593)</f>
        <v>176</v>
      </c>
      <c r="G594" s="36">
        <f>SUM(G582:G593)</f>
        <v>855.2</v>
      </c>
      <c r="H594" s="37"/>
      <c r="I594" s="37"/>
      <c r="J594" s="37"/>
      <c r="K594" s="37"/>
      <c r="L594" s="37"/>
      <c r="M594" s="38">
        <f ca="1">IFERROR(SUM(M582:M593),"")</f>
        <v>0.12152777777777771</v>
      </c>
      <c r="N594" s="36" t="s">
        <v>235</v>
      </c>
      <c r="O594" s="39">
        <v>1036800</v>
      </c>
    </row>
    <row r="595" spans="1:15" ht="18" customHeight="1">
      <c r="A595" s="106" t="s">
        <v>237</v>
      </c>
      <c r="B595" s="107"/>
      <c r="C595" s="107"/>
      <c r="D595" s="107"/>
      <c r="E595" s="108">
        <f>E581+E594</f>
        <v>0</v>
      </c>
      <c r="F595" s="40">
        <f>F581+F594</f>
        <v>362</v>
      </c>
      <c r="G595" s="40">
        <f>G581+G594</f>
        <v>1785.2</v>
      </c>
      <c r="H595" s="41"/>
      <c r="I595" s="41"/>
      <c r="J595" s="41"/>
      <c r="K595" s="41"/>
      <c r="L595" s="41"/>
      <c r="M595" s="42">
        <f ca="1">IFERROR(M581+M594,"")</f>
        <v>0.179861111111111</v>
      </c>
      <c r="N595" s="40" t="s">
        <v>238</v>
      </c>
      <c r="O595" s="48">
        <f>IFERROR(O581+O594,"")</f>
        <v>2666800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232</v>
      </c>
      <c r="F596" s="27">
        <v>27</v>
      </c>
      <c r="G596" s="28">
        <f t="shared" ref="G596:G607" si="132">IF(F596="","",IF(E596="PC 17",F596*4.2,IF(E596="PC 19",F596*5,"")))</f>
        <v>135</v>
      </c>
      <c r="H596" s="26" t="s">
        <v>20</v>
      </c>
      <c r="I596" s="26" t="s">
        <v>23</v>
      </c>
      <c r="J596" s="33" t="s">
        <v>187</v>
      </c>
      <c r="K596" s="29">
        <v>0.55625000000000002</v>
      </c>
      <c r="L596" s="29">
        <v>0.58263888888888893</v>
      </c>
      <c r="M596" s="30">
        <f t="shared" ref="M596:M607" ca="1" si="133">IFERROR(IF(K596="","",IF(L596="",MOD(NOW()-K596,1),IF(L596&gt;=K596,L596-K596,L596+1-K596))),"")</f>
        <v>2.6388888888888906E-2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232</v>
      </c>
      <c r="F597" s="27">
        <v>30</v>
      </c>
      <c r="G597" s="34">
        <f t="shared" si="132"/>
        <v>150</v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232</v>
      </c>
      <c r="F598" s="27">
        <v>30</v>
      </c>
      <c r="G598" s="28">
        <f t="shared" si="132"/>
        <v>150</v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232</v>
      </c>
      <c r="F599" s="27">
        <v>30</v>
      </c>
      <c r="G599" s="34">
        <f t="shared" si="132"/>
        <v>150</v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232</v>
      </c>
      <c r="F600" s="27">
        <v>72</v>
      </c>
      <c r="G600" s="28">
        <f t="shared" si="132"/>
        <v>360</v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232</v>
      </c>
      <c r="F601" s="27">
        <v>30</v>
      </c>
      <c r="G601" s="34">
        <f t="shared" si="132"/>
        <v>150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232</v>
      </c>
      <c r="F602" s="27">
        <v>20</v>
      </c>
      <c r="G602" s="28">
        <f t="shared" si="132"/>
        <v>100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232</v>
      </c>
      <c r="F603" s="27">
        <v>30</v>
      </c>
      <c r="G603" s="34">
        <f t="shared" si="132"/>
        <v>150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232</v>
      </c>
      <c r="F604" s="27">
        <v>43</v>
      </c>
      <c r="G604" s="28">
        <f t="shared" si="132"/>
        <v>215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232</v>
      </c>
      <c r="F605" s="27">
        <v>42</v>
      </c>
      <c r="G605" s="34">
        <f t="shared" si="132"/>
        <v>210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232</v>
      </c>
      <c r="F606" s="27">
        <v>27</v>
      </c>
      <c r="G606" s="28">
        <f t="shared" si="132"/>
        <v>135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232</v>
      </c>
      <c r="F607" s="27">
        <v>10</v>
      </c>
      <c r="G607" s="34">
        <f t="shared" si="132"/>
        <v>50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3" t="s">
        <v>234</v>
      </c>
      <c r="B608" s="104"/>
      <c r="C608" s="104"/>
      <c r="D608" s="104"/>
      <c r="E608" s="105">
        <f>SUM(E596:E607)</f>
        <v>0</v>
      </c>
      <c r="F608" s="36">
        <f>SUM(F596:F607)</f>
        <v>391</v>
      </c>
      <c r="G608" s="36">
        <f>SUM(G596:G607)</f>
        <v>1955</v>
      </c>
      <c r="H608" s="37"/>
      <c r="I608" s="37"/>
      <c r="J608" s="37"/>
      <c r="K608" s="37"/>
      <c r="L608" s="37"/>
      <c r="M608" s="38">
        <f ca="1">IFERROR(SUM(M596:M607),"")</f>
        <v>2.6388888888888906E-2</v>
      </c>
      <c r="N608" s="36" t="s">
        <v>235</v>
      </c>
      <c r="O608" s="39">
        <v>2433062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232</v>
      </c>
      <c r="F609" s="27">
        <v>13</v>
      </c>
      <c r="G609" s="34">
        <f t="shared" ref="G609:G614" si="135">IF(F609="","",IF(E609="PC 17",F609*4.2,IF(E609="PC 19",F609*5,"")))</f>
        <v>65</v>
      </c>
      <c r="H609" s="33" t="s">
        <v>18</v>
      </c>
      <c r="I609" s="33" t="s">
        <v>23</v>
      </c>
      <c r="J609" s="33" t="s">
        <v>164</v>
      </c>
      <c r="K609" s="29">
        <v>0.83333333333333337</v>
      </c>
      <c r="L609" s="29">
        <v>0.875</v>
      </c>
      <c r="M609" s="35">
        <f t="shared" ref="M609:M620" ca="1" si="136">IFERROR(IF(K609="","",IF(L609="",MOD(NOW()-K609,1),IF(L609&gt;=K609,L609-K609,L609+1-K609))),"")</f>
        <v>4.166666666666663E-2</v>
      </c>
      <c r="N609" s="46" t="s">
        <v>263</v>
      </c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232</v>
      </c>
      <c r="F610" s="27">
        <v>0</v>
      </c>
      <c r="G610" s="28">
        <f t="shared" si="135"/>
        <v>0</v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232</v>
      </c>
      <c r="F611" s="27">
        <v>40</v>
      </c>
      <c r="G611" s="34">
        <f t="shared" si="135"/>
        <v>200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232</v>
      </c>
      <c r="F612" s="27">
        <v>27</v>
      </c>
      <c r="G612" s="28">
        <f t="shared" si="135"/>
        <v>135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232</v>
      </c>
      <c r="F613" s="27">
        <v>12</v>
      </c>
      <c r="G613" s="34">
        <f t="shared" si="135"/>
        <v>60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232</v>
      </c>
      <c r="F614" s="27">
        <v>28</v>
      </c>
      <c r="G614" s="28">
        <f t="shared" si="135"/>
        <v>140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232</v>
      </c>
      <c r="F615" s="27">
        <v>24</v>
      </c>
      <c r="G615" s="34">
        <v>120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232</v>
      </c>
      <c r="F616" s="27">
        <v>22</v>
      </c>
      <c r="G616" s="28">
        <f>IF(F616="","",IF(E616="PC 17",F616*4.2,IF(E616="PC 19",F616*5,"")))</f>
        <v>110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232</v>
      </c>
      <c r="F617" s="27">
        <v>12</v>
      </c>
      <c r="G617" s="34">
        <f>IF(F617="","",IF(E617="PC 17",F617*4.2,IF(E617="PC 19",F617*5,"")))</f>
        <v>60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232</v>
      </c>
      <c r="F618" s="27">
        <v>19</v>
      </c>
      <c r="G618" s="28">
        <f>IF(F618="","",IF(E618="PC 17",F618*4.2,IF(E618="PC 19",F618*5,"")))</f>
        <v>95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232</v>
      </c>
      <c r="F619" s="27">
        <v>30</v>
      </c>
      <c r="G619" s="34">
        <f>IF(F619="","",IF(E619="PC 17",F619*4.2,IF(E619="PC 19",F619*5,"")))</f>
        <v>150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232</v>
      </c>
      <c r="F620" s="27">
        <v>20</v>
      </c>
      <c r="G620" s="28">
        <f>IF(F620="","",IF(E620="PC 17",F620*4.2,IF(E620="PC 19",F620*5,"")))</f>
        <v>100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3" t="s">
        <v>236</v>
      </c>
      <c r="B621" s="104"/>
      <c r="C621" s="104"/>
      <c r="D621" s="104"/>
      <c r="E621" s="105">
        <f>SUM(E609:E620)</f>
        <v>0</v>
      </c>
      <c r="F621" s="36">
        <f>SUM(F609:F620)</f>
        <v>247</v>
      </c>
      <c r="G621" s="36">
        <f>SUM(G609:G620)</f>
        <v>1235</v>
      </c>
      <c r="H621" s="37"/>
      <c r="I621" s="37"/>
      <c r="J621" s="37"/>
      <c r="K621" s="37"/>
      <c r="L621" s="37"/>
      <c r="M621" s="38">
        <f ca="1">IFERROR(SUM(M609:M620),"")</f>
        <v>4.166666666666663E-2</v>
      </c>
      <c r="N621" s="36" t="s">
        <v>235</v>
      </c>
      <c r="O621" s="39">
        <v>1295785</v>
      </c>
    </row>
    <row r="622" spans="1:15" ht="18" customHeight="1">
      <c r="A622" s="106" t="s">
        <v>237</v>
      </c>
      <c r="B622" s="107"/>
      <c r="C622" s="107"/>
      <c r="D622" s="107"/>
      <c r="E622" s="108">
        <f>E608+E621</f>
        <v>0</v>
      </c>
      <c r="F622" s="40">
        <f>F608+F621</f>
        <v>638</v>
      </c>
      <c r="G622" s="40">
        <f>G608+G621</f>
        <v>3190</v>
      </c>
      <c r="H622" s="41"/>
      <c r="I622" s="41"/>
      <c r="J622" s="41"/>
      <c r="K622" s="41"/>
      <c r="L622" s="41"/>
      <c r="M622" s="42">
        <f ca="1">IFERROR(M608+M621,"")</f>
        <v>6.8055555555555536E-2</v>
      </c>
      <c r="N622" s="40" t="s">
        <v>238</v>
      </c>
      <c r="O622" s="48">
        <f>IFERROR(O608+O621,"")</f>
        <v>3728847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232</v>
      </c>
      <c r="F623" s="27">
        <v>20</v>
      </c>
      <c r="G623" s="34">
        <f t="shared" ref="G623:G634" si="138">IF(F623="","",IF(E623="PC 17",F623*4.2,IF(E623="PC 19",F623*5,"")))</f>
        <v>100</v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232</v>
      </c>
      <c r="F624" s="27">
        <v>20</v>
      </c>
      <c r="G624" s="28">
        <f t="shared" si="138"/>
        <v>100</v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232</v>
      </c>
      <c r="F625" s="27">
        <v>25</v>
      </c>
      <c r="G625" s="34">
        <f t="shared" si="138"/>
        <v>125</v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232</v>
      </c>
      <c r="F626" s="27">
        <v>30</v>
      </c>
      <c r="G626" s="28">
        <f t="shared" si="138"/>
        <v>150</v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232</v>
      </c>
      <c r="F627" s="27">
        <v>40</v>
      </c>
      <c r="G627" s="34">
        <f t="shared" si="138"/>
        <v>200</v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232</v>
      </c>
      <c r="F628" s="27">
        <v>35</v>
      </c>
      <c r="G628" s="28">
        <f t="shared" si="138"/>
        <v>175</v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232</v>
      </c>
      <c r="F629" s="27">
        <v>40</v>
      </c>
      <c r="G629" s="34">
        <f t="shared" si="138"/>
        <v>200</v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232</v>
      </c>
      <c r="F630" s="27">
        <v>36</v>
      </c>
      <c r="G630" s="28">
        <f t="shared" si="138"/>
        <v>180</v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232</v>
      </c>
      <c r="F631" s="27">
        <v>35</v>
      </c>
      <c r="G631" s="34">
        <f t="shared" si="138"/>
        <v>175</v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232</v>
      </c>
      <c r="F632" s="27">
        <v>20</v>
      </c>
      <c r="G632" s="28">
        <f t="shared" si="138"/>
        <v>100</v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232</v>
      </c>
      <c r="F633" s="27">
        <v>32</v>
      </c>
      <c r="G633" s="34">
        <f t="shared" si="138"/>
        <v>160</v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232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3" t="s">
        <v>234</v>
      </c>
      <c r="B635" s="104"/>
      <c r="C635" s="104"/>
      <c r="D635" s="104"/>
      <c r="E635" s="105">
        <f>SUM(E623:E634)</f>
        <v>0</v>
      </c>
      <c r="F635" s="36">
        <f>SUM(F623:F634)</f>
        <v>333</v>
      </c>
      <c r="G635" s="36">
        <f>SUM(G623:G634)</f>
        <v>1665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235</v>
      </c>
      <c r="O635" s="39">
        <v>2213310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232</v>
      </c>
      <c r="F636" s="27">
        <v>28</v>
      </c>
      <c r="G636" s="28">
        <f t="shared" ref="G636:G647" si="141">IF(F636="","",IF(E636="PC 17",F636*4.2,IF(E636="PC 19",F636*5,"")))</f>
        <v>140</v>
      </c>
      <c r="H636" s="26" t="s">
        <v>18</v>
      </c>
      <c r="I636" s="26" t="s">
        <v>23</v>
      </c>
      <c r="J636" s="26" t="s">
        <v>164</v>
      </c>
      <c r="K636" s="29">
        <v>6.805555555555555E-2</v>
      </c>
      <c r="L636" s="29">
        <v>8.1944444444444445E-2</v>
      </c>
      <c r="M636" s="30">
        <f t="shared" ref="M636:M647" ca="1" si="142">IFERROR(IF(K636="","",IF(L636="",MOD(NOW()-K636,1),IF(L636&gt;=K636,L636-K636,L636+1-K636))),"")</f>
        <v>1.3888888888888895E-2</v>
      </c>
      <c r="N636" s="46" t="s">
        <v>264</v>
      </c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232</v>
      </c>
      <c r="F637" s="27">
        <v>20</v>
      </c>
      <c r="G637" s="34">
        <f t="shared" si="141"/>
        <v>100</v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232</v>
      </c>
      <c r="F638" s="27">
        <v>30</v>
      </c>
      <c r="G638" s="28">
        <f t="shared" si="141"/>
        <v>150</v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232</v>
      </c>
      <c r="F639" s="27">
        <v>24</v>
      </c>
      <c r="G639" s="34">
        <f t="shared" si="141"/>
        <v>120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232</v>
      </c>
      <c r="F640" s="27">
        <v>32</v>
      </c>
      <c r="G640" s="28">
        <f>IF(F640="","",IF(E640="PC 17",F640*4.2,IF(E640="PC 19",F640*5,"")))</f>
        <v>160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232</v>
      </c>
      <c r="F641" s="27">
        <v>37</v>
      </c>
      <c r="G641" s="34">
        <f t="shared" si="141"/>
        <v>185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232</v>
      </c>
      <c r="F642" s="27">
        <v>23</v>
      </c>
      <c r="G642" s="28">
        <f t="shared" si="141"/>
        <v>115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232</v>
      </c>
      <c r="F643" s="27">
        <v>19</v>
      </c>
      <c r="G643" s="34">
        <f t="shared" si="141"/>
        <v>95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232</v>
      </c>
      <c r="F644" s="27">
        <v>30</v>
      </c>
      <c r="G644" s="28">
        <f t="shared" si="141"/>
        <v>150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232</v>
      </c>
      <c r="F645" s="27">
        <v>31</v>
      </c>
      <c r="G645" s="34">
        <f t="shared" si="141"/>
        <v>155</v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232</v>
      </c>
      <c r="F646" s="27">
        <v>26</v>
      </c>
      <c r="G646" s="28">
        <f t="shared" si="141"/>
        <v>130</v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232</v>
      </c>
      <c r="F647" s="27">
        <v>7</v>
      </c>
      <c r="G647" s="34">
        <f t="shared" si="141"/>
        <v>35</v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3" t="s">
        <v>236</v>
      </c>
      <c r="B648" s="104"/>
      <c r="C648" s="104"/>
      <c r="D648" s="104"/>
      <c r="E648" s="105">
        <f>SUM(E636:E647)</f>
        <v>0</v>
      </c>
      <c r="F648" s="36">
        <f>SUM(F636:F647)</f>
        <v>307</v>
      </c>
      <c r="G648" s="36">
        <f>SUM(G636:G647)</f>
        <v>1535</v>
      </c>
      <c r="H648" s="37"/>
      <c r="I648" s="37"/>
      <c r="J648" s="37"/>
      <c r="K648" s="37"/>
      <c r="L648" s="37"/>
      <c r="M648" s="38">
        <f ca="1">IFERROR(SUM(M636:M647),"")</f>
        <v>1.3888888888888895E-2</v>
      </c>
      <c r="N648" s="36" t="s">
        <v>235</v>
      </c>
      <c r="O648" s="39">
        <v>1954490</v>
      </c>
    </row>
    <row r="649" spans="1:15" ht="18" customHeight="1">
      <c r="A649" s="106" t="s">
        <v>237</v>
      </c>
      <c r="B649" s="107"/>
      <c r="C649" s="107"/>
      <c r="D649" s="107"/>
      <c r="E649" s="108">
        <f>E635+E648</f>
        <v>0</v>
      </c>
      <c r="F649" s="40">
        <f>F635+F648</f>
        <v>640</v>
      </c>
      <c r="G649" s="40">
        <f>G635+G648</f>
        <v>3200</v>
      </c>
      <c r="H649" s="41"/>
      <c r="I649" s="41"/>
      <c r="J649" s="41"/>
      <c r="K649" s="41"/>
      <c r="L649" s="41"/>
      <c r="M649" s="42">
        <f ca="1">IFERROR(M635+M648,"")</f>
        <v>1.3888888888888895E-2</v>
      </c>
      <c r="N649" s="40" t="s">
        <v>238</v>
      </c>
      <c r="O649" s="48">
        <f>IFERROR(O635+O648,"")</f>
        <v>4167800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232</v>
      </c>
      <c r="F650" s="27">
        <v>30</v>
      </c>
      <c r="G650" s="28">
        <f t="shared" ref="G650:G661" si="144">IF(F650="","",IF(E650="PC 17",F650*4.2,IF(E650="PC 19",F650*5,"")))</f>
        <v>150</v>
      </c>
      <c r="H650" s="26" t="s">
        <v>18</v>
      </c>
      <c r="I650" s="26" t="s">
        <v>23</v>
      </c>
      <c r="J650" s="26" t="s">
        <v>164</v>
      </c>
      <c r="K650" s="29">
        <v>0.72361111111111109</v>
      </c>
      <c r="L650" s="29">
        <v>0.73263888888888884</v>
      </c>
      <c r="M650" s="30">
        <f t="shared" ref="M650:M661" ca="1" si="145">IFERROR(IF(K650="","",IF(L650="",MOD(NOW()-K650,1),IF(L650&gt;=K650,L650-K650,L650+1-K650))),"")</f>
        <v>9.0277777777777457E-3</v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232</v>
      </c>
      <c r="F651" s="27">
        <v>34</v>
      </c>
      <c r="G651" s="34">
        <f t="shared" si="144"/>
        <v>170</v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232</v>
      </c>
      <c r="F652" s="27">
        <v>34</v>
      </c>
      <c r="G652" s="34">
        <f t="shared" si="144"/>
        <v>170</v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232</v>
      </c>
      <c r="F653" s="27">
        <v>27</v>
      </c>
      <c r="G653" s="34">
        <f t="shared" si="144"/>
        <v>135</v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232</v>
      </c>
      <c r="F654" s="27">
        <v>9</v>
      </c>
      <c r="G654" s="28">
        <f t="shared" si="144"/>
        <v>45</v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232</v>
      </c>
      <c r="F655" s="27">
        <v>35</v>
      </c>
      <c r="G655" s="34">
        <f t="shared" si="144"/>
        <v>175</v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232</v>
      </c>
      <c r="F656" s="27">
        <v>37</v>
      </c>
      <c r="G656" s="28">
        <f t="shared" si="144"/>
        <v>185</v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232</v>
      </c>
      <c r="F657" s="27">
        <v>28</v>
      </c>
      <c r="G657" s="34">
        <f t="shared" si="144"/>
        <v>140</v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232</v>
      </c>
      <c r="F658" s="27">
        <v>31</v>
      </c>
      <c r="G658" s="28">
        <f t="shared" si="144"/>
        <v>155</v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232</v>
      </c>
      <c r="F659" s="27">
        <v>43</v>
      </c>
      <c r="G659" s="34">
        <f t="shared" si="144"/>
        <v>215</v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232</v>
      </c>
      <c r="F660" s="27">
        <v>20</v>
      </c>
      <c r="G660" s="28">
        <f t="shared" si="144"/>
        <v>100</v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232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3" t="s">
        <v>232</v>
      </c>
      <c r="B662" s="104"/>
      <c r="C662" s="104"/>
      <c r="D662" s="104"/>
      <c r="E662" s="105">
        <f>SUM(E650:E661)</f>
        <v>0</v>
      </c>
      <c r="F662" s="36">
        <f>SUM(F650:F661)</f>
        <v>328</v>
      </c>
      <c r="G662" s="36">
        <f>SUM(G650:G661)</f>
        <v>1640</v>
      </c>
      <c r="H662" s="37"/>
      <c r="I662" s="37"/>
      <c r="J662" s="37"/>
      <c r="K662" s="37"/>
      <c r="L662" s="37"/>
      <c r="M662" s="38">
        <f ca="1">IFERROR(SUM(M650:M661),"")</f>
        <v>9.0277777777777457E-3</v>
      </c>
      <c r="N662" s="36" t="s">
        <v>235</v>
      </c>
      <c r="O662" s="39">
        <v>927770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232</v>
      </c>
      <c r="F663" s="27">
        <v>31</v>
      </c>
      <c r="G663" s="34">
        <f t="shared" ref="G663:G674" si="147">IF(F663="","",IF(E663="PC 17",F663*4.2,IF(E663="PC 19",F663*5,"")))</f>
        <v>155</v>
      </c>
      <c r="H663" s="33" t="s">
        <v>20</v>
      </c>
      <c r="I663" s="33" t="s">
        <v>23</v>
      </c>
      <c r="J663" s="33" t="s">
        <v>132</v>
      </c>
      <c r="K663" s="29">
        <v>0.85902777777777772</v>
      </c>
      <c r="L663" s="29">
        <v>2.013888888888889E-2</v>
      </c>
      <c r="M663" s="35">
        <f t="shared" ref="M663:M674" ca="1" si="148">IFERROR(IF(K663="","",IF(L663="",MOD(NOW()-K663,1),IF(L663&gt;=K663,L663-K663,L663+1-K663))),"")</f>
        <v>0.1611111111111112</v>
      </c>
      <c r="N663" s="46" t="s">
        <v>265</v>
      </c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232</v>
      </c>
      <c r="F664" s="27">
        <v>8</v>
      </c>
      <c r="G664" s="28">
        <f t="shared" si="147"/>
        <v>40</v>
      </c>
      <c r="H664" s="26" t="s">
        <v>18</v>
      </c>
      <c r="I664" s="26" t="s">
        <v>23</v>
      </c>
      <c r="J664" s="26" t="s">
        <v>34</v>
      </c>
      <c r="K664" s="29">
        <v>9.7222222222222224E-2</v>
      </c>
      <c r="L664" s="29">
        <v>0.29166666666666669</v>
      </c>
      <c r="M664" s="30">
        <f t="shared" ca="1" si="148"/>
        <v>0.19444444444444448</v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232</v>
      </c>
      <c r="F665" s="27">
        <v>0</v>
      </c>
      <c r="G665" s="34">
        <f t="shared" si="147"/>
        <v>0</v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232</v>
      </c>
      <c r="F666" s="27">
        <v>0</v>
      </c>
      <c r="G666" s="28">
        <f t="shared" si="147"/>
        <v>0</v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232</v>
      </c>
      <c r="F667" s="27">
        <v>0</v>
      </c>
      <c r="G667" s="34">
        <f t="shared" si="147"/>
        <v>0</v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232</v>
      </c>
      <c r="F668" s="27">
        <v>6</v>
      </c>
      <c r="G668" s="28">
        <f t="shared" si="147"/>
        <v>30</v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232</v>
      </c>
      <c r="F669" s="27">
        <v>31</v>
      </c>
      <c r="G669" s="34">
        <f t="shared" si="147"/>
        <v>155</v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232</v>
      </c>
      <c r="F670" s="27">
        <v>0</v>
      </c>
      <c r="G670" s="28">
        <f t="shared" si="147"/>
        <v>0</v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232</v>
      </c>
      <c r="F671" s="27">
        <v>0</v>
      </c>
      <c r="G671" s="34">
        <f t="shared" si="147"/>
        <v>0</v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232</v>
      </c>
      <c r="F672" s="27">
        <v>0</v>
      </c>
      <c r="G672" s="28">
        <f t="shared" si="147"/>
        <v>0</v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232</v>
      </c>
      <c r="F673" s="27">
        <v>0</v>
      </c>
      <c r="G673" s="34">
        <f t="shared" si="147"/>
        <v>0</v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232</v>
      </c>
      <c r="F674" s="27">
        <v>0</v>
      </c>
      <c r="G674" s="28">
        <f t="shared" si="147"/>
        <v>0</v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3" t="s">
        <v>236</v>
      </c>
      <c r="B675" s="104"/>
      <c r="C675" s="104"/>
      <c r="D675" s="104"/>
      <c r="E675" s="105">
        <f>SUM(E663:E674)</f>
        <v>0</v>
      </c>
      <c r="F675" s="36">
        <f>SUM(F663:F674)</f>
        <v>76</v>
      </c>
      <c r="G675" s="36">
        <f>SUM(G663:G674)</f>
        <v>380</v>
      </c>
      <c r="H675" s="37"/>
      <c r="I675" s="37"/>
      <c r="J675" s="37"/>
      <c r="K675" s="37"/>
      <c r="L675" s="37"/>
      <c r="M675" s="38">
        <f ca="1">IFERROR(SUM(M663:M674),"")</f>
        <v>0.35555555555555568</v>
      </c>
      <c r="N675" s="36" t="s">
        <v>235</v>
      </c>
      <c r="O675" s="39">
        <v>471180</v>
      </c>
    </row>
    <row r="676" spans="1:15" ht="18" customHeight="1">
      <c r="A676" s="106" t="s">
        <v>237</v>
      </c>
      <c r="B676" s="107"/>
      <c r="C676" s="107"/>
      <c r="D676" s="107"/>
      <c r="E676" s="108">
        <f>E662+E675</f>
        <v>0</v>
      </c>
      <c r="F676" s="40">
        <f>F662+F675</f>
        <v>404</v>
      </c>
      <c r="G676" s="40">
        <f>G662+G675</f>
        <v>2020</v>
      </c>
      <c r="H676" s="41"/>
      <c r="I676" s="41"/>
      <c r="J676" s="41"/>
      <c r="K676" s="41"/>
      <c r="L676" s="41"/>
      <c r="M676" s="42">
        <f ca="1">IFERROR(M662+M675,"")</f>
        <v>0.36458333333333343</v>
      </c>
      <c r="N676" s="40" t="s">
        <v>238</v>
      </c>
      <c r="O676" s="48">
        <f>IFERROR(O662+O675,"")</f>
        <v>1398950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232</v>
      </c>
      <c r="F677" s="27">
        <v>0</v>
      </c>
      <c r="G677" s="34">
        <f t="shared" ref="G677:G688" si="150">IF(F677="","",IF(E677="PC 17",F677*4.2,IF(E677="PC 19",F677*5,"")))</f>
        <v>0</v>
      </c>
      <c r="H677" s="33" t="s">
        <v>18</v>
      </c>
      <c r="I677" s="33" t="s">
        <v>23</v>
      </c>
      <c r="J677" s="33" t="s">
        <v>34</v>
      </c>
      <c r="K677" s="29">
        <v>0.29166666666666669</v>
      </c>
      <c r="L677" s="29">
        <v>0.41249999999999998</v>
      </c>
      <c r="M677" s="35">
        <f t="shared" ref="M677:M688" ca="1" si="151">IFERROR(IF(K677="","",IF(L677="",MOD(NOW()-K677,1),IF(L677&gt;=K677,L677-K677,L677+1-K677))),"")</f>
        <v>0.12083333333333329</v>
      </c>
      <c r="N677" s="46" t="s">
        <v>266</v>
      </c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232</v>
      </c>
      <c r="F678" s="27">
        <v>0</v>
      </c>
      <c r="G678" s="28">
        <f t="shared" si="150"/>
        <v>0</v>
      </c>
      <c r="H678" s="26" t="s">
        <v>19</v>
      </c>
      <c r="I678" s="26" t="s">
        <v>23</v>
      </c>
      <c r="J678" s="26" t="s">
        <v>50</v>
      </c>
      <c r="K678" s="29">
        <v>0.47222222222222221</v>
      </c>
      <c r="L678" s="29">
        <v>0.54374999999999996</v>
      </c>
      <c r="M678" s="30">
        <f t="shared" ca="1" si="151"/>
        <v>7.1527777777777746E-2</v>
      </c>
      <c r="N678" s="46" t="s">
        <v>267</v>
      </c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232</v>
      </c>
      <c r="F679" s="27">
        <v>12</v>
      </c>
      <c r="G679" s="34">
        <f t="shared" si="150"/>
        <v>60</v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232</v>
      </c>
      <c r="F680" s="27">
        <v>32</v>
      </c>
      <c r="G680" s="28">
        <f t="shared" si="150"/>
        <v>160</v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232</v>
      </c>
      <c r="F681" s="27">
        <v>0</v>
      </c>
      <c r="G681" s="34">
        <f t="shared" si="150"/>
        <v>0</v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232</v>
      </c>
      <c r="F682" s="27">
        <v>52</v>
      </c>
      <c r="G682" s="28">
        <f t="shared" si="150"/>
        <v>260</v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232</v>
      </c>
      <c r="F683" s="27">
        <v>36</v>
      </c>
      <c r="G683" s="34">
        <f t="shared" si="150"/>
        <v>180</v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232</v>
      </c>
      <c r="F684" s="27">
        <v>48</v>
      </c>
      <c r="G684" s="28">
        <f t="shared" si="150"/>
        <v>240</v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232</v>
      </c>
      <c r="F685" s="27">
        <v>35</v>
      </c>
      <c r="G685" s="34">
        <f t="shared" si="150"/>
        <v>175</v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232</v>
      </c>
      <c r="F686" s="27">
        <v>42</v>
      </c>
      <c r="G686" s="28">
        <f t="shared" si="150"/>
        <v>210</v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232</v>
      </c>
      <c r="F687" s="27">
        <v>41</v>
      </c>
      <c r="G687" s="34">
        <f t="shared" si="150"/>
        <v>205</v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232</v>
      </c>
      <c r="F688" s="27">
        <v>0</v>
      </c>
      <c r="G688" s="28">
        <f t="shared" si="150"/>
        <v>0</v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3" t="s">
        <v>234</v>
      </c>
      <c r="B689" s="104"/>
      <c r="C689" s="104"/>
      <c r="D689" s="104"/>
      <c r="E689" s="105">
        <f>SUM(E677:E688)</f>
        <v>0</v>
      </c>
      <c r="F689" s="36">
        <f>SUM(F677:F688)</f>
        <v>298</v>
      </c>
      <c r="G689" s="36">
        <f>SUM(G677:G688)</f>
        <v>1490</v>
      </c>
      <c r="H689" s="37"/>
      <c r="I689" s="37"/>
      <c r="J689" s="37"/>
      <c r="K689" s="37"/>
      <c r="L689" s="37"/>
      <c r="M689" s="38">
        <f ca="1">IFERROR(SUM(M677:M688),"")</f>
        <v>0.19236111111111104</v>
      </c>
      <c r="N689" s="36" t="s">
        <v>235</v>
      </c>
      <c r="O689" s="39">
        <v>1352990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232</v>
      </c>
      <c r="F690" s="27">
        <v>23</v>
      </c>
      <c r="G690" s="28">
        <f t="shared" ref="G690:G701" si="153">IF(F690="","",IF(E690="PC 17",F690*4.2,IF(E690="PC 19",F690*5,"")))</f>
        <v>115</v>
      </c>
      <c r="H690" s="26" t="s">
        <v>18</v>
      </c>
      <c r="I690" s="26" t="s">
        <v>23</v>
      </c>
      <c r="J690" s="26" t="s">
        <v>154</v>
      </c>
      <c r="K690" s="29">
        <v>0.82291666666666663</v>
      </c>
      <c r="L690" s="29">
        <v>0.92708333333333337</v>
      </c>
      <c r="M690" s="30">
        <f t="shared" ref="M690:M701" ca="1" si="154">IFERROR(IF(K690="","",IF(L690="",MOD(NOW()-K690,1),IF(L690&gt;=K690,L690-K690,L690+1-K690))),"")</f>
        <v>0.10416666666666674</v>
      </c>
      <c r="N690" s="46" t="s">
        <v>268</v>
      </c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232</v>
      </c>
      <c r="F691" s="27">
        <v>0</v>
      </c>
      <c r="G691" s="34">
        <f t="shared" si="153"/>
        <v>0</v>
      </c>
      <c r="H691" s="33" t="s">
        <v>20</v>
      </c>
      <c r="I691" s="33" t="s">
        <v>23</v>
      </c>
      <c r="J691" s="33" t="s">
        <v>132</v>
      </c>
      <c r="K691" s="29">
        <v>0.24305555555555555</v>
      </c>
      <c r="L691" s="29">
        <v>0.29166666666666669</v>
      </c>
      <c r="M691" s="35">
        <f t="shared" ca="1" si="154"/>
        <v>4.8611111111111133E-2</v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232</v>
      </c>
      <c r="F692" s="27">
        <v>0</v>
      </c>
      <c r="G692" s="28">
        <f t="shared" si="153"/>
        <v>0</v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232</v>
      </c>
      <c r="F693" s="27">
        <v>30</v>
      </c>
      <c r="G693" s="34">
        <f t="shared" si="153"/>
        <v>150</v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232</v>
      </c>
      <c r="F694" s="27">
        <v>20</v>
      </c>
      <c r="G694" s="28">
        <f t="shared" si="153"/>
        <v>100</v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232</v>
      </c>
      <c r="F695" s="27">
        <v>31</v>
      </c>
      <c r="G695" s="34">
        <f t="shared" si="153"/>
        <v>155</v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232</v>
      </c>
      <c r="F696" s="27">
        <v>31</v>
      </c>
      <c r="G696" s="28">
        <f t="shared" si="153"/>
        <v>155</v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232</v>
      </c>
      <c r="F697" s="27">
        <v>22</v>
      </c>
      <c r="G697" s="34">
        <f t="shared" si="153"/>
        <v>110</v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232</v>
      </c>
      <c r="F698" s="27">
        <v>38</v>
      </c>
      <c r="G698" s="28">
        <f t="shared" si="153"/>
        <v>190</v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232</v>
      </c>
      <c r="F699" s="27">
        <v>26</v>
      </c>
      <c r="G699" s="34">
        <f t="shared" si="153"/>
        <v>130</v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232</v>
      </c>
      <c r="F700" s="27">
        <v>16</v>
      </c>
      <c r="G700" s="28">
        <f t="shared" si="153"/>
        <v>80</v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232</v>
      </c>
      <c r="F701" s="27">
        <v>0</v>
      </c>
      <c r="G701" s="34">
        <f t="shared" si="153"/>
        <v>0</v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3" t="s">
        <v>236</v>
      </c>
      <c r="B702" s="104"/>
      <c r="C702" s="104"/>
      <c r="D702" s="104"/>
      <c r="E702" s="105">
        <f>SUM(E690:E701)</f>
        <v>0</v>
      </c>
      <c r="F702" s="36">
        <f>SUM(F690:F701)</f>
        <v>237</v>
      </c>
      <c r="G702" s="36">
        <f>SUM(G690:G701)</f>
        <v>1185</v>
      </c>
      <c r="H702" s="37"/>
      <c r="I702" s="37"/>
      <c r="J702" s="37"/>
      <c r="K702" s="37"/>
      <c r="L702" s="37"/>
      <c r="M702" s="38">
        <f ca="1">IFERROR(SUM(M690:M701),"")</f>
        <v>0.15277777777777787</v>
      </c>
      <c r="N702" s="36" t="s">
        <v>235</v>
      </c>
      <c r="O702" s="39">
        <v>1620480</v>
      </c>
    </row>
    <row r="703" spans="1:15" ht="18" customHeight="1">
      <c r="A703" s="106" t="s">
        <v>237</v>
      </c>
      <c r="B703" s="107"/>
      <c r="C703" s="107"/>
      <c r="D703" s="107"/>
      <c r="E703" s="108">
        <f>E689+E702</f>
        <v>0</v>
      </c>
      <c r="F703" s="40">
        <f>F689+F702</f>
        <v>535</v>
      </c>
      <c r="G703" s="40">
        <f>G689+G702</f>
        <v>2675</v>
      </c>
      <c r="H703" s="41"/>
      <c r="I703" s="41"/>
      <c r="J703" s="41"/>
      <c r="K703" s="41"/>
      <c r="L703" s="41"/>
      <c r="M703" s="42">
        <f ca="1">IFERROR(M689+M702,"")</f>
        <v>0.34513888888888888</v>
      </c>
      <c r="N703" s="40" t="s">
        <v>238</v>
      </c>
      <c r="O703" s="48">
        <f>IFERROR(O689+O702,"")</f>
        <v>2973470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232</v>
      </c>
      <c r="F704" s="27">
        <v>8</v>
      </c>
      <c r="G704" s="28">
        <f t="shared" ref="G704:G715" si="156">IF(F704="","",IF(E704="PC 17",F704*4.2,IF(E704="PC 19",F704*5,"")))</f>
        <v>40</v>
      </c>
      <c r="H704" s="26" t="s">
        <v>20</v>
      </c>
      <c r="I704" s="26" t="s">
        <v>23</v>
      </c>
      <c r="J704" s="26" t="s">
        <v>132</v>
      </c>
      <c r="K704" s="29">
        <v>0.29166666666666669</v>
      </c>
      <c r="L704" s="29">
        <v>0.31527777777777777</v>
      </c>
      <c r="M704" s="30">
        <f t="shared" ref="M704:M715" ca="1" si="157">IFERROR(IF(K704="","",IF(L704="",MOD(NOW()-K704,1),IF(L704&gt;=K704,L704-K704,L704+1-K704))),"")</f>
        <v>2.3611111111111083E-2</v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232</v>
      </c>
      <c r="F705" s="27">
        <v>25</v>
      </c>
      <c r="G705" s="34">
        <f t="shared" si="156"/>
        <v>125</v>
      </c>
      <c r="H705" s="33" t="s">
        <v>18</v>
      </c>
      <c r="I705" s="33" t="s">
        <v>23</v>
      </c>
      <c r="J705" s="33" t="s">
        <v>128</v>
      </c>
      <c r="K705" s="29">
        <v>0.4465277777777778</v>
      </c>
      <c r="L705" s="29">
        <v>0.46736111111111112</v>
      </c>
      <c r="M705" s="35">
        <f t="shared" ca="1" si="157"/>
        <v>2.0833333333333315E-2</v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232</v>
      </c>
      <c r="F706" s="27">
        <v>45</v>
      </c>
      <c r="G706" s="28">
        <f t="shared" si="156"/>
        <v>225</v>
      </c>
      <c r="H706" s="26" t="s">
        <v>19</v>
      </c>
      <c r="I706" s="26" t="s">
        <v>23</v>
      </c>
      <c r="J706" s="26" t="s">
        <v>67</v>
      </c>
      <c r="K706" s="29">
        <v>0.74652777777777779</v>
      </c>
      <c r="L706" s="29">
        <v>0.79166666666666663</v>
      </c>
      <c r="M706" s="30">
        <f t="shared" ca="1" si="157"/>
        <v>4.513888888888884E-2</v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232</v>
      </c>
      <c r="F707" s="27">
        <v>10</v>
      </c>
      <c r="G707" s="34">
        <f t="shared" si="156"/>
        <v>50</v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232</v>
      </c>
      <c r="F708" s="27">
        <v>21</v>
      </c>
      <c r="G708" s="28">
        <f t="shared" si="156"/>
        <v>105</v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232</v>
      </c>
      <c r="F709" s="27">
        <v>33</v>
      </c>
      <c r="G709" s="34">
        <f t="shared" si="156"/>
        <v>165</v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232</v>
      </c>
      <c r="F710" s="27">
        <v>26</v>
      </c>
      <c r="G710" s="28">
        <f t="shared" si="156"/>
        <v>130</v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232</v>
      </c>
      <c r="F711" s="27">
        <v>40</v>
      </c>
      <c r="G711" s="34">
        <f t="shared" si="156"/>
        <v>200</v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232</v>
      </c>
      <c r="F712" s="27">
        <v>39</v>
      </c>
      <c r="G712" s="28">
        <f t="shared" si="156"/>
        <v>195</v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232</v>
      </c>
      <c r="F713" s="27">
        <v>38</v>
      </c>
      <c r="G713" s="34">
        <f t="shared" si="156"/>
        <v>190</v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232</v>
      </c>
      <c r="F714" s="27">
        <v>18</v>
      </c>
      <c r="G714" s="28">
        <f t="shared" si="156"/>
        <v>90</v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232</v>
      </c>
      <c r="F715" s="27">
        <v>0</v>
      </c>
      <c r="G715" s="34">
        <f t="shared" si="156"/>
        <v>0</v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3" t="s">
        <v>234</v>
      </c>
      <c r="B716" s="104"/>
      <c r="C716" s="104"/>
      <c r="D716" s="104"/>
      <c r="E716" s="105">
        <f>SUM(E704:E715)</f>
        <v>0</v>
      </c>
      <c r="F716" s="36">
        <f>SUM(F704:F715)</f>
        <v>303</v>
      </c>
      <c r="G716" s="36">
        <f>SUM(G704:G715)</f>
        <v>1515</v>
      </c>
      <c r="H716" s="37"/>
      <c r="I716" s="37"/>
      <c r="J716" s="37"/>
      <c r="K716" s="37"/>
      <c r="L716" s="37"/>
      <c r="M716" s="38">
        <f ca="1">IFERROR(SUM(M704:M715),"")</f>
        <v>8.9583333333333237E-2</v>
      </c>
      <c r="N716" s="36" t="s">
        <v>235</v>
      </c>
      <c r="O716" s="39">
        <v>1568140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62" t="s">
        <v>232</v>
      </c>
      <c r="F717" s="27">
        <v>15</v>
      </c>
      <c r="G717" s="34">
        <f t="shared" ref="G717:G728" si="159">IF(F717="","",IF(E717="PC 17",F717*4.2,IF(E717="PC 19",F717*5,"")))</f>
        <v>75</v>
      </c>
      <c r="H717" s="33" t="s">
        <v>19</v>
      </c>
      <c r="I717" s="33" t="s">
        <v>23</v>
      </c>
      <c r="J717" s="33" t="s">
        <v>67</v>
      </c>
      <c r="K717" s="29">
        <v>0.83333333333333337</v>
      </c>
      <c r="L717" s="29">
        <v>0.83333333333333337</v>
      </c>
      <c r="M717" s="35">
        <f t="shared" ref="M717:M728" ca="1" si="160">IFERROR(IF(K717="","",IF(L717="",MOD(NOW()-K717,1),IF(L717&gt;=K717,L717-K717,L717+1-K717))),"")</f>
        <v>0</v>
      </c>
      <c r="N717" s="46" t="s">
        <v>269</v>
      </c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62" t="s">
        <v>232</v>
      </c>
      <c r="F718" s="27">
        <v>6</v>
      </c>
      <c r="G718" s="28">
        <f t="shared" si="159"/>
        <v>30</v>
      </c>
      <c r="H718" s="26" t="s">
        <v>18</v>
      </c>
      <c r="I718" s="26" t="s">
        <v>23</v>
      </c>
      <c r="J718" s="26" t="s">
        <v>154</v>
      </c>
      <c r="K718" s="29">
        <v>1.3888888888888888E-2</v>
      </c>
      <c r="L718" s="29">
        <v>4.1666666666666664E-2</v>
      </c>
      <c r="M718" s="30">
        <f t="shared" ca="1" si="160"/>
        <v>2.7777777777777776E-2</v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62" t="s">
        <v>232</v>
      </c>
      <c r="F719" s="27">
        <v>25</v>
      </c>
      <c r="G719" s="34">
        <f t="shared" si="159"/>
        <v>125</v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62" t="s">
        <v>232</v>
      </c>
      <c r="F720" s="27">
        <v>20</v>
      </c>
      <c r="G720" s="28">
        <f t="shared" si="159"/>
        <v>100</v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62" t="s">
        <v>232</v>
      </c>
      <c r="F721" s="27">
        <v>20</v>
      </c>
      <c r="G721" s="34">
        <f t="shared" si="159"/>
        <v>100</v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62" t="s">
        <v>232</v>
      </c>
      <c r="F722" s="27">
        <v>5</v>
      </c>
      <c r="G722" s="28">
        <f t="shared" si="159"/>
        <v>25</v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62" t="s">
        <v>232</v>
      </c>
      <c r="F723" s="27">
        <v>25</v>
      </c>
      <c r="G723" s="34">
        <f t="shared" si="159"/>
        <v>125</v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62" t="s">
        <v>232</v>
      </c>
      <c r="F724" s="27">
        <v>21</v>
      </c>
      <c r="G724" s="28">
        <f t="shared" si="159"/>
        <v>105</v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62" t="s">
        <v>259</v>
      </c>
      <c r="F725" s="27">
        <v>30</v>
      </c>
      <c r="G725" s="34">
        <f t="shared" si="159"/>
        <v>126</v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62" t="s">
        <v>259</v>
      </c>
      <c r="F726" s="27">
        <v>30</v>
      </c>
      <c r="G726" s="28">
        <f t="shared" si="159"/>
        <v>126</v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62" t="s">
        <v>259</v>
      </c>
      <c r="F727" s="27">
        <v>22</v>
      </c>
      <c r="G727" s="34">
        <f t="shared" si="159"/>
        <v>92.4</v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62" t="s">
        <v>259</v>
      </c>
      <c r="F728" s="27">
        <v>20</v>
      </c>
      <c r="G728" s="28">
        <f t="shared" si="159"/>
        <v>84</v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3" t="s">
        <v>236</v>
      </c>
      <c r="B729" s="104"/>
      <c r="C729" s="104"/>
      <c r="D729" s="104"/>
      <c r="E729" s="105">
        <f>SUM(E717:E728)</f>
        <v>0</v>
      </c>
      <c r="F729" s="36">
        <f>SUM(F717:F728)</f>
        <v>239</v>
      </c>
      <c r="G729" s="36">
        <f>SUM(G717:G728)</f>
        <v>1113.4000000000001</v>
      </c>
      <c r="H729" s="37"/>
      <c r="I729" s="37"/>
      <c r="J729" s="37"/>
      <c r="K729" s="37"/>
      <c r="L729" s="37"/>
      <c r="M729" s="38">
        <f ca="1">IFERROR(SUM(M717:M728),"")</f>
        <v>2.7777777777777776E-2</v>
      </c>
      <c r="N729" s="36" t="s">
        <v>235</v>
      </c>
      <c r="O729" s="39">
        <v>1145450</v>
      </c>
    </row>
    <row r="730" spans="1:15" ht="18" customHeight="1">
      <c r="A730" s="106" t="s">
        <v>237</v>
      </c>
      <c r="B730" s="107"/>
      <c r="C730" s="107"/>
      <c r="D730" s="107"/>
      <c r="E730" s="108">
        <f>E716+E729</f>
        <v>0</v>
      </c>
      <c r="F730" s="40">
        <f>F716+F729</f>
        <v>542</v>
      </c>
      <c r="G730" s="40">
        <f>G716+G729</f>
        <v>2628.4</v>
      </c>
      <c r="H730" s="41"/>
      <c r="I730" s="41"/>
      <c r="J730" s="41"/>
      <c r="K730" s="41"/>
      <c r="L730" s="41"/>
      <c r="M730" s="42">
        <f ca="1">IFERROR(M716+M729,"")</f>
        <v>0.11736111111111101</v>
      </c>
      <c r="N730" s="40" t="s">
        <v>238</v>
      </c>
      <c r="O730" s="48">
        <f>IFERROR(O716+O729,"")</f>
        <v>2713590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30</v>
      </c>
      <c r="E731" s="62"/>
      <c r="F731" s="27">
        <v>5</v>
      </c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 t="s">
        <v>270</v>
      </c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30</v>
      </c>
      <c r="E732" s="59" t="s">
        <v>232</v>
      </c>
      <c r="F732" s="27">
        <v>13</v>
      </c>
      <c r="G732" s="28">
        <f t="shared" si="162"/>
        <v>65</v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30</v>
      </c>
      <c r="E733" s="62" t="s">
        <v>232</v>
      </c>
      <c r="F733" s="27">
        <v>38</v>
      </c>
      <c r="G733" s="34">
        <f t="shared" si="162"/>
        <v>190</v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30</v>
      </c>
      <c r="E734" s="59" t="s">
        <v>232</v>
      </c>
      <c r="F734" s="27">
        <v>39</v>
      </c>
      <c r="G734" s="28">
        <f t="shared" si="162"/>
        <v>195</v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30</v>
      </c>
      <c r="E735" s="62" t="s">
        <v>232</v>
      </c>
      <c r="F735" s="27">
        <v>29</v>
      </c>
      <c r="G735" s="34">
        <f t="shared" si="162"/>
        <v>145</v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30</v>
      </c>
      <c r="E736" s="59" t="s">
        <v>232</v>
      </c>
      <c r="F736" s="27">
        <v>72</v>
      </c>
      <c r="G736" s="28">
        <f t="shared" si="162"/>
        <v>360</v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30</v>
      </c>
      <c r="E737" s="62" t="s">
        <v>232</v>
      </c>
      <c r="F737" s="27">
        <v>57</v>
      </c>
      <c r="G737" s="34">
        <f t="shared" si="162"/>
        <v>285</v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30</v>
      </c>
      <c r="E738" s="59" t="s">
        <v>232</v>
      </c>
      <c r="F738" s="27">
        <v>50</v>
      </c>
      <c r="G738" s="28">
        <f t="shared" si="162"/>
        <v>250</v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30</v>
      </c>
      <c r="E739" s="62" t="s">
        <v>232</v>
      </c>
      <c r="F739" s="27">
        <v>40</v>
      </c>
      <c r="G739" s="34">
        <f t="shared" si="162"/>
        <v>200</v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30</v>
      </c>
      <c r="E740" s="59" t="s">
        <v>232</v>
      </c>
      <c r="F740" s="27">
        <v>37</v>
      </c>
      <c r="G740" s="28">
        <f t="shared" si="162"/>
        <v>185</v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30</v>
      </c>
      <c r="E741" s="62" t="s">
        <v>232</v>
      </c>
      <c r="F741" s="27">
        <v>33</v>
      </c>
      <c r="G741" s="34">
        <f t="shared" si="162"/>
        <v>165</v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30</v>
      </c>
      <c r="E742" s="59" t="s">
        <v>232</v>
      </c>
      <c r="F742" s="27">
        <v>0</v>
      </c>
      <c r="G742" s="28">
        <f t="shared" si="162"/>
        <v>0</v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3" t="s">
        <v>234</v>
      </c>
      <c r="B743" s="104"/>
      <c r="C743" s="104"/>
      <c r="D743" s="104"/>
      <c r="E743" s="105">
        <f>SUM(E731:E742)</f>
        <v>0</v>
      </c>
      <c r="F743" s="36">
        <f>SUM(F731:F742)</f>
        <v>413</v>
      </c>
      <c r="G743" s="90">
        <f>SUM(G731:G742)</f>
        <v>2040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235</v>
      </c>
      <c r="O743" s="39">
        <v>1888710</v>
      </c>
    </row>
    <row r="744" spans="1:15" ht="15" customHeight="1">
      <c r="A744" s="68">
        <v>46231</v>
      </c>
      <c r="B744" s="25">
        <v>0.83333333333333304</v>
      </c>
      <c r="C744" s="26" t="s">
        <v>21</v>
      </c>
      <c r="D744" s="59" t="s">
        <v>30</v>
      </c>
      <c r="E744" s="59" t="s">
        <v>232</v>
      </c>
      <c r="F744" s="27">
        <v>30</v>
      </c>
      <c r="G744" s="28">
        <f t="shared" ref="G744:G755" si="165">IF(F744="","",IF(E744="PC 17",F744*4.2,IF(E744="PC 19",F744*5,"")))</f>
        <v>150</v>
      </c>
      <c r="H744" s="26" t="s">
        <v>19</v>
      </c>
      <c r="I744" s="26" t="s">
        <v>23</v>
      </c>
      <c r="J744" s="26" t="s">
        <v>50</v>
      </c>
      <c r="K744" s="29">
        <v>0.875</v>
      </c>
      <c r="L744" s="29">
        <v>0.95625000000000004</v>
      </c>
      <c r="M744" s="30">
        <f t="shared" ref="M744:M755" ca="1" si="166">IFERROR(IF(K744="","",IF(L744="",MOD(NOW()-K744,1),IF(L744&gt;=K744,L744-K744,L744+1-K744))),"")</f>
        <v>8.1250000000000044E-2</v>
      </c>
      <c r="N744" s="46" t="s">
        <v>271</v>
      </c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26" t="s">
        <v>21</v>
      </c>
      <c r="D745" s="59" t="s">
        <v>30</v>
      </c>
      <c r="E745" s="59" t="s">
        <v>232</v>
      </c>
      <c r="F745" s="27">
        <v>14</v>
      </c>
      <c r="G745" s="34">
        <f t="shared" si="165"/>
        <v>70</v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 t="s">
        <v>21</v>
      </c>
      <c r="D746" s="59" t="s">
        <v>30</v>
      </c>
      <c r="E746" s="59" t="s">
        <v>232</v>
      </c>
      <c r="F746" s="27">
        <v>0</v>
      </c>
      <c r="G746" s="28">
        <f t="shared" si="165"/>
        <v>0</v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26" t="s">
        <v>21</v>
      </c>
      <c r="D747" s="59" t="s">
        <v>30</v>
      </c>
      <c r="E747" s="59" t="s">
        <v>232</v>
      </c>
      <c r="F747" s="27">
        <v>0</v>
      </c>
      <c r="G747" s="34">
        <f t="shared" si="165"/>
        <v>0</v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 t="s">
        <v>21</v>
      </c>
      <c r="D748" s="59" t="s">
        <v>30</v>
      </c>
      <c r="E748" s="59" t="s">
        <v>232</v>
      </c>
      <c r="F748" s="27">
        <v>16</v>
      </c>
      <c r="G748" s="28">
        <f t="shared" si="165"/>
        <v>80</v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26" t="s">
        <v>21</v>
      </c>
      <c r="D749" s="59" t="s">
        <v>30</v>
      </c>
      <c r="E749" s="59" t="s">
        <v>232</v>
      </c>
      <c r="F749" s="27">
        <v>25</v>
      </c>
      <c r="G749" s="34">
        <f t="shared" si="165"/>
        <v>125</v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 t="s">
        <v>21</v>
      </c>
      <c r="D750" s="59" t="s">
        <v>30</v>
      </c>
      <c r="E750" s="59" t="s">
        <v>232</v>
      </c>
      <c r="F750" s="27">
        <v>30</v>
      </c>
      <c r="G750" s="28">
        <f t="shared" si="165"/>
        <v>150</v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26" t="s">
        <v>21</v>
      </c>
      <c r="D751" s="59" t="s">
        <v>30</v>
      </c>
      <c r="E751" s="59" t="s">
        <v>232</v>
      </c>
      <c r="F751" s="27">
        <v>25</v>
      </c>
      <c r="G751" s="34">
        <f t="shared" si="165"/>
        <v>125</v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 t="s">
        <v>21</v>
      </c>
      <c r="D752" s="59" t="s">
        <v>30</v>
      </c>
      <c r="E752" s="59" t="s">
        <v>232</v>
      </c>
      <c r="F752" s="27">
        <v>30</v>
      </c>
      <c r="G752" s="28">
        <f t="shared" si="165"/>
        <v>150</v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26" t="s">
        <v>21</v>
      </c>
      <c r="D753" s="59" t="s">
        <v>30</v>
      </c>
      <c r="E753" s="59" t="s">
        <v>232</v>
      </c>
      <c r="F753" s="27">
        <v>30</v>
      </c>
      <c r="G753" s="34">
        <f t="shared" si="165"/>
        <v>150</v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 t="s">
        <v>21</v>
      </c>
      <c r="D754" s="59" t="s">
        <v>30</v>
      </c>
      <c r="E754" s="59" t="s">
        <v>232</v>
      </c>
      <c r="F754" s="27">
        <v>30</v>
      </c>
      <c r="G754" s="28">
        <f t="shared" si="165"/>
        <v>150</v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26" t="s">
        <v>21</v>
      </c>
      <c r="D755" s="59" t="s">
        <v>30</v>
      </c>
      <c r="E755" s="59" t="s">
        <v>232</v>
      </c>
      <c r="F755" s="27">
        <v>18</v>
      </c>
      <c r="G755" s="34">
        <f t="shared" si="165"/>
        <v>90</v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3" t="s">
        <v>236</v>
      </c>
      <c r="B756" s="104"/>
      <c r="C756" s="104"/>
      <c r="D756" s="104"/>
      <c r="E756" s="105">
        <f>SUM(E744:E755)</f>
        <v>0</v>
      </c>
      <c r="F756" s="36">
        <f>SUM(F744:F755)</f>
        <v>248</v>
      </c>
      <c r="G756" s="36">
        <f>SUM(G744:G755)</f>
        <v>1240</v>
      </c>
      <c r="H756" s="37"/>
      <c r="I756" s="37"/>
      <c r="J756" s="37"/>
      <c r="K756" s="37"/>
      <c r="L756" s="37"/>
      <c r="M756" s="38">
        <f ca="1">IFERROR(SUM(M744:M755),"")</f>
        <v>8.1250000000000044E-2</v>
      </c>
      <c r="N756" s="36" t="s">
        <v>235</v>
      </c>
      <c r="O756" s="39">
        <v>1649510</v>
      </c>
    </row>
    <row r="757" spans="1:15" ht="18" customHeight="1">
      <c r="A757" s="106" t="s">
        <v>237</v>
      </c>
      <c r="B757" s="107"/>
      <c r="C757" s="107"/>
      <c r="D757" s="107"/>
      <c r="E757" s="108">
        <f>E743+E756</f>
        <v>0</v>
      </c>
      <c r="F757" s="40">
        <f>F743+F756</f>
        <v>661</v>
      </c>
      <c r="G757" s="40">
        <f>G743+G756</f>
        <v>3280</v>
      </c>
      <c r="H757" s="41"/>
      <c r="I757" s="41"/>
      <c r="J757" s="41"/>
      <c r="K757" s="41"/>
      <c r="L757" s="41"/>
      <c r="M757" s="42">
        <f ca="1">IFERROR(M743+M756,"")</f>
        <v>8.1250000000000044E-2</v>
      </c>
      <c r="N757" s="40" t="s">
        <v>238</v>
      </c>
      <c r="O757" s="48">
        <f>IFERROR(O743+O756,"")</f>
        <v>3538220</v>
      </c>
    </row>
    <row r="758" spans="1:15" ht="15" customHeight="1">
      <c r="A758" s="68">
        <v>46232</v>
      </c>
      <c r="B758" s="25">
        <v>0.33333333333333298</v>
      </c>
      <c r="C758" s="26" t="s">
        <v>29</v>
      </c>
      <c r="D758" s="59" t="s">
        <v>30</v>
      </c>
      <c r="E758" s="59" t="s">
        <v>232</v>
      </c>
      <c r="F758" s="27">
        <v>6</v>
      </c>
      <c r="G758" s="28">
        <f t="shared" ref="G758:G769" si="168">IF(F758="","",IF(E758="PC 17",F758*4.2,IF(E758="PC 19",F758*5,"")))</f>
        <v>30</v>
      </c>
      <c r="H758" s="26" t="s">
        <v>18</v>
      </c>
      <c r="I758" s="26" t="s">
        <v>23</v>
      </c>
      <c r="J758" s="26" t="s">
        <v>167</v>
      </c>
      <c r="K758" s="29">
        <v>0.29166666666666669</v>
      </c>
      <c r="L758" s="29">
        <v>0.32291666666666669</v>
      </c>
      <c r="M758" s="30">
        <f t="shared" ref="M758:M769" ca="1" si="169">IFERROR(IF(K758="","",IF(L758="",MOD(NOW()-K758,1),IF(L758&gt;=K758,L758-K758,L758+1-K758))),"")</f>
        <v>3.125E-2</v>
      </c>
      <c r="N758" s="46" t="s">
        <v>272</v>
      </c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26" t="s">
        <v>29</v>
      </c>
      <c r="D759" s="59" t="s">
        <v>30</v>
      </c>
      <c r="E759" s="62" t="s">
        <v>232</v>
      </c>
      <c r="F759" s="27">
        <v>40</v>
      </c>
      <c r="G759" s="34">
        <f t="shared" si="168"/>
        <v>200</v>
      </c>
      <c r="H759" s="33" t="s">
        <v>20</v>
      </c>
      <c r="I759" s="33" t="s">
        <v>23</v>
      </c>
      <c r="J759" s="33" t="s">
        <v>200</v>
      </c>
      <c r="K759" s="29">
        <v>0.75138888888888888</v>
      </c>
      <c r="L759" s="29">
        <v>0.79166666666666663</v>
      </c>
      <c r="M759" s="35">
        <f t="shared" ca="1" si="169"/>
        <v>4.0277777777777746E-2</v>
      </c>
      <c r="N759" s="46" t="s">
        <v>273</v>
      </c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 t="s">
        <v>29</v>
      </c>
      <c r="D760" s="59" t="s">
        <v>30</v>
      </c>
      <c r="E760" s="59" t="s">
        <v>232</v>
      </c>
      <c r="F760" s="27">
        <v>34</v>
      </c>
      <c r="G760" s="28">
        <f t="shared" si="168"/>
        <v>170</v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26" t="s">
        <v>29</v>
      </c>
      <c r="D761" s="59" t="s">
        <v>30</v>
      </c>
      <c r="E761" s="62" t="s">
        <v>232</v>
      </c>
      <c r="F761" s="27">
        <v>18</v>
      </c>
      <c r="G761" s="34">
        <f t="shared" si="168"/>
        <v>90</v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 t="s">
        <v>29</v>
      </c>
      <c r="D762" s="59" t="s">
        <v>30</v>
      </c>
      <c r="E762" s="59" t="s">
        <v>232</v>
      </c>
      <c r="F762" s="27">
        <v>11</v>
      </c>
      <c r="G762" s="28">
        <f t="shared" si="168"/>
        <v>55</v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26" t="s">
        <v>29</v>
      </c>
      <c r="D763" s="59" t="s">
        <v>30</v>
      </c>
      <c r="E763" s="62" t="s">
        <v>232</v>
      </c>
      <c r="F763" s="27">
        <v>45</v>
      </c>
      <c r="G763" s="34">
        <f t="shared" si="168"/>
        <v>225</v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 t="s">
        <v>29</v>
      </c>
      <c r="D764" s="59" t="s">
        <v>30</v>
      </c>
      <c r="E764" s="59" t="s">
        <v>232</v>
      </c>
      <c r="F764" s="27">
        <v>24</v>
      </c>
      <c r="G764" s="28">
        <f t="shared" si="168"/>
        <v>120</v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26" t="s">
        <v>29</v>
      </c>
      <c r="D765" s="59" t="s">
        <v>30</v>
      </c>
      <c r="E765" s="62" t="s">
        <v>232</v>
      </c>
      <c r="F765" s="27">
        <v>44</v>
      </c>
      <c r="G765" s="34">
        <f t="shared" si="168"/>
        <v>220</v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 t="s">
        <v>29</v>
      </c>
      <c r="D766" s="59" t="s">
        <v>30</v>
      </c>
      <c r="E766" s="59" t="s">
        <v>232</v>
      </c>
      <c r="F766" s="27">
        <v>45</v>
      </c>
      <c r="G766" s="28">
        <f t="shared" si="168"/>
        <v>225</v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26" t="s">
        <v>29</v>
      </c>
      <c r="D767" s="59" t="s">
        <v>30</v>
      </c>
      <c r="E767" s="62" t="s">
        <v>232</v>
      </c>
      <c r="F767" s="27">
        <v>38</v>
      </c>
      <c r="G767" s="34">
        <f t="shared" si="168"/>
        <v>190</v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 t="s">
        <v>29</v>
      </c>
      <c r="D768" s="59" t="s">
        <v>30</v>
      </c>
      <c r="E768" s="59" t="s">
        <v>232</v>
      </c>
      <c r="F768" s="27">
        <v>45</v>
      </c>
      <c r="G768" s="28">
        <f t="shared" si="168"/>
        <v>225</v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26" t="s">
        <v>29</v>
      </c>
      <c r="D769" s="59" t="s">
        <v>30</v>
      </c>
      <c r="E769" s="62" t="s">
        <v>232</v>
      </c>
      <c r="F769" s="27">
        <v>0</v>
      </c>
      <c r="G769" s="34">
        <f t="shared" si="168"/>
        <v>0</v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3" t="s">
        <v>234</v>
      </c>
      <c r="B770" s="104"/>
      <c r="C770" s="104"/>
      <c r="D770" s="104"/>
      <c r="E770" s="105">
        <f>SUM(E758:E769)</f>
        <v>0</v>
      </c>
      <c r="F770" s="36">
        <f>SUM(F758:F769)</f>
        <v>350</v>
      </c>
      <c r="G770" s="36">
        <f>SUM(G758:G769)</f>
        <v>1750</v>
      </c>
      <c r="H770" s="37"/>
      <c r="I770" s="37"/>
      <c r="J770" s="37"/>
      <c r="K770" s="37"/>
      <c r="L770" s="37"/>
      <c r="M770" s="38">
        <f ca="1">IFERROR(SUM(M758:M769),"")</f>
        <v>7.1527777777777746E-2</v>
      </c>
      <c r="N770" s="36" t="s">
        <v>235</v>
      </c>
      <c r="O770" s="39">
        <v>1751285</v>
      </c>
    </row>
    <row r="771" spans="1:15" ht="15" customHeight="1">
      <c r="A771" s="69">
        <v>46232</v>
      </c>
      <c r="B771" s="32">
        <v>0.83333333333333304</v>
      </c>
      <c r="C771" s="33" t="s">
        <v>21</v>
      </c>
      <c r="D771" s="62" t="s">
        <v>22</v>
      </c>
      <c r="E771" s="62" t="s">
        <v>232</v>
      </c>
      <c r="F771" s="27">
        <v>30</v>
      </c>
      <c r="G771" s="34">
        <f t="shared" ref="G771:G782" si="171">IF(F771="","",IF(E771="PC 17",F771*4.2,IF(E771="PC 19",F771*5,"")))</f>
        <v>150</v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33" t="s">
        <v>21</v>
      </c>
      <c r="D772" s="62" t="s">
        <v>22</v>
      </c>
      <c r="E772" s="62" t="s">
        <v>232</v>
      </c>
      <c r="F772" s="27">
        <v>45</v>
      </c>
      <c r="G772" s="28">
        <f t="shared" si="171"/>
        <v>225</v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 t="s">
        <v>21</v>
      </c>
      <c r="D773" s="62" t="s">
        <v>22</v>
      </c>
      <c r="E773" s="62" t="s">
        <v>232</v>
      </c>
      <c r="F773" s="27">
        <v>5</v>
      </c>
      <c r="G773" s="34">
        <f t="shared" si="171"/>
        <v>25</v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33" t="s">
        <v>21</v>
      </c>
      <c r="D774" s="62" t="s">
        <v>22</v>
      </c>
      <c r="E774" s="62" t="s">
        <v>232</v>
      </c>
      <c r="F774" s="27">
        <v>45</v>
      </c>
      <c r="G774" s="28">
        <f t="shared" si="171"/>
        <v>225</v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 t="s">
        <v>21</v>
      </c>
      <c r="D775" s="62" t="s">
        <v>30</v>
      </c>
      <c r="E775" s="62" t="s">
        <v>232</v>
      </c>
      <c r="F775" s="27">
        <v>25</v>
      </c>
      <c r="G775" s="34">
        <f t="shared" si="171"/>
        <v>125</v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33" t="s">
        <v>21</v>
      </c>
      <c r="D776" s="62" t="s">
        <v>30</v>
      </c>
      <c r="E776" s="62" t="s">
        <v>232</v>
      </c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 t="s">
        <v>21</v>
      </c>
      <c r="D777" s="62" t="s">
        <v>30</v>
      </c>
      <c r="E777" s="62" t="s">
        <v>232</v>
      </c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33" t="s">
        <v>21</v>
      </c>
      <c r="D778" s="62" t="s">
        <v>30</v>
      </c>
      <c r="E778" s="62" t="s">
        <v>232</v>
      </c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 t="s">
        <v>21</v>
      </c>
      <c r="D779" s="62" t="s">
        <v>30</v>
      </c>
      <c r="E779" s="62" t="s">
        <v>232</v>
      </c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33" t="s">
        <v>21</v>
      </c>
      <c r="D780" s="62" t="s">
        <v>30</v>
      </c>
      <c r="E780" s="62" t="s">
        <v>232</v>
      </c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 t="s">
        <v>21</v>
      </c>
      <c r="D781" s="62" t="s">
        <v>30</v>
      </c>
      <c r="E781" s="62" t="s">
        <v>232</v>
      </c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33" t="s">
        <v>21</v>
      </c>
      <c r="D782" s="62" t="s">
        <v>30</v>
      </c>
      <c r="E782" s="62" t="s">
        <v>232</v>
      </c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3" t="s">
        <v>236</v>
      </c>
      <c r="B783" s="104"/>
      <c r="C783" s="104"/>
      <c r="D783" s="104"/>
      <c r="E783" s="105">
        <f>SUM(E771:E782)</f>
        <v>0</v>
      </c>
      <c r="F783" s="36">
        <f>SUM(F771:F782)</f>
        <v>150</v>
      </c>
      <c r="G783" s="36">
        <f>SUM(G771:G782)</f>
        <v>750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235</v>
      </c>
      <c r="O783" s="39"/>
    </row>
    <row r="784" spans="1:15" ht="18" customHeight="1">
      <c r="A784" s="106" t="s">
        <v>237</v>
      </c>
      <c r="B784" s="107"/>
      <c r="C784" s="107"/>
      <c r="D784" s="107"/>
      <c r="E784" s="108">
        <f>E770+E783</f>
        <v>0</v>
      </c>
      <c r="F784" s="40">
        <f>F770+F783</f>
        <v>500</v>
      </c>
      <c r="G784" s="40">
        <f>G770+G783</f>
        <v>2500</v>
      </c>
      <c r="H784" s="41"/>
      <c r="I784" s="41"/>
      <c r="J784" s="41"/>
      <c r="K784" s="41"/>
      <c r="L784" s="41"/>
      <c r="M784" s="42">
        <f ca="1">IFERROR(M770+M783,"")</f>
        <v>7.1527777777777746E-2</v>
      </c>
      <c r="N784" s="40" t="s">
        <v>238</v>
      </c>
      <c r="O784" s="48">
        <f>IFERROR(O770+O783,"")</f>
        <v>1751285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3" t="s">
        <v>234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235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3" t="s">
        <v>236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59" t="s">
        <v>232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238</v>
      </c>
      <c r="O811" s="43">
        <f>IFERROR(O797+O810,"")</f>
        <v>0</v>
      </c>
    </row>
    <row r="812" spans="1:15" ht="15"/>
  </sheetData>
  <mergeCells count="89"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A811 E29:E452 E454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tabSelected="1" zoomScale="50" zoomScaleNormal="50" workbookViewId="0">
      <pane ySplit="1" topLeftCell="A750" activePane="bottomLeft" state="frozen"/>
      <selection pane="bottomLeft" activeCell="F776" sqref="F776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6.1406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3.5703125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221</v>
      </c>
      <c r="C1" s="23" t="s">
        <v>12</v>
      </c>
      <c r="D1" s="22" t="s">
        <v>13</v>
      </c>
      <c r="E1" s="22" t="s">
        <v>222</v>
      </c>
      <c r="F1" s="23" t="s">
        <v>223</v>
      </c>
      <c r="G1" s="23" t="s">
        <v>224</v>
      </c>
      <c r="H1" s="23" t="s">
        <v>14</v>
      </c>
      <c r="I1" s="23" t="s">
        <v>15</v>
      </c>
      <c r="J1" s="23" t="s">
        <v>225</v>
      </c>
      <c r="K1" s="23" t="s">
        <v>226</v>
      </c>
      <c r="L1" s="23" t="s">
        <v>227</v>
      </c>
      <c r="M1" s="24" t="s">
        <v>228</v>
      </c>
      <c r="N1" s="23" t="s">
        <v>229</v>
      </c>
      <c r="O1" s="23" t="s">
        <v>230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259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178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259</v>
      </c>
      <c r="F3" s="27">
        <v>10</v>
      </c>
      <c r="G3" s="34">
        <f t="shared" si="0"/>
        <v>42</v>
      </c>
      <c r="H3" s="33" t="s">
        <v>19</v>
      </c>
      <c r="I3" s="33" t="s">
        <v>157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259</v>
      </c>
      <c r="F4" s="27">
        <v>8</v>
      </c>
      <c r="G4" s="28">
        <f t="shared" si="0"/>
        <v>33.6</v>
      </c>
      <c r="H4" s="26" t="s">
        <v>19</v>
      </c>
      <c r="I4" s="26" t="s">
        <v>157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259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259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259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259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259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259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259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259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259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3" t="s">
        <v>234</v>
      </c>
      <c r="B14" s="104"/>
      <c r="C14" s="104"/>
      <c r="D14" s="104"/>
      <c r="E14" s="105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235</v>
      </c>
      <c r="O14" s="77">
        <v>627260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259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157</v>
      </c>
      <c r="J15" s="33" t="s">
        <v>164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259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259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259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259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259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259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259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259</v>
      </c>
      <c r="F23" s="76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259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259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259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3" t="s">
        <v>236</v>
      </c>
      <c r="B27" s="104"/>
      <c r="C27" s="104"/>
      <c r="D27" s="104"/>
      <c r="E27" s="105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235</v>
      </c>
      <c r="O27" s="77">
        <v>393200</v>
      </c>
    </row>
    <row r="28" spans="1:15" ht="18" customHeight="1">
      <c r="A28" s="106" t="s">
        <v>237</v>
      </c>
      <c r="B28" s="107"/>
      <c r="C28" s="107"/>
      <c r="D28" s="107"/>
      <c r="E28" s="108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238</v>
      </c>
      <c r="O28" s="82">
        <f>O14+O27</f>
        <v>1020460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259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79">
        <f t="shared" ref="M29:M40" ca="1" si="7">IFERROR(IF(K29="","",IF(L29="",MOD(NOW()-K29,1),IF(L29&gt;=K29,L29-K29,L29+1-K29))),"")</f>
        <v>7.1527777777777746E-2</v>
      </c>
      <c r="N29" s="46" t="s">
        <v>274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259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193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259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165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259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259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259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259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259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259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259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259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259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3" t="s">
        <v>234</v>
      </c>
      <c r="B41" s="104"/>
      <c r="C41" s="104"/>
      <c r="D41" s="104"/>
      <c r="E41" s="105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235</v>
      </c>
      <c r="O41" s="84">
        <v>351740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259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8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259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69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259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275</v>
      </c>
      <c r="O44" s="31"/>
    </row>
    <row r="45" spans="1:15" ht="15" customHeight="1">
      <c r="A45" s="68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259</v>
      </c>
      <c r="F45" s="27">
        <v>0</v>
      </c>
      <c r="G45" s="28">
        <f t="shared" si="9"/>
        <v>0</v>
      </c>
      <c r="H45" s="33" t="s">
        <v>20</v>
      </c>
      <c r="I45" s="33" t="s">
        <v>157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69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259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8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259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69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259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8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259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69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259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8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259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69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259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8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259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103" t="s">
        <v>236</v>
      </c>
      <c r="B54" s="104"/>
      <c r="C54" s="104"/>
      <c r="D54" s="104"/>
      <c r="E54" s="105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235</v>
      </c>
      <c r="O54" s="84">
        <v>276360</v>
      </c>
    </row>
    <row r="55" spans="1:15" ht="18" customHeight="1">
      <c r="A55" s="106" t="s">
        <v>237</v>
      </c>
      <c r="B55" s="107"/>
      <c r="C55" s="107"/>
      <c r="D55" s="107"/>
      <c r="E55" s="108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238</v>
      </c>
      <c r="O55" s="82">
        <f>IFERROR(O41+O54,"")</f>
        <v>628100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1"/>
      <c r="K57" s="29"/>
      <c r="L57" s="29"/>
      <c r="M57" s="30"/>
      <c r="N57" s="46" t="s">
        <v>276</v>
      </c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0"/>
      <c r="J58" s="26"/>
      <c r="K58" s="29"/>
      <c r="L58" s="29"/>
      <c r="M58" s="35"/>
      <c r="N58" s="46" t="s">
        <v>277</v>
      </c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3" t="s">
        <v>234</v>
      </c>
      <c r="B68" s="104"/>
      <c r="C68" s="104"/>
      <c r="D68" s="104"/>
      <c r="E68" s="105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235</v>
      </c>
      <c r="O68" s="54">
        <v>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259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259</v>
      </c>
      <c r="F70" s="27">
        <v>18</v>
      </c>
      <c r="G70" s="28">
        <f t="shared" si="15"/>
        <v>75.600000000000009</v>
      </c>
      <c r="H70" s="26" t="s">
        <v>19</v>
      </c>
      <c r="I70" s="26" t="s">
        <v>157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259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259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259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259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259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259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259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259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259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259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103" t="s">
        <v>236</v>
      </c>
      <c r="B81" s="104"/>
      <c r="C81" s="104"/>
      <c r="D81" s="104"/>
      <c r="E81" s="105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235</v>
      </c>
      <c r="O81" s="54">
        <v>787860</v>
      </c>
    </row>
    <row r="82" spans="1:15" ht="18" customHeight="1">
      <c r="A82" s="106" t="s">
        <v>237</v>
      </c>
      <c r="B82" s="107"/>
      <c r="C82" s="107"/>
      <c r="D82" s="107"/>
      <c r="E82" s="108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238</v>
      </c>
      <c r="O82" s="82">
        <f>IFERROR(O68+O81,"")</f>
        <v>787860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20" t="s">
        <v>22</v>
      </c>
      <c r="E83" s="59" t="s">
        <v>259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278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259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185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259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259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259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232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232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232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232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232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232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232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3" t="s">
        <v>234</v>
      </c>
      <c r="B95" s="104"/>
      <c r="C95" s="104"/>
      <c r="D95" s="104"/>
      <c r="E95" s="105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235</v>
      </c>
      <c r="O95" s="54">
        <v>577610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259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145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279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259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280</v>
      </c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259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154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281</v>
      </c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259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259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259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259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259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259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259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259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259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3" t="s">
        <v>236</v>
      </c>
      <c r="B108" s="104"/>
      <c r="C108" s="104"/>
      <c r="D108" s="104"/>
      <c r="E108" s="105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235</v>
      </c>
      <c r="O108" s="54">
        <v>1087080</v>
      </c>
    </row>
    <row r="109" spans="1:15" ht="18" customHeight="1">
      <c r="A109" s="106" t="s">
        <v>237</v>
      </c>
      <c r="B109" s="107"/>
      <c r="C109" s="107"/>
      <c r="D109" s="107"/>
      <c r="E109" s="108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238</v>
      </c>
      <c r="O109" s="82">
        <f>IFERROR(O95+O108,"")</f>
        <v>1664690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259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259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165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282</v>
      </c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259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259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259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259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259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259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259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259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259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259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3" t="s">
        <v>234</v>
      </c>
      <c r="B122" s="104"/>
      <c r="C122" s="104"/>
      <c r="D122" s="104"/>
      <c r="E122" s="105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235</v>
      </c>
      <c r="O122" s="54">
        <v>869260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232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164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283</v>
      </c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232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232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154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250</v>
      </c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232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154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284</v>
      </c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232</v>
      </c>
      <c r="F127" s="27">
        <v>4</v>
      </c>
      <c r="G127" s="34">
        <f t="shared" si="27"/>
        <v>20</v>
      </c>
      <c r="H127" s="33" t="s">
        <v>18</v>
      </c>
      <c r="I127" s="33" t="s">
        <v>157</v>
      </c>
      <c r="J127" s="33" t="s">
        <v>164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232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192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5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232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199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285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232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199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232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232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232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232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3" t="s">
        <v>236</v>
      </c>
      <c r="B135" s="104"/>
      <c r="C135" s="104"/>
      <c r="D135" s="104"/>
      <c r="E135" s="105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235</v>
      </c>
      <c r="O135" s="54">
        <v>794480</v>
      </c>
    </row>
    <row r="136" spans="1:15" ht="18" customHeight="1">
      <c r="A136" s="106" t="s">
        <v>237</v>
      </c>
      <c r="B136" s="107"/>
      <c r="C136" s="107"/>
      <c r="D136" s="107"/>
      <c r="E136" s="108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238</v>
      </c>
      <c r="O136" s="82">
        <f>IFERROR(O122+O135,"")</f>
        <v>1663740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232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199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232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232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286</v>
      </c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232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287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232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232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232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232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232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232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232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232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103" t="s">
        <v>234</v>
      </c>
      <c r="B149" s="104"/>
      <c r="C149" s="104"/>
      <c r="D149" s="104"/>
      <c r="E149" s="105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235</v>
      </c>
      <c r="O149" s="54">
        <v>591800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232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288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232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207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259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289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259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259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259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259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259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259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259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259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259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3" t="s">
        <v>236</v>
      </c>
      <c r="B162" s="104"/>
      <c r="C162" s="104"/>
      <c r="D162" s="104"/>
      <c r="E162" s="105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235</v>
      </c>
      <c r="O162" s="54">
        <v>882280</v>
      </c>
    </row>
    <row r="163" spans="1:15" ht="18" customHeight="1">
      <c r="A163" s="106" t="s">
        <v>237</v>
      </c>
      <c r="B163" s="107"/>
      <c r="C163" s="107"/>
      <c r="D163" s="107"/>
      <c r="E163" s="108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238</v>
      </c>
      <c r="O163" s="82">
        <f>IFERROR(O149+O162,"")</f>
        <v>1474080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259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259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259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259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259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259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259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259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259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259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259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259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3" t="s">
        <v>234</v>
      </c>
      <c r="B176" s="104"/>
      <c r="C176" s="104"/>
      <c r="D176" s="104"/>
      <c r="E176" s="105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235</v>
      </c>
      <c r="O176" s="77"/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3" t="s">
        <v>236</v>
      </c>
      <c r="B189" s="104"/>
      <c r="C189" s="104"/>
      <c r="D189" s="104"/>
      <c r="E189" s="105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235</v>
      </c>
      <c r="O189" s="77"/>
    </row>
    <row r="190" spans="1:15" ht="18" customHeight="1">
      <c r="A190" s="106" t="s">
        <v>237</v>
      </c>
      <c r="B190" s="107"/>
      <c r="C190" s="107"/>
      <c r="D190" s="107"/>
      <c r="E190" s="108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238</v>
      </c>
      <c r="O190" s="82">
        <f>IFERROR(O176+O189,"")</f>
        <v>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3" t="s">
        <v>234</v>
      </c>
      <c r="B203" s="104"/>
      <c r="C203" s="104"/>
      <c r="D203" s="104"/>
      <c r="E203" s="105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235</v>
      </c>
      <c r="O203" s="77"/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259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232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154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259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145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290</v>
      </c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259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291</v>
      </c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259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259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259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259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259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259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259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259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3" t="s">
        <v>236</v>
      </c>
      <c r="B216" s="104"/>
      <c r="C216" s="104"/>
      <c r="D216" s="104"/>
      <c r="E216" s="105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235</v>
      </c>
      <c r="O216" s="77">
        <v>648410</v>
      </c>
    </row>
    <row r="217" spans="1:15" ht="18" customHeight="1">
      <c r="A217" s="106" t="s">
        <v>237</v>
      </c>
      <c r="B217" s="107"/>
      <c r="C217" s="107"/>
      <c r="D217" s="107"/>
      <c r="E217" s="108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238</v>
      </c>
      <c r="O217" s="83">
        <f>IFERROR(O203+O216,"")</f>
        <v>648410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259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292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259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128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293</v>
      </c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259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259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259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259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259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259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259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259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259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259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234</v>
      </c>
      <c r="B230" s="88"/>
      <c r="C230" s="88"/>
      <c r="D230" s="59"/>
      <c r="E230" s="89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235</v>
      </c>
      <c r="O230" s="77">
        <v>482110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259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207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232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294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259</v>
      </c>
      <c r="F233" s="27">
        <v>15</v>
      </c>
      <c r="G233" s="34">
        <f t="shared" si="51"/>
        <v>63</v>
      </c>
      <c r="H233" s="33" t="s">
        <v>20</v>
      </c>
      <c r="I233" s="33" t="s">
        <v>147</v>
      </c>
      <c r="J233" s="33" t="s">
        <v>180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259</v>
      </c>
      <c r="F234" s="27">
        <v>8</v>
      </c>
      <c r="G234" s="28">
        <f t="shared" si="51"/>
        <v>33.6</v>
      </c>
      <c r="H234" s="26" t="s">
        <v>20</v>
      </c>
      <c r="I234" s="26" t="s">
        <v>147</v>
      </c>
      <c r="J234" s="26" t="s">
        <v>180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288</v>
      </c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259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139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259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259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259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259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259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259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259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3" t="s">
        <v>236</v>
      </c>
      <c r="B243" s="104"/>
      <c r="C243" s="104"/>
      <c r="D243" s="104"/>
      <c r="E243" s="105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235</v>
      </c>
      <c r="O243" s="77">
        <v>849060</v>
      </c>
    </row>
    <row r="244" spans="1:15" ht="18" customHeight="1">
      <c r="A244" s="106" t="s">
        <v>237</v>
      </c>
      <c r="B244" s="107"/>
      <c r="C244" s="107"/>
      <c r="D244" s="107"/>
      <c r="E244" s="108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238</v>
      </c>
      <c r="O244" s="83">
        <f>IFERROR(O230+O243,"")</f>
        <v>1331170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259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295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259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259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259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259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259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259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259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259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259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259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259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3" t="s">
        <v>234</v>
      </c>
      <c r="B257" s="104"/>
      <c r="C257" s="104"/>
      <c r="D257" s="104"/>
      <c r="E257" s="105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235</v>
      </c>
      <c r="O257" s="77">
        <v>631580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232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125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259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259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259</v>
      </c>
      <c r="F261" s="27">
        <v>3</v>
      </c>
      <c r="G261" s="28">
        <f t="shared" si="57"/>
        <v>12.600000000000001</v>
      </c>
      <c r="H261" s="33" t="s">
        <v>19</v>
      </c>
      <c r="I261" s="33" t="s">
        <v>157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259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154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259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259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259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259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259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259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259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3" t="s">
        <v>236</v>
      </c>
      <c r="B270" s="104"/>
      <c r="C270" s="104"/>
      <c r="D270" s="104"/>
      <c r="E270" s="105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235</v>
      </c>
      <c r="O270" s="77">
        <v>625070</v>
      </c>
    </row>
    <row r="271" spans="1:15" ht="18" customHeight="1">
      <c r="A271" s="106" t="s">
        <v>237</v>
      </c>
      <c r="B271" s="107"/>
      <c r="C271" s="107"/>
      <c r="D271" s="107"/>
      <c r="E271" s="108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238</v>
      </c>
      <c r="O271" s="83">
        <f>IFERROR(O257+O270,"")</f>
        <v>1256650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259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296</v>
      </c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259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297</v>
      </c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259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259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259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259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259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259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259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259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259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259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3" t="s">
        <v>234</v>
      </c>
      <c r="B284" s="104"/>
      <c r="C284" s="104"/>
      <c r="D284" s="104"/>
      <c r="E284" s="105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235</v>
      </c>
      <c r="O284" s="77">
        <v>623460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259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259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128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298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259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259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232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259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154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259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259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259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259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259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259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3" t="s">
        <v>236</v>
      </c>
      <c r="B297" s="104"/>
      <c r="C297" s="104"/>
      <c r="D297" s="104"/>
      <c r="E297" s="105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235</v>
      </c>
      <c r="O297" s="77">
        <v>761660</v>
      </c>
    </row>
    <row r="298" spans="1:15" ht="18" customHeight="1">
      <c r="A298" s="106" t="s">
        <v>237</v>
      </c>
      <c r="B298" s="107"/>
      <c r="C298" s="107"/>
      <c r="D298" s="107"/>
      <c r="E298" s="108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238</v>
      </c>
      <c r="O298" s="83">
        <f>IFERROR(O284+O297,"")</f>
        <v>1385120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259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133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259</v>
      </c>
      <c r="F300" s="27">
        <v>6</v>
      </c>
      <c r="G300" s="28">
        <f t="shared" si="66"/>
        <v>25.200000000000003</v>
      </c>
      <c r="H300" s="26" t="s">
        <v>17</v>
      </c>
      <c r="I300" s="26" t="s">
        <v>136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259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259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299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259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299</v>
      </c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259</v>
      </c>
      <c r="F304" s="27">
        <v>8</v>
      </c>
      <c r="G304" s="28">
        <f t="shared" si="66"/>
        <v>33.6</v>
      </c>
      <c r="H304" s="26" t="s">
        <v>19</v>
      </c>
      <c r="I304" s="26" t="s">
        <v>157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259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259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259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259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259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259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3" t="s">
        <v>234</v>
      </c>
      <c r="B311" s="104"/>
      <c r="C311" s="104"/>
      <c r="D311" s="104"/>
      <c r="E311" s="105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235</v>
      </c>
      <c r="O311" s="77">
        <v>605560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259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155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259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300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259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301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259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259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259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259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259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259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259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259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232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3" t="s">
        <v>236</v>
      </c>
      <c r="B324" s="104"/>
      <c r="C324" s="104"/>
      <c r="D324" s="104"/>
      <c r="E324" s="105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235</v>
      </c>
      <c r="O324" s="77">
        <v>524410</v>
      </c>
    </row>
    <row r="325" spans="1:15" ht="18" customHeight="1">
      <c r="A325" s="106" t="s">
        <v>237</v>
      </c>
      <c r="B325" s="107"/>
      <c r="C325" s="107"/>
      <c r="D325" s="107"/>
      <c r="E325" s="108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238</v>
      </c>
      <c r="O325" s="83">
        <f>IFERROR(O311+O324,"")</f>
        <v>1129970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259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157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259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259</v>
      </c>
      <c r="F328" s="27">
        <v>10</v>
      </c>
      <c r="G328" s="28">
        <f t="shared" si="72"/>
        <v>42</v>
      </c>
      <c r="H328" s="26" t="s">
        <v>20</v>
      </c>
      <c r="I328" s="26" t="s">
        <v>121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259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302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232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259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259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259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259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259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259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259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3" t="s">
        <v>234</v>
      </c>
      <c r="B338" s="104"/>
      <c r="C338" s="104"/>
      <c r="D338" s="104"/>
      <c r="E338" s="105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235</v>
      </c>
      <c r="O338" s="77">
        <v>837000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259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121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259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303</v>
      </c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259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259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304</v>
      </c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259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259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259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259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259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259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259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259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3" t="s">
        <v>236</v>
      </c>
      <c r="B351" s="104"/>
      <c r="C351" s="104"/>
      <c r="D351" s="104"/>
      <c r="E351" s="105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235</v>
      </c>
      <c r="O351" s="77">
        <v>598420</v>
      </c>
    </row>
    <row r="352" spans="1:15" ht="18" customHeight="1">
      <c r="A352" s="106" t="s">
        <v>237</v>
      </c>
      <c r="B352" s="107"/>
      <c r="C352" s="107"/>
      <c r="D352" s="107"/>
      <c r="E352" s="108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238</v>
      </c>
      <c r="O352" s="83">
        <f>IFERROR(O338+O351,"")</f>
        <v>1435420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259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157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259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259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157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259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129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259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259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259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259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259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259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259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259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3" t="s">
        <v>234</v>
      </c>
      <c r="B365" s="104"/>
      <c r="C365" s="104"/>
      <c r="D365" s="104"/>
      <c r="E365" s="105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235</v>
      </c>
      <c r="O365" s="77">
        <v>808550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259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129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259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129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259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259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259</v>
      </c>
      <c r="F370" s="27">
        <v>20</v>
      </c>
      <c r="G370" s="28">
        <f t="shared" si="81"/>
        <v>84</v>
      </c>
      <c r="H370" s="26" t="s">
        <v>20</v>
      </c>
      <c r="I370" s="26" t="s">
        <v>155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259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129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259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259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132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129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129</v>
      </c>
      <c r="K377" s="29">
        <v>0.23958333333333334</v>
      </c>
      <c r="L377" s="29"/>
      <c r="M377" s="35">
        <f t="shared" ca="1" si="82"/>
        <v>0.78005729166761739</v>
      </c>
      <c r="N377" s="46"/>
      <c r="O377" s="47"/>
    </row>
    <row r="378" spans="1:15" ht="15.75" customHeight="1">
      <c r="A378" s="103" t="s">
        <v>236</v>
      </c>
      <c r="B378" s="104"/>
      <c r="C378" s="104"/>
      <c r="D378" s="104"/>
      <c r="E378" s="105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0.93769618055650628</v>
      </c>
      <c r="N378" s="36" t="s">
        <v>235</v>
      </c>
      <c r="O378" s="77">
        <v>511980</v>
      </c>
    </row>
    <row r="379" spans="1:15" ht="18" customHeight="1">
      <c r="A379" s="106" t="s">
        <v>237</v>
      </c>
      <c r="B379" s="107"/>
      <c r="C379" s="107"/>
      <c r="D379" s="107"/>
      <c r="E379" s="108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1.0474184027787286</v>
      </c>
      <c r="N379" s="40" t="s">
        <v>238</v>
      </c>
      <c r="O379" s="83">
        <f>IFERROR(O365+O378,"")</f>
        <v>1320530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259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157</v>
      </c>
      <c r="J380" s="26" t="s">
        <v>119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259</v>
      </c>
      <c r="F381" s="27">
        <v>15</v>
      </c>
      <c r="G381" s="34">
        <f t="shared" si="84"/>
        <v>63</v>
      </c>
      <c r="H381" s="33" t="s">
        <v>18</v>
      </c>
      <c r="I381" s="33" t="s">
        <v>118</v>
      </c>
      <c r="J381" s="33" t="s">
        <v>213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259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194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259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288</v>
      </c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259</v>
      </c>
      <c r="F384" s="27">
        <v>0</v>
      </c>
      <c r="G384" s="28">
        <f t="shared" si="84"/>
        <v>0</v>
      </c>
      <c r="H384" s="26" t="s">
        <v>16</v>
      </c>
      <c r="I384" s="26" t="s">
        <v>157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305</v>
      </c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259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259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259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259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259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259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259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3" t="s">
        <v>234</v>
      </c>
      <c r="B392" s="104"/>
      <c r="C392" s="104"/>
      <c r="D392" s="104"/>
      <c r="E392" s="105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235</v>
      </c>
      <c r="O392" s="77">
        <v>281950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259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157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306</v>
      </c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259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250</v>
      </c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259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199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259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259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259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259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259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259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259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259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259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3" t="s">
        <v>236</v>
      </c>
      <c r="B405" s="104"/>
      <c r="C405" s="104"/>
      <c r="D405" s="104"/>
      <c r="E405" s="105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235</v>
      </c>
      <c r="O405" s="77">
        <v>552440</v>
      </c>
    </row>
    <row r="406" spans="1:15" ht="18" customHeight="1">
      <c r="A406" s="106" t="s">
        <v>237</v>
      </c>
      <c r="B406" s="107"/>
      <c r="C406" s="107"/>
      <c r="D406" s="107"/>
      <c r="E406" s="108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238</v>
      </c>
      <c r="O406" s="83">
        <f>IFERROR(O392+O405,"")</f>
        <v>834390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259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259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259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259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259</v>
      </c>
      <c r="F411" s="27">
        <v>9</v>
      </c>
      <c r="G411" s="34">
        <f t="shared" si="90"/>
        <v>37.800000000000004</v>
      </c>
      <c r="H411" s="33" t="s">
        <v>17</v>
      </c>
      <c r="I411" s="33" t="s">
        <v>136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259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259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259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232</v>
      </c>
      <c r="F415" s="27">
        <v>12</v>
      </c>
      <c r="G415" s="34">
        <f t="shared" si="90"/>
        <v>60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232</v>
      </c>
      <c r="F416" s="27">
        <v>4</v>
      </c>
      <c r="G416" s="28">
        <f t="shared" si="90"/>
        <v>20</v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259</v>
      </c>
      <c r="F417" s="27">
        <v>24</v>
      </c>
      <c r="G417" s="34">
        <f t="shared" si="90"/>
        <v>100.80000000000001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259</v>
      </c>
      <c r="F418" s="27">
        <v>11</v>
      </c>
      <c r="G418" s="28">
        <f t="shared" si="90"/>
        <v>46.2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3" t="s">
        <v>234</v>
      </c>
      <c r="B419" s="104"/>
      <c r="C419" s="104"/>
      <c r="D419" s="104"/>
      <c r="E419" s="105">
        <f>SUM(E407:E418)</f>
        <v>0</v>
      </c>
      <c r="F419" s="36">
        <f>SUM(F407:F418)</f>
        <v>139</v>
      </c>
      <c r="G419" s="36">
        <f>SUM(G407:G418)</f>
        <v>596.60000000000014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235</v>
      </c>
      <c r="O419" s="77">
        <v>700000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259</v>
      </c>
      <c r="F420" s="27">
        <v>4</v>
      </c>
      <c r="G420" s="28">
        <f t="shared" ref="G420:G431" si="93">IF(F420="","",IF(E420="PC 17",F420*4.2,IF(E420="PC 19",F420*5,"")))</f>
        <v>16.8</v>
      </c>
      <c r="H420" s="26" t="s">
        <v>18</v>
      </c>
      <c r="I420" s="26" t="s">
        <v>166</v>
      </c>
      <c r="J420" s="26" t="s">
        <v>214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259</v>
      </c>
      <c r="F421" s="27">
        <v>0</v>
      </c>
      <c r="G421" s="34">
        <f t="shared" si="93"/>
        <v>0</v>
      </c>
      <c r="H421" s="33" t="s">
        <v>20</v>
      </c>
      <c r="I421" s="33" t="s">
        <v>39</v>
      </c>
      <c r="J421" s="33" t="s">
        <v>36</v>
      </c>
      <c r="K421" s="29">
        <v>0.95138888888888884</v>
      </c>
      <c r="L421" s="29">
        <v>0.96736111111111112</v>
      </c>
      <c r="M421" s="35">
        <f t="shared" ca="1" si="94"/>
        <v>1.5972222222222276E-2</v>
      </c>
      <c r="N421" s="46" t="s">
        <v>307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259</v>
      </c>
      <c r="F422" s="27">
        <v>0</v>
      </c>
      <c r="G422" s="28">
        <f t="shared" si="93"/>
        <v>0</v>
      </c>
      <c r="H422" s="26" t="s">
        <v>19</v>
      </c>
      <c r="I422" s="26" t="s">
        <v>31</v>
      </c>
      <c r="J422" s="26" t="s">
        <v>27</v>
      </c>
      <c r="K422" s="29">
        <v>0.14930555555555555</v>
      </c>
      <c r="L422" s="29">
        <v>0.16944444444444445</v>
      </c>
      <c r="M422" s="30">
        <f t="shared" ca="1" si="94"/>
        <v>2.0138888888888901E-2</v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259</v>
      </c>
      <c r="F423" s="27">
        <v>0</v>
      </c>
      <c r="G423" s="34">
        <f t="shared" si="93"/>
        <v>0</v>
      </c>
      <c r="H423" s="33" t="s">
        <v>20</v>
      </c>
      <c r="I423" s="33" t="s">
        <v>39</v>
      </c>
      <c r="J423" s="33" t="s">
        <v>28</v>
      </c>
      <c r="K423" s="29">
        <v>0.26111111111111113</v>
      </c>
      <c r="L423" s="29"/>
      <c r="M423" s="35">
        <f t="shared" ca="1" si="94"/>
        <v>0.75852951389242662</v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259</v>
      </c>
      <c r="F424" s="27">
        <v>20</v>
      </c>
      <c r="G424" s="28">
        <f t="shared" si="93"/>
        <v>84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259</v>
      </c>
      <c r="F425" s="27">
        <v>16</v>
      </c>
      <c r="G425" s="34">
        <f t="shared" si="93"/>
        <v>67.2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259</v>
      </c>
      <c r="F426" s="27">
        <v>14</v>
      </c>
      <c r="G426" s="28">
        <f t="shared" si="93"/>
        <v>58.800000000000004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259</v>
      </c>
      <c r="F427" s="27">
        <v>20</v>
      </c>
      <c r="G427" s="34">
        <f t="shared" si="93"/>
        <v>84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259</v>
      </c>
      <c r="F428" s="27">
        <v>11</v>
      </c>
      <c r="G428" s="28">
        <f t="shared" si="93"/>
        <v>46.2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259</v>
      </c>
      <c r="F429" s="27">
        <v>12</v>
      </c>
      <c r="G429" s="34">
        <f t="shared" si="93"/>
        <v>50.400000000000006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259</v>
      </c>
      <c r="F430" s="27">
        <v>20</v>
      </c>
      <c r="G430" s="28">
        <f t="shared" si="93"/>
        <v>84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259</v>
      </c>
      <c r="F431" s="27">
        <v>6</v>
      </c>
      <c r="G431" s="34">
        <f t="shared" si="93"/>
        <v>25.200000000000003</v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236</v>
      </c>
      <c r="B432" s="88"/>
      <c r="C432" s="88"/>
      <c r="D432" s="88"/>
      <c r="E432" s="88"/>
      <c r="F432" s="36">
        <f>SUM(F420:F431)</f>
        <v>123</v>
      </c>
      <c r="G432" s="36">
        <f>SUM(G420:G431)</f>
        <v>516.6</v>
      </c>
      <c r="H432" s="37"/>
      <c r="I432" s="37"/>
      <c r="J432" s="37"/>
      <c r="K432" s="37"/>
      <c r="L432" s="37"/>
      <c r="M432" s="38">
        <f ca="1">IFERROR(SUM(M420:M431),"")</f>
        <v>0.92936284722576001</v>
      </c>
      <c r="N432" s="36" t="s">
        <v>235</v>
      </c>
      <c r="O432" s="77">
        <v>484540</v>
      </c>
    </row>
    <row r="433" spans="1:15" ht="18" customHeight="1">
      <c r="A433" s="93" t="s">
        <v>237</v>
      </c>
      <c r="B433" s="91"/>
      <c r="C433" s="91"/>
      <c r="D433" s="91"/>
      <c r="E433" s="91"/>
      <c r="F433" s="40">
        <f>F419+F432</f>
        <v>262</v>
      </c>
      <c r="G433" s="40">
        <f>G419+G432</f>
        <v>1113.2000000000003</v>
      </c>
      <c r="H433" s="41"/>
      <c r="I433" s="41"/>
      <c r="J433" s="41"/>
      <c r="K433" s="41"/>
      <c r="L433" s="41"/>
      <c r="M433" s="42">
        <f ca="1">IFERROR(M419+M432,"")</f>
        <v>1.0745017361146489</v>
      </c>
      <c r="N433" s="40" t="s">
        <v>238</v>
      </c>
      <c r="O433" s="83">
        <f>IFERROR(O419+O432,"")</f>
        <v>1184540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259</v>
      </c>
      <c r="F434" s="27">
        <v>16</v>
      </c>
      <c r="G434" s="28">
        <f t="shared" ref="G434:G445" si="96">IF(F434="","",IF(E434="PC 17",F434*4.2,IF(E434="PC 19",F434*5,"")))</f>
        <v>67.2</v>
      </c>
      <c r="H434" s="26" t="s">
        <v>19</v>
      </c>
      <c r="I434" s="26" t="s">
        <v>39</v>
      </c>
      <c r="J434" s="26" t="s">
        <v>50</v>
      </c>
      <c r="K434" s="29">
        <v>0.29166666666666669</v>
      </c>
      <c r="L434" s="29">
        <v>0.30902777777777779</v>
      </c>
      <c r="M434" s="30">
        <f t="shared" ref="M434:M445" ca="1" si="97">IFERROR(IF(K434="","",IF(L434="",MOD(NOW()-K434,1),IF(L434&gt;=K434,L434-K434,L434+1-K434))),"")</f>
        <v>1.7361111111111105E-2</v>
      </c>
      <c r="N434" s="46" t="s">
        <v>308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259</v>
      </c>
      <c r="F435" s="27">
        <v>24</v>
      </c>
      <c r="G435" s="28">
        <f t="shared" si="96"/>
        <v>100.80000000000001</v>
      </c>
      <c r="H435" s="33" t="s">
        <v>18</v>
      </c>
      <c r="I435" s="33" t="s">
        <v>31</v>
      </c>
      <c r="J435" s="33" t="s">
        <v>154</v>
      </c>
      <c r="K435" s="29">
        <v>0.47222222222222221</v>
      </c>
      <c r="L435" s="29">
        <v>0.49305555555555558</v>
      </c>
      <c r="M435" s="35">
        <f t="shared" ca="1" si="97"/>
        <v>2.083333333333337E-2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259</v>
      </c>
      <c r="F436" s="27">
        <v>20</v>
      </c>
      <c r="G436" s="28">
        <f t="shared" si="96"/>
        <v>84</v>
      </c>
      <c r="H436" s="26" t="s">
        <v>19</v>
      </c>
      <c r="I436" s="26" t="s">
        <v>157</v>
      </c>
      <c r="J436" s="26" t="s">
        <v>27</v>
      </c>
      <c r="K436" s="29">
        <v>0.53125</v>
      </c>
      <c r="L436" s="29">
        <v>0.54513888888888884</v>
      </c>
      <c r="M436" s="30">
        <f t="shared" ca="1" si="97"/>
        <v>1.388888888888884E-2</v>
      </c>
      <c r="N436" s="46" t="s">
        <v>309</v>
      </c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259</v>
      </c>
      <c r="F437" s="27">
        <v>18</v>
      </c>
      <c r="G437" s="34">
        <f t="shared" si="96"/>
        <v>75.600000000000009</v>
      </c>
      <c r="H437" s="33" t="s">
        <v>20</v>
      </c>
      <c r="I437" s="33" t="s">
        <v>39</v>
      </c>
      <c r="J437" s="33" t="s">
        <v>51</v>
      </c>
      <c r="K437" s="29">
        <v>0.75</v>
      </c>
      <c r="L437" s="29">
        <v>0.76736111111111116</v>
      </c>
      <c r="M437" s="35">
        <f t="shared" ca="1" si="97"/>
        <v>1.736111111111116E-2</v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259</v>
      </c>
      <c r="F438" s="27">
        <v>5</v>
      </c>
      <c r="G438" s="28">
        <f t="shared" si="96"/>
        <v>21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259</v>
      </c>
      <c r="F439" s="27">
        <v>14</v>
      </c>
      <c r="G439" s="34">
        <f t="shared" si="96"/>
        <v>58.800000000000004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259</v>
      </c>
      <c r="F440" s="27">
        <v>16</v>
      </c>
      <c r="G440" s="28">
        <f t="shared" si="96"/>
        <v>67.2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259</v>
      </c>
      <c r="F441" s="27">
        <v>21</v>
      </c>
      <c r="G441" s="34">
        <f t="shared" si="96"/>
        <v>88.2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259</v>
      </c>
      <c r="F442" s="27">
        <v>29</v>
      </c>
      <c r="G442" s="28">
        <f t="shared" si="96"/>
        <v>121.80000000000001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259</v>
      </c>
      <c r="F443" s="27">
        <v>24</v>
      </c>
      <c r="G443" s="34">
        <f t="shared" si="96"/>
        <v>100.80000000000001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259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259</v>
      </c>
      <c r="F445" s="27">
        <v>3</v>
      </c>
      <c r="G445" s="34">
        <f t="shared" si="96"/>
        <v>12.600000000000001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3" t="s">
        <v>234</v>
      </c>
      <c r="B446" s="104"/>
      <c r="C446" s="104"/>
      <c r="D446" s="104"/>
      <c r="E446" s="105">
        <f>SUM(E434:E445)</f>
        <v>0</v>
      </c>
      <c r="F446" s="36">
        <f>SUM(F434:F445)</f>
        <v>198</v>
      </c>
      <c r="G446" s="36">
        <f>SUM(G434:G445)</f>
        <v>831.60000000000014</v>
      </c>
      <c r="H446" s="37"/>
      <c r="I446" s="37"/>
      <c r="J446" s="37"/>
      <c r="K446" s="37"/>
      <c r="L446" s="37"/>
      <c r="M446" s="38">
        <f ca="1">IFERROR(SUM(M434:M445),"")</f>
        <v>6.9444444444444475E-2</v>
      </c>
      <c r="N446" s="36" t="s">
        <v>235</v>
      </c>
      <c r="O446" s="77">
        <v>849430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232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0.82291666666666663</v>
      </c>
      <c r="L447" s="29">
        <v>0.85833333333333328</v>
      </c>
      <c r="M447" s="35">
        <f t="shared" ref="M447:M458" ca="1" si="100">IFERROR(IF(K447="","",IF(L447="",MOD(NOW()-K447,1),IF(L447&gt;=K447,L447-K447,L447+1-K447))),"")</f>
        <v>3.5416666666666652E-2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232</v>
      </c>
      <c r="F448" s="27">
        <v>5</v>
      </c>
      <c r="G448" s="28">
        <f t="shared" si="99"/>
        <v>25</v>
      </c>
      <c r="H448" s="26" t="s">
        <v>19</v>
      </c>
      <c r="I448" s="26" t="s">
        <v>31</v>
      </c>
      <c r="J448" s="26" t="s">
        <v>101</v>
      </c>
      <c r="K448" s="29">
        <v>8.7499999999999994E-2</v>
      </c>
      <c r="L448" s="29">
        <v>0.1125</v>
      </c>
      <c r="M448" s="30">
        <f t="shared" ca="1" si="100"/>
        <v>2.5000000000000008E-2</v>
      </c>
      <c r="N448" s="46" t="s">
        <v>310</v>
      </c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232</v>
      </c>
      <c r="F449" s="27">
        <v>15</v>
      </c>
      <c r="G449" s="34">
        <f t="shared" si="99"/>
        <v>75</v>
      </c>
      <c r="H449" s="33" t="s">
        <v>19</v>
      </c>
      <c r="I449" s="33" t="s">
        <v>39</v>
      </c>
      <c r="J449" s="33" t="s">
        <v>27</v>
      </c>
      <c r="K449" s="29">
        <v>0.24652777777777779</v>
      </c>
      <c r="L449" s="29">
        <v>0.25833333333333336</v>
      </c>
      <c r="M449" s="35">
        <f t="shared" ca="1" si="100"/>
        <v>1.1805555555555569E-2</v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232</v>
      </c>
      <c r="F450" s="27">
        <v>8</v>
      </c>
      <c r="G450" s="28">
        <f t="shared" si="99"/>
        <v>40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232</v>
      </c>
      <c r="F451" s="27">
        <v>9</v>
      </c>
      <c r="G451" s="34">
        <f t="shared" si="99"/>
        <v>45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232</v>
      </c>
      <c r="F452" s="27">
        <v>17</v>
      </c>
      <c r="G452" s="28">
        <f t="shared" si="99"/>
        <v>85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232</v>
      </c>
      <c r="F453" s="27">
        <v>11</v>
      </c>
      <c r="G453" s="34">
        <f t="shared" si="99"/>
        <v>55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232</v>
      </c>
      <c r="F454" s="27">
        <v>15</v>
      </c>
      <c r="G454" s="28">
        <f t="shared" si="99"/>
        <v>75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232</v>
      </c>
      <c r="F455" s="27">
        <v>13</v>
      </c>
      <c r="G455" s="34">
        <f t="shared" si="99"/>
        <v>65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232</v>
      </c>
      <c r="F456" s="27">
        <v>7</v>
      </c>
      <c r="G456" s="28">
        <f t="shared" si="99"/>
        <v>35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232</v>
      </c>
      <c r="F457" s="27">
        <v>8</v>
      </c>
      <c r="G457" s="34">
        <f t="shared" si="99"/>
        <v>40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232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3" t="s">
        <v>236</v>
      </c>
      <c r="B459" s="104"/>
      <c r="C459" s="104"/>
      <c r="D459" s="104"/>
      <c r="E459" s="105">
        <f>SUM(E447:E458)</f>
        <v>0</v>
      </c>
      <c r="F459" s="36">
        <f>SUM(F447:F458)</f>
        <v>114</v>
      </c>
      <c r="G459" s="36">
        <f>SUM(G447:G458)</f>
        <v>570</v>
      </c>
      <c r="H459" s="37"/>
      <c r="I459" s="37"/>
      <c r="J459" s="37"/>
      <c r="K459" s="37"/>
      <c r="L459" s="37"/>
      <c r="M459" s="38">
        <f ca="1">IFERROR(SUM(M447:M458),"")</f>
        <v>7.2222222222222229E-2</v>
      </c>
      <c r="N459" s="36" t="s">
        <v>235</v>
      </c>
      <c r="O459" s="77">
        <v>631190</v>
      </c>
    </row>
    <row r="460" spans="1:15" ht="18" customHeight="1">
      <c r="A460" s="106" t="s">
        <v>237</v>
      </c>
      <c r="B460" s="107"/>
      <c r="C460" s="107"/>
      <c r="D460" s="107"/>
      <c r="E460" s="108">
        <f>E446+E459</f>
        <v>0</v>
      </c>
      <c r="F460" s="40">
        <f>F446+F459</f>
        <v>312</v>
      </c>
      <c r="G460" s="40">
        <f>G446+G459</f>
        <v>1401.6000000000001</v>
      </c>
      <c r="H460" s="41"/>
      <c r="I460" s="41"/>
      <c r="J460" s="41"/>
      <c r="K460" s="41"/>
      <c r="L460" s="41"/>
      <c r="M460" s="42">
        <f ca="1">IFERROR(M446+M459,"")</f>
        <v>0.14166666666666672</v>
      </c>
      <c r="N460" s="40" t="s">
        <v>238</v>
      </c>
      <c r="O460" s="83">
        <f>IFERROR(O446+O459,"")</f>
        <v>1480620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232</v>
      </c>
      <c r="F461" s="27">
        <v>20</v>
      </c>
      <c r="G461" s="34">
        <f t="shared" ref="G461:G472" si="102">IF(F461="","",IF(E461="PC 17",F461*4.2,IF(E461="PC 19",F461*5,"")))</f>
        <v>100</v>
      </c>
      <c r="H461" s="33" t="s">
        <v>20</v>
      </c>
      <c r="I461" s="33" t="s">
        <v>31</v>
      </c>
      <c r="J461" s="33" t="s">
        <v>51</v>
      </c>
      <c r="K461" s="29">
        <v>0.33680555555555558</v>
      </c>
      <c r="L461" s="29">
        <v>0.3611111111111111</v>
      </c>
      <c r="M461" s="35">
        <f t="shared" ref="M461:M472" ca="1" si="103">IFERROR(IF(K461="","",IF(L461="",MOD(NOW()-K461,1),IF(L461&gt;=K461,L461-K461,L461+1-K461))),"")</f>
        <v>2.4305555555555525E-2</v>
      </c>
      <c r="N461" s="46" t="s">
        <v>311</v>
      </c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232</v>
      </c>
      <c r="F462" s="27">
        <v>6</v>
      </c>
      <c r="G462" s="28">
        <f t="shared" si="102"/>
        <v>30</v>
      </c>
      <c r="H462" s="26" t="s">
        <v>20</v>
      </c>
      <c r="I462" s="26" t="s">
        <v>39</v>
      </c>
      <c r="J462" s="26" t="s">
        <v>36</v>
      </c>
      <c r="K462" s="29">
        <v>0.40625</v>
      </c>
      <c r="L462" s="29">
        <v>0.41319444444444442</v>
      </c>
      <c r="M462" s="30">
        <f t="shared" ca="1" si="103"/>
        <v>6.9444444444444198E-3</v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232</v>
      </c>
      <c r="F463" s="27">
        <v>17</v>
      </c>
      <c r="G463" s="34">
        <f t="shared" si="102"/>
        <v>85</v>
      </c>
      <c r="H463" s="33" t="s">
        <v>18</v>
      </c>
      <c r="I463" s="33" t="s">
        <v>147</v>
      </c>
      <c r="J463" s="33" t="s">
        <v>128</v>
      </c>
      <c r="K463" s="29">
        <v>0.49652777777777779</v>
      </c>
      <c r="L463" s="29">
        <v>0.50902777777777775</v>
      </c>
      <c r="M463" s="35">
        <f t="shared" ca="1" si="103"/>
        <v>1.2499999999999956E-2</v>
      </c>
      <c r="N463" s="46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232</v>
      </c>
      <c r="F464" s="27">
        <v>12</v>
      </c>
      <c r="G464" s="28">
        <f t="shared" si="102"/>
        <v>60</v>
      </c>
      <c r="H464" s="26" t="s">
        <v>18</v>
      </c>
      <c r="I464" s="26" t="s">
        <v>39</v>
      </c>
      <c r="J464" s="26" t="s">
        <v>154</v>
      </c>
      <c r="K464" s="29">
        <v>0.53819444444444442</v>
      </c>
      <c r="L464" s="29">
        <v>0.59375</v>
      </c>
      <c r="M464" s="30">
        <f t="shared" ca="1" si="103"/>
        <v>5.555555555555558E-2</v>
      </c>
      <c r="N464" s="46" t="s">
        <v>312</v>
      </c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232</v>
      </c>
      <c r="F465" s="27">
        <v>8</v>
      </c>
      <c r="G465" s="34">
        <f t="shared" si="102"/>
        <v>40</v>
      </c>
      <c r="H465" s="33" t="s">
        <v>20</v>
      </c>
      <c r="I465" s="33" t="s">
        <v>31</v>
      </c>
      <c r="J465" s="33" t="s">
        <v>165</v>
      </c>
      <c r="K465" s="29">
        <v>0.70833333333333337</v>
      </c>
      <c r="L465" s="29">
        <v>0.72013888888888888</v>
      </c>
      <c r="M465" s="35">
        <f t="shared" ca="1" si="103"/>
        <v>1.1805555555555514E-2</v>
      </c>
      <c r="N465" s="46" t="s">
        <v>313</v>
      </c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232</v>
      </c>
      <c r="F466" s="27">
        <v>12</v>
      </c>
      <c r="G466" s="28">
        <f t="shared" si="102"/>
        <v>60</v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232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232</v>
      </c>
      <c r="F468" s="27">
        <v>7</v>
      </c>
      <c r="G468" s="28">
        <f t="shared" si="102"/>
        <v>35</v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232</v>
      </c>
      <c r="F469" s="27">
        <v>16</v>
      </c>
      <c r="G469" s="34">
        <f t="shared" si="102"/>
        <v>80</v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232</v>
      </c>
      <c r="F470" s="27">
        <v>13</v>
      </c>
      <c r="G470" s="28">
        <f t="shared" si="102"/>
        <v>65</v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232</v>
      </c>
      <c r="F471" s="27">
        <v>5</v>
      </c>
      <c r="G471" s="34">
        <f t="shared" si="102"/>
        <v>25</v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232</v>
      </c>
      <c r="F472" s="27">
        <v>7</v>
      </c>
      <c r="G472" s="28">
        <f t="shared" si="102"/>
        <v>35</v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3" t="s">
        <v>234</v>
      </c>
      <c r="B473" s="104"/>
      <c r="C473" s="104"/>
      <c r="D473" s="104"/>
      <c r="E473" s="105">
        <f>SUM(E461:E472)</f>
        <v>0</v>
      </c>
      <c r="F473" s="36">
        <f>SUM(F461:F472)</f>
        <v>123</v>
      </c>
      <c r="G473" s="36">
        <f>SUM(G461:G472)</f>
        <v>615</v>
      </c>
      <c r="H473" s="37"/>
      <c r="I473" s="37"/>
      <c r="J473" s="37"/>
      <c r="K473" s="37"/>
      <c r="L473" s="37"/>
      <c r="M473" s="38">
        <f ca="1">IFERROR(SUM(M461:M472),"")</f>
        <v>0.11111111111111099</v>
      </c>
      <c r="N473" s="36" t="s">
        <v>235</v>
      </c>
      <c r="O473" s="77">
        <v>870930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232</v>
      </c>
      <c r="F474" s="27">
        <v>22</v>
      </c>
      <c r="G474" s="28">
        <f t="shared" ref="G474:G485" si="105">IF(F474="","",IF(E474="PC 17",F474*4.2,IF(E474="PC 19",F474*5,"")))</f>
        <v>110</v>
      </c>
      <c r="H474" s="26" t="s">
        <v>20</v>
      </c>
      <c r="I474" s="26" t="s">
        <v>31</v>
      </c>
      <c r="J474" s="26" t="s">
        <v>28</v>
      </c>
      <c r="K474" s="29">
        <v>0.88888888888888884</v>
      </c>
      <c r="L474" s="29">
        <v>0.90625</v>
      </c>
      <c r="M474" s="30">
        <f t="shared" ref="M474:M485" ca="1" si="106">IFERROR(IF(K474="","",IF(L474="",MOD(NOW()-K474,1),IF(L474&gt;=K474,L474-K474,L474+1-K474))),"")</f>
        <v>1.736111111111116E-2</v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232</v>
      </c>
      <c r="F475" s="27">
        <v>17</v>
      </c>
      <c r="G475" s="34">
        <f t="shared" si="105"/>
        <v>85</v>
      </c>
      <c r="H475" s="33" t="s">
        <v>19</v>
      </c>
      <c r="I475" s="33" t="s">
        <v>31</v>
      </c>
      <c r="J475" s="33" t="s">
        <v>50</v>
      </c>
      <c r="K475" s="29">
        <v>0.94305555555555554</v>
      </c>
      <c r="L475" s="29">
        <v>4.1666666666666666E-3</v>
      </c>
      <c r="M475" s="35">
        <f t="shared" ca="1" si="106"/>
        <v>6.1111111111111116E-2</v>
      </c>
      <c r="N475" s="46" t="s">
        <v>314</v>
      </c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232</v>
      </c>
      <c r="F476" s="27">
        <v>10</v>
      </c>
      <c r="G476" s="28">
        <f t="shared" si="105"/>
        <v>50</v>
      </c>
      <c r="H476" s="26" t="s">
        <v>20</v>
      </c>
      <c r="I476" s="26"/>
      <c r="J476" s="26" t="s">
        <v>74</v>
      </c>
      <c r="K476" s="29">
        <v>0.23819444444444443</v>
      </c>
      <c r="L476" s="29">
        <v>0.24305555555555555</v>
      </c>
      <c r="M476" s="30">
        <f t="shared" ca="1" si="106"/>
        <v>4.8611111111111216E-3</v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232</v>
      </c>
      <c r="F477" s="27">
        <v>8</v>
      </c>
      <c r="G477" s="34">
        <f t="shared" si="105"/>
        <v>40</v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232</v>
      </c>
      <c r="F478" s="27">
        <v>9</v>
      </c>
      <c r="G478" s="28">
        <f t="shared" si="105"/>
        <v>45</v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232</v>
      </c>
      <c r="F479" s="27">
        <v>10</v>
      </c>
      <c r="G479" s="34">
        <f t="shared" si="105"/>
        <v>50</v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232</v>
      </c>
      <c r="F480" s="27">
        <v>10</v>
      </c>
      <c r="G480" s="28">
        <f t="shared" si="105"/>
        <v>50</v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232</v>
      </c>
      <c r="F481" s="27">
        <v>10</v>
      </c>
      <c r="G481" s="34">
        <f t="shared" si="105"/>
        <v>50</v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232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232</v>
      </c>
      <c r="F483" s="27">
        <v>12</v>
      </c>
      <c r="G483" s="34">
        <f t="shared" si="105"/>
        <v>60</v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232</v>
      </c>
      <c r="F484" s="27">
        <v>19</v>
      </c>
      <c r="G484" s="28">
        <f t="shared" si="105"/>
        <v>95</v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232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3" t="s">
        <v>236</v>
      </c>
      <c r="B486" s="104"/>
      <c r="C486" s="104"/>
      <c r="D486" s="104"/>
      <c r="E486" s="105">
        <f>SUM(E474:E485)</f>
        <v>0</v>
      </c>
      <c r="F486" s="36">
        <f>SUM(F474:F485)</f>
        <v>146</v>
      </c>
      <c r="G486" s="36">
        <f>SUM(G474:G485)</f>
        <v>730</v>
      </c>
      <c r="H486" s="37"/>
      <c r="I486" s="37"/>
      <c r="J486" s="37"/>
      <c r="K486" s="37"/>
      <c r="L486" s="37"/>
      <c r="M486" s="38">
        <f ca="1">IFERROR(SUM(M474:M485),"")</f>
        <v>8.3333333333333398E-2</v>
      </c>
      <c r="N486" s="36" t="s">
        <v>235</v>
      </c>
      <c r="O486" s="77">
        <v>969510</v>
      </c>
    </row>
    <row r="487" spans="1:15" ht="18" customHeight="1">
      <c r="A487" s="106" t="s">
        <v>237</v>
      </c>
      <c r="B487" s="107"/>
      <c r="C487" s="107"/>
      <c r="D487" s="107"/>
      <c r="E487" s="108">
        <f>E473+E486</f>
        <v>0</v>
      </c>
      <c r="F487" s="40">
        <f>F473+F486</f>
        <v>269</v>
      </c>
      <c r="G487" s="40">
        <f>G473+G486</f>
        <v>1345</v>
      </c>
      <c r="H487" s="41"/>
      <c r="I487" s="41"/>
      <c r="J487" s="41"/>
      <c r="K487" s="41"/>
      <c r="L487" s="41"/>
      <c r="M487" s="42">
        <f ca="1">IFERROR(M473+M486,"")</f>
        <v>0.19444444444444439</v>
      </c>
      <c r="N487" s="40" t="s">
        <v>238</v>
      </c>
      <c r="O487" s="83">
        <f>IFERROR(O473+O486,"")</f>
        <v>1840440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232</v>
      </c>
      <c r="F488" s="27">
        <v>14</v>
      </c>
      <c r="G488" s="28">
        <f t="shared" ref="G488:G499" si="108">IF(F488="","",IF(E488="PC 17",F488*4.2,IF(E488="PC 19",F488*5,"")))</f>
        <v>70</v>
      </c>
      <c r="H488" s="26" t="s">
        <v>19</v>
      </c>
      <c r="I488" s="26" t="s">
        <v>157</v>
      </c>
      <c r="J488" s="26" t="s">
        <v>27</v>
      </c>
      <c r="K488" s="29">
        <v>0.35416666666666669</v>
      </c>
      <c r="L488" s="29">
        <v>0.3840277777777778</v>
      </c>
      <c r="M488" s="30">
        <f t="shared" ref="M488:M499" ca="1" si="109">IFERROR(IF(K488="","",IF(L488="",MOD(NOW()-K488,1),IF(L488&gt;=K488,L488-K488,L488+1-K488))),"")</f>
        <v>2.9861111111111116E-2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232</v>
      </c>
      <c r="F489" s="27">
        <v>8</v>
      </c>
      <c r="G489" s="34">
        <f t="shared" si="108"/>
        <v>40</v>
      </c>
      <c r="H489" s="33" t="s">
        <v>18</v>
      </c>
      <c r="I489" s="33" t="s">
        <v>31</v>
      </c>
      <c r="J489" s="33" t="s">
        <v>164</v>
      </c>
      <c r="K489" s="29">
        <v>0.39583333333333331</v>
      </c>
      <c r="L489" s="29">
        <v>0.39861111111111114</v>
      </c>
      <c r="M489" s="35">
        <f t="shared" ca="1" si="109"/>
        <v>2.7777777777778234E-3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232</v>
      </c>
      <c r="F490" s="27">
        <v>10</v>
      </c>
      <c r="G490" s="28">
        <f t="shared" si="108"/>
        <v>50</v>
      </c>
      <c r="H490" s="26" t="s">
        <v>18</v>
      </c>
      <c r="I490" s="26" t="s">
        <v>39</v>
      </c>
      <c r="J490" s="26" t="s">
        <v>50</v>
      </c>
      <c r="K490" s="29">
        <v>0.54513888888888884</v>
      </c>
      <c r="L490" s="29">
        <v>0.58680555555555558</v>
      </c>
      <c r="M490" s="30">
        <f t="shared" ca="1" si="109"/>
        <v>4.1666666666666741E-2</v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232</v>
      </c>
      <c r="F491" s="27">
        <v>11</v>
      </c>
      <c r="G491" s="34">
        <f t="shared" si="108"/>
        <v>55</v>
      </c>
      <c r="H491" s="33" t="s">
        <v>20</v>
      </c>
      <c r="I491" s="33" t="s">
        <v>39</v>
      </c>
      <c r="J491" s="33" t="s">
        <v>56</v>
      </c>
      <c r="K491" s="29">
        <v>0.71388888888888891</v>
      </c>
      <c r="L491" s="29">
        <v>0.73888888888888893</v>
      </c>
      <c r="M491" s="35">
        <f t="shared" ca="1" si="109"/>
        <v>2.5000000000000022E-2</v>
      </c>
      <c r="N491" s="46" t="s">
        <v>315</v>
      </c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232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259</v>
      </c>
      <c r="F493" s="27">
        <v>15</v>
      </c>
      <c r="G493" s="34">
        <f t="shared" si="108"/>
        <v>63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259</v>
      </c>
      <c r="F494" s="27">
        <v>2</v>
      </c>
      <c r="G494" s="28">
        <f t="shared" si="108"/>
        <v>8.4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259</v>
      </c>
      <c r="F495" s="27">
        <v>15</v>
      </c>
      <c r="G495" s="34">
        <f t="shared" si="108"/>
        <v>63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259</v>
      </c>
      <c r="F496" s="27">
        <v>13</v>
      </c>
      <c r="G496" s="28">
        <f t="shared" si="108"/>
        <v>54.6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259</v>
      </c>
      <c r="F497" s="27">
        <v>19</v>
      </c>
      <c r="G497" s="34">
        <f t="shared" si="108"/>
        <v>79.8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259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259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3" t="s">
        <v>234</v>
      </c>
      <c r="B500" s="104"/>
      <c r="C500" s="104"/>
      <c r="D500" s="104"/>
      <c r="E500" s="105">
        <f>SUM(E488:E499)</f>
        <v>0</v>
      </c>
      <c r="F500" s="36">
        <f>SUM(F488:F499)</f>
        <v>130</v>
      </c>
      <c r="G500" s="90">
        <f>SUM(G488:G499)</f>
        <v>590.79999999999995</v>
      </c>
      <c r="H500" s="37"/>
      <c r="I500" s="37"/>
      <c r="J500" s="37"/>
      <c r="K500" s="37"/>
      <c r="L500" s="37"/>
      <c r="M500" s="38">
        <f ca="1">IFERROR(SUM(M488:M499),"")</f>
        <v>9.9305555555555702E-2</v>
      </c>
      <c r="N500" s="36" t="s">
        <v>235</v>
      </c>
      <c r="O500" s="77">
        <v>751110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259</v>
      </c>
      <c r="F501" s="27">
        <v>20</v>
      </c>
      <c r="G501" s="34">
        <f t="shared" ref="G501:G512" si="111">IF(F501="","",IF(E501="PC 17",F501*4.2,IF(E501="PC 19",F501*5,"")))</f>
        <v>84</v>
      </c>
      <c r="H501" s="33" t="s">
        <v>19</v>
      </c>
      <c r="I501" s="33" t="s">
        <v>157</v>
      </c>
      <c r="J501" s="33" t="s">
        <v>27</v>
      </c>
      <c r="K501" s="29">
        <v>0.96736111111111112</v>
      </c>
      <c r="L501" s="29">
        <v>0.98124999999999996</v>
      </c>
      <c r="M501" s="35">
        <f t="shared" ref="M501:M512" ca="1" si="112">IFERROR(IF(K501="","",IF(L501="",MOD(NOW()-K501,1),IF(L501&gt;=K501,L501-K501,L501+1-K501))),"")</f>
        <v>1.388888888888884E-2</v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232</v>
      </c>
      <c r="F502" s="27">
        <v>12</v>
      </c>
      <c r="G502" s="28">
        <f t="shared" si="111"/>
        <v>60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259</v>
      </c>
      <c r="F503" s="27">
        <v>14</v>
      </c>
      <c r="G503" s="34">
        <f t="shared" si="111"/>
        <v>58.800000000000004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259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259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259</v>
      </c>
      <c r="F506" s="27">
        <v>20</v>
      </c>
      <c r="G506" s="28">
        <f t="shared" si="111"/>
        <v>84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259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259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259</v>
      </c>
      <c r="F509" s="27">
        <v>12</v>
      </c>
      <c r="G509" s="34">
        <f t="shared" si="111"/>
        <v>50.400000000000006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259</v>
      </c>
      <c r="F510" s="27">
        <v>16</v>
      </c>
      <c r="G510" s="28">
        <f t="shared" si="111"/>
        <v>67.2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259</v>
      </c>
      <c r="F511" s="27">
        <v>11</v>
      </c>
      <c r="G511" s="34">
        <f t="shared" si="111"/>
        <v>46.2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259</v>
      </c>
      <c r="F512" s="27">
        <v>3</v>
      </c>
      <c r="G512" s="28">
        <f t="shared" si="111"/>
        <v>12.600000000000001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236</v>
      </c>
      <c r="B513" s="88"/>
      <c r="C513" s="88"/>
      <c r="D513" s="88"/>
      <c r="E513" s="88"/>
      <c r="F513" s="36">
        <f>SUM(F501:F512)</f>
        <v>124</v>
      </c>
      <c r="G513" s="90">
        <f>SUM(G501:G512)</f>
        <v>530.4</v>
      </c>
      <c r="H513" s="37"/>
      <c r="I513" s="37"/>
      <c r="J513" s="37"/>
      <c r="K513" s="37"/>
      <c r="L513" s="37"/>
      <c r="M513" s="38">
        <f ca="1">IFERROR(SUM(M501:M512),"")</f>
        <v>1.388888888888884E-2</v>
      </c>
      <c r="N513" s="36" t="s">
        <v>235</v>
      </c>
      <c r="O513" s="77">
        <v>556040</v>
      </c>
    </row>
    <row r="514" spans="1:15" ht="18" customHeight="1">
      <c r="A514" s="93" t="s">
        <v>237</v>
      </c>
      <c r="B514" s="91"/>
      <c r="C514" s="91"/>
      <c r="D514" s="91"/>
      <c r="E514" s="91"/>
      <c r="F514" s="40">
        <f>F500+F513</f>
        <v>254</v>
      </c>
      <c r="G514" s="98">
        <f>G500+G513</f>
        <v>1121.1999999999998</v>
      </c>
      <c r="H514" s="41"/>
      <c r="I514" s="41"/>
      <c r="J514" s="41"/>
      <c r="K514" s="41"/>
      <c r="L514" s="41"/>
      <c r="M514" s="42">
        <f ca="1">IFERROR(M500+M513,"")</f>
        <v>0.11319444444444454</v>
      </c>
      <c r="N514" s="40" t="s">
        <v>238</v>
      </c>
      <c r="O514" s="83">
        <f>IFERROR(O500+O513,"")</f>
        <v>1307150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259</v>
      </c>
      <c r="F515" s="27">
        <v>24</v>
      </c>
      <c r="G515" s="34">
        <f t="shared" ref="G515:G526" si="114">IF(F515="","",IF(E515="PC 17",F515*4.2,IF(E515="PC 19",F515*5,"")))</f>
        <v>100.80000000000001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46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259</v>
      </c>
      <c r="F516" s="27">
        <v>18</v>
      </c>
      <c r="G516" s="28">
        <f t="shared" si="114"/>
        <v>75.600000000000009</v>
      </c>
      <c r="H516" s="49" t="s">
        <v>20</v>
      </c>
      <c r="I516" s="26" t="s">
        <v>31</v>
      </c>
      <c r="J516" s="49" t="s">
        <v>62</v>
      </c>
      <c r="K516" s="29">
        <v>0.38541666666666669</v>
      </c>
      <c r="L516" s="29">
        <v>0.39097222222222222</v>
      </c>
      <c r="M516" s="30">
        <f t="shared" ca="1" si="115"/>
        <v>5.5555555555555358E-3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259</v>
      </c>
      <c r="F517" s="27">
        <v>13</v>
      </c>
      <c r="G517" s="34">
        <f t="shared" si="114"/>
        <v>54.6</v>
      </c>
      <c r="H517" s="33" t="s">
        <v>20</v>
      </c>
      <c r="I517" s="33" t="s">
        <v>31</v>
      </c>
      <c r="J517" s="33" t="s">
        <v>62</v>
      </c>
      <c r="K517" s="29">
        <v>0.39583333333333331</v>
      </c>
      <c r="L517" s="29">
        <v>0.40416666666666667</v>
      </c>
      <c r="M517" s="35">
        <f t="shared" ca="1" si="115"/>
        <v>8.3333333333333592E-3</v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259</v>
      </c>
      <c r="F518" s="27">
        <v>9</v>
      </c>
      <c r="G518" s="28">
        <f t="shared" si="114"/>
        <v>37.800000000000004</v>
      </c>
      <c r="H518" s="33" t="s">
        <v>20</v>
      </c>
      <c r="I518" s="26" t="s">
        <v>31</v>
      </c>
      <c r="J518" s="26" t="s">
        <v>62</v>
      </c>
      <c r="K518" s="29">
        <v>0.42986111111111114</v>
      </c>
      <c r="L518" s="29">
        <v>0.43125000000000002</v>
      </c>
      <c r="M518" s="30">
        <f t="shared" ca="1" si="115"/>
        <v>1.388888888888884E-3</v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259</v>
      </c>
      <c r="F519" s="27">
        <v>20</v>
      </c>
      <c r="G519" s="34">
        <f t="shared" si="114"/>
        <v>84</v>
      </c>
      <c r="H519" s="33" t="s">
        <v>19</v>
      </c>
      <c r="I519" s="33" t="s">
        <v>157</v>
      </c>
      <c r="J519" s="33" t="s">
        <v>27</v>
      </c>
      <c r="K519" s="29">
        <v>0.4375</v>
      </c>
      <c r="L519" s="29">
        <v>0.4548611111111111</v>
      </c>
      <c r="M519" s="35">
        <f t="shared" ca="1" si="115"/>
        <v>1.7361111111111105E-2</v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259</v>
      </c>
      <c r="F520" s="27">
        <v>18</v>
      </c>
      <c r="G520" s="28">
        <f t="shared" si="114"/>
        <v>75.600000000000009</v>
      </c>
      <c r="H520" s="26" t="s">
        <v>20</v>
      </c>
      <c r="I520" s="26" t="s">
        <v>157</v>
      </c>
      <c r="J520" s="26" t="s">
        <v>62</v>
      </c>
      <c r="K520" s="29">
        <v>0.46180555555555558</v>
      </c>
      <c r="L520" s="29">
        <v>0.46458333333333335</v>
      </c>
      <c r="M520" s="30">
        <f t="shared" ca="1" si="115"/>
        <v>2.7777777777777679E-3</v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259</v>
      </c>
      <c r="F521" s="27">
        <v>8</v>
      </c>
      <c r="G521" s="34">
        <f t="shared" si="114"/>
        <v>33.6</v>
      </c>
      <c r="H521" s="33" t="s">
        <v>20</v>
      </c>
      <c r="I521" s="33" t="s">
        <v>31</v>
      </c>
      <c r="J521" s="33" t="s">
        <v>62</v>
      </c>
      <c r="K521" s="29">
        <v>0.51736111111111116</v>
      </c>
      <c r="L521" s="29">
        <v>0.52361111111111114</v>
      </c>
      <c r="M521" s="35">
        <f t="shared" ca="1" si="115"/>
        <v>6.2499999999999778E-3</v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259</v>
      </c>
      <c r="F522" s="27">
        <v>17</v>
      </c>
      <c r="G522" s="28">
        <f t="shared" si="114"/>
        <v>71.400000000000006</v>
      </c>
      <c r="H522" s="26" t="s">
        <v>20</v>
      </c>
      <c r="I522" s="26" t="s">
        <v>31</v>
      </c>
      <c r="J522" s="26" t="s">
        <v>62</v>
      </c>
      <c r="K522" s="29">
        <v>0.54166666666666663</v>
      </c>
      <c r="L522" s="29">
        <v>0.55902777777777779</v>
      </c>
      <c r="M522" s="30">
        <f t="shared" ca="1" si="115"/>
        <v>1.736111111111116E-2</v>
      </c>
      <c r="N522" s="46" t="s">
        <v>316</v>
      </c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259</v>
      </c>
      <c r="F523" s="27">
        <v>13</v>
      </c>
      <c r="G523" s="34">
        <f t="shared" si="114"/>
        <v>54.6</v>
      </c>
      <c r="H523" s="33" t="s">
        <v>20</v>
      </c>
      <c r="I523" s="33" t="s">
        <v>39</v>
      </c>
      <c r="J523" s="33" t="s">
        <v>28</v>
      </c>
      <c r="K523" s="29">
        <v>0.57430555555555551</v>
      </c>
      <c r="L523" s="29">
        <v>0.57708333333333328</v>
      </c>
      <c r="M523" s="35">
        <f t="shared" ca="1" si="115"/>
        <v>2.7777777777777679E-3</v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259</v>
      </c>
      <c r="F524" s="27">
        <v>15</v>
      </c>
      <c r="G524" s="28">
        <f t="shared" si="114"/>
        <v>63</v>
      </c>
      <c r="H524" s="26" t="s">
        <v>20</v>
      </c>
      <c r="I524" s="26" t="s">
        <v>31</v>
      </c>
      <c r="J524" s="26" t="s">
        <v>62</v>
      </c>
      <c r="K524" s="29">
        <v>0.64513888888888893</v>
      </c>
      <c r="L524" s="29">
        <v>0.65138888888888891</v>
      </c>
      <c r="M524" s="30">
        <f t="shared" ca="1" si="115"/>
        <v>6.2499999999999778E-3</v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259</v>
      </c>
      <c r="F525" s="27">
        <v>20</v>
      </c>
      <c r="G525" s="34">
        <f t="shared" si="114"/>
        <v>84</v>
      </c>
      <c r="H525" s="33" t="s">
        <v>20</v>
      </c>
      <c r="I525" s="33" t="s">
        <v>31</v>
      </c>
      <c r="J525" s="33" t="s">
        <v>36</v>
      </c>
      <c r="K525" s="29">
        <v>0.66319444444444442</v>
      </c>
      <c r="L525" s="29">
        <v>0.6743055555555556</v>
      </c>
      <c r="M525" s="35">
        <f t="shared" ca="1" si="115"/>
        <v>1.1111111111111183E-2</v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259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3" t="s">
        <v>234</v>
      </c>
      <c r="B527" s="104"/>
      <c r="C527" s="104"/>
      <c r="D527" s="104"/>
      <c r="E527" s="105">
        <f>SUM(E515:E526)</f>
        <v>0</v>
      </c>
      <c r="F527" s="36">
        <f>SUM(F515:F526)</f>
        <v>184</v>
      </c>
      <c r="G527" s="90">
        <f>SUM(G515:G526)</f>
        <v>772.80000000000007</v>
      </c>
      <c r="H527" s="37"/>
      <c r="I527" s="37"/>
      <c r="J527" s="37"/>
      <c r="K527" s="37"/>
      <c r="L527" s="37"/>
      <c r="M527" s="38">
        <f ca="1">IFERROR(SUM(M515:M526),"")</f>
        <v>8.7500000000000078E-2</v>
      </c>
      <c r="N527" s="36" t="s">
        <v>235</v>
      </c>
      <c r="O527" s="77">
        <v>826410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259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39</v>
      </c>
      <c r="J528" s="26" t="s">
        <v>28</v>
      </c>
      <c r="K528" s="29">
        <v>0.83680555555555558</v>
      </c>
      <c r="L528" s="29">
        <v>0.84305555555555556</v>
      </c>
      <c r="M528" s="30">
        <f t="shared" ref="M528:M539" ca="1" si="118">IFERROR(IF(K528="","",IF(L528="",MOD(NOW()-K528,1),IF(L528&gt;=K528,L528-K528,L528+1-K528))),"")</f>
        <v>6.2499999999999778E-3</v>
      </c>
      <c r="N528" s="46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259</v>
      </c>
      <c r="F529" s="27">
        <v>10</v>
      </c>
      <c r="G529" s="34">
        <f t="shared" si="117"/>
        <v>42</v>
      </c>
      <c r="H529" s="33" t="s">
        <v>19</v>
      </c>
      <c r="I529" s="33" t="s">
        <v>157</v>
      </c>
      <c r="J529" s="33" t="s">
        <v>27</v>
      </c>
      <c r="K529" s="29">
        <v>0.92847222222222225</v>
      </c>
      <c r="L529" s="29">
        <v>0.95625000000000004</v>
      </c>
      <c r="M529" s="35">
        <f t="shared" ca="1" si="118"/>
        <v>2.777777777777779E-2</v>
      </c>
      <c r="N529" s="46"/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259</v>
      </c>
      <c r="F530" s="27">
        <v>15</v>
      </c>
      <c r="G530" s="28">
        <f t="shared" si="117"/>
        <v>63</v>
      </c>
      <c r="H530" s="26" t="s">
        <v>20</v>
      </c>
      <c r="I530" s="26" t="s">
        <v>31</v>
      </c>
      <c r="J530" s="26" t="s">
        <v>129</v>
      </c>
      <c r="K530" s="29">
        <v>0.98263888888888884</v>
      </c>
      <c r="L530" s="29">
        <v>0.9916666666666667</v>
      </c>
      <c r="M530" s="30">
        <f t="shared" ca="1" si="118"/>
        <v>9.0277777777778567E-3</v>
      </c>
      <c r="N530" s="46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259</v>
      </c>
      <c r="F531" s="27">
        <v>6</v>
      </c>
      <c r="G531" s="34">
        <f t="shared" si="117"/>
        <v>25.200000000000003</v>
      </c>
      <c r="H531" s="33" t="s">
        <v>20</v>
      </c>
      <c r="I531" s="33" t="s">
        <v>31</v>
      </c>
      <c r="J531" s="33" t="s">
        <v>62</v>
      </c>
      <c r="K531" s="29">
        <v>1.1805555555555555E-2</v>
      </c>
      <c r="L531" s="29">
        <v>1.8055555555555554E-2</v>
      </c>
      <c r="M531" s="35">
        <f t="shared" ca="1" si="118"/>
        <v>6.2499999999999986E-3</v>
      </c>
      <c r="N531" s="46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259</v>
      </c>
      <c r="F532" s="27">
        <v>0</v>
      </c>
      <c r="G532" s="28">
        <f t="shared" si="117"/>
        <v>0</v>
      </c>
      <c r="H532" s="26" t="s">
        <v>20</v>
      </c>
      <c r="I532" s="26"/>
      <c r="J532" s="26" t="s">
        <v>28</v>
      </c>
      <c r="K532" s="29">
        <v>0.11388888888888889</v>
      </c>
      <c r="L532" s="29">
        <v>0.12013888888888889</v>
      </c>
      <c r="M532" s="30">
        <f t="shared" ca="1" si="118"/>
        <v>6.2500000000000056E-3</v>
      </c>
      <c r="N532" s="46"/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259</v>
      </c>
      <c r="F533" s="27">
        <v>12</v>
      </c>
      <c r="G533" s="34">
        <f t="shared" si="117"/>
        <v>50.400000000000006</v>
      </c>
      <c r="H533" s="33" t="s">
        <v>20</v>
      </c>
      <c r="I533" s="33" t="s">
        <v>31</v>
      </c>
      <c r="J533" s="33" t="s">
        <v>28</v>
      </c>
      <c r="K533" s="29">
        <v>0.2361111111111111</v>
      </c>
      <c r="L533" s="29">
        <v>0.24374999999999999</v>
      </c>
      <c r="M533" s="35">
        <f t="shared" ca="1" si="118"/>
        <v>7.6388888888888895E-3</v>
      </c>
      <c r="N533" s="46"/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259</v>
      </c>
      <c r="F534" s="27">
        <v>19</v>
      </c>
      <c r="G534" s="28">
        <f t="shared" si="117"/>
        <v>79.8</v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259</v>
      </c>
      <c r="F535" s="27">
        <v>10</v>
      </c>
      <c r="G535" s="34">
        <f t="shared" si="117"/>
        <v>42</v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259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259</v>
      </c>
      <c r="F537" s="27">
        <v>15</v>
      </c>
      <c r="G537" s="34">
        <f t="shared" si="117"/>
        <v>63</v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259</v>
      </c>
      <c r="F538" s="27">
        <v>18</v>
      </c>
      <c r="G538" s="28">
        <f t="shared" si="117"/>
        <v>75.600000000000009</v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259</v>
      </c>
      <c r="F539" s="27">
        <v>10</v>
      </c>
      <c r="G539" s="34">
        <f t="shared" si="117"/>
        <v>42</v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3" t="s">
        <v>236</v>
      </c>
      <c r="B540" s="104"/>
      <c r="C540" s="104"/>
      <c r="D540" s="104"/>
      <c r="E540" s="105">
        <f>SUM(E528:E539)</f>
        <v>0</v>
      </c>
      <c r="F540" s="36">
        <f>SUM(F528:F539)</f>
        <v>140</v>
      </c>
      <c r="G540" s="36">
        <f>SUM(G528:G539)</f>
        <v>588</v>
      </c>
      <c r="H540" s="37"/>
      <c r="I540" s="37"/>
      <c r="J540" s="37"/>
      <c r="K540" s="37"/>
      <c r="L540" s="37"/>
      <c r="M540" s="38">
        <f ca="1">IFERROR(SUM(M528:M539),"")</f>
        <v>6.3194444444444525E-2</v>
      </c>
      <c r="N540" s="36" t="s">
        <v>235</v>
      </c>
      <c r="O540" s="77">
        <v>548610</v>
      </c>
    </row>
    <row r="541" spans="1:15" ht="18" customHeight="1">
      <c r="A541" s="106" t="s">
        <v>237</v>
      </c>
      <c r="B541" s="107"/>
      <c r="C541" s="107"/>
      <c r="D541" s="107"/>
      <c r="E541" s="108">
        <f>E527+E540</f>
        <v>0</v>
      </c>
      <c r="F541" s="40">
        <f>F527+F540</f>
        <v>324</v>
      </c>
      <c r="G541" s="40">
        <f>G527+G540</f>
        <v>1360.8000000000002</v>
      </c>
      <c r="H541" s="41"/>
      <c r="I541" s="41"/>
      <c r="J541" s="41"/>
      <c r="K541" s="41"/>
      <c r="L541" s="41"/>
      <c r="M541" s="42">
        <f ca="1">IFERROR(M527+M540,"")</f>
        <v>0.1506944444444446</v>
      </c>
      <c r="N541" s="40" t="s">
        <v>238</v>
      </c>
      <c r="O541" s="83">
        <f>IFERROR(O527+O540,"")</f>
        <v>1375020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259</v>
      </c>
      <c r="F542" s="27">
        <v>12</v>
      </c>
      <c r="G542" s="28">
        <f t="shared" ref="G542:G553" si="120">IF(F542="","",IF(E542="PC 17",F542*4.2,IF(E542="PC 19",F542*5,"")))</f>
        <v>50.400000000000006</v>
      </c>
      <c r="H542" s="26" t="s">
        <v>20</v>
      </c>
      <c r="I542" s="26" t="s">
        <v>31</v>
      </c>
      <c r="J542" s="26" t="s">
        <v>62</v>
      </c>
      <c r="K542" s="29">
        <v>0.2951388888888889</v>
      </c>
      <c r="L542" s="29">
        <v>0.30694444444444446</v>
      </c>
      <c r="M542" s="30">
        <f t="shared" ref="M542:M553" ca="1" si="121">IFERROR(IF(K542="","",IF(L542="",MOD(NOW()-K542,1),IF(L542&gt;=K542,L542-K542,L542+1-K542))),"")</f>
        <v>1.1805555555555569E-2</v>
      </c>
      <c r="N542" s="46"/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259</v>
      </c>
      <c r="F543" s="27">
        <v>18</v>
      </c>
      <c r="G543" s="34">
        <f t="shared" si="120"/>
        <v>75.600000000000009</v>
      </c>
      <c r="H543" s="33" t="s">
        <v>20</v>
      </c>
      <c r="I543" s="33"/>
      <c r="J543" s="33" t="s">
        <v>181</v>
      </c>
      <c r="K543" s="29">
        <v>0.38541666666666669</v>
      </c>
      <c r="L543" s="29">
        <v>0.39583333333333331</v>
      </c>
      <c r="M543" s="35">
        <f t="shared" ca="1" si="121"/>
        <v>1.041666666666663E-2</v>
      </c>
      <c r="N543" s="46" t="s">
        <v>317</v>
      </c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259</v>
      </c>
      <c r="F544" s="27">
        <v>21</v>
      </c>
      <c r="G544" s="28">
        <f t="shared" si="120"/>
        <v>88.2</v>
      </c>
      <c r="H544" s="26" t="s">
        <v>19</v>
      </c>
      <c r="I544" s="26" t="s">
        <v>157</v>
      </c>
      <c r="J544" s="26" t="s">
        <v>27</v>
      </c>
      <c r="K544" s="29">
        <v>0.47013888888888888</v>
      </c>
      <c r="L544" s="29">
        <v>0.4861111111111111</v>
      </c>
      <c r="M544" s="30">
        <f t="shared" ca="1" si="121"/>
        <v>1.5972222222222221E-2</v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259</v>
      </c>
      <c r="F545" s="27">
        <v>28</v>
      </c>
      <c r="G545" s="34">
        <f t="shared" si="120"/>
        <v>117.60000000000001</v>
      </c>
      <c r="H545" s="33" t="s">
        <v>20</v>
      </c>
      <c r="I545" s="33" t="s">
        <v>31</v>
      </c>
      <c r="J545" s="33" t="s">
        <v>62</v>
      </c>
      <c r="K545" s="29">
        <v>0.64930555555555558</v>
      </c>
      <c r="L545" s="29">
        <v>0.67847222222222225</v>
      </c>
      <c r="M545" s="35">
        <f t="shared" ca="1" si="121"/>
        <v>2.9166666666666674E-2</v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259</v>
      </c>
      <c r="F546" s="27">
        <v>12</v>
      </c>
      <c r="G546" s="28">
        <f t="shared" si="120"/>
        <v>50.400000000000006</v>
      </c>
      <c r="H546" s="26" t="s">
        <v>20</v>
      </c>
      <c r="I546" s="26" t="s">
        <v>121</v>
      </c>
      <c r="J546" s="26" t="s">
        <v>113</v>
      </c>
      <c r="K546" s="29">
        <v>0.75</v>
      </c>
      <c r="L546" s="29">
        <v>0.76736111111111116</v>
      </c>
      <c r="M546" s="30">
        <f t="shared" ca="1" si="121"/>
        <v>1.736111111111116E-2</v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259</v>
      </c>
      <c r="F547" s="27">
        <v>21</v>
      </c>
      <c r="G547" s="34">
        <f t="shared" si="120"/>
        <v>88.2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259</v>
      </c>
      <c r="F548" s="27">
        <v>30</v>
      </c>
      <c r="G548" s="28">
        <f t="shared" si="120"/>
        <v>126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259</v>
      </c>
      <c r="F549" s="27">
        <v>41</v>
      </c>
      <c r="G549" s="34">
        <f t="shared" si="120"/>
        <v>172.20000000000002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259</v>
      </c>
      <c r="F550" s="27">
        <v>19</v>
      </c>
      <c r="G550" s="28">
        <f t="shared" si="120"/>
        <v>79.8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259</v>
      </c>
      <c r="F551" s="27">
        <v>19</v>
      </c>
      <c r="G551" s="34">
        <f t="shared" si="120"/>
        <v>79.8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259</v>
      </c>
      <c r="F552" s="27">
        <v>17</v>
      </c>
      <c r="G552" s="28">
        <f t="shared" si="120"/>
        <v>71.400000000000006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259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3" t="s">
        <v>234</v>
      </c>
      <c r="B554" s="104"/>
      <c r="C554" s="104"/>
      <c r="D554" s="104"/>
      <c r="E554" s="105">
        <f>SUM(E542:E553)</f>
        <v>0</v>
      </c>
      <c r="F554" s="36">
        <f>SUM(F542:F553)</f>
        <v>238</v>
      </c>
      <c r="G554" s="36">
        <f>SUM(G542:G553)</f>
        <v>999.6</v>
      </c>
      <c r="H554" s="37"/>
      <c r="I554" s="37"/>
      <c r="J554" s="37"/>
      <c r="K554" s="37"/>
      <c r="L554" s="37"/>
      <c r="M554" s="38">
        <f ca="1">IFERROR(SUM(M542:M553),"")</f>
        <v>8.4722222222222254E-2</v>
      </c>
      <c r="N554" s="36" t="s">
        <v>235</v>
      </c>
      <c r="O554" s="77">
        <v>1003230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259</v>
      </c>
      <c r="F555" s="27">
        <v>17</v>
      </c>
      <c r="G555" s="34">
        <f t="shared" ref="G555:G566" si="123">IF(F555="","",IF(E555="PC 17",F555*4.2,IF(E555="PC 19",F555*5,"")))</f>
        <v>71.400000000000006</v>
      </c>
      <c r="H555" s="33" t="s">
        <v>20</v>
      </c>
      <c r="I555" s="33" t="s">
        <v>31</v>
      </c>
      <c r="J555" s="33" t="s">
        <v>62</v>
      </c>
      <c r="K555" s="29">
        <v>0.81111111111111112</v>
      </c>
      <c r="L555" s="29">
        <v>0.82777777777777772</v>
      </c>
      <c r="M555" s="35">
        <f t="shared" ref="M555:M566" ca="1" si="124">IFERROR(IF(K555="","",IF(L555="",MOD(NOW()-K555,1),IF(L555&gt;=K555,L555-K555,L555+1-K555))),"")</f>
        <v>1.6666666666666607E-2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259</v>
      </c>
      <c r="F556" s="27">
        <v>5</v>
      </c>
      <c r="G556" s="28">
        <f t="shared" si="123"/>
        <v>21</v>
      </c>
      <c r="H556" s="26" t="s">
        <v>20</v>
      </c>
      <c r="I556" s="26" t="s">
        <v>39</v>
      </c>
      <c r="J556" s="26" t="s">
        <v>62</v>
      </c>
      <c r="K556" s="29">
        <v>0.86736111111111114</v>
      </c>
      <c r="L556" s="29">
        <v>0.87013888888888891</v>
      </c>
      <c r="M556" s="30">
        <f t="shared" ca="1" si="124"/>
        <v>2.7777777777777679E-3</v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259</v>
      </c>
      <c r="F557" s="27">
        <v>18</v>
      </c>
      <c r="G557" s="34">
        <f t="shared" si="123"/>
        <v>75.600000000000009</v>
      </c>
      <c r="H557" s="33" t="s">
        <v>20</v>
      </c>
      <c r="I557" s="33" t="s">
        <v>39</v>
      </c>
      <c r="J557" s="33" t="s">
        <v>62</v>
      </c>
      <c r="K557" s="29">
        <v>0.95</v>
      </c>
      <c r="L557" s="29">
        <v>0.96875</v>
      </c>
      <c r="M557" s="35">
        <f t="shared" ca="1" si="124"/>
        <v>1.8750000000000044E-2</v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259</v>
      </c>
      <c r="F558" s="27">
        <v>16</v>
      </c>
      <c r="G558" s="28">
        <f t="shared" si="123"/>
        <v>67.2</v>
      </c>
      <c r="H558" s="26" t="s">
        <v>20</v>
      </c>
      <c r="I558" s="26" t="s">
        <v>39</v>
      </c>
      <c r="J558" s="26" t="s">
        <v>28</v>
      </c>
      <c r="K558" s="29">
        <v>0.99652777777777779</v>
      </c>
      <c r="L558" s="29">
        <v>4.1666666666666666E-3</v>
      </c>
      <c r="M558" s="30">
        <f t="shared" ca="1" si="124"/>
        <v>7.6388888888888618E-3</v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259</v>
      </c>
      <c r="F559" s="27">
        <v>14</v>
      </c>
      <c r="G559" s="34">
        <f t="shared" si="123"/>
        <v>58.800000000000004</v>
      </c>
      <c r="H559" s="33" t="s">
        <v>20</v>
      </c>
      <c r="I559" s="33" t="s">
        <v>31</v>
      </c>
      <c r="J559" s="33" t="s">
        <v>28</v>
      </c>
      <c r="K559" s="29">
        <v>8.3333333333333329E-2</v>
      </c>
      <c r="L559" s="29">
        <v>0.1388888888888889</v>
      </c>
      <c r="M559" s="35">
        <f t="shared" ca="1" si="124"/>
        <v>5.5555555555555566E-2</v>
      </c>
      <c r="N559" s="46" t="s">
        <v>318</v>
      </c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259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259</v>
      </c>
      <c r="F561" s="27">
        <v>20</v>
      </c>
      <c r="G561" s="34">
        <f t="shared" si="123"/>
        <v>84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259</v>
      </c>
      <c r="F562" s="27">
        <v>11</v>
      </c>
      <c r="G562" s="28">
        <f t="shared" si="123"/>
        <v>46.2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259</v>
      </c>
      <c r="F563" s="27">
        <v>16</v>
      </c>
      <c r="G563" s="34">
        <f t="shared" si="123"/>
        <v>67.2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259</v>
      </c>
      <c r="F564" s="27">
        <v>17</v>
      </c>
      <c r="G564" s="28">
        <f t="shared" si="123"/>
        <v>71.400000000000006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259</v>
      </c>
      <c r="F565" s="27">
        <v>15</v>
      </c>
      <c r="G565" s="34">
        <f t="shared" si="123"/>
        <v>63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259</v>
      </c>
      <c r="F566" s="27">
        <v>11</v>
      </c>
      <c r="G566" s="28">
        <f t="shared" si="123"/>
        <v>46.2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3" t="s">
        <v>236</v>
      </c>
      <c r="B567" s="104"/>
      <c r="C567" s="104"/>
      <c r="D567" s="104"/>
      <c r="E567" s="105">
        <f>SUM(E555:E566)</f>
        <v>0</v>
      </c>
      <c r="F567" s="36">
        <f>SUM(F555:F566)</f>
        <v>175</v>
      </c>
      <c r="G567" s="36">
        <f>SUM(G555:G566)</f>
        <v>735</v>
      </c>
      <c r="H567" s="37"/>
      <c r="I567" s="37"/>
      <c r="J567" s="37"/>
      <c r="K567" s="37"/>
      <c r="L567" s="37"/>
      <c r="M567" s="38">
        <f ca="1">IFERROR(SUM(M555:M566),"")</f>
        <v>0.10138888888888885</v>
      </c>
      <c r="N567" s="36" t="s">
        <v>235</v>
      </c>
      <c r="O567" s="77">
        <v>722660</v>
      </c>
    </row>
    <row r="568" spans="1:15" ht="18" customHeight="1">
      <c r="A568" s="106" t="s">
        <v>237</v>
      </c>
      <c r="B568" s="107"/>
      <c r="C568" s="107"/>
      <c r="D568" s="107"/>
      <c r="E568" s="108">
        <f>E554+E567</f>
        <v>0</v>
      </c>
      <c r="F568" s="40">
        <f>F554+F567</f>
        <v>413</v>
      </c>
      <c r="G568" s="40">
        <f>G554+G567</f>
        <v>1734.6</v>
      </c>
      <c r="H568" s="41"/>
      <c r="I568" s="41"/>
      <c r="J568" s="41"/>
      <c r="K568" s="41"/>
      <c r="L568" s="41"/>
      <c r="M568" s="42">
        <f ca="1">IFERROR(M554+M567,"")</f>
        <v>0.18611111111111112</v>
      </c>
      <c r="N568" s="40" t="s">
        <v>238</v>
      </c>
      <c r="O568" s="83">
        <f>IFERROR(O554+O567,"")</f>
        <v>1725890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259</v>
      </c>
      <c r="F569" s="27">
        <v>30</v>
      </c>
      <c r="G569" s="34">
        <f t="shared" ref="G569:G580" si="126">IF(F569="","",IF(E569="PC 17",F569*4.2,IF(E569="PC 19",F569*5,"")))</f>
        <v>126</v>
      </c>
      <c r="H569" s="33" t="s">
        <v>20</v>
      </c>
      <c r="I569" s="33" t="s">
        <v>155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259</v>
      </c>
      <c r="F570" s="27">
        <v>37</v>
      </c>
      <c r="G570" s="34">
        <f t="shared" si="126"/>
        <v>155.4</v>
      </c>
      <c r="H570" s="26" t="s">
        <v>19</v>
      </c>
      <c r="I570" s="26" t="s">
        <v>157</v>
      </c>
      <c r="J570" s="26" t="s">
        <v>27</v>
      </c>
      <c r="K570" s="29">
        <v>0.49305555555555558</v>
      </c>
      <c r="L570" s="29">
        <v>0.50694444444444442</v>
      </c>
      <c r="M570" s="30">
        <f t="shared" ca="1" si="127"/>
        <v>1.388888888888884E-2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259</v>
      </c>
      <c r="F571" s="27">
        <v>14</v>
      </c>
      <c r="G571" s="34">
        <f t="shared" si="126"/>
        <v>58.800000000000004</v>
      </c>
      <c r="H571" s="33" t="s">
        <v>20</v>
      </c>
      <c r="I571" s="33" t="s">
        <v>39</v>
      </c>
      <c r="J571" s="33" t="s">
        <v>51</v>
      </c>
      <c r="K571" s="29">
        <v>0.51388888888888884</v>
      </c>
      <c r="L571" s="29">
        <v>0.5180555555555556</v>
      </c>
      <c r="M571" s="35">
        <f t="shared" ca="1" si="127"/>
        <v>4.1666666666667629E-3</v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259</v>
      </c>
      <c r="F572" s="27">
        <v>24</v>
      </c>
      <c r="G572" s="34">
        <f t="shared" si="126"/>
        <v>100.80000000000001</v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259</v>
      </c>
      <c r="F573" s="27">
        <v>5</v>
      </c>
      <c r="G573" s="34">
        <f t="shared" si="126"/>
        <v>21</v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259</v>
      </c>
      <c r="F574" s="27">
        <v>21</v>
      </c>
      <c r="G574" s="34">
        <f t="shared" si="126"/>
        <v>88.2</v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259</v>
      </c>
      <c r="F575" s="27">
        <v>20</v>
      </c>
      <c r="G575" s="34">
        <f t="shared" si="126"/>
        <v>84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259</v>
      </c>
      <c r="F576" s="55">
        <v>31</v>
      </c>
      <c r="G576" s="34">
        <f t="shared" si="126"/>
        <v>130.20000000000002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259</v>
      </c>
      <c r="F577" s="27">
        <v>26</v>
      </c>
      <c r="G577" s="34">
        <f t="shared" si="126"/>
        <v>109.2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259</v>
      </c>
      <c r="F578" s="27">
        <v>18</v>
      </c>
      <c r="G578" s="34">
        <f t="shared" si="126"/>
        <v>75.600000000000009</v>
      </c>
      <c r="H578" s="26"/>
      <c r="I578" s="26"/>
      <c r="J578" s="26"/>
      <c r="K578" s="29"/>
      <c r="L578" s="29"/>
      <c r="M578" s="30" t="str">
        <f t="shared" ca="1" si="127"/>
        <v/>
      </c>
      <c r="N578" s="46" t="s">
        <v>319</v>
      </c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259</v>
      </c>
      <c r="F579" s="27">
        <v>2</v>
      </c>
      <c r="G579" s="34">
        <f t="shared" si="126"/>
        <v>8.4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259</v>
      </c>
      <c r="F580" s="27">
        <v>2</v>
      </c>
      <c r="G580" s="34">
        <f t="shared" si="126"/>
        <v>8.4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3" t="s">
        <v>234</v>
      </c>
      <c r="B581" s="104"/>
      <c r="C581" s="104"/>
      <c r="D581" s="104"/>
      <c r="E581" s="105">
        <f>SUM(E569:E580)</f>
        <v>0</v>
      </c>
      <c r="F581" s="36">
        <f>SUM(F569:F580)</f>
        <v>230</v>
      </c>
      <c r="G581" s="36">
        <f>SUM(G569:G580)</f>
        <v>966.00000000000011</v>
      </c>
      <c r="H581" s="37"/>
      <c r="I581" s="37"/>
      <c r="J581" s="37"/>
      <c r="K581" s="37"/>
      <c r="L581" s="37"/>
      <c r="M581" s="38">
        <f ca="1">IFERROR(SUM(M569:M580),"")</f>
        <v>2.2916666666666696E-2</v>
      </c>
      <c r="N581" s="36" t="s">
        <v>235</v>
      </c>
      <c r="O581" s="77">
        <v>966000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259</v>
      </c>
      <c r="F582" s="27">
        <v>16</v>
      </c>
      <c r="G582" s="28">
        <f t="shared" ref="G582:G593" si="129">IF(F582="","",IF(E582="PC 17",F582*4.2,IF(E582="PC 19",F582*5,"")))</f>
        <v>67.2</v>
      </c>
      <c r="H582" s="26" t="s">
        <v>20</v>
      </c>
      <c r="I582" s="26" t="s">
        <v>155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232</v>
      </c>
      <c r="F583" s="27">
        <v>11</v>
      </c>
      <c r="G583" s="34">
        <f t="shared" si="129"/>
        <v>55</v>
      </c>
      <c r="H583" s="33" t="s">
        <v>19</v>
      </c>
      <c r="I583" s="33" t="s">
        <v>157</v>
      </c>
      <c r="J583" s="33" t="s">
        <v>27</v>
      </c>
      <c r="K583" s="29">
        <v>6.9444444444444448E-2</v>
      </c>
      <c r="L583" s="29">
        <v>9.0277777777777776E-2</v>
      </c>
      <c r="M583" s="35">
        <f t="shared" ca="1" si="130"/>
        <v>2.0833333333333329E-2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259</v>
      </c>
      <c r="F584" s="27">
        <v>10</v>
      </c>
      <c r="G584" s="28">
        <f t="shared" si="129"/>
        <v>42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259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259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259</v>
      </c>
      <c r="F587" s="27">
        <v>16</v>
      </c>
      <c r="G587" s="34">
        <f t="shared" si="129"/>
        <v>67.2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259</v>
      </c>
      <c r="F588" s="27">
        <v>15</v>
      </c>
      <c r="G588" s="28">
        <f t="shared" si="129"/>
        <v>63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259</v>
      </c>
      <c r="F589" s="27">
        <v>12</v>
      </c>
      <c r="G589" s="34">
        <f t="shared" si="129"/>
        <v>50.400000000000006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259</v>
      </c>
      <c r="F590" s="27">
        <v>19</v>
      </c>
      <c r="G590" s="28">
        <f t="shared" si="129"/>
        <v>79.8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259</v>
      </c>
      <c r="F591" s="27">
        <v>21</v>
      </c>
      <c r="G591" s="34">
        <f t="shared" si="129"/>
        <v>88.2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259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259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3" t="s">
        <v>236</v>
      </c>
      <c r="B594" s="104"/>
      <c r="C594" s="104"/>
      <c r="D594" s="104"/>
      <c r="E594" s="105">
        <f>SUM(E582:E593)</f>
        <v>0</v>
      </c>
      <c r="F594" s="36">
        <f>SUM(F582:F593)</f>
        <v>145</v>
      </c>
      <c r="G594" s="36">
        <f>SUM(G582:G593)</f>
        <v>617.79999999999995</v>
      </c>
      <c r="H594" s="37"/>
      <c r="I594" s="37"/>
      <c r="J594" s="37"/>
      <c r="K594" s="37"/>
      <c r="L594" s="37"/>
      <c r="M594" s="38">
        <f ca="1">IFERROR(SUM(M582:M593),"")</f>
        <v>2.847222222222219E-2</v>
      </c>
      <c r="N594" s="36" t="s">
        <v>235</v>
      </c>
      <c r="O594" s="77">
        <v>644900</v>
      </c>
    </row>
    <row r="595" spans="1:15" ht="18" customHeight="1">
      <c r="A595" s="106" t="s">
        <v>237</v>
      </c>
      <c r="B595" s="107"/>
      <c r="C595" s="107"/>
      <c r="D595" s="107"/>
      <c r="E595" s="108">
        <f>E581+E594</f>
        <v>0</v>
      </c>
      <c r="F595" s="40">
        <f>F581+F594</f>
        <v>375</v>
      </c>
      <c r="G595" s="40">
        <f>G581+G594</f>
        <v>1583.8000000000002</v>
      </c>
      <c r="H595" s="41"/>
      <c r="I595" s="41"/>
      <c r="J595" s="41"/>
      <c r="K595" s="41"/>
      <c r="L595" s="41"/>
      <c r="M595" s="42">
        <f ca="1">IFERROR(M581+M594,"")</f>
        <v>5.1388888888888887E-2</v>
      </c>
      <c r="N595" s="40" t="s">
        <v>238</v>
      </c>
      <c r="O595" s="83">
        <f>IFERROR(O581+O594,"")</f>
        <v>1610900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259</v>
      </c>
      <c r="F596" s="27">
        <v>13</v>
      </c>
      <c r="G596" s="28">
        <f t="shared" ref="G596:G607" si="132">IF(F596="","",IF(E596="PC 17",F596*4.2,IF(E596="PC 19",F596*5,"")))</f>
        <v>54.6</v>
      </c>
      <c r="H596" s="26" t="s">
        <v>19</v>
      </c>
      <c r="I596" s="26" t="s">
        <v>39</v>
      </c>
      <c r="J596" s="26" t="s">
        <v>35</v>
      </c>
      <c r="K596" s="29">
        <v>0.35902777777777778</v>
      </c>
      <c r="L596" s="29">
        <v>0.36805555555555558</v>
      </c>
      <c r="M596" s="30">
        <f t="shared" ref="M596:M607" ca="1" si="133">IFERROR(IF(K596="","",IF(L596="",MOD(NOW()-K596,1),IF(L596&gt;=K596,L596-K596,L596+1-K596))),"")</f>
        <v>9.0277777777778012E-3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259</v>
      </c>
      <c r="F597" s="27">
        <v>8</v>
      </c>
      <c r="G597" s="34">
        <f t="shared" si="132"/>
        <v>33.6</v>
      </c>
      <c r="H597" s="33" t="s">
        <v>19</v>
      </c>
      <c r="I597" s="33" t="s">
        <v>31</v>
      </c>
      <c r="J597" s="33" t="s">
        <v>50</v>
      </c>
      <c r="K597" s="29">
        <v>0.38541666666666669</v>
      </c>
      <c r="L597" s="29">
        <v>0.40694444444444444</v>
      </c>
      <c r="M597" s="35">
        <f t="shared" ca="1" si="133"/>
        <v>2.1527777777777757E-2</v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259</v>
      </c>
      <c r="F598" s="27">
        <v>6</v>
      </c>
      <c r="G598" s="28">
        <f t="shared" si="132"/>
        <v>25.200000000000003</v>
      </c>
      <c r="H598" s="26" t="s">
        <v>20</v>
      </c>
      <c r="I598" s="26" t="s">
        <v>39</v>
      </c>
      <c r="J598" s="26" t="s">
        <v>56</v>
      </c>
      <c r="K598" s="29">
        <v>0.54513888888888884</v>
      </c>
      <c r="L598" s="29">
        <v>0.57361111111111107</v>
      </c>
      <c r="M598" s="30">
        <f t="shared" ca="1" si="133"/>
        <v>2.8472222222222232E-2</v>
      </c>
      <c r="N598" s="46" t="s">
        <v>320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259</v>
      </c>
      <c r="F599" s="27">
        <v>14</v>
      </c>
      <c r="G599" s="34">
        <f t="shared" si="132"/>
        <v>58.800000000000004</v>
      </c>
      <c r="H599" s="33" t="s">
        <v>20</v>
      </c>
      <c r="I599" s="33" t="s">
        <v>31</v>
      </c>
      <c r="J599" s="33" t="s">
        <v>51</v>
      </c>
      <c r="K599" s="29">
        <v>0.59722222222222221</v>
      </c>
      <c r="L599" s="29">
        <v>0.60277777777777775</v>
      </c>
      <c r="M599" s="35">
        <f t="shared" ca="1" si="133"/>
        <v>5.5555555555555358E-3</v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259</v>
      </c>
      <c r="F600" s="27">
        <v>16</v>
      </c>
      <c r="G600" s="28">
        <f t="shared" si="132"/>
        <v>67.2</v>
      </c>
      <c r="H600" s="26"/>
      <c r="I600" s="26"/>
      <c r="J600" s="26" t="s">
        <v>74</v>
      </c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259</v>
      </c>
      <c r="F601" s="27">
        <v>24</v>
      </c>
      <c r="G601" s="34">
        <f t="shared" si="132"/>
        <v>100.80000000000001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259</v>
      </c>
      <c r="F602" s="27">
        <v>4</v>
      </c>
      <c r="G602" s="28">
        <f t="shared" si="132"/>
        <v>16.8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259</v>
      </c>
      <c r="F603" s="27">
        <v>19</v>
      </c>
      <c r="G603" s="34">
        <f t="shared" si="132"/>
        <v>79.8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259</v>
      </c>
      <c r="F604" s="27">
        <v>24</v>
      </c>
      <c r="G604" s="28">
        <f t="shared" si="132"/>
        <v>100.80000000000001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259</v>
      </c>
      <c r="F605" s="27">
        <v>15</v>
      </c>
      <c r="G605" s="34">
        <f t="shared" si="132"/>
        <v>63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259</v>
      </c>
      <c r="F606" s="27">
        <v>12</v>
      </c>
      <c r="G606" s="28">
        <f t="shared" si="132"/>
        <v>50.400000000000006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259</v>
      </c>
      <c r="F607" s="27">
        <v>9</v>
      </c>
      <c r="G607" s="34">
        <f t="shared" si="132"/>
        <v>37.800000000000004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3" t="s">
        <v>234</v>
      </c>
      <c r="B608" s="104"/>
      <c r="C608" s="104"/>
      <c r="D608" s="104"/>
      <c r="E608" s="105">
        <f>SUM(E596:E607)</f>
        <v>0</v>
      </c>
      <c r="F608" s="36">
        <f>SUM(F596:F607)</f>
        <v>164</v>
      </c>
      <c r="G608" s="36">
        <f>SUM(G596:G607)</f>
        <v>688.80000000000007</v>
      </c>
      <c r="H608" s="37"/>
      <c r="I608" s="37"/>
      <c r="J608" s="37"/>
      <c r="K608" s="37"/>
      <c r="L608" s="37"/>
      <c r="M608" s="38">
        <f ca="1">IFERROR(SUM(M596:M607),"")</f>
        <v>6.4583333333333326E-2</v>
      </c>
      <c r="N608" s="36" t="s">
        <v>235</v>
      </c>
      <c r="O608" s="77">
        <v>763240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232</v>
      </c>
      <c r="F609" s="27">
        <v>7</v>
      </c>
      <c r="G609" s="34">
        <f t="shared" ref="G609:G614" si="135">IF(F609="","",IF(E609="PC 17",F609*4.2,IF(E609="PC 19",F609*5,"")))</f>
        <v>35</v>
      </c>
      <c r="H609" s="33" t="s">
        <v>18</v>
      </c>
      <c r="I609" s="33" t="s">
        <v>31</v>
      </c>
      <c r="J609" s="33" t="s">
        <v>34</v>
      </c>
      <c r="K609" s="29">
        <v>8.1250000000000003E-2</v>
      </c>
      <c r="L609" s="29">
        <v>0.28333333333333333</v>
      </c>
      <c r="M609" s="35">
        <f t="shared" ref="M609:M620" ca="1" si="136">IFERROR(IF(K609="","",IF(L609="",MOD(NOW()-K609,1),IF(L609&gt;=K609,L609-K609,L609+1-K609))),"")</f>
        <v>0.20208333333333334</v>
      </c>
      <c r="N609" s="46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232</v>
      </c>
      <c r="F610" s="27">
        <v>5</v>
      </c>
      <c r="G610" s="28">
        <f t="shared" si="135"/>
        <v>25</v>
      </c>
      <c r="H610" s="26" t="s">
        <v>19</v>
      </c>
      <c r="I610" s="26" t="s">
        <v>39</v>
      </c>
      <c r="J610" s="26" t="s">
        <v>27</v>
      </c>
      <c r="K610" s="29">
        <v>8.1250000000000003E-2</v>
      </c>
      <c r="L610" s="29">
        <v>0.1111111111111111</v>
      </c>
      <c r="M610" s="30">
        <f t="shared" ca="1" si="136"/>
        <v>2.9861111111111102E-2</v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20" t="s">
        <v>321</v>
      </c>
      <c r="F611" s="27">
        <v>8</v>
      </c>
      <c r="G611" s="34">
        <f>IF(F611="","",IF(E612="PC 17",F611*4.2,IF(E612="PC 19",F611*5,"")))</f>
        <v>33.6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259</v>
      </c>
      <c r="F612" s="27">
        <v>4</v>
      </c>
      <c r="G612" s="28">
        <v>20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259</v>
      </c>
      <c r="F613" s="27">
        <v>15</v>
      </c>
      <c r="G613" s="34">
        <f t="shared" si="135"/>
        <v>63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259</v>
      </c>
      <c r="F614" s="27">
        <v>8</v>
      </c>
      <c r="G614" s="28">
        <f t="shared" si="135"/>
        <v>33.6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259</v>
      </c>
      <c r="F615" s="27">
        <v>10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259</v>
      </c>
      <c r="F616" s="27">
        <v>0</v>
      </c>
      <c r="G616" s="28">
        <f>IF(F616="","",IF(E616="PC 17",F616*4.2,IF(E616="PC 19",F616*5,"")))</f>
        <v>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259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259</v>
      </c>
      <c r="F618" s="27">
        <v>0</v>
      </c>
      <c r="G618" s="28">
        <f>IF(F618="","",IF(E618="PC 17",F618*4.2,IF(E618="PC 19",F618*5,"")))</f>
        <v>0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259</v>
      </c>
      <c r="F619" s="27">
        <v>0</v>
      </c>
      <c r="G619" s="34">
        <f>IF(F619="","",IF(E619="PC 17",F619*4.2,IF(E619="PC 19",F619*5,"")))</f>
        <v>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259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3" t="s">
        <v>236</v>
      </c>
      <c r="B621" s="104"/>
      <c r="C621" s="104"/>
      <c r="D621" s="104"/>
      <c r="E621" s="105">
        <f>SUM(E609:E620)</f>
        <v>0</v>
      </c>
      <c r="F621" s="36">
        <f>SUM(F609:F620)</f>
        <v>70</v>
      </c>
      <c r="G621" s="36">
        <f>SUM(G609:G620)</f>
        <v>289.8</v>
      </c>
      <c r="H621" s="37"/>
      <c r="I621" s="37"/>
      <c r="J621" s="37"/>
      <c r="K621" s="37"/>
      <c r="L621" s="37"/>
      <c r="M621" s="38">
        <f ca="1">IFERROR(SUM(M609:M620),"")</f>
        <v>0.23194444444444445</v>
      </c>
      <c r="N621" s="36" t="s">
        <v>235</v>
      </c>
      <c r="O621" s="77">
        <v>348050</v>
      </c>
    </row>
    <row r="622" spans="1:15" ht="18" customHeight="1">
      <c r="A622" s="106" t="s">
        <v>237</v>
      </c>
      <c r="B622" s="107"/>
      <c r="C622" s="107"/>
      <c r="D622" s="107"/>
      <c r="E622" s="108">
        <f>E608+E621</f>
        <v>0</v>
      </c>
      <c r="F622" s="40">
        <f>F608+F621</f>
        <v>234</v>
      </c>
      <c r="G622" s="40">
        <f>G608+G621</f>
        <v>978.60000000000014</v>
      </c>
      <c r="H622" s="41"/>
      <c r="I622" s="41"/>
      <c r="J622" s="41"/>
      <c r="K622" s="41"/>
      <c r="L622" s="41"/>
      <c r="M622" s="42">
        <f ca="1">IFERROR(M608+M621,"")</f>
        <v>0.29652777777777778</v>
      </c>
      <c r="N622" s="40" t="s">
        <v>238</v>
      </c>
      <c r="O622" s="83">
        <f>O608+O621</f>
        <v>1111290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259</v>
      </c>
      <c r="F623" s="27">
        <v>9</v>
      </c>
      <c r="G623" s="34">
        <f t="shared" ref="G623:G634" si="138">IF(F623="","",IF(E623="PC 17",F623*4.2,IF(E623="PC 19",F623*5,"")))</f>
        <v>37.800000000000004</v>
      </c>
      <c r="H623" s="33" t="s">
        <v>19</v>
      </c>
      <c r="I623" s="33" t="s">
        <v>39</v>
      </c>
      <c r="J623" s="33" t="s">
        <v>27</v>
      </c>
      <c r="K623" s="29">
        <v>0.49722222222222223</v>
      </c>
      <c r="L623" s="29">
        <v>0.50763888888888886</v>
      </c>
      <c r="M623" s="79">
        <f ca="1">IFERROR(IF(K623="","",IF(L623="",MOD(NOW()-K623,1),IF(L623&gt;=K623,L623-K623,L623+1-K623))),"")</f>
        <v>1.041666666666663E-2</v>
      </c>
      <c r="N623" s="46"/>
      <c r="O623" s="47"/>
    </row>
    <row r="624" spans="1:15" ht="15" customHeight="1">
      <c r="A624" s="68">
        <v>46227</v>
      </c>
      <c r="B624" s="25">
        <f t="shared" ref="B624:B634" si="139">B623+TIME(0,60,0)</f>
        <v>0.37499999999999967</v>
      </c>
      <c r="C624" s="33" t="s">
        <v>29</v>
      </c>
      <c r="D624" s="62" t="s">
        <v>30</v>
      </c>
      <c r="E624" s="62" t="s">
        <v>259</v>
      </c>
      <c r="F624" s="27">
        <v>7</v>
      </c>
      <c r="G624" s="28">
        <f t="shared" si="138"/>
        <v>29.400000000000002</v>
      </c>
      <c r="H624" s="26" t="s">
        <v>20</v>
      </c>
      <c r="I624" s="26" t="s">
        <v>39</v>
      </c>
      <c r="J624" s="26" t="s">
        <v>56</v>
      </c>
      <c r="K624" s="29">
        <v>0.5493055555555556</v>
      </c>
      <c r="L624" s="99">
        <v>0.54930555555555505</v>
      </c>
      <c r="M624" s="79">
        <f ca="1">IFERROR(IF(K624="","",IF(L624="",MOD(NOW()-K624,1),IF(L624&gt;=K624,L624-K624,L624+1-K624))),"")</f>
        <v>0.99999999999999944</v>
      </c>
      <c r="N624" s="46"/>
      <c r="O624" s="47"/>
    </row>
    <row r="625" spans="1:15" ht="15" customHeight="1">
      <c r="A625" s="69">
        <v>46227</v>
      </c>
      <c r="B625" s="32">
        <f t="shared" si="139"/>
        <v>0.41666666666666635</v>
      </c>
      <c r="C625" s="33" t="s">
        <v>29</v>
      </c>
      <c r="D625" s="62" t="s">
        <v>30</v>
      </c>
      <c r="E625" s="62" t="s">
        <v>259</v>
      </c>
      <c r="F625" s="27">
        <v>13</v>
      </c>
      <c r="G625" s="34">
        <f t="shared" si="138"/>
        <v>54.6</v>
      </c>
      <c r="H625" s="33" t="s">
        <v>20</v>
      </c>
      <c r="I625" s="33" t="s">
        <v>31</v>
      </c>
      <c r="J625" s="33" t="s">
        <v>132</v>
      </c>
      <c r="K625" s="29">
        <v>0.75277777777777777</v>
      </c>
      <c r="L625" s="29">
        <v>0.75763888888888886</v>
      </c>
      <c r="M625" s="79">
        <f t="shared" ref="M625:M634" ca="1" si="140">IFERROR(IF(K625="","",IF(L625="",MOD(NOW()-K625,1),IF(L625&gt;=K625,L625-K625,L625+1-K625))),"")</f>
        <v>4.8611111111110938E-3</v>
      </c>
      <c r="N625" s="46"/>
      <c r="O625" s="47"/>
    </row>
    <row r="626" spans="1:15" ht="15" customHeight="1">
      <c r="A626" s="68">
        <v>46227</v>
      </c>
      <c r="B626" s="25">
        <f t="shared" si="139"/>
        <v>0.45833333333333304</v>
      </c>
      <c r="C626" s="33" t="s">
        <v>29</v>
      </c>
      <c r="D626" s="62" t="s">
        <v>30</v>
      </c>
      <c r="E626" s="62" t="s">
        <v>259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40"/>
        <v/>
      </c>
      <c r="N626" s="46"/>
      <c r="O626" s="47"/>
    </row>
    <row r="627" spans="1:15" ht="15" customHeight="1">
      <c r="A627" s="69">
        <v>46227</v>
      </c>
      <c r="B627" s="32">
        <f t="shared" si="139"/>
        <v>0.49999999999999972</v>
      </c>
      <c r="C627" s="33" t="s">
        <v>29</v>
      </c>
      <c r="D627" s="62" t="s">
        <v>30</v>
      </c>
      <c r="E627" s="62" t="s">
        <v>259</v>
      </c>
      <c r="F627" s="27">
        <v>11</v>
      </c>
      <c r="G627" s="34">
        <f t="shared" si="138"/>
        <v>46.2</v>
      </c>
      <c r="H627" s="33"/>
      <c r="I627" s="33"/>
      <c r="J627" s="33"/>
      <c r="K627" s="29"/>
      <c r="L627" s="29"/>
      <c r="M627" s="35" t="str">
        <f t="shared" ca="1" si="140"/>
        <v/>
      </c>
      <c r="N627" s="46"/>
      <c r="O627" s="47"/>
    </row>
    <row r="628" spans="1:15" ht="15" customHeight="1">
      <c r="A628" s="68">
        <v>46227</v>
      </c>
      <c r="B628" s="25">
        <f t="shared" si="139"/>
        <v>0.54166666666666641</v>
      </c>
      <c r="C628" s="33" t="s">
        <v>29</v>
      </c>
      <c r="D628" s="62" t="s">
        <v>30</v>
      </c>
      <c r="E628" s="62" t="s">
        <v>259</v>
      </c>
      <c r="F628" s="27">
        <v>7</v>
      </c>
      <c r="G628" s="28">
        <f t="shared" si="138"/>
        <v>29.400000000000002</v>
      </c>
      <c r="H628" s="26"/>
      <c r="I628" s="26"/>
      <c r="J628" s="26"/>
      <c r="K628" s="29"/>
      <c r="L628" s="29"/>
      <c r="M628" s="30" t="str">
        <f t="shared" ca="1" si="140"/>
        <v/>
      </c>
      <c r="N628" s="46"/>
      <c r="O628" s="47"/>
    </row>
    <row r="629" spans="1:15" ht="15" customHeight="1">
      <c r="A629" s="69">
        <v>46227</v>
      </c>
      <c r="B629" s="32">
        <f t="shared" si="139"/>
        <v>0.58333333333333304</v>
      </c>
      <c r="C629" s="33" t="s">
        <v>29</v>
      </c>
      <c r="D629" s="62" t="s">
        <v>30</v>
      </c>
      <c r="E629" s="62" t="s">
        <v>259</v>
      </c>
      <c r="F629" s="27">
        <v>4</v>
      </c>
      <c r="G629" s="34">
        <f t="shared" si="138"/>
        <v>16.8</v>
      </c>
      <c r="H629" s="33"/>
      <c r="I629" s="33"/>
      <c r="J629" s="33"/>
      <c r="K629" s="29"/>
      <c r="L629" s="29"/>
      <c r="M629" s="35" t="str">
        <f t="shared" ca="1" si="140"/>
        <v/>
      </c>
      <c r="N629" s="46"/>
      <c r="O629" s="47"/>
    </row>
    <row r="630" spans="1:15" ht="15" customHeight="1">
      <c r="A630" s="68">
        <v>46227</v>
      </c>
      <c r="B630" s="25">
        <f t="shared" si="139"/>
        <v>0.62499999999999967</v>
      </c>
      <c r="C630" s="33" t="s">
        <v>29</v>
      </c>
      <c r="D630" s="62" t="s">
        <v>30</v>
      </c>
      <c r="E630" s="62" t="s">
        <v>259</v>
      </c>
      <c r="F630" s="27">
        <v>2</v>
      </c>
      <c r="G630" s="28">
        <f t="shared" si="138"/>
        <v>8.4</v>
      </c>
      <c r="H630" s="26"/>
      <c r="I630" s="26"/>
      <c r="J630" s="26"/>
      <c r="K630" s="29"/>
      <c r="L630" s="29"/>
      <c r="M630" s="30" t="str">
        <f t="shared" ca="1" si="140"/>
        <v/>
      </c>
      <c r="N630" s="46"/>
      <c r="O630" s="47"/>
    </row>
    <row r="631" spans="1:15" ht="15" customHeight="1">
      <c r="A631" s="69">
        <v>46227</v>
      </c>
      <c r="B631" s="32">
        <f t="shared" si="139"/>
        <v>0.6666666666666663</v>
      </c>
      <c r="C631" s="33" t="s">
        <v>29</v>
      </c>
      <c r="D631" s="62" t="s">
        <v>30</v>
      </c>
      <c r="E631" s="62" t="s">
        <v>259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40"/>
        <v/>
      </c>
      <c r="N631" s="46"/>
      <c r="O631" s="47"/>
    </row>
    <row r="632" spans="1:15" ht="15" customHeight="1">
      <c r="A632" s="68">
        <v>46227</v>
      </c>
      <c r="B632" s="25">
        <f t="shared" si="139"/>
        <v>0.70833333333333293</v>
      </c>
      <c r="C632" s="33" t="s">
        <v>29</v>
      </c>
      <c r="D632" s="62" t="s">
        <v>30</v>
      </c>
      <c r="E632" s="62" t="s">
        <v>259</v>
      </c>
      <c r="F632" s="27">
        <v>13</v>
      </c>
      <c r="G632" s="28">
        <f t="shared" si="138"/>
        <v>54.6</v>
      </c>
      <c r="H632" s="26"/>
      <c r="I632" s="26"/>
      <c r="J632" s="26"/>
      <c r="K632" s="29"/>
      <c r="L632" s="29"/>
      <c r="M632" s="30" t="str">
        <f t="shared" ca="1" si="140"/>
        <v/>
      </c>
      <c r="N632" s="46"/>
      <c r="O632" s="47"/>
    </row>
    <row r="633" spans="1:15" ht="15" customHeight="1">
      <c r="A633" s="69">
        <v>46227</v>
      </c>
      <c r="B633" s="32">
        <f t="shared" si="139"/>
        <v>0.74999999999999956</v>
      </c>
      <c r="C633" s="33" t="s">
        <v>29</v>
      </c>
      <c r="D633" s="62" t="s">
        <v>30</v>
      </c>
      <c r="E633" s="62" t="s">
        <v>259</v>
      </c>
      <c r="F633" s="27">
        <v>11</v>
      </c>
      <c r="G633" s="34">
        <f t="shared" si="138"/>
        <v>46.2</v>
      </c>
      <c r="H633" s="33"/>
      <c r="I633" s="33"/>
      <c r="J633" s="33"/>
      <c r="K633" s="29"/>
      <c r="L633" s="29"/>
      <c r="M633" s="35" t="str">
        <f t="shared" ca="1" si="140"/>
        <v/>
      </c>
      <c r="N633" s="46"/>
      <c r="O633" s="47"/>
    </row>
    <row r="634" spans="1:15" ht="15" customHeight="1">
      <c r="A634" s="68">
        <v>46227</v>
      </c>
      <c r="B634" s="25">
        <f t="shared" si="139"/>
        <v>0.79166666666666619</v>
      </c>
      <c r="C634" s="33" t="s">
        <v>29</v>
      </c>
      <c r="D634" s="62" t="s">
        <v>30</v>
      </c>
      <c r="E634" s="62" t="s">
        <v>259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40"/>
        <v/>
      </c>
      <c r="N634" s="46"/>
      <c r="O634" s="47"/>
    </row>
    <row r="635" spans="1:15" ht="15.75" customHeight="1">
      <c r="A635" s="103" t="s">
        <v>234</v>
      </c>
      <c r="B635" s="104"/>
      <c r="C635" s="104"/>
      <c r="D635" s="104"/>
      <c r="E635" s="105">
        <f>SUM(E623:E634)</f>
        <v>0</v>
      </c>
      <c r="F635" s="36">
        <f>SUM(F623:F634)</f>
        <v>93</v>
      </c>
      <c r="G635" s="36">
        <f>SUM(G623:G634)</f>
        <v>390.59999999999997</v>
      </c>
      <c r="H635" s="37"/>
      <c r="I635" s="37"/>
      <c r="J635" s="37"/>
      <c r="K635" s="37"/>
      <c r="L635" s="37"/>
      <c r="M635" s="38">
        <f ca="1">IFERROR(SUM(M623:M634),"")</f>
        <v>1.0152777777777771</v>
      </c>
      <c r="N635" s="36" t="s">
        <v>235</v>
      </c>
      <c r="O635" s="77">
        <v>508090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259</v>
      </c>
      <c r="F636" s="27">
        <v>18</v>
      </c>
      <c r="G636" s="28">
        <f t="shared" ref="G636:G647" si="141">IF(F636="","",IF(E636="PC 17",F636*4.2,IF(E636="PC 19",F636*5,"")))</f>
        <v>75.600000000000009</v>
      </c>
      <c r="H636" s="26" t="s">
        <v>19</v>
      </c>
      <c r="I636" s="26" t="s">
        <v>157</v>
      </c>
      <c r="J636" s="26" t="s">
        <v>27</v>
      </c>
      <c r="K636" s="29">
        <v>0.88541666666666663</v>
      </c>
      <c r="L636" s="29">
        <v>0.90277777777777779</v>
      </c>
      <c r="M636" s="30">
        <f t="shared" ref="M636:M647" ca="1" si="142">IFERROR(IF(K636="","",IF(L636="",MOD(NOW()-K636,1),IF(L636&gt;=K636,L636-K636,L636+1-K636))),"")</f>
        <v>1.736111111111116E-2</v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259</v>
      </c>
      <c r="F637" s="27">
        <v>24</v>
      </c>
      <c r="G637" s="34">
        <f t="shared" si="141"/>
        <v>100.80000000000001</v>
      </c>
      <c r="H637" s="33" t="s">
        <v>20</v>
      </c>
      <c r="I637" s="33" t="s">
        <v>39</v>
      </c>
      <c r="J637" s="33" t="s">
        <v>51</v>
      </c>
      <c r="K637" s="29">
        <v>0.90833333333333333</v>
      </c>
      <c r="L637" s="29">
        <v>0.9145833333333333</v>
      </c>
      <c r="M637" s="35">
        <f t="shared" ca="1" si="142"/>
        <v>6.2499999999999778E-3</v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259</v>
      </c>
      <c r="F638" s="27">
        <v>10</v>
      </c>
      <c r="G638" s="28">
        <f t="shared" si="141"/>
        <v>42</v>
      </c>
      <c r="H638" s="26" t="s">
        <v>20</v>
      </c>
      <c r="I638" s="26" t="s">
        <v>121</v>
      </c>
      <c r="J638" s="26" t="s">
        <v>113</v>
      </c>
      <c r="K638" s="29">
        <v>2.0833333333333332E-2</v>
      </c>
      <c r="L638" s="29">
        <v>9.0277777777777776E-2</v>
      </c>
      <c r="M638" s="30">
        <f t="shared" ca="1" si="142"/>
        <v>6.9444444444444448E-2</v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259</v>
      </c>
      <c r="F639" s="27">
        <v>25</v>
      </c>
      <c r="G639" s="34">
        <f t="shared" si="141"/>
        <v>105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259</v>
      </c>
      <c r="F640" s="27">
        <v>20</v>
      </c>
      <c r="G640" s="28">
        <f t="shared" si="141"/>
        <v>84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259</v>
      </c>
      <c r="F641" s="27">
        <v>1</v>
      </c>
      <c r="G641" s="34">
        <f t="shared" si="141"/>
        <v>4.2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259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259</v>
      </c>
      <c r="F643" s="27">
        <v>22</v>
      </c>
      <c r="G643" s="34">
        <f t="shared" si="141"/>
        <v>92.4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259</v>
      </c>
      <c r="F644" s="27">
        <v>15</v>
      </c>
      <c r="G644" s="28">
        <f t="shared" si="141"/>
        <v>63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259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259</v>
      </c>
      <c r="F646" s="27">
        <v>17</v>
      </c>
      <c r="G646" s="28">
        <f t="shared" si="141"/>
        <v>71.400000000000006</v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259</v>
      </c>
      <c r="F647" s="27">
        <v>12</v>
      </c>
      <c r="G647" s="34">
        <f t="shared" si="141"/>
        <v>50.400000000000006</v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3" t="s">
        <v>236</v>
      </c>
      <c r="B648" s="104"/>
      <c r="C648" s="104"/>
      <c r="D648" s="104"/>
      <c r="E648" s="105">
        <f>SUM(E636:E647)</f>
        <v>0</v>
      </c>
      <c r="F648" s="36">
        <f>SUM(F636:F647)</f>
        <v>184</v>
      </c>
      <c r="G648" s="36">
        <f>SUM(G636:G647)</f>
        <v>772.8</v>
      </c>
      <c r="H648" s="37"/>
      <c r="I648" s="37"/>
      <c r="J648" s="37"/>
      <c r="K648" s="37"/>
      <c r="L648" s="37"/>
      <c r="M648" s="38">
        <f ca="1">IFERROR(SUM(M636:M647),"")</f>
        <v>9.3055555555555586E-2</v>
      </c>
      <c r="N648" s="36" t="s">
        <v>235</v>
      </c>
      <c r="O648" s="77">
        <v>757160</v>
      </c>
    </row>
    <row r="649" spans="1:15" ht="18" customHeight="1">
      <c r="A649" s="106" t="s">
        <v>237</v>
      </c>
      <c r="B649" s="107"/>
      <c r="C649" s="107"/>
      <c r="D649" s="107"/>
      <c r="E649" s="108">
        <f>E635+E648</f>
        <v>0</v>
      </c>
      <c r="F649" s="40">
        <f>F635+F648</f>
        <v>277</v>
      </c>
      <c r="G649" s="40">
        <f>G635+G648</f>
        <v>1163.3999999999999</v>
      </c>
      <c r="H649" s="41"/>
      <c r="I649" s="41"/>
      <c r="J649" s="41"/>
      <c r="K649" s="41"/>
      <c r="L649" s="41"/>
      <c r="M649" s="42">
        <f ca="1">IFERROR(M635+M648,"")</f>
        <v>1.1083333333333327</v>
      </c>
      <c r="N649" s="40" t="s">
        <v>238</v>
      </c>
      <c r="O649" s="83">
        <f>O635+O648</f>
        <v>1265250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259</v>
      </c>
      <c r="F650" s="27">
        <v>8</v>
      </c>
      <c r="G650" s="28">
        <f t="shared" ref="G650:G661" si="144">IF(F650="","",IF(E650="PC 17",F650*4.2,IF(E650="PC 19",F650*5,"")))</f>
        <v>33.6</v>
      </c>
      <c r="H650" s="26" t="s">
        <v>20</v>
      </c>
      <c r="I650" s="26" t="s">
        <v>31</v>
      </c>
      <c r="J650" s="26" t="s">
        <v>56</v>
      </c>
      <c r="K650" s="29">
        <v>0.30277777777777776</v>
      </c>
      <c r="L650" s="29">
        <v>0.32847222222222222</v>
      </c>
      <c r="M650" s="30">
        <f t="shared" ref="M650:M661" ca="1" si="145">IFERROR(IF(K650="","",IF(L650="",MOD(NOW()-K650,1),IF(L650&gt;=K650,L650-K650,L650+1-K650))),"")</f>
        <v>2.5694444444444464E-2</v>
      </c>
      <c r="N650" s="46" t="s">
        <v>322</v>
      </c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259</v>
      </c>
      <c r="F651" s="27">
        <v>8</v>
      </c>
      <c r="G651" s="34">
        <f t="shared" si="144"/>
        <v>33.6</v>
      </c>
      <c r="H651" s="33" t="s">
        <v>19</v>
      </c>
      <c r="I651" s="33" t="s">
        <v>39</v>
      </c>
      <c r="J651" s="33" t="s">
        <v>27</v>
      </c>
      <c r="K651" s="29">
        <v>0.30277777777777776</v>
      </c>
      <c r="L651" s="29">
        <v>0.32291666666666669</v>
      </c>
      <c r="M651" s="35">
        <f t="shared" ca="1" si="145"/>
        <v>2.0138888888888928E-2</v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259</v>
      </c>
      <c r="F652" s="27">
        <v>0</v>
      </c>
      <c r="G652" s="34">
        <f t="shared" si="144"/>
        <v>0</v>
      </c>
      <c r="H652" s="26" t="s">
        <v>18</v>
      </c>
      <c r="I652" s="26"/>
      <c r="J652" s="26" t="s">
        <v>128</v>
      </c>
      <c r="K652" s="29">
        <v>0.35902777777777778</v>
      </c>
      <c r="L652" s="29">
        <v>0.41875000000000001</v>
      </c>
      <c r="M652" s="30">
        <f t="shared" ca="1" si="145"/>
        <v>5.9722222222222232E-2</v>
      </c>
      <c r="N652" s="46" t="s">
        <v>323</v>
      </c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259</v>
      </c>
      <c r="F653" s="27">
        <v>10</v>
      </c>
      <c r="G653" s="34">
        <f t="shared" si="144"/>
        <v>42</v>
      </c>
      <c r="H653" s="33" t="s">
        <v>20</v>
      </c>
      <c r="I653" s="33" t="s">
        <v>39</v>
      </c>
      <c r="J653" s="33" t="s">
        <v>51</v>
      </c>
      <c r="K653" s="29">
        <v>0.4284722222222222</v>
      </c>
      <c r="L653" s="29">
        <v>0.44236111111111109</v>
      </c>
      <c r="M653" s="35">
        <f t="shared" ca="1" si="145"/>
        <v>1.3888888888888895E-2</v>
      </c>
      <c r="N653" s="46" t="s">
        <v>324</v>
      </c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232</v>
      </c>
      <c r="F654" s="27">
        <v>10</v>
      </c>
      <c r="G654" s="28">
        <f t="shared" si="144"/>
        <v>50</v>
      </c>
      <c r="H654" s="26" t="s">
        <v>20</v>
      </c>
      <c r="I654" s="26" t="s">
        <v>31</v>
      </c>
      <c r="J654" s="26" t="s">
        <v>56</v>
      </c>
      <c r="K654" s="29">
        <v>0.53749999999999998</v>
      </c>
      <c r="L654" s="29">
        <v>0.55069444444444449</v>
      </c>
      <c r="M654" s="30">
        <f t="shared" ca="1" si="145"/>
        <v>1.3194444444444509E-2</v>
      </c>
      <c r="N654" s="46" t="s">
        <v>325</v>
      </c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259</v>
      </c>
      <c r="F655" s="27">
        <v>18</v>
      </c>
      <c r="G655" s="34">
        <f t="shared" si="144"/>
        <v>75.600000000000009</v>
      </c>
      <c r="H655" s="33"/>
      <c r="I655" s="33"/>
      <c r="J655" s="33"/>
      <c r="K655" s="29">
        <v>0.73124999999999996</v>
      </c>
      <c r="L655" s="29">
        <v>0.79166666666666663</v>
      </c>
      <c r="M655" s="35">
        <f t="shared" ca="1" si="145"/>
        <v>6.0416666666666674E-2</v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259</v>
      </c>
      <c r="F656" s="27">
        <v>18</v>
      </c>
      <c r="G656" s="28">
        <f t="shared" si="144"/>
        <v>75.600000000000009</v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259</v>
      </c>
      <c r="F657" s="27">
        <v>9</v>
      </c>
      <c r="G657" s="34">
        <f t="shared" si="144"/>
        <v>37.800000000000004</v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259</v>
      </c>
      <c r="F658" s="27">
        <v>17</v>
      </c>
      <c r="G658" s="28">
        <f t="shared" si="144"/>
        <v>71.400000000000006</v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259</v>
      </c>
      <c r="F659" s="27">
        <v>14</v>
      </c>
      <c r="G659" s="34">
        <f t="shared" si="144"/>
        <v>58.800000000000004</v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259</v>
      </c>
      <c r="F660" s="27">
        <v>13</v>
      </c>
      <c r="G660" s="28">
        <f t="shared" si="144"/>
        <v>54.6</v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259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3" t="s">
        <v>234</v>
      </c>
      <c r="B662" s="104"/>
      <c r="C662" s="104"/>
      <c r="D662" s="104"/>
      <c r="E662" s="105">
        <f>SUM(E650:E661)</f>
        <v>0</v>
      </c>
      <c r="F662" s="36">
        <f>SUM(F650:F661)</f>
        <v>125</v>
      </c>
      <c r="G662" s="36">
        <f>SUM(G650:G661)</f>
        <v>533</v>
      </c>
      <c r="H662" s="37"/>
      <c r="I662" s="37"/>
      <c r="J662" s="37"/>
      <c r="K662" s="37"/>
      <c r="L662" s="37"/>
      <c r="M662" s="38">
        <f ca="1">IFERROR(SUM(M650:M661),"")</f>
        <v>0.1930555555555557</v>
      </c>
      <c r="N662" s="36" t="s">
        <v>235</v>
      </c>
      <c r="O662" s="77">
        <v>595370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259</v>
      </c>
      <c r="F663" s="27">
        <v>19</v>
      </c>
      <c r="G663" s="34">
        <f t="shared" ref="G663:G674" si="147">IF(F663="","",IF(E663="PC 17",F663*4.2,IF(E663="PC 19",F663*5,"")))</f>
        <v>79.8</v>
      </c>
      <c r="H663" s="33" t="s">
        <v>19</v>
      </c>
      <c r="I663" s="33" t="s">
        <v>157</v>
      </c>
      <c r="J663" s="33" t="s">
        <v>27</v>
      </c>
      <c r="K663" s="29">
        <v>0.81944444444444442</v>
      </c>
      <c r="L663" s="29">
        <v>0.8354166666666667</v>
      </c>
      <c r="M663" s="35">
        <f t="shared" ref="M663:M674" ca="1" si="148">IFERROR(IF(K663="","",IF(L663="",MOD(NOW()-K663,1),IF(L663&gt;=K663,L663-K663,L663+1-K663))),"")</f>
        <v>1.5972222222222276E-2</v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259</v>
      </c>
      <c r="F664" s="27">
        <v>11</v>
      </c>
      <c r="G664" s="28">
        <f t="shared" si="147"/>
        <v>46.2</v>
      </c>
      <c r="H664" s="26" t="s">
        <v>20</v>
      </c>
      <c r="I664" s="26" t="s">
        <v>39</v>
      </c>
      <c r="J664" s="26" t="s">
        <v>51</v>
      </c>
      <c r="K664" s="29">
        <v>0.85763888888888884</v>
      </c>
      <c r="L664" s="29">
        <v>0.86458333333333337</v>
      </c>
      <c r="M664" s="30">
        <f t="shared" ca="1" si="148"/>
        <v>6.9444444444445308E-3</v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259</v>
      </c>
      <c r="F665" s="27">
        <v>10</v>
      </c>
      <c r="G665" s="34">
        <f t="shared" si="147"/>
        <v>42</v>
      </c>
      <c r="H665" s="33" t="s">
        <v>18</v>
      </c>
      <c r="I665" s="33" t="s">
        <v>39</v>
      </c>
      <c r="J665" s="33" t="s">
        <v>122</v>
      </c>
      <c r="K665" s="29">
        <v>0.90069444444444446</v>
      </c>
      <c r="L665" s="29">
        <v>0.91319444444444442</v>
      </c>
      <c r="M665" s="35">
        <f t="shared" ca="1" si="148"/>
        <v>1.2499999999999956E-2</v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259</v>
      </c>
      <c r="F666" s="27">
        <v>25</v>
      </c>
      <c r="G666" s="28">
        <f t="shared" si="147"/>
        <v>105</v>
      </c>
      <c r="H666" s="26" t="s">
        <v>20</v>
      </c>
      <c r="I666" s="26" t="s">
        <v>121</v>
      </c>
      <c r="J666" s="26" t="s">
        <v>113</v>
      </c>
      <c r="K666" s="29">
        <v>0.96527777777777779</v>
      </c>
      <c r="L666" s="29">
        <v>0.99305555555555558</v>
      </c>
      <c r="M666" s="30">
        <f t="shared" ca="1" si="148"/>
        <v>2.777777777777779E-2</v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259</v>
      </c>
      <c r="F667" s="27">
        <v>8</v>
      </c>
      <c r="G667" s="34">
        <f t="shared" si="147"/>
        <v>33.6</v>
      </c>
      <c r="H667" s="33" t="s">
        <v>20</v>
      </c>
      <c r="I667" s="33" t="s">
        <v>31</v>
      </c>
      <c r="J667" s="33" t="s">
        <v>62</v>
      </c>
      <c r="K667" s="29">
        <v>9.0277777777777776E-2</v>
      </c>
      <c r="L667" s="29">
        <v>0.1388888888888889</v>
      </c>
      <c r="M667" s="35">
        <f t="shared" ca="1" si="148"/>
        <v>4.8611111111111119E-2</v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259</v>
      </c>
      <c r="F668" s="27">
        <v>20</v>
      </c>
      <c r="G668" s="28">
        <f t="shared" si="147"/>
        <v>84</v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259</v>
      </c>
      <c r="F669" s="27">
        <v>11</v>
      </c>
      <c r="G669" s="34">
        <f t="shared" si="147"/>
        <v>46.2</v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259</v>
      </c>
      <c r="F670" s="27">
        <v>8</v>
      </c>
      <c r="G670" s="28">
        <f t="shared" si="147"/>
        <v>33.6</v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259</v>
      </c>
      <c r="F671" s="27">
        <v>14</v>
      </c>
      <c r="G671" s="34">
        <f t="shared" si="147"/>
        <v>58.800000000000004</v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259</v>
      </c>
      <c r="F672" s="27">
        <v>10</v>
      </c>
      <c r="G672" s="28">
        <f t="shared" si="147"/>
        <v>42</v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259</v>
      </c>
      <c r="F673" s="27">
        <v>20</v>
      </c>
      <c r="G673" s="34">
        <f t="shared" si="147"/>
        <v>84</v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259</v>
      </c>
      <c r="F674" s="27">
        <v>5</v>
      </c>
      <c r="G674" s="28">
        <f t="shared" si="147"/>
        <v>21</v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3" t="s">
        <v>236</v>
      </c>
      <c r="B675" s="104"/>
      <c r="C675" s="104"/>
      <c r="D675" s="104"/>
      <c r="E675" s="105">
        <f>SUM(E663:E674)</f>
        <v>0</v>
      </c>
      <c r="F675" s="36">
        <f>SUM(F663:F674)</f>
        <v>161</v>
      </c>
      <c r="G675" s="36">
        <f>SUM(G663:G674)</f>
        <v>676.2</v>
      </c>
      <c r="H675" s="37"/>
      <c r="I675" s="37"/>
      <c r="J675" s="37"/>
      <c r="K675" s="37"/>
      <c r="L675" s="37"/>
      <c r="M675" s="38">
        <f ca="1">IFERROR(SUM(M663:M674),"")</f>
        <v>0.11180555555555567</v>
      </c>
      <c r="N675" s="36" t="s">
        <v>235</v>
      </c>
      <c r="O675" s="77">
        <v>681950</v>
      </c>
    </row>
    <row r="676" spans="1:15" ht="18" customHeight="1">
      <c r="A676" s="106" t="s">
        <v>237</v>
      </c>
      <c r="B676" s="107"/>
      <c r="C676" s="107"/>
      <c r="D676" s="107"/>
      <c r="E676" s="108">
        <f>E662+E675</f>
        <v>0</v>
      </c>
      <c r="F676" s="40">
        <f>F662+F675</f>
        <v>286</v>
      </c>
      <c r="G676" s="40">
        <f>G662+G675</f>
        <v>1209.2</v>
      </c>
      <c r="H676" s="41"/>
      <c r="I676" s="41"/>
      <c r="J676" s="41"/>
      <c r="K676" s="41"/>
      <c r="L676" s="41"/>
      <c r="M676" s="42">
        <f ca="1">IFERROR(M662+M675,"")</f>
        <v>0.30486111111111136</v>
      </c>
      <c r="N676" s="40" t="s">
        <v>238</v>
      </c>
      <c r="O676" s="83">
        <f>IFERROR(O662+O675,"")</f>
        <v>1277320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259</v>
      </c>
      <c r="F677" s="27">
        <v>18</v>
      </c>
      <c r="G677" s="34">
        <f t="shared" ref="G677:G688" si="150">IF(F677="","",IF(E677="PC 17",F677*4.2,IF(E677="PC 19",F677*5,"")))</f>
        <v>75.600000000000009</v>
      </c>
      <c r="H677" s="33" t="s">
        <v>18</v>
      </c>
      <c r="I677" s="33" t="s">
        <v>136</v>
      </c>
      <c r="J677" s="33" t="s">
        <v>208</v>
      </c>
      <c r="K677" s="29">
        <v>0.31319444444444444</v>
      </c>
      <c r="L677" s="29">
        <v>0.34930555555555554</v>
      </c>
      <c r="M677" s="35">
        <f t="shared" ref="M677:M688" ca="1" si="151">IFERROR(IF(K677="","",IF(L677="",MOD(NOW()-K677,1),IF(L677&gt;=K677,L677-K677,L677+1-K677))),"")</f>
        <v>3.6111111111111094E-2</v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259</v>
      </c>
      <c r="F678" s="27">
        <v>2</v>
      </c>
      <c r="G678" s="28">
        <f t="shared" si="150"/>
        <v>8.4</v>
      </c>
      <c r="H678" s="26" t="s">
        <v>19</v>
      </c>
      <c r="I678" s="26" t="s">
        <v>157</v>
      </c>
      <c r="J678" s="26" t="s">
        <v>27</v>
      </c>
      <c r="K678" s="29">
        <v>0.34930555555555554</v>
      </c>
      <c r="L678" s="29">
        <v>0.35972222222222222</v>
      </c>
      <c r="M678" s="35">
        <f t="shared" ca="1" si="151"/>
        <v>1.0416666666666685E-2</v>
      </c>
      <c r="N678" s="46" t="s">
        <v>326</v>
      </c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259</v>
      </c>
      <c r="F679" s="27">
        <v>18</v>
      </c>
      <c r="G679" s="34">
        <f t="shared" si="150"/>
        <v>75.600000000000009</v>
      </c>
      <c r="H679" s="33" t="s">
        <v>19</v>
      </c>
      <c r="I679" s="33" t="s">
        <v>136</v>
      </c>
      <c r="J679" s="33" t="s">
        <v>61</v>
      </c>
      <c r="K679" s="29">
        <v>0.37152777777777779</v>
      </c>
      <c r="L679" s="29">
        <v>0.42083333333333334</v>
      </c>
      <c r="M679" s="35">
        <f t="shared" ca="1" si="151"/>
        <v>4.9305555555555547E-2</v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100" t="s">
        <v>259</v>
      </c>
      <c r="F680" s="101"/>
      <c r="G680" s="102"/>
      <c r="H680" s="81"/>
      <c r="I680" s="81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259</v>
      </c>
      <c r="F681" s="27">
        <v>23</v>
      </c>
      <c r="G681" s="34">
        <f t="shared" si="150"/>
        <v>96.600000000000009</v>
      </c>
      <c r="H681" s="33" t="s">
        <v>20</v>
      </c>
      <c r="I681" s="33" t="s">
        <v>157</v>
      </c>
      <c r="J681" s="33" t="s">
        <v>28</v>
      </c>
      <c r="K681" s="29">
        <v>0.57638888888888884</v>
      </c>
      <c r="L681" s="29">
        <v>0.58750000000000002</v>
      </c>
      <c r="M681" s="35">
        <f t="shared" ca="1" si="151"/>
        <v>1.1111111111111183E-2</v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259</v>
      </c>
      <c r="F682" s="27">
        <v>13</v>
      </c>
      <c r="G682" s="28">
        <f t="shared" si="150"/>
        <v>54.6</v>
      </c>
      <c r="H682" s="26" t="s">
        <v>20</v>
      </c>
      <c r="I682" s="26" t="s">
        <v>31</v>
      </c>
      <c r="J682" s="26" t="s">
        <v>56</v>
      </c>
      <c r="K682" s="29" t="s">
        <v>327</v>
      </c>
      <c r="L682" s="29">
        <v>0.64513888888888893</v>
      </c>
      <c r="M682" s="35">
        <v>10</v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259</v>
      </c>
      <c r="F683" s="27">
        <v>11</v>
      </c>
      <c r="G683" s="34">
        <f t="shared" si="150"/>
        <v>46.2</v>
      </c>
      <c r="H683" s="33" t="s">
        <v>20</v>
      </c>
      <c r="I683" s="33" t="s">
        <v>157</v>
      </c>
      <c r="J683" s="33" t="s">
        <v>28</v>
      </c>
      <c r="K683" s="29">
        <v>0.67569444444444449</v>
      </c>
      <c r="L683" s="29">
        <v>0.6875</v>
      </c>
      <c r="M683" s="35">
        <f t="shared" ca="1" si="151"/>
        <v>1.1805555555555514E-2</v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259</v>
      </c>
      <c r="F684" s="27">
        <v>10</v>
      </c>
      <c r="G684" s="28">
        <f t="shared" si="150"/>
        <v>42</v>
      </c>
      <c r="H684" s="26" t="s">
        <v>19</v>
      </c>
      <c r="I684" s="26" t="s">
        <v>157</v>
      </c>
      <c r="J684" s="26" t="s">
        <v>27</v>
      </c>
      <c r="K684" s="29">
        <v>0.73958333333333337</v>
      </c>
      <c r="L684" s="29">
        <v>0.79166666666666663</v>
      </c>
      <c r="M684" s="30">
        <f t="shared" ca="1" si="151"/>
        <v>5.2083333333333259E-2</v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259</v>
      </c>
      <c r="F685" s="27">
        <v>12</v>
      </c>
      <c r="G685" s="34">
        <f t="shared" si="150"/>
        <v>50.400000000000006</v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259</v>
      </c>
      <c r="F686" s="27">
        <v>10</v>
      </c>
      <c r="G686" s="28">
        <f t="shared" si="150"/>
        <v>42</v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259</v>
      </c>
      <c r="F687" s="27">
        <v>8</v>
      </c>
      <c r="G687" s="34">
        <f t="shared" si="150"/>
        <v>33.6</v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259</v>
      </c>
      <c r="F688" s="27">
        <v>4</v>
      </c>
      <c r="G688" s="28">
        <f t="shared" si="150"/>
        <v>16.8</v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15" t="s">
        <v>234</v>
      </c>
      <c r="B689" s="116"/>
      <c r="C689" s="116"/>
      <c r="D689" s="116"/>
      <c r="E689" s="117">
        <f>SUM(E677:E688)</f>
        <v>0</v>
      </c>
      <c r="F689" s="36">
        <f>SUM(F677:F688)</f>
        <v>129</v>
      </c>
      <c r="G689" s="36">
        <f>SUM(G677:G688)</f>
        <v>541.80000000000007</v>
      </c>
      <c r="H689" s="37"/>
      <c r="I689" s="37"/>
      <c r="J689" s="37"/>
      <c r="K689" s="37"/>
      <c r="L689" s="37"/>
      <c r="M689" s="38">
        <f ca="1">IFERROR(SUM(M677:M688),"")</f>
        <v>10.170833333333334</v>
      </c>
      <c r="N689" s="36" t="s">
        <v>235</v>
      </c>
      <c r="O689" s="77">
        <v>516320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259</v>
      </c>
      <c r="F690" s="27">
        <v>15</v>
      </c>
      <c r="G690" s="28">
        <f t="shared" ref="G690:G701" si="153">IF(F690="","",IF(E690="PC 17",F690*4.2,IF(E690="PC 19",F690*5,"")))</f>
        <v>63</v>
      </c>
      <c r="H690" s="26" t="s">
        <v>20</v>
      </c>
      <c r="I690" s="26" t="s">
        <v>31</v>
      </c>
      <c r="J690" s="26" t="s">
        <v>28</v>
      </c>
      <c r="K690" s="29">
        <v>0.84305555555555556</v>
      </c>
      <c r="L690" s="29">
        <v>0.84791666666666665</v>
      </c>
      <c r="M690" s="30">
        <f t="shared" ref="M690:M701" ca="1" si="154">IFERROR(IF(K690="","",IF(L690="",MOD(NOW()-K690,1),IF(L690&gt;=K690,L690-K690,L690+1-K690))),"")</f>
        <v>4.8611111111110938E-3</v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232</v>
      </c>
      <c r="F691" s="27">
        <v>12</v>
      </c>
      <c r="G691" s="34">
        <f t="shared" si="153"/>
        <v>60</v>
      </c>
      <c r="H691" s="33" t="s">
        <v>20</v>
      </c>
      <c r="I691" s="33" t="s">
        <v>39</v>
      </c>
      <c r="J691" s="33" t="s">
        <v>28</v>
      </c>
      <c r="K691" s="29">
        <v>0.94444444444444442</v>
      </c>
      <c r="L691" s="29">
        <v>0.94722222222222219</v>
      </c>
      <c r="M691" s="35">
        <f t="shared" ca="1" si="154"/>
        <v>2.7777777777777679E-3</v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232</v>
      </c>
      <c r="F692" s="27">
        <v>7</v>
      </c>
      <c r="G692" s="28">
        <f t="shared" si="153"/>
        <v>35</v>
      </c>
      <c r="H692" s="26" t="s">
        <v>18</v>
      </c>
      <c r="I692" s="26" t="s">
        <v>31</v>
      </c>
      <c r="J692" s="26" t="s">
        <v>154</v>
      </c>
      <c r="K692" s="29">
        <v>0.96458333333333335</v>
      </c>
      <c r="L692" s="29">
        <v>0.99652777777777779</v>
      </c>
      <c r="M692" s="30">
        <f t="shared" ca="1" si="154"/>
        <v>3.1944444444444442E-2</v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259</v>
      </c>
      <c r="F693" s="27">
        <v>23</v>
      </c>
      <c r="G693" s="34">
        <f t="shared" si="153"/>
        <v>96.600000000000009</v>
      </c>
      <c r="H693" s="33" t="s">
        <v>20</v>
      </c>
      <c r="I693" s="33" t="s">
        <v>39</v>
      </c>
      <c r="J693" s="33" t="s">
        <v>56</v>
      </c>
      <c r="K693" s="29">
        <v>1.7361111111111112E-2</v>
      </c>
      <c r="L693" s="29">
        <v>3.8194444444444448E-2</v>
      </c>
      <c r="M693" s="35">
        <f t="shared" ca="1" si="154"/>
        <v>2.0833333333333336E-2</v>
      </c>
      <c r="N693" s="46" t="s">
        <v>328</v>
      </c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259</v>
      </c>
      <c r="F694" s="27">
        <v>0</v>
      </c>
      <c r="G694" s="28">
        <f t="shared" si="153"/>
        <v>0</v>
      </c>
      <c r="H694" s="26" t="s">
        <v>20</v>
      </c>
      <c r="I694" s="26" t="s">
        <v>31</v>
      </c>
      <c r="J694" s="26" t="s">
        <v>36</v>
      </c>
      <c r="K694" s="29">
        <v>4.1666666666666664E-2</v>
      </c>
      <c r="L694" s="29">
        <v>4.8611111111111112E-2</v>
      </c>
      <c r="M694" s="30">
        <f t="shared" ca="1" si="154"/>
        <v>6.9444444444444475E-3</v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259</v>
      </c>
      <c r="F695" s="27">
        <v>12</v>
      </c>
      <c r="G695" s="34">
        <f t="shared" si="153"/>
        <v>50.400000000000006</v>
      </c>
      <c r="H695" s="33" t="s">
        <v>20</v>
      </c>
      <c r="I695" s="33" t="s">
        <v>47</v>
      </c>
      <c r="J695" s="33" t="s">
        <v>51</v>
      </c>
      <c r="K695" s="29">
        <v>0.14930555555555555</v>
      </c>
      <c r="L695" s="29">
        <v>0.16666666666666666</v>
      </c>
      <c r="M695" s="35">
        <f t="shared" ca="1" si="154"/>
        <v>1.7361111111111105E-2</v>
      </c>
      <c r="N695" s="46" t="s">
        <v>329</v>
      </c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259</v>
      </c>
      <c r="F696" s="27">
        <v>12</v>
      </c>
      <c r="G696" s="28">
        <f t="shared" si="153"/>
        <v>50.400000000000006</v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259</v>
      </c>
      <c r="F697" s="27">
        <v>16</v>
      </c>
      <c r="G697" s="34">
        <f t="shared" si="153"/>
        <v>67.2</v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259</v>
      </c>
      <c r="F698" s="27">
        <v>15</v>
      </c>
      <c r="G698" s="28">
        <f t="shared" si="153"/>
        <v>63</v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259</v>
      </c>
      <c r="F699" s="27">
        <v>18</v>
      </c>
      <c r="G699" s="34">
        <f t="shared" si="153"/>
        <v>75.600000000000009</v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259</v>
      </c>
      <c r="F700" s="27">
        <v>12</v>
      </c>
      <c r="G700" s="28">
        <f t="shared" si="153"/>
        <v>50.400000000000006</v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259</v>
      </c>
      <c r="F701" s="27">
        <v>15</v>
      </c>
      <c r="G701" s="34">
        <f t="shared" si="153"/>
        <v>63</v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3" t="s">
        <v>236</v>
      </c>
      <c r="B702" s="104"/>
      <c r="C702" s="104"/>
      <c r="D702" s="104"/>
      <c r="E702" s="105">
        <f>SUM(E690:E701)</f>
        <v>0</v>
      </c>
      <c r="F702" s="36">
        <f>SUM(F690:F701)</f>
        <v>157</v>
      </c>
      <c r="G702" s="36">
        <f>SUM(G690:G701)</f>
        <v>674.59999999999991</v>
      </c>
      <c r="H702" s="37"/>
      <c r="I702" s="37"/>
      <c r="J702" s="37"/>
      <c r="K702" s="37"/>
      <c r="L702" s="37"/>
      <c r="M702" s="38">
        <f ca="1">IFERROR(SUM(M690:M701),"")</f>
        <v>8.4722222222222199E-2</v>
      </c>
      <c r="N702" s="36" t="s">
        <v>235</v>
      </c>
      <c r="O702" s="77">
        <v>813880</v>
      </c>
    </row>
    <row r="703" spans="1:15" ht="18" customHeight="1">
      <c r="A703" s="106" t="s">
        <v>237</v>
      </c>
      <c r="B703" s="107"/>
      <c r="C703" s="107"/>
      <c r="D703" s="107"/>
      <c r="E703" s="108">
        <f>E689+E702</f>
        <v>0</v>
      </c>
      <c r="F703" s="40">
        <f>F689+F702</f>
        <v>286</v>
      </c>
      <c r="G703" s="40">
        <f>G689+G702</f>
        <v>1216.4000000000001</v>
      </c>
      <c r="H703" s="41"/>
      <c r="I703" s="41"/>
      <c r="J703" s="41"/>
      <c r="K703" s="41"/>
      <c r="L703" s="41"/>
      <c r="M703" s="42">
        <f ca="1">IFERROR(M689+M702,"")</f>
        <v>10.255555555555556</v>
      </c>
      <c r="N703" s="40" t="s">
        <v>238</v>
      </c>
      <c r="O703" s="83">
        <f>IFERROR(O689+O702,"")</f>
        <v>1330200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259</v>
      </c>
      <c r="F704" s="27">
        <v>11</v>
      </c>
      <c r="G704" s="28">
        <f t="shared" ref="G704:G715" si="156">IF(F704="","",IF(E704="PC 17",F704*4.2,IF(E704="PC 19",F704*5,"")))</f>
        <v>46.2</v>
      </c>
      <c r="H704" s="26" t="s">
        <v>17</v>
      </c>
      <c r="I704" s="26" t="s">
        <v>138</v>
      </c>
      <c r="J704" s="26" t="s">
        <v>115</v>
      </c>
      <c r="K704" s="29">
        <v>0.35486111111111113</v>
      </c>
      <c r="L704" s="29">
        <v>0.37083333333333335</v>
      </c>
      <c r="M704" s="30">
        <f t="shared" ref="M704:M715" ca="1" si="157">IFERROR(IF(K704="","",IF(L704="",MOD(NOW()-K704,1),IF(L704&gt;=K704,L704-K704,L704+1-K704))),"")</f>
        <v>1.5972222222222221E-2</v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259</v>
      </c>
      <c r="F705" s="27">
        <v>7</v>
      </c>
      <c r="G705" s="34">
        <f t="shared" si="156"/>
        <v>29.400000000000002</v>
      </c>
      <c r="H705" s="33" t="s">
        <v>20</v>
      </c>
      <c r="I705" s="33" t="s">
        <v>31</v>
      </c>
      <c r="J705" s="33" t="s">
        <v>56</v>
      </c>
      <c r="K705" s="29">
        <v>0.4201388888888889</v>
      </c>
      <c r="L705" s="29">
        <v>0.44583333333333336</v>
      </c>
      <c r="M705" s="35">
        <f t="shared" ca="1" si="157"/>
        <v>2.5694444444444464E-2</v>
      </c>
      <c r="N705" s="46" t="s">
        <v>330</v>
      </c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259</v>
      </c>
      <c r="F706" s="27">
        <v>20</v>
      </c>
      <c r="G706" s="28">
        <f t="shared" si="156"/>
        <v>84</v>
      </c>
      <c r="H706" s="26" t="s">
        <v>20</v>
      </c>
      <c r="I706" s="26" t="s">
        <v>39</v>
      </c>
      <c r="J706" s="26" t="s">
        <v>129</v>
      </c>
      <c r="K706" s="29">
        <v>0.47499999999999998</v>
      </c>
      <c r="L706" s="29">
        <v>0.47638888888888886</v>
      </c>
      <c r="M706" s="30">
        <f t="shared" ca="1" si="157"/>
        <v>1.388888888888884E-3</v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259</v>
      </c>
      <c r="F707" s="27">
        <v>25</v>
      </c>
      <c r="G707" s="34">
        <f t="shared" si="156"/>
        <v>105</v>
      </c>
      <c r="H707" s="33" t="s">
        <v>19</v>
      </c>
      <c r="I707" s="33" t="s">
        <v>31</v>
      </c>
      <c r="J707" s="33" t="s">
        <v>35</v>
      </c>
      <c r="K707" s="29">
        <v>0.51736111111111116</v>
      </c>
      <c r="L707" s="29">
        <v>0.75</v>
      </c>
      <c r="M707" s="35">
        <f t="shared" ca="1" si="157"/>
        <v>0.23263888888888884</v>
      </c>
      <c r="N707" s="46" t="s">
        <v>331</v>
      </c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259</v>
      </c>
      <c r="F708" s="27">
        <v>7</v>
      </c>
      <c r="G708" s="28">
        <f t="shared" si="156"/>
        <v>29.400000000000002</v>
      </c>
      <c r="H708" s="26" t="s">
        <v>20</v>
      </c>
      <c r="I708" s="26"/>
      <c r="J708" s="26" t="s">
        <v>129</v>
      </c>
      <c r="K708" s="29">
        <v>0.5625</v>
      </c>
      <c r="L708" s="29">
        <v>0.56458333333333333</v>
      </c>
      <c r="M708" s="30">
        <f t="shared" ca="1" si="157"/>
        <v>2.0833333333333259E-3</v>
      </c>
      <c r="N708" s="46" t="s">
        <v>332</v>
      </c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259</v>
      </c>
      <c r="F709" s="27">
        <v>8</v>
      </c>
      <c r="G709" s="34">
        <f t="shared" si="156"/>
        <v>33.6</v>
      </c>
      <c r="H709" s="33" t="s">
        <v>20</v>
      </c>
      <c r="I709" s="33"/>
      <c r="J709" s="33" t="s">
        <v>129</v>
      </c>
      <c r="K709" s="29">
        <v>0.57847222222222228</v>
      </c>
      <c r="L709" s="29">
        <v>0.58472222222222225</v>
      </c>
      <c r="M709" s="35">
        <f t="shared" ca="1" si="157"/>
        <v>6.2499999999999778E-3</v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259</v>
      </c>
      <c r="F710" s="27">
        <v>8</v>
      </c>
      <c r="G710" s="28">
        <f t="shared" si="156"/>
        <v>33.6</v>
      </c>
      <c r="H710" s="26" t="s">
        <v>20</v>
      </c>
      <c r="I710" s="26" t="s">
        <v>39</v>
      </c>
      <c r="J710" s="26" t="s">
        <v>181</v>
      </c>
      <c r="K710" s="29">
        <v>0.67361111111111116</v>
      </c>
      <c r="L710" s="29">
        <v>0.68333333333333335</v>
      </c>
      <c r="M710" s="30">
        <f t="shared" ca="1" si="157"/>
        <v>9.7222222222221877E-3</v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259</v>
      </c>
      <c r="F711" s="27">
        <v>6</v>
      </c>
      <c r="G711" s="34">
        <f t="shared" si="156"/>
        <v>25.200000000000003</v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259</v>
      </c>
      <c r="F712" s="27">
        <v>7</v>
      </c>
      <c r="G712" s="28">
        <f t="shared" si="156"/>
        <v>29.400000000000002</v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259</v>
      </c>
      <c r="F713" s="27">
        <v>7</v>
      </c>
      <c r="G713" s="34">
        <f t="shared" si="156"/>
        <v>29.400000000000002</v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259</v>
      </c>
      <c r="F714" s="27">
        <v>8</v>
      </c>
      <c r="G714" s="28">
        <f t="shared" si="156"/>
        <v>33.6</v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259</v>
      </c>
      <c r="F715" s="27">
        <v>3</v>
      </c>
      <c r="G715" s="34">
        <f t="shared" si="156"/>
        <v>12.600000000000001</v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3" t="s">
        <v>234</v>
      </c>
      <c r="B716" s="104"/>
      <c r="C716" s="104"/>
      <c r="D716" s="104"/>
      <c r="E716" s="105">
        <f>SUM(E704:E715)</f>
        <v>0</v>
      </c>
      <c r="F716" s="36">
        <f>SUM(F704:F715)</f>
        <v>117</v>
      </c>
      <c r="G716" s="36">
        <f>SUM(G704:G715)</f>
        <v>491.40000000000003</v>
      </c>
      <c r="H716" s="37"/>
      <c r="I716" s="37"/>
      <c r="J716" s="37"/>
      <c r="K716" s="37"/>
      <c r="L716" s="37"/>
      <c r="M716" s="38">
        <f ca="1">IFERROR(SUM(M704:M715),"")</f>
        <v>0.2937499999999999</v>
      </c>
      <c r="N716" s="36" t="s">
        <v>235</v>
      </c>
      <c r="O716" s="77">
        <v>479760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59" t="s">
        <v>259</v>
      </c>
      <c r="F717" s="27">
        <v>17</v>
      </c>
      <c r="G717" s="34">
        <f t="shared" ref="G717:G728" si="159">IF(F717="","",IF(E717="PC 17",F717*4.2,IF(E717="PC 19",F717*5,"")))</f>
        <v>71.400000000000006</v>
      </c>
      <c r="H717" s="33" t="s">
        <v>20</v>
      </c>
      <c r="I717" s="33" t="s">
        <v>121</v>
      </c>
      <c r="J717" s="33" t="s">
        <v>56</v>
      </c>
      <c r="K717" s="29">
        <v>0.81944444444444442</v>
      </c>
      <c r="L717" s="29">
        <v>0.84375</v>
      </c>
      <c r="M717" s="35">
        <f t="shared" ref="M717:M728" ca="1" si="160">IFERROR(IF(K717="","",IF(L717="",MOD(NOW()-K717,1),IF(L717&gt;=K717,L717-K717,L717+1-K717))),"")</f>
        <v>2.430555555555558E-2</v>
      </c>
      <c r="N717" s="46" t="s">
        <v>333</v>
      </c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59" t="s">
        <v>232</v>
      </c>
      <c r="F718" s="27">
        <v>4</v>
      </c>
      <c r="G718" s="28">
        <f t="shared" si="159"/>
        <v>20</v>
      </c>
      <c r="H718" s="26" t="s">
        <v>20</v>
      </c>
      <c r="I718" s="26" t="s">
        <v>31</v>
      </c>
      <c r="J718" s="26" t="s">
        <v>28</v>
      </c>
      <c r="K718" s="29">
        <v>0.86111111111111116</v>
      </c>
      <c r="L718" s="29">
        <v>0.87152777777777779</v>
      </c>
      <c r="M718" s="30">
        <f t="shared" ca="1" si="160"/>
        <v>1.041666666666663E-2</v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59" t="s">
        <v>259</v>
      </c>
      <c r="F719" s="27">
        <v>30</v>
      </c>
      <c r="G719" s="34">
        <f t="shared" si="159"/>
        <v>126</v>
      </c>
      <c r="H719" s="33" t="s">
        <v>20</v>
      </c>
      <c r="I719" s="33" t="s">
        <v>31</v>
      </c>
      <c r="J719" s="33" t="s">
        <v>62</v>
      </c>
      <c r="K719" s="29">
        <v>0.95486111111111116</v>
      </c>
      <c r="L719" s="29">
        <v>0.96597222222222223</v>
      </c>
      <c r="M719" s="35">
        <f t="shared" ca="1" si="160"/>
        <v>1.1111111111111072E-2</v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59" t="s">
        <v>259</v>
      </c>
      <c r="F720" s="27">
        <v>13</v>
      </c>
      <c r="G720" s="28">
        <f t="shared" si="159"/>
        <v>54.6</v>
      </c>
      <c r="H720" s="26" t="s">
        <v>20</v>
      </c>
      <c r="I720" s="26" t="s">
        <v>31</v>
      </c>
      <c r="J720" s="26" t="s">
        <v>62</v>
      </c>
      <c r="K720" s="29">
        <v>0.97847222222222219</v>
      </c>
      <c r="L720" s="29">
        <v>0.9916666666666667</v>
      </c>
      <c r="M720" s="30">
        <f t="shared" ca="1" si="160"/>
        <v>1.3194444444444509E-2</v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59" t="s">
        <v>259</v>
      </c>
      <c r="F721" s="27">
        <v>2</v>
      </c>
      <c r="G721" s="34">
        <f t="shared" si="159"/>
        <v>8.4</v>
      </c>
      <c r="H721" s="33" t="s">
        <v>20</v>
      </c>
      <c r="I721" s="33" t="s">
        <v>39</v>
      </c>
      <c r="J721" s="33" t="s">
        <v>28</v>
      </c>
      <c r="K721" s="29">
        <v>3.888888888888889E-2</v>
      </c>
      <c r="L721" s="29">
        <v>7.2222222222222215E-2</v>
      </c>
      <c r="M721" s="35">
        <f t="shared" ca="1" si="160"/>
        <v>3.3333333333333326E-2</v>
      </c>
      <c r="N721" s="46" t="s">
        <v>334</v>
      </c>
      <c r="O721" s="47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59" t="s">
        <v>259</v>
      </c>
      <c r="F722" s="27">
        <v>24</v>
      </c>
      <c r="G722" s="28">
        <f t="shared" si="159"/>
        <v>100.80000000000001</v>
      </c>
      <c r="H722" s="26" t="s">
        <v>18</v>
      </c>
      <c r="I722" s="26" t="s">
        <v>39</v>
      </c>
      <c r="J722" s="26" t="s">
        <v>154</v>
      </c>
      <c r="K722" s="29">
        <v>0.16319444444444445</v>
      </c>
      <c r="L722" s="29">
        <v>0.18680555555555556</v>
      </c>
      <c r="M722" s="30">
        <f t="shared" ca="1" si="160"/>
        <v>2.361111111111111E-2</v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59" t="s">
        <v>259</v>
      </c>
      <c r="F723" s="27">
        <v>10</v>
      </c>
      <c r="G723" s="34">
        <f t="shared" si="159"/>
        <v>42</v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59" t="s">
        <v>259</v>
      </c>
      <c r="F724" s="27">
        <v>10</v>
      </c>
      <c r="G724" s="28">
        <f t="shared" si="159"/>
        <v>42</v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59" t="s">
        <v>232</v>
      </c>
      <c r="F725" s="27">
        <v>20</v>
      </c>
      <c r="G725" s="34">
        <f t="shared" si="159"/>
        <v>100</v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59" t="s">
        <v>232</v>
      </c>
      <c r="F726" s="27">
        <v>12</v>
      </c>
      <c r="G726" s="28">
        <f t="shared" si="159"/>
        <v>60</v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59" t="s">
        <v>232</v>
      </c>
      <c r="F727" s="27">
        <v>10</v>
      </c>
      <c r="G727" s="34">
        <f t="shared" si="159"/>
        <v>50</v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59" t="s">
        <v>259</v>
      </c>
      <c r="F728" s="27">
        <v>6</v>
      </c>
      <c r="G728" s="28">
        <f t="shared" si="159"/>
        <v>25.200000000000003</v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3" t="s">
        <v>236</v>
      </c>
      <c r="B729" s="104"/>
      <c r="C729" s="104"/>
      <c r="D729" s="104"/>
      <c r="E729" s="105">
        <f>SUM(E717:E728)</f>
        <v>0</v>
      </c>
      <c r="F729" s="36">
        <f>SUM(F717:F728)</f>
        <v>158</v>
      </c>
      <c r="G729" s="36">
        <f>SUM(G717:G728)</f>
        <v>700.40000000000009</v>
      </c>
      <c r="H729" s="37"/>
      <c r="I729" s="37"/>
      <c r="J729" s="37"/>
      <c r="K729" s="37"/>
      <c r="L729" s="37"/>
      <c r="M729" s="38">
        <f ca="1">IFERROR(SUM(M717:M728),"")</f>
        <v>0.11597222222222223</v>
      </c>
      <c r="N729" s="36" t="s">
        <v>235</v>
      </c>
      <c r="O729" s="77">
        <v>766420</v>
      </c>
    </row>
    <row r="730" spans="1:15" ht="18" customHeight="1">
      <c r="A730" s="106" t="s">
        <v>237</v>
      </c>
      <c r="B730" s="107"/>
      <c r="C730" s="107"/>
      <c r="D730" s="107"/>
      <c r="E730" s="108">
        <f>E716+E729</f>
        <v>0</v>
      </c>
      <c r="F730" s="40">
        <f>F716+F729</f>
        <v>275</v>
      </c>
      <c r="G730" s="40">
        <f>G716+G729</f>
        <v>1191.8000000000002</v>
      </c>
      <c r="H730" s="41"/>
      <c r="I730" s="41"/>
      <c r="J730" s="41"/>
      <c r="K730" s="41"/>
      <c r="L730" s="41"/>
      <c r="M730" s="42">
        <f ca="1">IFERROR(M716+M729,"")</f>
        <v>0.4097222222222221</v>
      </c>
      <c r="N730" s="40" t="s">
        <v>238</v>
      </c>
      <c r="O730" s="83">
        <f>IFERROR(O716+O729,"")</f>
        <v>1246180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30</v>
      </c>
      <c r="E731" s="62" t="s">
        <v>259</v>
      </c>
      <c r="F731" s="27">
        <v>14</v>
      </c>
      <c r="G731" s="34">
        <f t="shared" ref="G731:G742" si="162">IF(F731="","",IF(E731="PC 17",F731*4.2,IF(E731="PC 19",F731*5,"")))</f>
        <v>58.800000000000004</v>
      </c>
      <c r="H731" s="33" t="s">
        <v>19</v>
      </c>
      <c r="I731" s="33" t="s">
        <v>31</v>
      </c>
      <c r="J731" s="33" t="s">
        <v>27</v>
      </c>
      <c r="K731" s="29">
        <v>0.51944444444444449</v>
      </c>
      <c r="L731" s="29">
        <v>0.52986111111111112</v>
      </c>
      <c r="M731" s="35">
        <f t="shared" ref="M731:M742" ca="1" si="163">IFERROR(IF(K731="","",IF(L731="",MOD(NOW()-K731,1),IF(L731&gt;=K731,L731-K731,L731+1-K731))),"")</f>
        <v>1.041666666666663E-2</v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30</v>
      </c>
      <c r="E732" s="59" t="s">
        <v>259</v>
      </c>
      <c r="F732" s="27">
        <v>13</v>
      </c>
      <c r="G732" s="28">
        <f t="shared" si="162"/>
        <v>54.6</v>
      </c>
      <c r="H732" s="26" t="s">
        <v>18</v>
      </c>
      <c r="I732" s="26" t="s">
        <v>31</v>
      </c>
      <c r="J732" s="26" t="s">
        <v>128</v>
      </c>
      <c r="K732" s="29">
        <v>0.52986111111111112</v>
      </c>
      <c r="L732" s="29">
        <v>0.54166666666666663</v>
      </c>
      <c r="M732" s="30">
        <f t="shared" ca="1" si="163"/>
        <v>1.1805555555555514E-2</v>
      </c>
      <c r="N732" s="46" t="s">
        <v>335</v>
      </c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30</v>
      </c>
      <c r="E733" s="62" t="s">
        <v>259</v>
      </c>
      <c r="F733" s="27">
        <v>14</v>
      </c>
      <c r="G733" s="34">
        <f t="shared" si="162"/>
        <v>58.800000000000004</v>
      </c>
      <c r="H733" s="33" t="s">
        <v>19</v>
      </c>
      <c r="I733" s="33" t="s">
        <v>39</v>
      </c>
      <c r="J733" s="33" t="s">
        <v>27</v>
      </c>
      <c r="K733" s="29">
        <v>0.54166666666666663</v>
      </c>
      <c r="L733" s="29">
        <v>0.55208333333333337</v>
      </c>
      <c r="M733" s="35">
        <f t="shared" ca="1" si="163"/>
        <v>1.0416666666666741E-2</v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30</v>
      </c>
      <c r="E734" s="59" t="s">
        <v>259</v>
      </c>
      <c r="F734" s="27">
        <v>13</v>
      </c>
      <c r="G734" s="28">
        <f t="shared" si="162"/>
        <v>54.6</v>
      </c>
      <c r="H734" s="26" t="s">
        <v>19</v>
      </c>
      <c r="I734" s="26" t="s">
        <v>39</v>
      </c>
      <c r="J734" s="26" t="s">
        <v>35</v>
      </c>
      <c r="K734" s="29">
        <v>0.55208333333333337</v>
      </c>
      <c r="L734" s="29">
        <v>0.56388888888888888</v>
      </c>
      <c r="M734" s="30">
        <f t="shared" ca="1" si="163"/>
        <v>1.1805555555555514E-2</v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30</v>
      </c>
      <c r="E735" s="62" t="s">
        <v>259</v>
      </c>
      <c r="F735" s="27">
        <v>12</v>
      </c>
      <c r="G735" s="34">
        <f t="shared" si="162"/>
        <v>50.400000000000006</v>
      </c>
      <c r="H735" s="33" t="s">
        <v>20</v>
      </c>
      <c r="I735" s="33" t="s">
        <v>121</v>
      </c>
      <c r="J735" s="33" t="s">
        <v>113</v>
      </c>
      <c r="K735" s="29">
        <v>0.68680555555555556</v>
      </c>
      <c r="L735" s="29">
        <v>0.7006944444444444</v>
      </c>
      <c r="M735" s="35">
        <f t="shared" ca="1" si="163"/>
        <v>1.388888888888884E-2</v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30</v>
      </c>
      <c r="E736" s="59" t="s">
        <v>259</v>
      </c>
      <c r="F736" s="27">
        <v>0</v>
      </c>
      <c r="G736" s="28">
        <f t="shared" si="162"/>
        <v>0</v>
      </c>
      <c r="H736" s="26" t="s">
        <v>17</v>
      </c>
      <c r="I736" s="26" t="s">
        <v>133</v>
      </c>
      <c r="J736" s="26" t="s">
        <v>49</v>
      </c>
      <c r="K736" s="29">
        <v>0.7006944444444444</v>
      </c>
      <c r="L736" s="29">
        <v>0.70277777777777772</v>
      </c>
      <c r="M736" s="30">
        <f t="shared" ca="1" si="163"/>
        <v>2.0833333333333259E-3</v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30</v>
      </c>
      <c r="E737" s="62" t="s">
        <v>259</v>
      </c>
      <c r="F737" s="27">
        <v>27</v>
      </c>
      <c r="G737" s="34">
        <f t="shared" si="162"/>
        <v>113.4</v>
      </c>
      <c r="H737" s="33" t="s">
        <v>20</v>
      </c>
      <c r="I737" s="33" t="s">
        <v>39</v>
      </c>
      <c r="J737" s="33" t="s">
        <v>56</v>
      </c>
      <c r="K737" s="29">
        <v>0.72847222222222219</v>
      </c>
      <c r="L737" s="29">
        <v>0.73819444444444449</v>
      </c>
      <c r="M737" s="35">
        <f t="shared" ca="1" si="163"/>
        <v>9.7222222222222987E-3</v>
      </c>
      <c r="N737" s="46" t="s">
        <v>336</v>
      </c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30</v>
      </c>
      <c r="E738" s="59" t="s">
        <v>259</v>
      </c>
      <c r="F738" s="27">
        <v>13</v>
      </c>
      <c r="G738" s="28">
        <f t="shared" si="162"/>
        <v>54.6</v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30</v>
      </c>
      <c r="E739" s="62" t="s">
        <v>259</v>
      </c>
      <c r="F739" s="27">
        <v>0</v>
      </c>
      <c r="G739" s="34">
        <f t="shared" si="162"/>
        <v>0</v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30</v>
      </c>
      <c r="E740" s="59" t="s">
        <v>259</v>
      </c>
      <c r="F740" s="27">
        <v>15</v>
      </c>
      <c r="G740" s="28">
        <f t="shared" si="162"/>
        <v>63</v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30</v>
      </c>
      <c r="E741" s="62" t="s">
        <v>259</v>
      </c>
      <c r="F741" s="27">
        <v>9</v>
      </c>
      <c r="G741" s="34">
        <f t="shared" si="162"/>
        <v>37.800000000000004</v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30</v>
      </c>
      <c r="E742" s="59" t="s">
        <v>259</v>
      </c>
      <c r="F742" s="27">
        <v>5</v>
      </c>
      <c r="G742" s="28">
        <f t="shared" si="162"/>
        <v>21</v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3" t="s">
        <v>234</v>
      </c>
      <c r="B743" s="104"/>
      <c r="C743" s="104"/>
      <c r="D743" s="104"/>
      <c r="E743" s="105">
        <f>SUM(E731:E742)</f>
        <v>0</v>
      </c>
      <c r="F743" s="36">
        <f>SUM(F731:F742)</f>
        <v>135</v>
      </c>
      <c r="G743" s="36">
        <f>SUM(G731:G742)</f>
        <v>567</v>
      </c>
      <c r="H743" s="37"/>
      <c r="I743" s="37"/>
      <c r="J743" s="37"/>
      <c r="K743" s="37"/>
      <c r="L743" s="37"/>
      <c r="M743" s="38">
        <f ca="1">IFERROR(SUM(M731:M742),"")</f>
        <v>7.0138888888888862E-2</v>
      </c>
      <c r="N743" s="36" t="s">
        <v>235</v>
      </c>
      <c r="O743" s="77">
        <v>658990</v>
      </c>
    </row>
    <row r="744" spans="1:15" ht="15" customHeight="1">
      <c r="A744" s="68">
        <v>46231</v>
      </c>
      <c r="B744" s="25">
        <v>0.83333333333333304</v>
      </c>
      <c r="C744" s="26" t="s">
        <v>21</v>
      </c>
      <c r="D744" s="59" t="s">
        <v>30</v>
      </c>
      <c r="E744" s="59" t="s">
        <v>259</v>
      </c>
      <c r="F744" s="27">
        <v>24</v>
      </c>
      <c r="G744" s="28">
        <f t="shared" ref="G744:G755" si="165">IF(F744="","",IF(E744="PC 17",F744*4.2,IF(E744="PC 19",F744*5,"")))</f>
        <v>100.80000000000001</v>
      </c>
      <c r="H744" s="26" t="s">
        <v>17</v>
      </c>
      <c r="I744" s="26"/>
      <c r="J744" s="26" t="s">
        <v>25</v>
      </c>
      <c r="K744" s="29">
        <v>0.88888888888888884</v>
      </c>
      <c r="L744" s="29">
        <v>0.92708333333333337</v>
      </c>
      <c r="M744" s="30">
        <f t="shared" ref="M744:M755" ca="1" si="166">IFERROR(IF(K744="","",IF(L744="",MOD(NOW()-K744,1),IF(L744&gt;=K744,L744-K744,L744+1-K744))),"")</f>
        <v>3.8194444444444531E-2</v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26" t="s">
        <v>21</v>
      </c>
      <c r="D745" s="59" t="s">
        <v>30</v>
      </c>
      <c r="E745" s="59" t="s">
        <v>259</v>
      </c>
      <c r="F745" s="27">
        <v>11</v>
      </c>
      <c r="G745" s="34">
        <f t="shared" si="165"/>
        <v>46.2</v>
      </c>
      <c r="H745" s="33" t="s">
        <v>20</v>
      </c>
      <c r="I745" s="33" t="s">
        <v>39</v>
      </c>
      <c r="J745" s="33" t="s">
        <v>28</v>
      </c>
      <c r="K745" s="29">
        <v>0.93541666666666667</v>
      </c>
      <c r="L745" s="29">
        <v>0.9375</v>
      </c>
      <c r="M745" s="35">
        <f t="shared" ca="1" si="166"/>
        <v>2.0833333333333259E-3</v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 t="s">
        <v>21</v>
      </c>
      <c r="D746" s="59" t="s">
        <v>30</v>
      </c>
      <c r="E746" s="59" t="s">
        <v>259</v>
      </c>
      <c r="F746" s="27">
        <v>10</v>
      </c>
      <c r="G746" s="28">
        <f t="shared" si="165"/>
        <v>42</v>
      </c>
      <c r="H746" s="26" t="s">
        <v>20</v>
      </c>
      <c r="I746" s="26" t="s">
        <v>39</v>
      </c>
      <c r="J746" s="26" t="s">
        <v>62</v>
      </c>
      <c r="K746" s="29">
        <v>7.6388888888888886E-3</v>
      </c>
      <c r="L746" s="29">
        <v>1.3888888888888888E-2</v>
      </c>
      <c r="M746" s="30">
        <f t="shared" ca="1" si="166"/>
        <v>6.2499999999999995E-3</v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26" t="s">
        <v>21</v>
      </c>
      <c r="D747" s="59" t="s">
        <v>30</v>
      </c>
      <c r="E747" s="59" t="s">
        <v>259</v>
      </c>
      <c r="F747" s="27">
        <v>9</v>
      </c>
      <c r="G747" s="34">
        <f t="shared" si="165"/>
        <v>37.800000000000004</v>
      </c>
      <c r="H747" s="33" t="s">
        <v>19</v>
      </c>
      <c r="I747" s="33" t="s">
        <v>157</v>
      </c>
      <c r="J747" s="33" t="s">
        <v>27</v>
      </c>
      <c r="K747" s="29">
        <v>6.805555555555555E-2</v>
      </c>
      <c r="L747" s="29">
        <v>9.7916666666666666E-2</v>
      </c>
      <c r="M747" s="35">
        <f t="shared" ca="1" si="166"/>
        <v>2.9861111111111116E-2</v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 t="s">
        <v>21</v>
      </c>
      <c r="D748" s="59" t="s">
        <v>30</v>
      </c>
      <c r="E748" s="59" t="s">
        <v>259</v>
      </c>
      <c r="F748" s="27">
        <v>14</v>
      </c>
      <c r="G748" s="28">
        <f t="shared" si="165"/>
        <v>58.800000000000004</v>
      </c>
      <c r="H748" s="26" t="s">
        <v>17</v>
      </c>
      <c r="I748" s="26"/>
      <c r="J748" s="26" t="s">
        <v>25</v>
      </c>
      <c r="K748" s="29">
        <v>0.11805555555555555</v>
      </c>
      <c r="L748" s="29">
        <v>0.1388888888888889</v>
      </c>
      <c r="M748" s="30">
        <f t="shared" ca="1" si="166"/>
        <v>2.0833333333333343E-2</v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26" t="s">
        <v>21</v>
      </c>
      <c r="D749" s="59" t="s">
        <v>30</v>
      </c>
      <c r="E749" s="59" t="s">
        <v>259</v>
      </c>
      <c r="F749" s="27">
        <v>21</v>
      </c>
      <c r="G749" s="34">
        <f t="shared" si="165"/>
        <v>88.2</v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 t="s">
        <v>21</v>
      </c>
      <c r="D750" s="59" t="s">
        <v>30</v>
      </c>
      <c r="E750" s="59" t="s">
        <v>259</v>
      </c>
      <c r="F750" s="27">
        <v>5</v>
      </c>
      <c r="G750" s="28">
        <f t="shared" si="165"/>
        <v>21</v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26" t="s">
        <v>21</v>
      </c>
      <c r="D751" s="59" t="s">
        <v>30</v>
      </c>
      <c r="E751" s="59" t="s">
        <v>259</v>
      </c>
      <c r="F751" s="27">
        <v>5</v>
      </c>
      <c r="G751" s="34">
        <f t="shared" si="165"/>
        <v>21</v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 t="s">
        <v>21</v>
      </c>
      <c r="D752" s="59" t="s">
        <v>30</v>
      </c>
      <c r="E752" s="59" t="s">
        <v>259</v>
      </c>
      <c r="F752" s="27">
        <v>14</v>
      </c>
      <c r="G752" s="28">
        <f t="shared" si="165"/>
        <v>58.800000000000004</v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26" t="s">
        <v>21</v>
      </c>
      <c r="D753" s="59" t="s">
        <v>30</v>
      </c>
      <c r="E753" s="59" t="s">
        <v>259</v>
      </c>
      <c r="F753" s="27">
        <v>9</v>
      </c>
      <c r="G753" s="34">
        <f t="shared" si="165"/>
        <v>37.800000000000004</v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 t="s">
        <v>21</v>
      </c>
      <c r="D754" s="59" t="s">
        <v>30</v>
      </c>
      <c r="E754" s="59" t="s">
        <v>259</v>
      </c>
      <c r="F754" s="27">
        <v>11</v>
      </c>
      <c r="G754" s="28">
        <f t="shared" si="165"/>
        <v>46.2</v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26" t="s">
        <v>21</v>
      </c>
      <c r="D755" s="59" t="s">
        <v>30</v>
      </c>
      <c r="E755" s="59" t="s">
        <v>259</v>
      </c>
      <c r="F755" s="27">
        <v>4</v>
      </c>
      <c r="G755" s="34">
        <f t="shared" si="165"/>
        <v>16.8</v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3" t="s">
        <v>236</v>
      </c>
      <c r="B756" s="104"/>
      <c r="C756" s="104"/>
      <c r="D756" s="104"/>
      <c r="E756" s="105">
        <f>SUM(E744:E755)</f>
        <v>0</v>
      </c>
      <c r="F756" s="36">
        <f>SUM(F744:F755)</f>
        <v>137</v>
      </c>
      <c r="G756" s="36">
        <f>SUM(G744:G755)</f>
        <v>575.4</v>
      </c>
      <c r="H756" s="37"/>
      <c r="I756" s="37"/>
      <c r="J756" s="37"/>
      <c r="K756" s="37"/>
      <c r="L756" s="37"/>
      <c r="M756" s="38">
        <f ca="1">IFERROR(SUM(M744:M755),"")</f>
        <v>9.7222222222222321E-2</v>
      </c>
      <c r="N756" s="36" t="s">
        <v>235</v>
      </c>
      <c r="O756" s="39">
        <v>605420</v>
      </c>
    </row>
    <row r="757" spans="1:15" ht="18" customHeight="1">
      <c r="A757" s="106" t="s">
        <v>237</v>
      </c>
      <c r="B757" s="107"/>
      <c r="C757" s="107"/>
      <c r="D757" s="107"/>
      <c r="E757" s="108">
        <f>E743+E756</f>
        <v>0</v>
      </c>
      <c r="F757" s="40">
        <f>F743+F756</f>
        <v>272</v>
      </c>
      <c r="G757" s="40">
        <f>G743+G756</f>
        <v>1142.4000000000001</v>
      </c>
      <c r="H757" s="41"/>
      <c r="I757" s="41"/>
      <c r="J757" s="41"/>
      <c r="K757" s="41"/>
      <c r="L757" s="41"/>
      <c r="M757" s="42">
        <f ca="1">IFERROR(M743+M756,"")</f>
        <v>0.16736111111111118</v>
      </c>
      <c r="N757" s="40" t="s">
        <v>238</v>
      </c>
      <c r="O757" s="83">
        <f>IFERROR(O743+O756,"")</f>
        <v>1264410</v>
      </c>
    </row>
    <row r="758" spans="1:15" ht="15" customHeight="1">
      <c r="A758" s="68">
        <v>46232</v>
      </c>
      <c r="B758" s="25">
        <v>0.33333333333333298</v>
      </c>
      <c r="C758" s="26" t="s">
        <v>29</v>
      </c>
      <c r="D758" s="59" t="s">
        <v>30</v>
      </c>
      <c r="E758" s="59" t="s">
        <v>259</v>
      </c>
      <c r="F758" s="27">
        <v>21</v>
      </c>
      <c r="G758" s="28">
        <f t="shared" ref="G758:G769" si="168">IF(F758="","",IF(E758="PC 17",F758*4.2,IF(E758="PC 19",F758*5,"")))</f>
        <v>88.2</v>
      </c>
      <c r="H758" s="26" t="s">
        <v>20</v>
      </c>
      <c r="I758" s="26" t="s">
        <v>155</v>
      </c>
      <c r="J758" s="26" t="s">
        <v>74</v>
      </c>
      <c r="K758" s="29">
        <v>0.37986111111111109</v>
      </c>
      <c r="L758" s="29" t="s">
        <v>337</v>
      </c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26" t="s">
        <v>29</v>
      </c>
      <c r="D759" s="59" t="s">
        <v>30</v>
      </c>
      <c r="E759" s="62" t="s">
        <v>259</v>
      </c>
      <c r="F759" s="27">
        <v>20</v>
      </c>
      <c r="G759" s="34">
        <f t="shared" si="168"/>
        <v>84</v>
      </c>
      <c r="H759" s="33" t="s">
        <v>19</v>
      </c>
      <c r="I759" s="33" t="s">
        <v>31</v>
      </c>
      <c r="J759" s="33" t="s">
        <v>50</v>
      </c>
      <c r="K759" s="29">
        <v>0.40902777777777777</v>
      </c>
      <c r="L759" s="29">
        <v>0.45347222222222222</v>
      </c>
      <c r="M759" s="35">
        <f t="shared" ca="1" si="169"/>
        <v>4.4444444444444453E-2</v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 t="s">
        <v>29</v>
      </c>
      <c r="D760" s="59" t="s">
        <v>30</v>
      </c>
      <c r="E760" s="59" t="s">
        <v>259</v>
      </c>
      <c r="F760" s="27">
        <v>8</v>
      </c>
      <c r="G760" s="28">
        <f t="shared" si="168"/>
        <v>33.6</v>
      </c>
      <c r="H760" s="26" t="s">
        <v>20</v>
      </c>
      <c r="I760" s="26" t="s">
        <v>155</v>
      </c>
      <c r="J760" s="26" t="s">
        <v>74</v>
      </c>
      <c r="K760" s="29">
        <v>0.52083333333333337</v>
      </c>
      <c r="L760" s="29">
        <v>0.52847222222222223</v>
      </c>
      <c r="M760" s="30">
        <f t="shared" ca="1" si="169"/>
        <v>7.6388888888888618E-3</v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26" t="s">
        <v>29</v>
      </c>
      <c r="D761" s="59" t="s">
        <v>30</v>
      </c>
      <c r="E761" s="62" t="s">
        <v>259</v>
      </c>
      <c r="F761" s="27">
        <v>0</v>
      </c>
      <c r="G761" s="34">
        <f t="shared" si="168"/>
        <v>0</v>
      </c>
      <c r="H761" s="33" t="s">
        <v>19</v>
      </c>
      <c r="I761" s="33" t="s">
        <v>157</v>
      </c>
      <c r="J761" s="33" t="s">
        <v>27</v>
      </c>
      <c r="K761" s="29">
        <v>0.59097222222222223</v>
      </c>
      <c r="L761" s="29">
        <v>0.60416666666666663</v>
      </c>
      <c r="M761" s="35">
        <f t="shared" ca="1" si="169"/>
        <v>1.3194444444444398E-2</v>
      </c>
      <c r="N761" s="46" t="s">
        <v>338</v>
      </c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 t="s">
        <v>29</v>
      </c>
      <c r="D762" s="59" t="s">
        <v>30</v>
      </c>
      <c r="E762" s="59" t="s">
        <v>259</v>
      </c>
      <c r="F762" s="27">
        <v>13</v>
      </c>
      <c r="G762" s="28">
        <f t="shared" si="168"/>
        <v>54.6</v>
      </c>
      <c r="H762" s="26" t="s">
        <v>20</v>
      </c>
      <c r="I762" s="26" t="s">
        <v>155</v>
      </c>
      <c r="J762" s="26" t="s">
        <v>74</v>
      </c>
      <c r="K762" s="29">
        <v>0.65069444444444446</v>
      </c>
      <c r="L762" s="29">
        <v>0.65347222222222223</v>
      </c>
      <c r="M762" s="30">
        <f t="shared" ca="1" si="169"/>
        <v>2.7777777777777679E-3</v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26" t="s">
        <v>29</v>
      </c>
      <c r="D763" s="59" t="s">
        <v>30</v>
      </c>
      <c r="E763" s="62" t="s">
        <v>232</v>
      </c>
      <c r="F763" s="27">
        <v>10</v>
      </c>
      <c r="G763" s="34">
        <f t="shared" si="168"/>
        <v>50</v>
      </c>
      <c r="H763" s="33" t="s">
        <v>17</v>
      </c>
      <c r="I763" s="33"/>
      <c r="J763" s="33" t="s">
        <v>86</v>
      </c>
      <c r="K763" s="29">
        <v>0.73541666666666672</v>
      </c>
      <c r="L763" s="29">
        <v>0.76041666666666663</v>
      </c>
      <c r="M763" s="35">
        <f t="shared" ca="1" si="169"/>
        <v>2.4999999999999911E-2</v>
      </c>
      <c r="N763" s="46" t="s">
        <v>339</v>
      </c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 t="s">
        <v>29</v>
      </c>
      <c r="D764" s="59" t="s">
        <v>22</v>
      </c>
      <c r="E764" s="59" t="s">
        <v>259</v>
      </c>
      <c r="F764" s="27">
        <v>9</v>
      </c>
      <c r="G764" s="28">
        <f t="shared" si="168"/>
        <v>37.800000000000004</v>
      </c>
      <c r="H764" s="26" t="s">
        <v>17</v>
      </c>
      <c r="I764" s="26"/>
      <c r="J764" s="26" t="s">
        <v>25</v>
      </c>
      <c r="K764" s="29">
        <v>0.76458333333333328</v>
      </c>
      <c r="L764" s="29">
        <v>0.76666666666666672</v>
      </c>
      <c r="M764" s="30">
        <f t="shared" ca="1" si="169"/>
        <v>2.083333333333437E-3</v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26" t="s">
        <v>29</v>
      </c>
      <c r="D765" s="59" t="s">
        <v>22</v>
      </c>
      <c r="E765" s="62" t="s">
        <v>259</v>
      </c>
      <c r="F765" s="27">
        <v>15</v>
      </c>
      <c r="G765" s="34">
        <f t="shared" si="168"/>
        <v>63</v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 t="s">
        <v>29</v>
      </c>
      <c r="D766" s="59" t="s">
        <v>22</v>
      </c>
      <c r="E766" s="59" t="s">
        <v>259</v>
      </c>
      <c r="F766" s="27">
        <v>12</v>
      </c>
      <c r="G766" s="28">
        <f t="shared" si="168"/>
        <v>50.400000000000006</v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26" t="s">
        <v>29</v>
      </c>
      <c r="D767" s="59" t="s">
        <v>22</v>
      </c>
      <c r="E767" s="62" t="s">
        <v>259</v>
      </c>
      <c r="F767" s="27">
        <v>15</v>
      </c>
      <c r="G767" s="34">
        <f t="shared" si="168"/>
        <v>63</v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 t="s">
        <v>29</v>
      </c>
      <c r="D768" s="59" t="s">
        <v>22</v>
      </c>
      <c r="E768" s="59" t="s">
        <v>259</v>
      </c>
      <c r="F768" s="27">
        <v>10</v>
      </c>
      <c r="G768" s="28">
        <f t="shared" si="168"/>
        <v>42</v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26" t="s">
        <v>29</v>
      </c>
      <c r="D769" s="59" t="s">
        <v>22</v>
      </c>
      <c r="E769" s="62" t="s">
        <v>259</v>
      </c>
      <c r="F769" s="27">
        <v>1</v>
      </c>
      <c r="G769" s="34">
        <f t="shared" si="168"/>
        <v>4.2</v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3" t="s">
        <v>234</v>
      </c>
      <c r="B770" s="104"/>
      <c r="C770" s="104"/>
      <c r="D770" s="104"/>
      <c r="E770" s="105">
        <f>SUM(E758:E769)</f>
        <v>0</v>
      </c>
      <c r="F770" s="36">
        <f>SUM(F758:F769)</f>
        <v>134</v>
      </c>
      <c r="G770" s="36">
        <f>SUM(G758:G769)</f>
        <v>570.80000000000007</v>
      </c>
      <c r="H770" s="37"/>
      <c r="I770" s="37"/>
      <c r="J770" s="37"/>
      <c r="K770" s="37"/>
      <c r="L770" s="37"/>
      <c r="M770" s="38">
        <f ca="1">IFERROR(SUM(M758:M769),"")</f>
        <v>9.5138888888888828E-2</v>
      </c>
      <c r="N770" s="36" t="s">
        <v>235</v>
      </c>
      <c r="O770" s="77">
        <v>610890</v>
      </c>
    </row>
    <row r="771" spans="1:15" ht="15" customHeight="1">
      <c r="A771" s="69">
        <v>46232</v>
      </c>
      <c r="B771" s="32">
        <v>0.83333333333333304</v>
      </c>
      <c r="C771" s="33" t="s">
        <v>21</v>
      </c>
      <c r="D771" s="62" t="s">
        <v>22</v>
      </c>
      <c r="E771" s="62" t="s">
        <v>259</v>
      </c>
      <c r="F771" s="27">
        <v>23</v>
      </c>
      <c r="G771" s="34">
        <f t="shared" ref="G771:G782" si="171">IF(F771="","",IF(E771="PC 17",F771*4.2,IF(E771="PC 19",F771*5,"")))</f>
        <v>96.600000000000009</v>
      </c>
      <c r="H771" s="33" t="s">
        <v>20</v>
      </c>
      <c r="I771" s="33" t="s">
        <v>39</v>
      </c>
      <c r="J771" s="33" t="s">
        <v>36</v>
      </c>
      <c r="K771" s="29">
        <v>0.84027777777777779</v>
      </c>
      <c r="L771" s="29">
        <v>0.85416666666666663</v>
      </c>
      <c r="M771" s="35">
        <f t="shared" ref="M771:M782" ca="1" si="172">IFERROR(IF(K771="","",IF(L771="",MOD(NOW()-K771,1),IF(L771&gt;=K771,L771-K771,L771+1-K771))),"")</f>
        <v>1.388888888888884E-2</v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33" t="s">
        <v>21</v>
      </c>
      <c r="D772" s="62" t="s">
        <v>22</v>
      </c>
      <c r="E772" s="62" t="s">
        <v>232</v>
      </c>
      <c r="F772" s="27">
        <v>11</v>
      </c>
      <c r="G772" s="28">
        <f t="shared" si="171"/>
        <v>55</v>
      </c>
      <c r="H772" s="26" t="s">
        <v>20</v>
      </c>
      <c r="I772" s="26" t="s">
        <v>121</v>
      </c>
      <c r="J772" s="26" t="s">
        <v>113</v>
      </c>
      <c r="K772" s="29">
        <v>0.91874999999999996</v>
      </c>
      <c r="L772" s="29">
        <v>0.93402777777777779</v>
      </c>
      <c r="M772" s="30">
        <f t="shared" ca="1" si="172"/>
        <v>1.5277777777777835E-2</v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 t="s">
        <v>21</v>
      </c>
      <c r="D773" s="62" t="s">
        <v>22</v>
      </c>
      <c r="E773" s="62" t="s">
        <v>259</v>
      </c>
      <c r="F773" s="27">
        <v>26</v>
      </c>
      <c r="G773" s="34">
        <f t="shared" si="171"/>
        <v>109.2</v>
      </c>
      <c r="H773" s="33" t="s">
        <v>19</v>
      </c>
      <c r="I773" s="33" t="s">
        <v>157</v>
      </c>
      <c r="J773" s="33" t="s">
        <v>27</v>
      </c>
      <c r="K773" s="29">
        <v>0.93472222222222223</v>
      </c>
      <c r="L773" s="29">
        <v>0.9458333333333333</v>
      </c>
      <c r="M773" s="35">
        <f t="shared" ca="1" si="172"/>
        <v>1.1111111111111072E-2</v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33" t="s">
        <v>21</v>
      </c>
      <c r="D774" s="62" t="s">
        <v>22</v>
      </c>
      <c r="E774" s="62" t="s">
        <v>259</v>
      </c>
      <c r="F774" s="27">
        <v>11</v>
      </c>
      <c r="G774" s="28">
        <f t="shared" si="171"/>
        <v>46.2</v>
      </c>
      <c r="H774" s="26" t="s">
        <v>20</v>
      </c>
      <c r="I774" s="26" t="s">
        <v>121</v>
      </c>
      <c r="J774" s="26" t="s">
        <v>113</v>
      </c>
      <c r="K774" s="29">
        <v>0.97777777777777775</v>
      </c>
      <c r="L774" s="29">
        <v>0.98819444444444449</v>
      </c>
      <c r="M774" s="30">
        <f t="shared" ca="1" si="172"/>
        <v>1.0416666666666741E-2</v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 t="s">
        <v>21</v>
      </c>
      <c r="D775" s="62" t="s">
        <v>22</v>
      </c>
      <c r="E775" s="62" t="s">
        <v>259</v>
      </c>
      <c r="F775" s="27">
        <v>18</v>
      </c>
      <c r="G775" s="34">
        <f t="shared" si="171"/>
        <v>75.600000000000009</v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33" t="s">
        <v>21</v>
      </c>
      <c r="D776" s="62" t="s">
        <v>22</v>
      </c>
      <c r="E776" s="62" t="s">
        <v>259</v>
      </c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 t="s">
        <v>21</v>
      </c>
      <c r="D777" s="62" t="s">
        <v>22</v>
      </c>
      <c r="E777" s="62" t="s">
        <v>259</v>
      </c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33" t="s">
        <v>21</v>
      </c>
      <c r="D778" s="62" t="s">
        <v>22</v>
      </c>
      <c r="E778" s="62" t="s">
        <v>259</v>
      </c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 t="s">
        <v>21</v>
      </c>
      <c r="D779" s="62" t="s">
        <v>22</v>
      </c>
      <c r="E779" s="62" t="s">
        <v>259</v>
      </c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33" t="s">
        <v>21</v>
      </c>
      <c r="D780" s="62" t="s">
        <v>22</v>
      </c>
      <c r="E780" s="62" t="s">
        <v>259</v>
      </c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 t="s">
        <v>21</v>
      </c>
      <c r="D781" s="62" t="s">
        <v>22</v>
      </c>
      <c r="E781" s="62" t="s">
        <v>259</v>
      </c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33" t="s">
        <v>21</v>
      </c>
      <c r="D782" s="62" t="s">
        <v>22</v>
      </c>
      <c r="E782" s="62" t="s">
        <v>259</v>
      </c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3" t="s">
        <v>236</v>
      </c>
      <c r="B783" s="104"/>
      <c r="C783" s="104"/>
      <c r="D783" s="104"/>
      <c r="E783" s="105">
        <f>SUM(E771:E782)</f>
        <v>0</v>
      </c>
      <c r="F783" s="36">
        <f>SUM(F771:F782)</f>
        <v>89</v>
      </c>
      <c r="G783" s="36">
        <f>SUM(G771:G782)</f>
        <v>382.6</v>
      </c>
      <c r="H783" s="37"/>
      <c r="I783" s="37"/>
      <c r="J783" s="37"/>
      <c r="K783" s="37"/>
      <c r="L783" s="37"/>
      <c r="M783" s="38">
        <f ca="1">IFERROR(SUM(M771:M782),"")</f>
        <v>5.0694444444444486E-2</v>
      </c>
      <c r="N783" s="36" t="s">
        <v>235</v>
      </c>
      <c r="O783" s="39"/>
    </row>
    <row r="784" spans="1:15" ht="18" customHeight="1">
      <c r="A784" s="106" t="s">
        <v>237</v>
      </c>
      <c r="B784" s="107"/>
      <c r="C784" s="107"/>
      <c r="D784" s="107"/>
      <c r="E784" s="108">
        <f>E770+E783</f>
        <v>0</v>
      </c>
      <c r="F784" s="40">
        <f>F770+F783</f>
        <v>223</v>
      </c>
      <c r="G784" s="40">
        <f>G770+G783</f>
        <v>953.40000000000009</v>
      </c>
      <c r="H784" s="41"/>
      <c r="I784" s="41"/>
      <c r="J784" s="41"/>
      <c r="K784" s="41"/>
      <c r="L784" s="41"/>
      <c r="M784" s="42">
        <f ca="1">IFERROR(M770+M783,"")</f>
        <v>0.14583333333333331</v>
      </c>
      <c r="N784" s="40" t="s">
        <v>238</v>
      </c>
      <c r="O784" s="83">
        <f>IFERROR(O770+O783,"")</f>
        <v>610890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3" t="s">
        <v>234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235</v>
      </c>
      <c r="O797" s="77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3" t="s">
        <v>236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106" t="s">
        <v>237</v>
      </c>
      <c r="B811" s="107"/>
      <c r="C811" s="107"/>
      <c r="D811" s="107"/>
      <c r="E811" s="10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238</v>
      </c>
      <c r="O811" s="82">
        <f>IFERROR(O797+O810,"")</f>
        <v>0</v>
      </c>
    </row>
  </sheetData>
  <mergeCells count="85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allowBlank="1" showErrorMessage="1" errorTitle="Valor inválido" error="Selecione PC 17 ou PC 19 da lista." sqref="E2:E13 E15:E26 E29:E431 E434:E512 E515:E610 E612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E432:E433 E513:E514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H406 I2:I900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754" zoomScale="50" zoomScaleNormal="50" workbookViewId="0">
      <selection activeCell="F776" sqref="F776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64" style="20" customWidth="1"/>
    <col min="15" max="15" width="14" customWidth="1"/>
  </cols>
  <sheetData>
    <row r="1" spans="1:15" ht="37.5" customHeight="1">
      <c r="A1" s="67" t="s">
        <v>7</v>
      </c>
      <c r="B1" s="23" t="s">
        <v>221</v>
      </c>
      <c r="C1" s="23" t="s">
        <v>12</v>
      </c>
      <c r="D1" s="22" t="s">
        <v>13</v>
      </c>
      <c r="E1" s="22" t="s">
        <v>222</v>
      </c>
      <c r="F1" s="23" t="s">
        <v>223</v>
      </c>
      <c r="G1" s="23" t="s">
        <v>224</v>
      </c>
      <c r="H1" s="23" t="s">
        <v>14</v>
      </c>
      <c r="I1" s="23" t="s">
        <v>15</v>
      </c>
      <c r="J1" s="23" t="s">
        <v>225</v>
      </c>
      <c r="K1" s="23" t="s">
        <v>226</v>
      </c>
      <c r="L1" s="23" t="s">
        <v>227</v>
      </c>
      <c r="M1" s="24" t="s">
        <v>228</v>
      </c>
      <c r="N1" s="23" t="s">
        <v>229</v>
      </c>
      <c r="O1" s="23" t="s">
        <v>230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259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178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259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259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324</v>
      </c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259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259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340</v>
      </c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259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164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259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259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259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259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259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259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3" t="s">
        <v>234</v>
      </c>
      <c r="B14" s="104"/>
      <c r="C14" s="104"/>
      <c r="D14" s="104"/>
      <c r="E14" s="105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235</v>
      </c>
      <c r="O14" s="39">
        <v>292530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259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8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259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69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259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8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259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69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259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8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259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259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259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259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259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259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259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3" t="s">
        <v>236</v>
      </c>
      <c r="B27" s="104"/>
      <c r="C27" s="104"/>
      <c r="D27" s="104"/>
      <c r="E27" s="105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235</v>
      </c>
      <c r="O27" s="39">
        <v>308500</v>
      </c>
    </row>
    <row r="28" spans="1:15" ht="18" customHeight="1">
      <c r="A28" s="106" t="s">
        <v>237</v>
      </c>
      <c r="B28" s="107"/>
      <c r="C28" s="107"/>
      <c r="D28" s="107"/>
      <c r="E28" s="108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238</v>
      </c>
      <c r="O28" s="43">
        <f>IFERROR(O14+O27,"")</f>
        <v>601030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259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165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341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259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259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259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259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259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259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259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259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259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259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259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3" t="s">
        <v>234</v>
      </c>
      <c r="B41" s="104"/>
      <c r="C41" s="104"/>
      <c r="D41" s="104"/>
      <c r="E41" s="105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235</v>
      </c>
      <c r="O41" s="39">
        <v>205590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38</v>
      </c>
      <c r="E42" s="62" t="s">
        <v>259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259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259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259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259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259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259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259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259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259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259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259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3" t="s">
        <v>236</v>
      </c>
      <c r="B54" s="104"/>
      <c r="C54" s="104"/>
      <c r="D54" s="104"/>
      <c r="E54" s="105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235</v>
      </c>
      <c r="O54" s="39">
        <v>124290</v>
      </c>
    </row>
    <row r="55" spans="1:15" ht="18" customHeight="1">
      <c r="A55" s="106" t="s">
        <v>237</v>
      </c>
      <c r="B55" s="107"/>
      <c r="C55" s="107"/>
      <c r="D55" s="107"/>
      <c r="E55" s="108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238</v>
      </c>
      <c r="O55" s="43">
        <f>IFERROR(O41+O54,"")</f>
        <v>329880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259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259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259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259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342</v>
      </c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259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259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259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259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259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259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259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259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3" t="s">
        <v>234</v>
      </c>
      <c r="B68" s="104"/>
      <c r="C68" s="104"/>
      <c r="D68" s="104"/>
      <c r="E68" s="105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235</v>
      </c>
      <c r="O68" s="39">
        <v>441440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259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165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310</v>
      </c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259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259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259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259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259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259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259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259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259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259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259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3" t="s">
        <v>236</v>
      </c>
      <c r="B81" s="104"/>
      <c r="C81" s="104"/>
      <c r="D81" s="104"/>
      <c r="E81" s="105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235</v>
      </c>
      <c r="O81" s="39">
        <v>396340</v>
      </c>
    </row>
    <row r="82" spans="1:15" ht="18" customHeight="1">
      <c r="A82" s="106" t="s">
        <v>237</v>
      </c>
      <c r="B82" s="107"/>
      <c r="C82" s="107"/>
      <c r="D82" s="107"/>
      <c r="E82" s="108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238</v>
      </c>
      <c r="O82" s="43">
        <f>IFERROR(O68+O81,"")</f>
        <v>837780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232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232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232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232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232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232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343</v>
      </c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232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232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232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232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232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232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3" t="s">
        <v>234</v>
      </c>
      <c r="B95" s="104"/>
      <c r="C95" s="104"/>
      <c r="D95" s="104"/>
      <c r="E95" s="105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235</v>
      </c>
      <c r="O95" s="39">
        <v>536290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259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259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259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259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259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259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259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259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259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259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259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259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3" t="s">
        <v>236</v>
      </c>
      <c r="B108" s="104"/>
      <c r="C108" s="104"/>
      <c r="D108" s="104"/>
      <c r="E108" s="105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235</v>
      </c>
      <c r="O108" s="39">
        <v>41230</v>
      </c>
    </row>
    <row r="109" spans="1:15" ht="18" customHeight="1">
      <c r="A109" s="106" t="s">
        <v>237</v>
      </c>
      <c r="B109" s="107"/>
      <c r="C109" s="107"/>
      <c r="D109" s="107"/>
      <c r="E109" s="108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238</v>
      </c>
      <c r="O109" s="43">
        <f>IFERROR(O95+O108,"")</f>
        <v>577520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259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259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259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259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259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259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259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259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259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259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259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259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3" t="s">
        <v>234</v>
      </c>
      <c r="B122" s="104"/>
      <c r="C122" s="104"/>
      <c r="D122" s="104"/>
      <c r="E122" s="105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235</v>
      </c>
      <c r="O122" s="39">
        <v>51130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232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232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192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232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232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232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232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232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285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232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232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232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232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232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3" t="s">
        <v>236</v>
      </c>
      <c r="B135" s="104"/>
      <c r="C135" s="104"/>
      <c r="D135" s="104"/>
      <c r="E135" s="105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235</v>
      </c>
      <c r="O135" s="39">
        <v>381250</v>
      </c>
    </row>
    <row r="136" spans="1:15" ht="18" customHeight="1">
      <c r="A136" s="106" t="s">
        <v>237</v>
      </c>
      <c r="B136" s="107"/>
      <c r="C136" s="107"/>
      <c r="D136" s="107"/>
      <c r="E136" s="108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238</v>
      </c>
      <c r="O136" s="43">
        <f>IFERROR(O122+O135,"")</f>
        <v>432380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232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232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344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232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232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232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287</v>
      </c>
      <c r="K141" s="29">
        <v>0.71597222222222223</v>
      </c>
      <c r="L141" s="29" t="s">
        <v>345</v>
      </c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232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232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232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232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232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232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232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234</v>
      </c>
      <c r="B149" s="104"/>
      <c r="C149" s="104"/>
      <c r="D149" s="104"/>
      <c r="E149" s="105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235</v>
      </c>
      <c r="O149" s="39">
        <v>584680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232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346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232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259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289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259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259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259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259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259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259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259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259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259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236</v>
      </c>
      <c r="B162" s="104"/>
      <c r="C162" s="104"/>
      <c r="D162" s="104"/>
      <c r="E162" s="105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235</v>
      </c>
      <c r="O162" s="39">
        <v>337120</v>
      </c>
    </row>
    <row r="163" spans="1:15" ht="18" customHeight="1">
      <c r="A163" s="106" t="s">
        <v>237</v>
      </c>
      <c r="B163" s="107"/>
      <c r="C163" s="107"/>
      <c r="D163" s="107"/>
      <c r="E163" s="108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238</v>
      </c>
      <c r="O163" s="43">
        <f>IFERROR(O149+O162,"")</f>
        <v>921800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232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259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259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128</v>
      </c>
      <c r="K166" s="29">
        <v>0.45694444444444443</v>
      </c>
      <c r="L166" s="29">
        <v>0.47222222222222221</v>
      </c>
      <c r="M166" s="30" t="s">
        <v>347</v>
      </c>
      <c r="N166" s="27" t="s">
        <v>348</v>
      </c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259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259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259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259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259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259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259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259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259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234</v>
      </c>
      <c r="B176" s="104"/>
      <c r="C176" s="104"/>
      <c r="D176" s="104"/>
      <c r="E176" s="105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235</v>
      </c>
      <c r="O176" s="39">
        <v>190950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259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259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259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259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259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259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259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259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259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259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259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259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236</v>
      </c>
      <c r="B189" s="104"/>
      <c r="C189" s="104"/>
      <c r="D189" s="104"/>
      <c r="E189" s="105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235</v>
      </c>
      <c r="O189" s="39">
        <v>747210</v>
      </c>
    </row>
    <row r="190" spans="1:15" ht="18" customHeight="1">
      <c r="A190" s="106" t="s">
        <v>237</v>
      </c>
      <c r="B190" s="107"/>
      <c r="C190" s="107"/>
      <c r="D190" s="107"/>
      <c r="E190" s="108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238</v>
      </c>
      <c r="O190" s="43">
        <f>IFERROR(O176+O189,"")</f>
        <v>938160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259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136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259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170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349</v>
      </c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259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259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162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259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259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259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259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259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259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259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259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234</v>
      </c>
      <c r="B203" s="104"/>
      <c r="C203" s="104"/>
      <c r="D203" s="104"/>
      <c r="E203" s="105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235</v>
      </c>
      <c r="O203" s="39">
        <v>324840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259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232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259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259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259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259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259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259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259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259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259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259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3" t="s">
        <v>236</v>
      </c>
      <c r="B216" s="104"/>
      <c r="C216" s="104"/>
      <c r="D216" s="104"/>
      <c r="E216" s="105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235</v>
      </c>
      <c r="O216" s="39">
        <v>468430</v>
      </c>
    </row>
    <row r="217" spans="1:15" ht="18" customHeight="1">
      <c r="A217" s="106" t="s">
        <v>237</v>
      </c>
      <c r="B217" s="107"/>
      <c r="C217" s="107"/>
      <c r="D217" s="107"/>
      <c r="E217" s="108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238</v>
      </c>
      <c r="O217" s="48">
        <f>IFERROR(O203+O216,"")</f>
        <v>793270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259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259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259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259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259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259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259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259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259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259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259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259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3" t="s">
        <v>234</v>
      </c>
      <c r="B230" s="104"/>
      <c r="C230" s="104"/>
      <c r="D230" s="104"/>
      <c r="E230" s="105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235</v>
      </c>
      <c r="O230" s="39">
        <v>469520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259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147</v>
      </c>
      <c r="J231" s="33" t="s">
        <v>180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232</v>
      </c>
      <c r="F232" s="27">
        <v>7</v>
      </c>
      <c r="G232" s="28">
        <f t="shared" si="51"/>
        <v>35</v>
      </c>
      <c r="H232" s="26" t="s">
        <v>20</v>
      </c>
      <c r="I232" s="26" t="s">
        <v>147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259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139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259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259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259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259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259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259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259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232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259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3" t="s">
        <v>236</v>
      </c>
      <c r="B243" s="104"/>
      <c r="C243" s="104"/>
      <c r="D243" s="104"/>
      <c r="E243" s="105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235</v>
      </c>
      <c r="O243" s="39">
        <v>575930</v>
      </c>
    </row>
    <row r="244" spans="1:15" ht="18" customHeight="1">
      <c r="A244" s="106" t="s">
        <v>237</v>
      </c>
      <c r="B244" s="107"/>
      <c r="C244" s="107"/>
      <c r="D244" s="107"/>
      <c r="E244" s="108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238</v>
      </c>
      <c r="O244" s="48">
        <f>IFERROR(O230+O243,"")</f>
        <v>1045450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259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209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259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259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259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259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259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259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259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259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259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259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259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3" t="s">
        <v>234</v>
      </c>
      <c r="B257" s="104"/>
      <c r="C257" s="104"/>
      <c r="D257" s="104"/>
      <c r="E257" s="105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235</v>
      </c>
      <c r="O257" s="39">
        <v>456270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259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259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196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350</v>
      </c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259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259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259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122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259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351</v>
      </c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259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259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259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259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259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259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3" t="s">
        <v>236</v>
      </c>
      <c r="B270" s="104"/>
      <c r="C270" s="104"/>
      <c r="D270" s="104"/>
      <c r="E270" s="105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235</v>
      </c>
      <c r="O270" s="39">
        <v>483510</v>
      </c>
    </row>
    <row r="271" spans="1:15" ht="18" customHeight="1">
      <c r="A271" s="106" t="s">
        <v>237</v>
      </c>
      <c r="B271" s="107"/>
      <c r="C271" s="107"/>
      <c r="D271" s="107"/>
      <c r="E271" s="108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238</v>
      </c>
      <c r="O271" s="48">
        <f>IFERROR(O257+O270,"")</f>
        <v>939780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259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259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259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259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259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259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259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259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259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259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259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259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3" t="s">
        <v>234</v>
      </c>
      <c r="B284" s="104"/>
      <c r="C284" s="104"/>
      <c r="D284" s="104"/>
      <c r="E284" s="105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235</v>
      </c>
      <c r="O284" s="39">
        <v>303720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259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259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128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352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259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259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259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353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259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259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259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259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259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259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259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3" t="s">
        <v>236</v>
      </c>
      <c r="B297" s="104"/>
      <c r="C297" s="104"/>
      <c r="D297" s="104"/>
      <c r="E297" s="105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235</v>
      </c>
      <c r="O297" s="39">
        <v>487980</v>
      </c>
    </row>
    <row r="298" spans="1:15" ht="18" customHeight="1">
      <c r="A298" s="106" t="s">
        <v>237</v>
      </c>
      <c r="B298" s="107"/>
      <c r="C298" s="107"/>
      <c r="D298" s="107"/>
      <c r="E298" s="108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238</v>
      </c>
      <c r="O298" s="48">
        <f>IFERROR(O284+O297,"")</f>
        <v>791700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259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133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259</v>
      </c>
      <c r="F300" s="27">
        <v>7</v>
      </c>
      <c r="G300" s="28">
        <f t="shared" si="66"/>
        <v>29.400000000000002</v>
      </c>
      <c r="H300" s="26" t="s">
        <v>20</v>
      </c>
      <c r="I300" s="26" t="s">
        <v>133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259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259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354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259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259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259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259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259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259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259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232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3" t="s">
        <v>234</v>
      </c>
      <c r="B311" s="104"/>
      <c r="C311" s="104"/>
      <c r="D311" s="104"/>
      <c r="E311" s="105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235</v>
      </c>
      <c r="O311" s="39">
        <v>373300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259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355</v>
      </c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259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259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259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356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259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259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259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259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259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259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259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232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3" t="s">
        <v>236</v>
      </c>
      <c r="B324" s="104"/>
      <c r="C324" s="104"/>
      <c r="D324" s="104"/>
      <c r="E324" s="105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235</v>
      </c>
      <c r="O324" s="39">
        <v>609460</v>
      </c>
    </row>
    <row r="325" spans="1:15" ht="18" customHeight="1">
      <c r="A325" s="106" t="s">
        <v>237</v>
      </c>
      <c r="B325" s="107"/>
      <c r="C325" s="107"/>
      <c r="D325" s="107"/>
      <c r="E325" s="108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238</v>
      </c>
      <c r="O325" s="48">
        <f>IFERROR(O311+O324,"")</f>
        <v>982760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38</v>
      </c>
      <c r="E326" s="59" t="s">
        <v>259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357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259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259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259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198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310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232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259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344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259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128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259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259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259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259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259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3" t="s">
        <v>234</v>
      </c>
      <c r="B338" s="104"/>
      <c r="C338" s="104"/>
      <c r="D338" s="104"/>
      <c r="E338" s="105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235</v>
      </c>
      <c r="O338" s="39">
        <v>168000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259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259</v>
      </c>
      <c r="F340" s="27">
        <v>8</v>
      </c>
      <c r="G340" s="28">
        <f t="shared" si="75"/>
        <v>33.6</v>
      </c>
      <c r="H340" s="26" t="s">
        <v>20</v>
      </c>
      <c r="I340" s="26" t="s">
        <v>121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259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259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259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259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259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259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259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259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259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259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3" t="s">
        <v>236</v>
      </c>
      <c r="B351" s="104"/>
      <c r="C351" s="104"/>
      <c r="D351" s="104"/>
      <c r="E351" s="105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235</v>
      </c>
      <c r="O351" s="39">
        <v>437940</v>
      </c>
    </row>
    <row r="352" spans="1:15" ht="18" customHeight="1">
      <c r="A352" s="106" t="s">
        <v>237</v>
      </c>
      <c r="B352" s="107"/>
      <c r="C352" s="107"/>
      <c r="D352" s="107"/>
      <c r="E352" s="108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238</v>
      </c>
      <c r="O352" s="48">
        <f>IFERROR(O338+O351,"")</f>
        <v>605940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259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259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259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259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259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259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259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259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259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259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259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259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3" t="s">
        <v>234</v>
      </c>
      <c r="B365" s="104"/>
      <c r="C365" s="104"/>
      <c r="D365" s="104"/>
      <c r="E365" s="105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235</v>
      </c>
      <c r="O365" s="39">
        <v>29130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259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259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259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259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259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259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259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259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259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259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259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259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3" t="s">
        <v>236</v>
      </c>
      <c r="B378" s="104"/>
      <c r="C378" s="104"/>
      <c r="D378" s="104"/>
      <c r="E378" s="105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235</v>
      </c>
      <c r="O378" s="39">
        <v>473310</v>
      </c>
    </row>
    <row r="379" spans="1:15" ht="18" customHeight="1">
      <c r="A379" s="106" t="s">
        <v>237</v>
      </c>
      <c r="B379" s="107"/>
      <c r="C379" s="107"/>
      <c r="D379" s="107"/>
      <c r="E379" s="108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238</v>
      </c>
      <c r="O379" s="48">
        <f>IFERROR(O365+O378,"")</f>
        <v>502440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46</v>
      </c>
      <c r="E380" s="59" t="s">
        <v>259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259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259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259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259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259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259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259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259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259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259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259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3" t="s">
        <v>234</v>
      </c>
      <c r="B392" s="104"/>
      <c r="C392" s="104"/>
      <c r="D392" s="104"/>
      <c r="E392" s="105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235</v>
      </c>
      <c r="O392" s="39">
        <v>399940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232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259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259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259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259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259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259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259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259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259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259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259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3" t="s">
        <v>236</v>
      </c>
      <c r="B405" s="104"/>
      <c r="C405" s="104"/>
      <c r="D405" s="104"/>
      <c r="E405" s="105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235</v>
      </c>
      <c r="O405" s="39">
        <v>507450</v>
      </c>
    </row>
    <row r="406" spans="1:15" ht="18" customHeight="1">
      <c r="A406" s="106" t="s">
        <v>237</v>
      </c>
      <c r="B406" s="107"/>
      <c r="C406" s="107"/>
      <c r="D406" s="107"/>
      <c r="E406" s="108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238</v>
      </c>
      <c r="O406" s="48">
        <f>IFERROR(O392+O405,"")</f>
        <v>907390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46</v>
      </c>
      <c r="E407" s="62" t="s">
        <v>259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259</v>
      </c>
      <c r="F408" s="27">
        <v>5</v>
      </c>
      <c r="G408" s="28">
        <f t="shared" si="90"/>
        <v>21</v>
      </c>
      <c r="H408" s="26" t="s">
        <v>17</v>
      </c>
      <c r="I408" s="26" t="s">
        <v>136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259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259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259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259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259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259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232</v>
      </c>
      <c r="F415" s="27">
        <v>3</v>
      </c>
      <c r="G415" s="34">
        <f t="shared" si="90"/>
        <v>15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232</v>
      </c>
      <c r="F416" s="27">
        <v>2</v>
      </c>
      <c r="G416" s="28">
        <f t="shared" si="90"/>
        <v>10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259</v>
      </c>
      <c r="F417" s="27">
        <v>6</v>
      </c>
      <c r="G417" s="34">
        <f t="shared" si="90"/>
        <v>25.200000000000003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259</v>
      </c>
      <c r="F418" s="27">
        <v>5</v>
      </c>
      <c r="G418" s="28">
        <f t="shared" si="90"/>
        <v>21</v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3" t="s">
        <v>234</v>
      </c>
      <c r="B419" s="104"/>
      <c r="C419" s="104"/>
      <c r="D419" s="104"/>
      <c r="E419" s="105">
        <f>SUM(E407:E418)</f>
        <v>0</v>
      </c>
      <c r="F419" s="36">
        <f>SUM(F407:F418)</f>
        <v>61</v>
      </c>
      <c r="G419" s="36">
        <f>SUM(G407:G418)</f>
        <v>260.2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235</v>
      </c>
      <c r="O419" s="39">
        <v>209000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232</v>
      </c>
      <c r="F420" s="27">
        <v>3</v>
      </c>
      <c r="G420" s="28">
        <f t="shared" ref="G420:G431" si="93">IF(F420="","",IF(E420="PC 17",F420*4.2,IF(E420="PC 19",F420*5,"")))</f>
        <v>15</v>
      </c>
      <c r="H420" s="26" t="s">
        <v>18</v>
      </c>
      <c r="I420" s="26" t="s">
        <v>166</v>
      </c>
      <c r="J420" s="26" t="s">
        <v>116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96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259</v>
      </c>
      <c r="F421" s="27">
        <v>0</v>
      </c>
      <c r="G421" s="34">
        <f t="shared" si="93"/>
        <v>0</v>
      </c>
      <c r="H421" s="33" t="s">
        <v>20</v>
      </c>
      <c r="I421" s="33" t="s">
        <v>47</v>
      </c>
      <c r="J421" s="33" t="s">
        <v>36</v>
      </c>
      <c r="K421" s="29">
        <v>0.95138888888888884</v>
      </c>
      <c r="L421" s="29">
        <v>0.96736111111111112</v>
      </c>
      <c r="M421" s="95">
        <f t="shared" ca="1" si="94"/>
        <v>1.5972222222222276E-2</v>
      </c>
      <c r="N421" s="97" t="s">
        <v>307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259</v>
      </c>
      <c r="F422" s="27">
        <v>0</v>
      </c>
      <c r="G422" s="28">
        <f t="shared" si="93"/>
        <v>0</v>
      </c>
      <c r="H422" s="26"/>
      <c r="I422" s="26"/>
      <c r="J422" s="26"/>
      <c r="K422" s="29"/>
      <c r="L422" s="29"/>
      <c r="M422" s="30" t="str">
        <f t="shared" ca="1" si="94"/>
        <v/>
      </c>
      <c r="N422" s="94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259</v>
      </c>
      <c r="F423" s="27">
        <v>10</v>
      </c>
      <c r="G423" s="34">
        <f t="shared" si="93"/>
        <v>42</v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259</v>
      </c>
      <c r="F424" s="27">
        <v>7</v>
      </c>
      <c r="G424" s="28">
        <f t="shared" si="93"/>
        <v>29.400000000000002</v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259</v>
      </c>
      <c r="F425" s="27">
        <v>1</v>
      </c>
      <c r="G425" s="34">
        <f t="shared" si="93"/>
        <v>4.2</v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259</v>
      </c>
      <c r="F426" s="27">
        <v>3</v>
      </c>
      <c r="G426" s="28">
        <f t="shared" si="93"/>
        <v>12.600000000000001</v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259</v>
      </c>
      <c r="F427" s="27">
        <v>3</v>
      </c>
      <c r="G427" s="34">
        <f t="shared" si="93"/>
        <v>12.600000000000001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259</v>
      </c>
      <c r="F428" s="27">
        <v>12</v>
      </c>
      <c r="G428" s="28">
        <f t="shared" si="93"/>
        <v>50.400000000000006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259</v>
      </c>
      <c r="F429" s="27">
        <v>4</v>
      </c>
      <c r="G429" s="34">
        <f t="shared" si="93"/>
        <v>16.8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259</v>
      </c>
      <c r="F430" s="27">
        <v>11</v>
      </c>
      <c r="G430" s="28">
        <f t="shared" si="93"/>
        <v>46.2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259</v>
      </c>
      <c r="F431" s="27">
        <v>0</v>
      </c>
      <c r="G431" s="34">
        <f t="shared" si="93"/>
        <v>0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3" t="s">
        <v>236</v>
      </c>
      <c r="B432" s="104"/>
      <c r="C432" s="104"/>
      <c r="D432" s="104"/>
      <c r="E432" s="105">
        <f>SUM(E420:E431)</f>
        <v>0</v>
      </c>
      <c r="F432" s="36">
        <f>SUM(F420:F431)</f>
        <v>54</v>
      </c>
      <c r="G432" s="36">
        <f>SUM(G420:G431)</f>
        <v>229.20000000000005</v>
      </c>
      <c r="H432" s="37"/>
      <c r="I432" s="37"/>
      <c r="J432" s="37"/>
      <c r="K432" s="37"/>
      <c r="L432" s="37"/>
      <c r="M432" s="38">
        <f ca="1">IFERROR(SUM(M420:M431),"")</f>
        <v>0.15069444444444446</v>
      </c>
      <c r="N432" s="36" t="s">
        <v>235</v>
      </c>
      <c r="O432" s="39">
        <v>229150</v>
      </c>
    </row>
    <row r="433" spans="1:15" ht="18" customHeight="1">
      <c r="A433" s="106" t="s">
        <v>237</v>
      </c>
      <c r="B433" s="107"/>
      <c r="C433" s="107"/>
      <c r="D433" s="107"/>
      <c r="E433" s="108">
        <f>E419+E432</f>
        <v>0</v>
      </c>
      <c r="F433" s="40">
        <f>F419+F432</f>
        <v>115</v>
      </c>
      <c r="G433" s="40">
        <f>G419+G432</f>
        <v>489.40000000000003</v>
      </c>
      <c r="H433" s="41"/>
      <c r="I433" s="41"/>
      <c r="J433" s="41"/>
      <c r="K433" s="41"/>
      <c r="L433" s="41"/>
      <c r="M433" s="42">
        <f ca="1">IFERROR(M419+M432,"")</f>
        <v>0.24236111111111114</v>
      </c>
      <c r="N433" s="40" t="s">
        <v>238</v>
      </c>
      <c r="O433" s="48">
        <f>IFERROR(O419+O432,"")</f>
        <v>438150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259</v>
      </c>
      <c r="F434" s="27">
        <v>9</v>
      </c>
      <c r="G434" s="28">
        <f t="shared" ref="G434:G445" si="96">IF(F434="","",IF(E434="PC 17",F434*4.2,IF(E434="PC 19",F434*5,"")))</f>
        <v>37.800000000000004</v>
      </c>
      <c r="H434" s="26" t="s">
        <v>17</v>
      </c>
      <c r="I434" s="26" t="s">
        <v>47</v>
      </c>
      <c r="J434" s="26" t="s">
        <v>87</v>
      </c>
      <c r="K434" s="29">
        <v>0.54166666666666663</v>
      </c>
      <c r="L434" s="29">
        <v>0.73958333333333337</v>
      </c>
      <c r="M434" s="30">
        <f t="shared" ref="M434:M445" ca="1" si="97">IFERROR(IF(K434="","",IF(L434="",MOD(NOW()-K434,1),IF(L434&gt;=K434,L434-K434,L434+1-K434))),"")</f>
        <v>0.19791666666666674</v>
      </c>
      <c r="N434" s="27" t="s">
        <v>358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259</v>
      </c>
      <c r="F435" s="27">
        <v>6</v>
      </c>
      <c r="G435" s="28">
        <f t="shared" si="96"/>
        <v>25.200000000000003</v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259</v>
      </c>
      <c r="F436" s="27">
        <v>6</v>
      </c>
      <c r="G436" s="28">
        <f t="shared" si="96"/>
        <v>25.200000000000003</v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259</v>
      </c>
      <c r="F437" s="27">
        <v>6</v>
      </c>
      <c r="G437" s="34">
        <f t="shared" si="96"/>
        <v>25.200000000000003</v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259</v>
      </c>
      <c r="F438" s="27">
        <v>3</v>
      </c>
      <c r="G438" s="28">
        <f t="shared" si="96"/>
        <v>12.600000000000001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259</v>
      </c>
      <c r="F439" s="27">
        <v>2</v>
      </c>
      <c r="G439" s="34">
        <f t="shared" si="96"/>
        <v>8.4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259</v>
      </c>
      <c r="F440" s="27">
        <v>0</v>
      </c>
      <c r="G440" s="28">
        <f t="shared" si="96"/>
        <v>0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259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259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259</v>
      </c>
      <c r="F443" s="27">
        <v>1</v>
      </c>
      <c r="G443" s="34">
        <f t="shared" si="96"/>
        <v>4.2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259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259</v>
      </c>
      <c r="F445" s="27">
        <v>2</v>
      </c>
      <c r="G445" s="34">
        <f t="shared" si="96"/>
        <v>8.4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3" t="s">
        <v>234</v>
      </c>
      <c r="B446" s="104"/>
      <c r="C446" s="104"/>
      <c r="D446" s="104"/>
      <c r="E446" s="105">
        <f>SUM(E434:E445)</f>
        <v>0</v>
      </c>
      <c r="F446" s="36">
        <f>SUM(F434:F445)</f>
        <v>35</v>
      </c>
      <c r="G446" s="36">
        <f>SUM(G434:G445)</f>
        <v>147.00000000000003</v>
      </c>
      <c r="H446" s="37"/>
      <c r="I446" s="37"/>
      <c r="J446" s="37"/>
      <c r="K446" s="37"/>
      <c r="L446" s="37"/>
      <c r="M446" s="38">
        <f ca="1">IFERROR(SUM(M434:M445),"")</f>
        <v>0.19791666666666674</v>
      </c>
      <c r="N446" s="36" t="s">
        <v>235</v>
      </c>
      <c r="O446" s="39">
        <v>191330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232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0.82638888888888884</v>
      </c>
      <c r="L447" s="29">
        <v>0.82847222222222228</v>
      </c>
      <c r="M447" s="35">
        <f t="shared" ref="M447:M458" ca="1" si="100">IFERROR(IF(K447="","",IF(L447="",MOD(NOW()-K447,1),IF(L447&gt;=K447,L447-K447,L447+1-K447))),"")</f>
        <v>2.083333333333437E-3</v>
      </c>
      <c r="N447" s="27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232</v>
      </c>
      <c r="F448" s="27">
        <v>6</v>
      </c>
      <c r="G448" s="28">
        <f t="shared" si="99"/>
        <v>30</v>
      </c>
      <c r="H448" s="26" t="s">
        <v>20</v>
      </c>
      <c r="I448" s="26" t="s">
        <v>47</v>
      </c>
      <c r="J448" s="26" t="s">
        <v>51</v>
      </c>
      <c r="K448" s="29">
        <v>0.85833333333333328</v>
      </c>
      <c r="L448" s="29">
        <v>0.86319444444444449</v>
      </c>
      <c r="M448" s="30">
        <f t="shared" ca="1" si="100"/>
        <v>4.8611111111112049E-3</v>
      </c>
      <c r="N448" s="27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232</v>
      </c>
      <c r="F449" s="27">
        <v>8</v>
      </c>
      <c r="G449" s="34">
        <f t="shared" si="99"/>
        <v>40</v>
      </c>
      <c r="H449" s="33" t="s">
        <v>20</v>
      </c>
      <c r="I449" s="33" t="s">
        <v>47</v>
      </c>
      <c r="J449" s="33" t="s">
        <v>51</v>
      </c>
      <c r="K449" s="29">
        <v>0.89444444444444449</v>
      </c>
      <c r="L449" s="29">
        <v>0.90694444444444444</v>
      </c>
      <c r="M449" s="35">
        <f t="shared" ca="1" si="100"/>
        <v>1.2499999999999956E-2</v>
      </c>
      <c r="N449" s="27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232</v>
      </c>
      <c r="F450" s="27">
        <v>7</v>
      </c>
      <c r="G450" s="28">
        <f t="shared" si="99"/>
        <v>35</v>
      </c>
      <c r="H450" s="26" t="s">
        <v>20</v>
      </c>
      <c r="I450" s="26" t="s">
        <v>47</v>
      </c>
      <c r="J450" s="26" t="s">
        <v>28</v>
      </c>
      <c r="K450" s="29">
        <v>0.97013888888888888</v>
      </c>
      <c r="L450" s="29">
        <v>0.97986111111111107</v>
      </c>
      <c r="M450" s="30">
        <f t="shared" ca="1" si="100"/>
        <v>9.7222222222221877E-3</v>
      </c>
      <c r="N450" s="27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232</v>
      </c>
      <c r="F451" s="27">
        <v>8</v>
      </c>
      <c r="G451" s="34">
        <f t="shared" si="99"/>
        <v>40</v>
      </c>
      <c r="H451" s="33" t="s">
        <v>20</v>
      </c>
      <c r="I451" s="33" t="s">
        <v>47</v>
      </c>
      <c r="J451" s="33" t="s">
        <v>51</v>
      </c>
      <c r="K451" s="29">
        <v>4.8611111111111112E-2</v>
      </c>
      <c r="L451" s="29">
        <v>6.8750000000000006E-2</v>
      </c>
      <c r="M451" s="35">
        <f t="shared" ca="1" si="100"/>
        <v>2.0138888888888894E-2</v>
      </c>
      <c r="N451" s="27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232</v>
      </c>
      <c r="F452" s="27">
        <v>8</v>
      </c>
      <c r="G452" s="28">
        <f t="shared" si="99"/>
        <v>40</v>
      </c>
      <c r="H452" s="26"/>
      <c r="I452" s="26"/>
      <c r="J452" s="26"/>
      <c r="K452" s="29">
        <v>0.13680555555555557</v>
      </c>
      <c r="L452" s="29">
        <v>0.15763888888888888</v>
      </c>
      <c r="M452" s="30">
        <f t="shared" ca="1" si="100"/>
        <v>2.0833333333333315E-2</v>
      </c>
      <c r="N452" s="27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232</v>
      </c>
      <c r="F453" s="27">
        <v>0</v>
      </c>
      <c r="G453" s="34">
        <f t="shared" si="99"/>
        <v>0</v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232</v>
      </c>
      <c r="F454" s="27">
        <v>11</v>
      </c>
      <c r="G454" s="28">
        <f t="shared" si="99"/>
        <v>55</v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232</v>
      </c>
      <c r="F455" s="27">
        <v>7</v>
      </c>
      <c r="G455" s="34">
        <f t="shared" si="99"/>
        <v>35</v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232</v>
      </c>
      <c r="F456" s="27">
        <v>2</v>
      </c>
      <c r="G456" s="28">
        <f t="shared" si="99"/>
        <v>10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232</v>
      </c>
      <c r="F457" s="27">
        <v>2</v>
      </c>
      <c r="G457" s="34">
        <f t="shared" si="99"/>
        <v>10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232</v>
      </c>
      <c r="F458" s="27">
        <v>2</v>
      </c>
      <c r="G458" s="28">
        <f t="shared" si="99"/>
        <v>10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3" t="s">
        <v>236</v>
      </c>
      <c r="B459" s="104"/>
      <c r="C459" s="104"/>
      <c r="D459" s="104"/>
      <c r="E459" s="105">
        <f>SUM(E447:E458)</f>
        <v>0</v>
      </c>
      <c r="F459" s="36">
        <f>SUM(F447:F458)</f>
        <v>61</v>
      </c>
      <c r="G459" s="36">
        <f>SUM(G447:G458)</f>
        <v>305</v>
      </c>
      <c r="H459" s="37"/>
      <c r="I459" s="37"/>
      <c r="J459" s="37"/>
      <c r="K459" s="37"/>
      <c r="L459" s="37"/>
      <c r="M459" s="38">
        <f ca="1">IFERROR(SUM(M447:M458),"")</f>
        <v>7.0138888888889001E-2</v>
      </c>
      <c r="N459" s="36" t="s">
        <v>235</v>
      </c>
      <c r="O459" s="39">
        <v>409980</v>
      </c>
    </row>
    <row r="460" spans="1:15" ht="18" customHeight="1">
      <c r="A460" s="106" t="s">
        <v>237</v>
      </c>
      <c r="B460" s="107"/>
      <c r="C460" s="107"/>
      <c r="D460" s="107"/>
      <c r="E460" s="108">
        <f>E446+E459</f>
        <v>0</v>
      </c>
      <c r="F460" s="40">
        <f>F446+F459</f>
        <v>96</v>
      </c>
      <c r="G460" s="40">
        <f>G446+G459</f>
        <v>452</v>
      </c>
      <c r="H460" s="41"/>
      <c r="I460" s="41"/>
      <c r="J460" s="41"/>
      <c r="K460" s="41"/>
      <c r="L460" s="41"/>
      <c r="M460" s="42">
        <f ca="1">IFERROR(M446+M459,"")</f>
        <v>0.26805555555555571</v>
      </c>
      <c r="N460" s="40" t="s">
        <v>238</v>
      </c>
      <c r="O460" s="48">
        <f>IFERROR(O446+O459,"")</f>
        <v>601310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232</v>
      </c>
      <c r="F461" s="27">
        <v>0</v>
      </c>
      <c r="G461" s="34">
        <f t="shared" ref="G461:G472" si="102">IF(F461="","",IF(E461="PC 17",F461*4.2,IF(E461="PC 19",F461*5,"")))</f>
        <v>0</v>
      </c>
      <c r="H461" s="33" t="s">
        <v>19</v>
      </c>
      <c r="I461" s="33" t="s">
        <v>47</v>
      </c>
      <c r="J461" s="33" t="s">
        <v>27</v>
      </c>
      <c r="K461" s="29">
        <v>0.2951388888888889</v>
      </c>
      <c r="L461" s="29">
        <v>0.31388888888888888</v>
      </c>
      <c r="M461" s="35">
        <f t="shared" ref="M461:M472" ca="1" si="103">IFERROR(IF(K461="","",IF(L461="",MOD(NOW()-K461,1),IF(L461&gt;=K461,L461-K461,L461+1-K461))),"")</f>
        <v>1.8749999999999989E-2</v>
      </c>
      <c r="N461" s="27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232</v>
      </c>
      <c r="F462" s="27">
        <v>7</v>
      </c>
      <c r="G462" s="28">
        <f t="shared" si="102"/>
        <v>35</v>
      </c>
      <c r="H462" s="26" t="s">
        <v>18</v>
      </c>
      <c r="I462" s="26" t="s">
        <v>147</v>
      </c>
      <c r="J462" s="26" t="s">
        <v>128</v>
      </c>
      <c r="K462" s="29">
        <v>0.49652777777777779</v>
      </c>
      <c r="L462" s="29">
        <v>0.50902777777777775</v>
      </c>
      <c r="M462" s="30">
        <f t="shared" ca="1" si="103"/>
        <v>1.2499999999999956E-2</v>
      </c>
      <c r="N462" s="27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232</v>
      </c>
      <c r="F463" s="27">
        <v>3</v>
      </c>
      <c r="G463" s="34">
        <f t="shared" si="102"/>
        <v>15</v>
      </c>
      <c r="H463" s="33" t="s">
        <v>20</v>
      </c>
      <c r="I463" s="33" t="s">
        <v>69</v>
      </c>
      <c r="J463" s="33" t="s">
        <v>202</v>
      </c>
      <c r="K463" s="29">
        <v>0.5541666666666667</v>
      </c>
      <c r="L463" s="29">
        <v>0.65277777777777779</v>
      </c>
      <c r="M463" s="35">
        <f t="shared" ca="1" si="103"/>
        <v>9.8611111111111094E-2</v>
      </c>
      <c r="N463" s="27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232</v>
      </c>
      <c r="F464" s="27">
        <v>5</v>
      </c>
      <c r="G464" s="28">
        <f t="shared" si="102"/>
        <v>25</v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232</v>
      </c>
      <c r="F465" s="27">
        <v>4</v>
      </c>
      <c r="G465" s="34">
        <f t="shared" si="102"/>
        <v>20</v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232</v>
      </c>
      <c r="F466" s="27">
        <v>0</v>
      </c>
      <c r="G466" s="28">
        <f t="shared" si="102"/>
        <v>0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232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232</v>
      </c>
      <c r="F468" s="27">
        <v>0</v>
      </c>
      <c r="G468" s="28">
        <f t="shared" si="102"/>
        <v>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38</v>
      </c>
      <c r="E469" s="62" t="s">
        <v>232</v>
      </c>
      <c r="F469" s="27">
        <v>4</v>
      </c>
      <c r="G469" s="34">
        <f t="shared" si="102"/>
        <v>20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38</v>
      </c>
      <c r="E470" s="62" t="s">
        <v>232</v>
      </c>
      <c r="F470" s="27">
        <v>3</v>
      </c>
      <c r="G470" s="28">
        <f t="shared" si="102"/>
        <v>15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38</v>
      </c>
      <c r="E471" s="62" t="s">
        <v>232</v>
      </c>
      <c r="F471" s="27">
        <v>2</v>
      </c>
      <c r="G471" s="34">
        <f t="shared" si="102"/>
        <v>10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38</v>
      </c>
      <c r="E472" s="62" t="s">
        <v>232</v>
      </c>
      <c r="F472" s="27">
        <v>2</v>
      </c>
      <c r="G472" s="28">
        <f t="shared" si="102"/>
        <v>10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3" t="s">
        <v>234</v>
      </c>
      <c r="B473" s="104"/>
      <c r="C473" s="104"/>
      <c r="D473" s="104"/>
      <c r="E473" s="105">
        <f>SUM(E461:E472)</f>
        <v>0</v>
      </c>
      <c r="F473" s="36">
        <f>SUM(F461:F472)</f>
        <v>30</v>
      </c>
      <c r="G473" s="36">
        <f>SUM(G461:G472)</f>
        <v>150</v>
      </c>
      <c r="H473" s="37"/>
      <c r="I473" s="37"/>
      <c r="J473" s="37"/>
      <c r="K473" s="37"/>
      <c r="L473" s="37"/>
      <c r="M473" s="38">
        <f ca="1">IFERROR(SUM(M461:M472),"")</f>
        <v>0.12986111111111104</v>
      </c>
      <c r="N473" s="36" t="s">
        <v>235</v>
      </c>
      <c r="O473" s="39">
        <v>228940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232</v>
      </c>
      <c r="F474" s="27">
        <v>8</v>
      </c>
      <c r="G474" s="28">
        <f t="shared" ref="G474:G485" si="105">IF(F474="","",IF(E474="PC 17",F474*4.2,IF(E474="PC 19",F474*5,"")))</f>
        <v>40</v>
      </c>
      <c r="H474" s="26" t="s">
        <v>20</v>
      </c>
      <c r="I474" s="26" t="s">
        <v>47</v>
      </c>
      <c r="J474" s="26" t="s">
        <v>51</v>
      </c>
      <c r="K474" s="29">
        <v>0.7895833333333333</v>
      </c>
      <c r="L474" s="29">
        <v>0.79166666666666663</v>
      </c>
      <c r="M474" s="30">
        <f t="shared" ref="M474:M485" ca="1" si="106">IFERROR(IF(K474="","",IF(L474="",MOD(NOW()-K474,1),IF(L474&gt;=K474,L474-K474,L474+1-K474))),"")</f>
        <v>2.0833333333333259E-3</v>
      </c>
      <c r="N474" s="27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232</v>
      </c>
      <c r="F475" s="27">
        <v>7</v>
      </c>
      <c r="G475" s="34">
        <f t="shared" si="105"/>
        <v>35</v>
      </c>
      <c r="H475" s="33" t="s">
        <v>20</v>
      </c>
      <c r="I475" s="33" t="s">
        <v>47</v>
      </c>
      <c r="J475" s="33" t="s">
        <v>28</v>
      </c>
      <c r="K475" s="29">
        <v>0.80972222222222223</v>
      </c>
      <c r="L475" s="29">
        <v>0.8125</v>
      </c>
      <c r="M475" s="35">
        <f t="shared" ca="1" si="106"/>
        <v>2.7777777777777679E-3</v>
      </c>
      <c r="N475" s="27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232</v>
      </c>
      <c r="F476" s="27">
        <v>6</v>
      </c>
      <c r="G476" s="28">
        <f t="shared" si="105"/>
        <v>30</v>
      </c>
      <c r="H476" s="26" t="s">
        <v>20</v>
      </c>
      <c r="I476" s="26" t="s">
        <v>47</v>
      </c>
      <c r="J476" s="26" t="s">
        <v>51</v>
      </c>
      <c r="K476" s="29">
        <v>0.8305555555555556</v>
      </c>
      <c r="L476" s="29">
        <v>0.83333333333333337</v>
      </c>
      <c r="M476" s="30">
        <f t="shared" ca="1" si="106"/>
        <v>2.7777777777777679E-3</v>
      </c>
      <c r="N476" s="27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232</v>
      </c>
      <c r="F477" s="27">
        <v>6</v>
      </c>
      <c r="G477" s="34">
        <f t="shared" si="105"/>
        <v>30</v>
      </c>
      <c r="H477" s="33" t="s">
        <v>20</v>
      </c>
      <c r="I477" s="33" t="s">
        <v>47</v>
      </c>
      <c r="J477" s="33" t="s">
        <v>28</v>
      </c>
      <c r="K477" s="29">
        <v>0.95694444444444449</v>
      </c>
      <c r="L477" s="29">
        <v>0.97083333333333333</v>
      </c>
      <c r="M477" s="35">
        <f t="shared" ca="1" si="106"/>
        <v>1.388888888888884E-2</v>
      </c>
      <c r="N477" s="27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232</v>
      </c>
      <c r="F478" s="27">
        <v>6</v>
      </c>
      <c r="G478" s="28">
        <f t="shared" si="105"/>
        <v>30</v>
      </c>
      <c r="H478" s="26" t="s">
        <v>20</v>
      </c>
      <c r="I478" s="26" t="s">
        <v>47</v>
      </c>
      <c r="J478" s="26" t="s">
        <v>56</v>
      </c>
      <c r="K478" s="29">
        <v>7.6388888888888895E-2</v>
      </c>
      <c r="L478" s="29">
        <v>8.1944444444444445E-2</v>
      </c>
      <c r="M478" s="30">
        <f t="shared" ca="1" si="106"/>
        <v>5.5555555555555497E-3</v>
      </c>
      <c r="N478" s="27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232</v>
      </c>
      <c r="F479" s="27">
        <v>6</v>
      </c>
      <c r="G479" s="34">
        <f t="shared" si="105"/>
        <v>30</v>
      </c>
      <c r="H479" s="33" t="s">
        <v>20</v>
      </c>
      <c r="I479" s="33"/>
      <c r="J479" s="33" t="s">
        <v>74</v>
      </c>
      <c r="K479" s="29">
        <v>0.23819444444444443</v>
      </c>
      <c r="L479" s="29">
        <v>0.24652777777777779</v>
      </c>
      <c r="M479" s="35">
        <f t="shared" ca="1" si="106"/>
        <v>8.3333333333333592E-3</v>
      </c>
      <c r="N479" s="27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232</v>
      </c>
      <c r="F480" s="27">
        <v>2</v>
      </c>
      <c r="G480" s="28">
        <f t="shared" si="105"/>
        <v>10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232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232</v>
      </c>
      <c r="F482" s="27">
        <v>4</v>
      </c>
      <c r="G482" s="28">
        <f t="shared" si="105"/>
        <v>20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232</v>
      </c>
      <c r="F483" s="27">
        <v>6</v>
      </c>
      <c r="G483" s="34">
        <f t="shared" si="105"/>
        <v>30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232</v>
      </c>
      <c r="F484" s="27">
        <v>6</v>
      </c>
      <c r="G484" s="28">
        <f t="shared" si="105"/>
        <v>30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232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3" t="s">
        <v>236</v>
      </c>
      <c r="B486" s="104"/>
      <c r="C486" s="104"/>
      <c r="D486" s="104"/>
      <c r="E486" s="105">
        <f>SUM(E474:E485)</f>
        <v>0</v>
      </c>
      <c r="F486" s="36">
        <f>SUM(F474:F485)</f>
        <v>67</v>
      </c>
      <c r="G486" s="36">
        <f>SUM(G474:G485)</f>
        <v>335</v>
      </c>
      <c r="H486" s="37"/>
      <c r="I486" s="37"/>
      <c r="J486" s="37"/>
      <c r="K486" s="37"/>
      <c r="L486" s="37"/>
      <c r="M486" s="38">
        <f ca="1">IFERROR(SUM(M474:M485),"")</f>
        <v>3.541666666666661E-2</v>
      </c>
      <c r="N486" s="36" t="s">
        <v>235</v>
      </c>
      <c r="O486" s="39">
        <v>341550</v>
      </c>
    </row>
    <row r="487" spans="1:15" ht="18" customHeight="1">
      <c r="A487" s="106" t="s">
        <v>237</v>
      </c>
      <c r="B487" s="107"/>
      <c r="C487" s="107"/>
      <c r="D487" s="107"/>
      <c r="E487" s="108">
        <f>E473+E486</f>
        <v>0</v>
      </c>
      <c r="F487" s="40">
        <f>F473+F486</f>
        <v>97</v>
      </c>
      <c r="G487" s="40">
        <f>G473+G486</f>
        <v>485</v>
      </c>
      <c r="H487" s="41"/>
      <c r="I487" s="41"/>
      <c r="J487" s="41"/>
      <c r="K487" s="41"/>
      <c r="L487" s="41"/>
      <c r="M487" s="42">
        <f ca="1">IFERROR(M473+M486,"")</f>
        <v>0.16527777777777763</v>
      </c>
      <c r="N487" s="40" t="s">
        <v>238</v>
      </c>
      <c r="O487" s="48">
        <f>IFERROR(O473+O486,"")</f>
        <v>570490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232</v>
      </c>
      <c r="F488" s="27">
        <v>8</v>
      </c>
      <c r="G488" s="28">
        <f t="shared" ref="G488:G499" si="108">IF(F488="","",IF(E488="PC 17",F488*4.2,IF(E488="PC 19",F488*5,"")))</f>
        <v>40</v>
      </c>
      <c r="H488" s="26" t="s">
        <v>20</v>
      </c>
      <c r="I488" s="26" t="s">
        <v>47</v>
      </c>
      <c r="J488" s="26" t="s">
        <v>56</v>
      </c>
      <c r="K488" s="29">
        <v>0.59722222222222221</v>
      </c>
      <c r="L488" s="29">
        <v>0.61458333333333337</v>
      </c>
      <c r="M488" s="30">
        <f t="shared" ref="M488:M499" ca="1" si="109">IFERROR(IF(K488="","",IF(L488="",MOD(NOW()-K488,1),IF(L488&gt;=K488,L488-K488,L488+1-K488))),"")</f>
        <v>1.736111111111116E-2</v>
      </c>
      <c r="N488" s="27" t="s">
        <v>359</v>
      </c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232</v>
      </c>
      <c r="F489" s="27">
        <v>5</v>
      </c>
      <c r="G489" s="34">
        <f t="shared" si="108"/>
        <v>25</v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232</v>
      </c>
      <c r="F490" s="27">
        <v>2</v>
      </c>
      <c r="G490" s="28">
        <f t="shared" si="108"/>
        <v>10</v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232</v>
      </c>
      <c r="F491" s="27">
        <v>5</v>
      </c>
      <c r="G491" s="34">
        <f t="shared" si="108"/>
        <v>25</v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232</v>
      </c>
      <c r="F492" s="27">
        <v>5</v>
      </c>
      <c r="G492" s="28">
        <f t="shared" si="108"/>
        <v>25</v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232</v>
      </c>
      <c r="F493" s="27">
        <v>2</v>
      </c>
      <c r="G493" s="34">
        <f t="shared" si="108"/>
        <v>10</v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259</v>
      </c>
      <c r="F494" s="27">
        <v>6</v>
      </c>
      <c r="G494" s="28">
        <f t="shared" si="108"/>
        <v>25.200000000000003</v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259</v>
      </c>
      <c r="F495" s="27">
        <v>2</v>
      </c>
      <c r="G495" s="34">
        <f t="shared" si="108"/>
        <v>8.4</v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259</v>
      </c>
      <c r="F496" s="27">
        <v>6</v>
      </c>
      <c r="G496" s="28">
        <f t="shared" si="108"/>
        <v>25.200000000000003</v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259</v>
      </c>
      <c r="F497" s="27">
        <v>7</v>
      </c>
      <c r="G497" s="34">
        <f t="shared" si="108"/>
        <v>29.400000000000002</v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259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259</v>
      </c>
      <c r="F499" s="27">
        <v>2</v>
      </c>
      <c r="G499" s="34">
        <f t="shared" si="108"/>
        <v>8.4</v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3" t="s">
        <v>234</v>
      </c>
      <c r="B500" s="104"/>
      <c r="C500" s="104"/>
      <c r="D500" s="104"/>
      <c r="E500" s="105">
        <f>SUM(E488:E499)</f>
        <v>0</v>
      </c>
      <c r="F500" s="36">
        <f>SUM(F488:F499)</f>
        <v>54</v>
      </c>
      <c r="G500" s="36">
        <f>SUM(G488:G499)</f>
        <v>248.40000000000003</v>
      </c>
      <c r="H500" s="37"/>
      <c r="I500" s="37"/>
      <c r="J500" s="37"/>
      <c r="K500" s="37"/>
      <c r="L500" s="37"/>
      <c r="M500" s="38">
        <f ca="1">IFERROR(SUM(M488:M499),"")</f>
        <v>1.736111111111116E-2</v>
      </c>
      <c r="N500" s="36" t="s">
        <v>235</v>
      </c>
      <c r="O500" s="39">
        <v>316430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259</v>
      </c>
      <c r="F501" s="27">
        <v>14</v>
      </c>
      <c r="G501" s="34">
        <f t="shared" ref="G501:G512" si="111">IF(F501="","",IF(E501="PC 17",F501*4.2,IF(E501="PC 19",F501*5,"")))</f>
        <v>58.800000000000004</v>
      </c>
      <c r="H501" s="33" t="s">
        <v>19</v>
      </c>
      <c r="I501" s="33" t="s">
        <v>47</v>
      </c>
      <c r="J501" s="33" t="s">
        <v>27</v>
      </c>
      <c r="K501" s="29">
        <v>0.19930555555555557</v>
      </c>
      <c r="L501" s="29">
        <v>0.21736111111111112</v>
      </c>
      <c r="M501" s="35">
        <f t="shared" ref="M501:M512" ca="1" si="112">IFERROR(IF(K501="","",IF(L501="",MOD(NOW()-K501,1),IF(L501&gt;=K501,L501-K501,L501+1-K501))),"")</f>
        <v>1.8055555555555547E-2</v>
      </c>
      <c r="N501" s="27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232</v>
      </c>
      <c r="F502" s="27">
        <v>5</v>
      </c>
      <c r="G502" s="28">
        <f t="shared" si="111"/>
        <v>25</v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259</v>
      </c>
      <c r="F503" s="27">
        <v>0</v>
      </c>
      <c r="G503" s="34">
        <f t="shared" si="111"/>
        <v>0</v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259</v>
      </c>
      <c r="F504" s="27">
        <v>11</v>
      </c>
      <c r="G504" s="28">
        <f t="shared" si="111"/>
        <v>46.2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259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259</v>
      </c>
      <c r="F506" s="27">
        <v>9</v>
      </c>
      <c r="G506" s="28">
        <f t="shared" si="111"/>
        <v>37.800000000000004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259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259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259</v>
      </c>
      <c r="F509" s="27">
        <v>6</v>
      </c>
      <c r="G509" s="34">
        <f t="shared" si="111"/>
        <v>25.200000000000003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259</v>
      </c>
      <c r="F510" s="27">
        <v>2</v>
      </c>
      <c r="G510" s="28">
        <f t="shared" si="111"/>
        <v>8.4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259</v>
      </c>
      <c r="F511" s="27">
        <v>4</v>
      </c>
      <c r="G511" s="34">
        <f t="shared" si="111"/>
        <v>16.8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259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3" t="s">
        <v>236</v>
      </c>
      <c r="B513" s="104"/>
      <c r="C513" s="104"/>
      <c r="D513" s="104"/>
      <c r="E513" s="105">
        <f>SUM(E501:E512)</f>
        <v>0</v>
      </c>
      <c r="F513" s="36">
        <f>SUM(F501:F512)</f>
        <v>57</v>
      </c>
      <c r="G513" s="36">
        <f>SUM(G501:G512)</f>
        <v>243.4</v>
      </c>
      <c r="H513" s="37"/>
      <c r="I513" s="37"/>
      <c r="J513" s="37"/>
      <c r="K513" s="37"/>
      <c r="L513" s="37"/>
      <c r="M513" s="38">
        <f ca="1">IFERROR(SUM(M501:M512),"")</f>
        <v>1.8055555555555547E-2</v>
      </c>
      <c r="N513" s="36" t="s">
        <v>235</v>
      </c>
      <c r="O513" s="39">
        <v>276610</v>
      </c>
    </row>
    <row r="514" spans="1:15" ht="18" customHeight="1">
      <c r="A514" s="106" t="s">
        <v>237</v>
      </c>
      <c r="B514" s="107"/>
      <c r="C514" s="107"/>
      <c r="D514" s="107"/>
      <c r="E514" s="108">
        <f>E500+E513</f>
        <v>0</v>
      </c>
      <c r="F514" s="40">
        <f>F500+F513</f>
        <v>111</v>
      </c>
      <c r="G514" s="40">
        <f>G500+G513</f>
        <v>491.80000000000007</v>
      </c>
      <c r="H514" s="41"/>
      <c r="I514" s="41"/>
      <c r="J514" s="41"/>
      <c r="K514" s="41"/>
      <c r="L514" s="41"/>
      <c r="M514" s="42">
        <f ca="1">IFERROR(M500+M513,"")</f>
        <v>3.5416666666666707E-2</v>
      </c>
      <c r="N514" s="40" t="s">
        <v>238</v>
      </c>
      <c r="O514" s="48">
        <f>IFERROR(O500+O513,"")</f>
        <v>593040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259</v>
      </c>
      <c r="F515" s="27">
        <v>9</v>
      </c>
      <c r="G515" s="34">
        <f t="shared" ref="G515:G526" si="114">IF(F515="","",IF(E515="PC 17",F515*4.2,IF(E515="PC 19",F515*5,"")))</f>
        <v>37.800000000000004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27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259</v>
      </c>
      <c r="F516" s="27">
        <v>7</v>
      </c>
      <c r="G516" s="28">
        <f t="shared" si="114"/>
        <v>29.400000000000002</v>
      </c>
      <c r="H516" s="49" t="s">
        <v>19</v>
      </c>
      <c r="I516" s="26" t="s">
        <v>47</v>
      </c>
      <c r="J516" s="49" t="s">
        <v>27</v>
      </c>
      <c r="K516" s="29">
        <v>0.5625</v>
      </c>
      <c r="L516" s="29">
        <v>0.57291666666666663</v>
      </c>
      <c r="M516" s="30">
        <f t="shared" ca="1" si="115"/>
        <v>1.041666666666663E-2</v>
      </c>
      <c r="N516" s="27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259</v>
      </c>
      <c r="F517" s="27">
        <v>6</v>
      </c>
      <c r="G517" s="34">
        <f t="shared" si="114"/>
        <v>25.200000000000003</v>
      </c>
      <c r="H517" s="33" t="s">
        <v>20</v>
      </c>
      <c r="I517" s="33" t="s">
        <v>47</v>
      </c>
      <c r="J517" s="33" t="s">
        <v>36</v>
      </c>
      <c r="K517" s="29">
        <v>0.57847222222222228</v>
      </c>
      <c r="L517" s="29">
        <v>0.58680555555555558</v>
      </c>
      <c r="M517" s="35">
        <f t="shared" ca="1" si="115"/>
        <v>8.3333333333333037E-3</v>
      </c>
      <c r="N517" s="27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259</v>
      </c>
      <c r="F518" s="27">
        <v>5</v>
      </c>
      <c r="G518" s="28">
        <f t="shared" si="114"/>
        <v>21</v>
      </c>
      <c r="H518" s="33" t="s">
        <v>20</v>
      </c>
      <c r="I518" s="26" t="s">
        <v>47</v>
      </c>
      <c r="J518" s="26" t="s">
        <v>202</v>
      </c>
      <c r="K518" s="29">
        <v>0.54722222222222228</v>
      </c>
      <c r="L518" s="29">
        <v>0.62152777777777779</v>
      </c>
      <c r="M518" s="30">
        <f t="shared" ca="1" si="115"/>
        <v>7.4305555555555514E-2</v>
      </c>
      <c r="N518" s="27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259</v>
      </c>
      <c r="F519" s="27">
        <v>4</v>
      </c>
      <c r="G519" s="34">
        <f t="shared" si="114"/>
        <v>16.8</v>
      </c>
      <c r="H519" s="33" t="s">
        <v>20</v>
      </c>
      <c r="I519" s="33" t="s">
        <v>47</v>
      </c>
      <c r="J519" s="33" t="s">
        <v>51</v>
      </c>
      <c r="K519" s="29">
        <v>0.70416666666666672</v>
      </c>
      <c r="L519" s="29">
        <v>0.70694444444444449</v>
      </c>
      <c r="M519" s="35">
        <f t="shared" ca="1" si="115"/>
        <v>2.7777777777777679E-3</v>
      </c>
      <c r="N519" s="27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259</v>
      </c>
      <c r="F520" s="27">
        <v>5</v>
      </c>
      <c r="G520" s="28">
        <f t="shared" si="114"/>
        <v>21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259</v>
      </c>
      <c r="F521" s="27">
        <v>4</v>
      </c>
      <c r="G521" s="34">
        <f t="shared" si="114"/>
        <v>16.8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259</v>
      </c>
      <c r="F522" s="27">
        <v>2</v>
      </c>
      <c r="G522" s="28">
        <f t="shared" si="114"/>
        <v>8.4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259</v>
      </c>
      <c r="F523" s="27">
        <v>2</v>
      </c>
      <c r="G523" s="34">
        <f t="shared" si="114"/>
        <v>8.4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259</v>
      </c>
      <c r="F524" s="27">
        <v>3</v>
      </c>
      <c r="G524" s="28">
        <f t="shared" si="114"/>
        <v>12.600000000000001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259</v>
      </c>
      <c r="F525" s="27">
        <v>2</v>
      </c>
      <c r="G525" s="34">
        <f t="shared" si="114"/>
        <v>8.4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259</v>
      </c>
      <c r="F526" s="27">
        <v>2</v>
      </c>
      <c r="G526" s="28">
        <f t="shared" si="114"/>
        <v>8.4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3" t="s">
        <v>234</v>
      </c>
      <c r="B527" s="104"/>
      <c r="C527" s="104"/>
      <c r="D527" s="104"/>
      <c r="E527" s="105">
        <f>SUM(E515:E526)</f>
        <v>0</v>
      </c>
      <c r="F527" s="36">
        <f>SUM(F515:F526)</f>
        <v>51</v>
      </c>
      <c r="G527" s="36">
        <f>SUM(G515:G526)</f>
        <v>214.20000000000005</v>
      </c>
      <c r="H527" s="37"/>
      <c r="I527" s="37"/>
      <c r="J527" s="37"/>
      <c r="K527" s="37"/>
      <c r="L527" s="37"/>
      <c r="M527" s="38">
        <f ca="1">IFERROR(SUM(M515:M526),"")</f>
        <v>0.10416666666666657</v>
      </c>
      <c r="N527" s="36" t="s">
        <v>235</v>
      </c>
      <c r="O527" s="39">
        <v>234850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259</v>
      </c>
      <c r="F528" s="27">
        <v>0</v>
      </c>
      <c r="G528" s="28">
        <f t="shared" ref="G528:G539" si="117">IF(F528="","",IF(E528="PC 17",F528*4.2,IF(E528="PC 19",F528*5,"")))</f>
        <v>0</v>
      </c>
      <c r="H528" s="26" t="s">
        <v>20</v>
      </c>
      <c r="I528" s="26" t="s">
        <v>47</v>
      </c>
      <c r="J528" s="26" t="s">
        <v>51</v>
      </c>
      <c r="K528" s="29">
        <v>0.79861111111111116</v>
      </c>
      <c r="L528" s="29">
        <v>0.80694444444444446</v>
      </c>
      <c r="M528" s="30">
        <f t="shared" ref="M528:M539" ca="1" si="118">IFERROR(IF(K528="","",IF(L528="",MOD(NOW()-K528,1),IF(L528&gt;=K528,L528-K528,L528+1-K528))),"")</f>
        <v>8.3333333333333037E-3</v>
      </c>
      <c r="N528" s="27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259</v>
      </c>
      <c r="F529" s="27">
        <v>4</v>
      </c>
      <c r="G529" s="34">
        <f t="shared" si="117"/>
        <v>16.8</v>
      </c>
      <c r="H529" s="33" t="s">
        <v>20</v>
      </c>
      <c r="I529" s="33" t="s">
        <v>47</v>
      </c>
      <c r="J529" s="33" t="s">
        <v>51</v>
      </c>
      <c r="K529" s="29">
        <v>0.81041666666666667</v>
      </c>
      <c r="L529" s="29">
        <v>0.82708333333333328</v>
      </c>
      <c r="M529" s="35">
        <f t="shared" ca="1" si="118"/>
        <v>1.6666666666666607E-2</v>
      </c>
      <c r="N529" s="27" t="s">
        <v>360</v>
      </c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259</v>
      </c>
      <c r="F530" s="27">
        <v>8</v>
      </c>
      <c r="G530" s="28">
        <f t="shared" si="117"/>
        <v>33.6</v>
      </c>
      <c r="H530" s="26" t="s">
        <v>20</v>
      </c>
      <c r="I530" s="26" t="s">
        <v>47</v>
      </c>
      <c r="J530" s="26" t="s">
        <v>51</v>
      </c>
      <c r="K530" s="29">
        <v>0.85069444444444442</v>
      </c>
      <c r="L530" s="29">
        <v>0.85555555555555551</v>
      </c>
      <c r="M530" s="30">
        <f t="shared" ca="1" si="118"/>
        <v>4.8611111111110938E-3</v>
      </c>
      <c r="N530" s="27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259</v>
      </c>
      <c r="F531" s="27">
        <v>7</v>
      </c>
      <c r="G531" s="34">
        <f t="shared" si="117"/>
        <v>29.400000000000002</v>
      </c>
      <c r="H531" s="33" t="s">
        <v>20</v>
      </c>
      <c r="I531" s="33" t="s">
        <v>47</v>
      </c>
      <c r="J531" s="33" t="s">
        <v>51</v>
      </c>
      <c r="K531" s="29">
        <v>0.91388888888888886</v>
      </c>
      <c r="L531" s="29">
        <v>0.9194444444444444</v>
      </c>
      <c r="M531" s="35">
        <f t="shared" ca="1" si="118"/>
        <v>5.5555555555555358E-3</v>
      </c>
      <c r="N531" s="27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259</v>
      </c>
      <c r="F532" s="27">
        <v>0</v>
      </c>
      <c r="G532" s="28">
        <f t="shared" si="117"/>
        <v>0</v>
      </c>
      <c r="H532" s="26" t="s">
        <v>20</v>
      </c>
      <c r="I532" s="26" t="s">
        <v>47</v>
      </c>
      <c r="J532" s="26" t="s">
        <v>28</v>
      </c>
      <c r="K532" s="29">
        <v>0.97013888888888888</v>
      </c>
      <c r="L532" s="29">
        <v>1.0416666666666666E-2</v>
      </c>
      <c r="M532" s="30">
        <f t="shared" ca="1" si="118"/>
        <v>4.0277777777777857E-2</v>
      </c>
      <c r="N532" s="27" t="s">
        <v>361</v>
      </c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259</v>
      </c>
      <c r="F533" s="27">
        <v>8</v>
      </c>
      <c r="G533" s="34">
        <f t="shared" si="117"/>
        <v>33.6</v>
      </c>
      <c r="H533" s="33" t="s">
        <v>20</v>
      </c>
      <c r="I533" s="33" t="s">
        <v>47</v>
      </c>
      <c r="J533" s="33" t="s">
        <v>165</v>
      </c>
      <c r="K533" s="29">
        <v>2.5000000000000001E-2</v>
      </c>
      <c r="L533" s="29">
        <v>0.15</v>
      </c>
      <c r="M533" s="35">
        <f t="shared" ca="1" si="118"/>
        <v>0.125</v>
      </c>
      <c r="N533" s="27" t="s">
        <v>362</v>
      </c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259</v>
      </c>
      <c r="F534" s="27">
        <v>0</v>
      </c>
      <c r="G534" s="28">
        <f t="shared" si="117"/>
        <v>0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259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259</v>
      </c>
      <c r="F536" s="27">
        <v>4</v>
      </c>
      <c r="G536" s="28">
        <f t="shared" si="117"/>
        <v>16.8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259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259</v>
      </c>
      <c r="F538" s="27">
        <v>0</v>
      </c>
      <c r="G538" s="28">
        <f t="shared" si="117"/>
        <v>0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259</v>
      </c>
      <c r="F539" s="27">
        <v>12</v>
      </c>
      <c r="G539" s="34">
        <f t="shared" si="117"/>
        <v>50.400000000000006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3" t="s">
        <v>236</v>
      </c>
      <c r="B540" s="104"/>
      <c r="C540" s="104"/>
      <c r="D540" s="104"/>
      <c r="E540" s="105">
        <f>SUM(E528:E539)</f>
        <v>0</v>
      </c>
      <c r="F540" s="36">
        <f>SUM(F528:F539)</f>
        <v>43</v>
      </c>
      <c r="G540" s="36">
        <f>SUM(G528:G539)</f>
        <v>180.60000000000002</v>
      </c>
      <c r="H540" s="37"/>
      <c r="I540" s="37"/>
      <c r="J540" s="37"/>
      <c r="K540" s="37"/>
      <c r="L540" s="37"/>
      <c r="M540" s="38">
        <f ca="1">IFERROR(SUM(M528:M539),"")</f>
        <v>0.2006944444444444</v>
      </c>
      <c r="N540" s="36" t="s">
        <v>235</v>
      </c>
      <c r="O540" s="39">
        <v>194990</v>
      </c>
    </row>
    <row r="541" spans="1:15" ht="18" customHeight="1">
      <c r="A541" s="106" t="s">
        <v>237</v>
      </c>
      <c r="B541" s="107"/>
      <c r="C541" s="107"/>
      <c r="D541" s="107"/>
      <c r="E541" s="108">
        <f>E527+E540</f>
        <v>0</v>
      </c>
      <c r="F541" s="40">
        <f>F527+F540</f>
        <v>94</v>
      </c>
      <c r="G541" s="40">
        <f>G527+G540</f>
        <v>394.80000000000007</v>
      </c>
      <c r="H541" s="41"/>
      <c r="I541" s="41"/>
      <c r="J541" s="41"/>
      <c r="K541" s="41"/>
      <c r="L541" s="41"/>
      <c r="M541" s="42">
        <f ca="1">IFERROR(M527+M540,"")</f>
        <v>0.30486111111111097</v>
      </c>
      <c r="N541" s="40" t="s">
        <v>238</v>
      </c>
      <c r="O541" s="48">
        <f>IFERROR(O527+O540,"")</f>
        <v>429840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259</v>
      </c>
      <c r="F542" s="27">
        <v>2</v>
      </c>
      <c r="G542" s="28">
        <f t="shared" ref="G542:G553" si="120">IF(F542="","",IF(E542="PC 17",F542*4.2,IF(E542="PC 19",F542*5,"")))</f>
        <v>8.4</v>
      </c>
      <c r="H542" s="26" t="s">
        <v>18</v>
      </c>
      <c r="I542" s="26" t="s">
        <v>47</v>
      </c>
      <c r="J542" s="26" t="s">
        <v>128</v>
      </c>
      <c r="K542" s="29">
        <v>0.43055555555555558</v>
      </c>
      <c r="L542" s="29">
        <v>0.46527777777777779</v>
      </c>
      <c r="M542" s="30">
        <f t="shared" ref="M542:M553" ca="1" si="121">IFERROR(IF(K542="","",IF(L542="",MOD(NOW()-K542,1),IF(L542&gt;=K542,L542-K542,L542+1-K542))),"")</f>
        <v>3.472222222222221E-2</v>
      </c>
      <c r="N542" s="27" t="s">
        <v>363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259</v>
      </c>
      <c r="F543" s="27">
        <v>3</v>
      </c>
      <c r="G543" s="34">
        <f t="shared" si="120"/>
        <v>12.600000000000001</v>
      </c>
      <c r="H543" s="33" t="s">
        <v>20</v>
      </c>
      <c r="I543" s="33" t="s">
        <v>47</v>
      </c>
      <c r="J543" s="33" t="s">
        <v>28</v>
      </c>
      <c r="K543" s="29">
        <v>0.68055555555555558</v>
      </c>
      <c r="L543" s="29">
        <v>0.68541666666666667</v>
      </c>
      <c r="M543" s="35">
        <f t="shared" ca="1" si="121"/>
        <v>4.8611111111110938E-3</v>
      </c>
      <c r="N543" s="27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259</v>
      </c>
      <c r="F544" s="27">
        <v>5</v>
      </c>
      <c r="G544" s="28">
        <f t="shared" si="120"/>
        <v>21</v>
      </c>
      <c r="H544" s="26" t="s">
        <v>20</v>
      </c>
      <c r="I544" s="26" t="s">
        <v>121</v>
      </c>
      <c r="J544" s="26" t="s">
        <v>113</v>
      </c>
      <c r="K544" s="29">
        <v>0.75</v>
      </c>
      <c r="L544" s="29">
        <v>0.76736111111111116</v>
      </c>
      <c r="M544" s="30">
        <f t="shared" ca="1" si="121"/>
        <v>1.736111111111116E-2</v>
      </c>
      <c r="N544" s="27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259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259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259</v>
      </c>
      <c r="F547" s="27">
        <v>6</v>
      </c>
      <c r="G547" s="34">
        <f t="shared" si="120"/>
        <v>25.200000000000003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259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259</v>
      </c>
      <c r="F549" s="27">
        <v>4</v>
      </c>
      <c r="G549" s="34">
        <f t="shared" si="120"/>
        <v>16.8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259</v>
      </c>
      <c r="F550" s="27">
        <v>4</v>
      </c>
      <c r="G550" s="28">
        <f t="shared" si="120"/>
        <v>16.8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259</v>
      </c>
      <c r="F551" s="27">
        <v>3</v>
      </c>
      <c r="G551" s="34">
        <f t="shared" si="120"/>
        <v>12.600000000000001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259</v>
      </c>
      <c r="F552" s="27">
        <v>4</v>
      </c>
      <c r="G552" s="28">
        <f t="shared" si="120"/>
        <v>16.8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259</v>
      </c>
      <c r="F553" s="27">
        <v>2</v>
      </c>
      <c r="G553" s="34">
        <f t="shared" si="120"/>
        <v>8.4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3" t="s">
        <v>234</v>
      </c>
      <c r="B554" s="104"/>
      <c r="C554" s="104"/>
      <c r="D554" s="104"/>
      <c r="E554" s="105">
        <f>SUM(E542:E553)</f>
        <v>0</v>
      </c>
      <c r="F554" s="36">
        <f>SUM(F542:F553)</f>
        <v>33</v>
      </c>
      <c r="G554" s="36">
        <f>SUM(G542:G553)</f>
        <v>138.60000000000002</v>
      </c>
      <c r="H554" s="37"/>
      <c r="I554" s="37"/>
      <c r="J554" s="37"/>
      <c r="K554" s="37"/>
      <c r="L554" s="37"/>
      <c r="M554" s="38">
        <f ca="1">IFERROR(SUM(M542:M553),"")</f>
        <v>5.6944444444444464E-2</v>
      </c>
      <c r="N554" s="36" t="s">
        <v>235</v>
      </c>
      <c r="O554" s="39">
        <v>171920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259</v>
      </c>
      <c r="F555" s="27">
        <v>14</v>
      </c>
      <c r="G555" s="34">
        <f t="shared" ref="G555:G566" si="123">IF(F555="","",IF(E555="PC 17",F555*4.2,IF(E555="PC 19",F555*5,"")))</f>
        <v>58.800000000000004</v>
      </c>
      <c r="H555" s="33" t="s">
        <v>20</v>
      </c>
      <c r="I555" s="33" t="s">
        <v>47</v>
      </c>
      <c r="J555" s="33" t="s">
        <v>28</v>
      </c>
      <c r="K555" s="29">
        <v>0.98055555555555551</v>
      </c>
      <c r="L555" s="29">
        <v>0.98611111111111116</v>
      </c>
      <c r="M555" s="35">
        <f t="shared" ref="M555:M566" ca="1" si="124">IFERROR(IF(K555="","",IF(L555="",MOD(NOW()-K555,1),IF(L555&gt;=K555,L555-K555,L555+1-K555))),"")</f>
        <v>5.5555555555556468E-3</v>
      </c>
      <c r="N555" s="27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259</v>
      </c>
      <c r="F556" s="27">
        <v>3</v>
      </c>
      <c r="G556" s="28">
        <f t="shared" si="123"/>
        <v>12.600000000000001</v>
      </c>
      <c r="H556" s="26" t="s">
        <v>20</v>
      </c>
      <c r="I556" s="26" t="s">
        <v>47</v>
      </c>
      <c r="J556" s="26" t="s">
        <v>28</v>
      </c>
      <c r="K556" s="29">
        <v>0.14097222222222222</v>
      </c>
      <c r="L556" s="29">
        <v>0.14583333333333334</v>
      </c>
      <c r="M556" s="30">
        <f t="shared" ca="1" si="124"/>
        <v>4.8611111111111216E-3</v>
      </c>
      <c r="N556" s="27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259</v>
      </c>
      <c r="F557" s="27">
        <v>9</v>
      </c>
      <c r="G557" s="34">
        <f t="shared" si="123"/>
        <v>37.800000000000004</v>
      </c>
      <c r="H557" s="33" t="s">
        <v>20</v>
      </c>
      <c r="I557" s="33" t="s">
        <v>47</v>
      </c>
      <c r="J557" s="33" t="s">
        <v>181</v>
      </c>
      <c r="K557" s="29">
        <v>0.16666666666666666</v>
      </c>
      <c r="L557" s="29">
        <v>0.18888888888888888</v>
      </c>
      <c r="M557" s="35">
        <f t="shared" ca="1" si="124"/>
        <v>2.2222222222222227E-2</v>
      </c>
      <c r="N557" s="27" t="s">
        <v>364</v>
      </c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259</v>
      </c>
      <c r="F558" s="27">
        <v>0</v>
      </c>
      <c r="G558" s="28">
        <f t="shared" si="123"/>
        <v>0</v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259</v>
      </c>
      <c r="F559" s="27">
        <v>15</v>
      </c>
      <c r="G559" s="34">
        <f t="shared" si="123"/>
        <v>63</v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259</v>
      </c>
      <c r="F560" s="27">
        <v>10</v>
      </c>
      <c r="G560" s="28">
        <f t="shared" si="123"/>
        <v>42</v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259</v>
      </c>
      <c r="F561" s="27">
        <v>7</v>
      </c>
      <c r="G561" s="34">
        <f t="shared" si="123"/>
        <v>29.400000000000002</v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259</v>
      </c>
      <c r="F562" s="27">
        <v>12</v>
      </c>
      <c r="G562" s="28">
        <f t="shared" si="123"/>
        <v>50.400000000000006</v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259</v>
      </c>
      <c r="F563" s="27">
        <v>11</v>
      </c>
      <c r="G563" s="34">
        <f t="shared" si="123"/>
        <v>46.2</v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259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259</v>
      </c>
      <c r="F565" s="27">
        <v>6</v>
      </c>
      <c r="G565" s="34">
        <f t="shared" si="123"/>
        <v>25.200000000000003</v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259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3" t="s">
        <v>236</v>
      </c>
      <c r="B567" s="104"/>
      <c r="C567" s="104"/>
      <c r="D567" s="104"/>
      <c r="E567" s="105">
        <f>SUM(E555:E566)</f>
        <v>0</v>
      </c>
      <c r="F567" s="36">
        <f>SUM(F555:F566)</f>
        <v>87</v>
      </c>
      <c r="G567" s="36">
        <f>SUM(G555:G566)</f>
        <v>365.4</v>
      </c>
      <c r="H567" s="37"/>
      <c r="I567" s="37"/>
      <c r="J567" s="37"/>
      <c r="K567" s="37"/>
      <c r="L567" s="37"/>
      <c r="M567" s="38">
        <f ca="1">IFERROR(SUM(M555:M566),"")</f>
        <v>3.2638888888888995E-2</v>
      </c>
      <c r="N567" s="36" t="s">
        <v>235</v>
      </c>
      <c r="O567" s="39">
        <v>315860</v>
      </c>
    </row>
    <row r="568" spans="1:15" ht="18" customHeight="1">
      <c r="A568" s="106" t="s">
        <v>237</v>
      </c>
      <c r="B568" s="107"/>
      <c r="C568" s="107"/>
      <c r="D568" s="107"/>
      <c r="E568" s="108">
        <f>E554+E567</f>
        <v>0</v>
      </c>
      <c r="F568" s="40">
        <f>F554+F567</f>
        <v>120</v>
      </c>
      <c r="G568" s="40">
        <f>G554+G567</f>
        <v>504</v>
      </c>
      <c r="H568" s="41"/>
      <c r="I568" s="41"/>
      <c r="J568" s="41"/>
      <c r="K568" s="41"/>
      <c r="L568" s="41"/>
      <c r="M568" s="42">
        <f ca="1">IFERROR(M554+M567,"")</f>
        <v>8.9583333333333459E-2</v>
      </c>
      <c r="N568" s="40" t="s">
        <v>238</v>
      </c>
      <c r="O568" s="48">
        <f>IFERROR(O554+O567,"")</f>
        <v>487780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259</v>
      </c>
      <c r="F569" s="27">
        <v>6</v>
      </c>
      <c r="G569" s="34">
        <f t="shared" ref="G569:G580" si="126">IF(F569="","",IF(E569="PC 17",F569*4.2,IF(E569="PC 19",F569*5,"")))</f>
        <v>25.200000000000003</v>
      </c>
      <c r="H569" s="33" t="s">
        <v>20</v>
      </c>
      <c r="I569" s="33" t="s">
        <v>155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27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259</v>
      </c>
      <c r="F570" s="27">
        <v>0</v>
      </c>
      <c r="G570" s="34">
        <f t="shared" si="126"/>
        <v>0</v>
      </c>
      <c r="H570" s="26" t="s">
        <v>20</v>
      </c>
      <c r="I570" s="26" t="s">
        <v>47</v>
      </c>
      <c r="J570" s="26" t="s">
        <v>51</v>
      </c>
      <c r="K570" s="29">
        <v>0.3347222222222222</v>
      </c>
      <c r="L570" s="29">
        <v>0.37291666666666667</v>
      </c>
      <c r="M570" s="30">
        <f t="shared" ca="1" si="127"/>
        <v>3.8194444444444475E-2</v>
      </c>
      <c r="N570" s="27" t="s">
        <v>365</v>
      </c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259</v>
      </c>
      <c r="F571" s="27">
        <v>0</v>
      </c>
      <c r="G571" s="34">
        <f t="shared" si="126"/>
        <v>0</v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259</v>
      </c>
      <c r="F572" s="27">
        <v>4</v>
      </c>
      <c r="G572" s="34">
        <f t="shared" si="126"/>
        <v>16.8</v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259</v>
      </c>
      <c r="F573" s="27">
        <v>0</v>
      </c>
      <c r="G573" s="34">
        <f t="shared" si="126"/>
        <v>0</v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259</v>
      </c>
      <c r="F574" s="27">
        <v>9</v>
      </c>
      <c r="G574" s="34">
        <f t="shared" si="126"/>
        <v>37.800000000000004</v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259</v>
      </c>
      <c r="F575" s="27">
        <v>0</v>
      </c>
      <c r="G575" s="34">
        <f t="shared" si="126"/>
        <v>0</v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259</v>
      </c>
      <c r="F576" s="55">
        <v>9</v>
      </c>
      <c r="G576" s="34">
        <f t="shared" si="126"/>
        <v>37.800000000000004</v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259</v>
      </c>
      <c r="F577" s="27">
        <v>7</v>
      </c>
      <c r="G577" s="34">
        <f t="shared" si="126"/>
        <v>29.400000000000002</v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259</v>
      </c>
      <c r="F578" s="27">
        <v>5</v>
      </c>
      <c r="G578" s="34">
        <f t="shared" si="126"/>
        <v>21</v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259</v>
      </c>
      <c r="F579" s="27">
        <v>10</v>
      </c>
      <c r="G579" s="34">
        <f t="shared" si="126"/>
        <v>42</v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259</v>
      </c>
      <c r="F580" s="27">
        <v>3</v>
      </c>
      <c r="G580" s="34">
        <f t="shared" si="126"/>
        <v>12.600000000000001</v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3" t="s">
        <v>234</v>
      </c>
      <c r="B581" s="104"/>
      <c r="C581" s="104"/>
      <c r="D581" s="104"/>
      <c r="E581" s="105">
        <f>SUM(E569:E580)</f>
        <v>0</v>
      </c>
      <c r="F581" s="36">
        <f>SUM(F569:F580)</f>
        <v>53</v>
      </c>
      <c r="G581" s="36">
        <f>SUM(G569:G580)</f>
        <v>222.60000000000002</v>
      </c>
      <c r="H581" s="37"/>
      <c r="I581" s="37"/>
      <c r="J581" s="37"/>
      <c r="K581" s="37"/>
      <c r="L581" s="37"/>
      <c r="M581" s="38">
        <f ca="1">IFERROR(SUM(M569:M580),"")</f>
        <v>4.3055555555555569E-2</v>
      </c>
      <c r="N581" s="36" t="s">
        <v>235</v>
      </c>
      <c r="O581" s="39">
        <v>222600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259</v>
      </c>
      <c r="F582" s="27">
        <v>3</v>
      </c>
      <c r="G582" s="28">
        <f t="shared" ref="G582:G593" si="129">IF(F582="","",IF(E582="PC 17",F582*4.2,IF(E582="PC 19",F582*5,"")))</f>
        <v>12.600000000000001</v>
      </c>
      <c r="H582" s="26" t="s">
        <v>20</v>
      </c>
      <c r="I582" s="26" t="s">
        <v>155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27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232</v>
      </c>
      <c r="F583" s="27">
        <v>5</v>
      </c>
      <c r="G583" s="34">
        <f t="shared" si="129"/>
        <v>25</v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259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259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259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259</v>
      </c>
      <c r="F587" s="27">
        <v>6</v>
      </c>
      <c r="G587" s="34">
        <f t="shared" si="129"/>
        <v>25.200000000000003</v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259</v>
      </c>
      <c r="F588" s="27">
        <v>28</v>
      </c>
      <c r="G588" s="28">
        <f t="shared" si="129"/>
        <v>117.60000000000001</v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259</v>
      </c>
      <c r="F589" s="27">
        <v>5</v>
      </c>
      <c r="G589" s="34">
        <f t="shared" si="129"/>
        <v>21</v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259</v>
      </c>
      <c r="F590" s="27">
        <v>16</v>
      </c>
      <c r="G590" s="28">
        <f t="shared" si="129"/>
        <v>67.2</v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259</v>
      </c>
      <c r="F591" s="27">
        <v>10</v>
      </c>
      <c r="G591" s="34">
        <f t="shared" si="129"/>
        <v>42</v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259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259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3" t="s">
        <v>236</v>
      </c>
      <c r="B594" s="104"/>
      <c r="C594" s="104"/>
      <c r="D594" s="104"/>
      <c r="E594" s="105">
        <f>SUM(E582:E593)</f>
        <v>0</v>
      </c>
      <c r="F594" s="36">
        <f>SUM(F582:F593)</f>
        <v>103</v>
      </c>
      <c r="G594" s="36">
        <f>SUM(G582:G593)</f>
        <v>436.6</v>
      </c>
      <c r="H594" s="37"/>
      <c r="I594" s="37"/>
      <c r="J594" s="37"/>
      <c r="K594" s="37"/>
      <c r="L594" s="37"/>
      <c r="M594" s="38">
        <f ca="1">IFERROR(SUM(M582:M593),"")</f>
        <v>7.6388888888888618E-3</v>
      </c>
      <c r="N594" s="36" t="s">
        <v>235</v>
      </c>
      <c r="O594" s="39">
        <v>424930</v>
      </c>
    </row>
    <row r="595" spans="1:15" ht="18" customHeight="1">
      <c r="A595" s="106" t="s">
        <v>237</v>
      </c>
      <c r="B595" s="107"/>
      <c r="C595" s="107"/>
      <c r="D595" s="107"/>
      <c r="E595" s="108">
        <f>E581+E594</f>
        <v>0</v>
      </c>
      <c r="F595" s="40">
        <f>F581+F594</f>
        <v>156</v>
      </c>
      <c r="G595" s="40">
        <f>G581+G594</f>
        <v>659.2</v>
      </c>
      <c r="H595" s="41"/>
      <c r="I595" s="41"/>
      <c r="J595" s="41"/>
      <c r="K595" s="41"/>
      <c r="L595" s="41"/>
      <c r="M595" s="42">
        <f ca="1">IFERROR(M581+M594,"")</f>
        <v>5.0694444444444431E-2</v>
      </c>
      <c r="N595" s="40" t="s">
        <v>238</v>
      </c>
      <c r="O595" s="48">
        <f>IFERROR(O581+O594,"")</f>
        <v>647530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259</v>
      </c>
      <c r="F596" s="27">
        <v>17</v>
      </c>
      <c r="G596" s="28">
        <f t="shared" ref="G596:G607" si="132">IF(F596="","",IF(E596="PC 17",F596*4.2,IF(E596="PC 19",F596*5,"")))</f>
        <v>71.400000000000006</v>
      </c>
      <c r="H596" s="26" t="s">
        <v>20</v>
      </c>
      <c r="I596" s="26" t="s">
        <v>47</v>
      </c>
      <c r="J596" s="26" t="s">
        <v>62</v>
      </c>
      <c r="K596" s="29">
        <v>0.42152777777777778</v>
      </c>
      <c r="L596" s="29">
        <v>0.4236111111111111</v>
      </c>
      <c r="M596" s="30">
        <f t="shared" ref="M596:M607" ca="1" si="133">IFERROR(IF(K596="","",IF(L596="",MOD(NOW()-K596,1),IF(L596&gt;=K596,L596-K596,L596+1-K596))),"")</f>
        <v>2.0833333333333259E-3</v>
      </c>
      <c r="N596" s="27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259</v>
      </c>
      <c r="F597" s="27">
        <v>15</v>
      </c>
      <c r="G597" s="34">
        <f t="shared" si="132"/>
        <v>63</v>
      </c>
      <c r="H597" s="33" t="s">
        <v>20</v>
      </c>
      <c r="I597" s="33" t="s">
        <v>47</v>
      </c>
      <c r="J597" s="33" t="s">
        <v>62</v>
      </c>
      <c r="K597" s="29">
        <v>0.42986111111111114</v>
      </c>
      <c r="L597" s="29">
        <v>0.43263888888888891</v>
      </c>
      <c r="M597" s="35">
        <f t="shared" ca="1" si="133"/>
        <v>2.7777777777777679E-3</v>
      </c>
      <c r="N597" s="27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259</v>
      </c>
      <c r="F598" s="27">
        <v>5</v>
      </c>
      <c r="G598" s="28">
        <f t="shared" si="132"/>
        <v>21</v>
      </c>
      <c r="H598" s="26" t="s">
        <v>20</v>
      </c>
      <c r="I598" s="26" t="s">
        <v>47</v>
      </c>
      <c r="J598" s="26" t="s">
        <v>56</v>
      </c>
      <c r="K598" s="29">
        <v>0.43888888888888888</v>
      </c>
      <c r="L598" s="29">
        <v>0.46736111111111112</v>
      </c>
      <c r="M598" s="30">
        <f t="shared" ca="1" si="133"/>
        <v>2.8472222222222232E-2</v>
      </c>
      <c r="N598" s="27" t="s">
        <v>366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259</v>
      </c>
      <c r="F599" s="27">
        <v>0</v>
      </c>
      <c r="G599" s="34">
        <f t="shared" si="132"/>
        <v>0</v>
      </c>
      <c r="H599" s="33" t="s">
        <v>20</v>
      </c>
      <c r="I599" s="33" t="s">
        <v>155</v>
      </c>
      <c r="J599" s="33" t="s">
        <v>74</v>
      </c>
      <c r="K599" s="29">
        <v>0.66736111111111107</v>
      </c>
      <c r="L599" s="29">
        <v>0.6694444444444444</v>
      </c>
      <c r="M599" s="35">
        <f t="shared" ca="1" si="133"/>
        <v>2.0833333333333259E-3</v>
      </c>
      <c r="N599" s="27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259</v>
      </c>
      <c r="F600" s="27">
        <v>5</v>
      </c>
      <c r="G600" s="28">
        <f t="shared" si="132"/>
        <v>21</v>
      </c>
      <c r="H600" s="26" t="s">
        <v>20</v>
      </c>
      <c r="I600" s="26" t="s">
        <v>155</v>
      </c>
      <c r="J600" s="26" t="s">
        <v>74</v>
      </c>
      <c r="K600" s="29">
        <v>0.68055555555555558</v>
      </c>
      <c r="L600" s="29">
        <v>0.68472222222222223</v>
      </c>
      <c r="M600" s="30">
        <f t="shared" ca="1" si="133"/>
        <v>4.1666666666666519E-3</v>
      </c>
      <c r="N600" s="27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259</v>
      </c>
      <c r="F601" s="27">
        <v>17</v>
      </c>
      <c r="G601" s="34">
        <f t="shared" si="132"/>
        <v>71.400000000000006</v>
      </c>
      <c r="H601" s="33" t="s">
        <v>19</v>
      </c>
      <c r="I601" s="33" t="s">
        <v>47</v>
      </c>
      <c r="J601" s="33" t="s">
        <v>27</v>
      </c>
      <c r="K601" s="29">
        <v>0.75347222222222221</v>
      </c>
      <c r="L601" s="29">
        <v>0.78402777777777777</v>
      </c>
      <c r="M601" s="35">
        <f t="shared" ca="1" si="133"/>
        <v>3.0555555555555558E-2</v>
      </c>
      <c r="N601" s="27" t="s">
        <v>326</v>
      </c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259</v>
      </c>
      <c r="F602" s="27">
        <v>14</v>
      </c>
      <c r="G602" s="28">
        <f t="shared" si="132"/>
        <v>58.800000000000004</v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259</v>
      </c>
      <c r="F603" s="27">
        <v>25</v>
      </c>
      <c r="G603" s="34">
        <f t="shared" si="132"/>
        <v>105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259</v>
      </c>
      <c r="F604" s="27">
        <v>16</v>
      </c>
      <c r="G604" s="28">
        <f t="shared" si="132"/>
        <v>67.2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259</v>
      </c>
      <c r="F605" s="27">
        <v>16</v>
      </c>
      <c r="G605" s="34">
        <f t="shared" si="132"/>
        <v>67.2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259</v>
      </c>
      <c r="F606" s="27">
        <v>6</v>
      </c>
      <c r="G606" s="28">
        <f t="shared" si="132"/>
        <v>25.200000000000003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259</v>
      </c>
      <c r="F607" s="27">
        <v>5</v>
      </c>
      <c r="G607" s="34">
        <f t="shared" si="132"/>
        <v>21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3" t="s">
        <v>234</v>
      </c>
      <c r="B608" s="104"/>
      <c r="C608" s="104"/>
      <c r="D608" s="104"/>
      <c r="E608" s="105">
        <f>SUM(E596:E607)</f>
        <v>0</v>
      </c>
      <c r="F608" s="36">
        <f>SUM(F596:F607)</f>
        <v>141</v>
      </c>
      <c r="G608" s="36">
        <f>SUM(G596:G607)</f>
        <v>592.20000000000005</v>
      </c>
      <c r="H608" s="37"/>
      <c r="I608" s="37"/>
      <c r="J608" s="37"/>
      <c r="K608" s="37"/>
      <c r="L608" s="37"/>
      <c r="M608" s="38">
        <f ca="1">IFERROR(SUM(M596:M607),"")</f>
        <v>7.0138888888888862E-2</v>
      </c>
      <c r="N608" s="36" t="s">
        <v>235</v>
      </c>
      <c r="O608" s="39">
        <v>732120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232</v>
      </c>
      <c r="F609" s="27">
        <v>2</v>
      </c>
      <c r="G609" s="34">
        <f t="shared" ref="G609:G614" si="135">IF(F609="","",IF(E609="PC 17",F609*4.2,IF(E609="PC 19",F609*5,"")))</f>
        <v>10</v>
      </c>
      <c r="H609" s="33" t="s">
        <v>20</v>
      </c>
      <c r="I609" s="33" t="s">
        <v>47</v>
      </c>
      <c r="J609" s="33" t="s">
        <v>28</v>
      </c>
      <c r="K609" s="29">
        <v>0.80902777777777779</v>
      </c>
      <c r="L609" s="29">
        <v>0.82291666666666663</v>
      </c>
      <c r="M609" s="35">
        <f t="shared" ref="M609:M620" ca="1" si="136">IFERROR(IF(K609="","",IF(L609="",MOD(NOW()-K609,1),IF(L609&gt;=K609,L609-K609,L609+1-K609))),"")</f>
        <v>1.388888888888884E-2</v>
      </c>
      <c r="N609" s="27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232</v>
      </c>
      <c r="F610" s="27">
        <v>4</v>
      </c>
      <c r="G610" s="28">
        <f t="shared" si="135"/>
        <v>20</v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232</v>
      </c>
      <c r="F611" s="27">
        <v>11</v>
      </c>
      <c r="G611" s="34">
        <f t="shared" si="135"/>
        <v>55</v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259</v>
      </c>
      <c r="F612" s="27">
        <v>5</v>
      </c>
      <c r="G612" s="28">
        <f t="shared" si="135"/>
        <v>21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259</v>
      </c>
      <c r="F613" s="27">
        <v>5</v>
      </c>
      <c r="G613" s="34">
        <f t="shared" si="135"/>
        <v>21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259</v>
      </c>
      <c r="F614" s="27">
        <v>3</v>
      </c>
      <c r="G614" s="28">
        <f t="shared" si="135"/>
        <v>12.600000000000001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259</v>
      </c>
      <c r="F615" s="27">
        <v>6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259</v>
      </c>
      <c r="F616" s="27">
        <v>5</v>
      </c>
      <c r="G616" s="28">
        <f>IF(F616="","",IF(E616="PC 17",F616*4.2,IF(E616="PC 19",F616*5,"")))</f>
        <v>21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259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259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259</v>
      </c>
      <c r="F619" s="27">
        <v>15</v>
      </c>
      <c r="G619" s="34">
        <f>IF(F619="","",IF(E619="PC 17",F619*4.2,IF(E619="PC 19",F619*5,"")))</f>
        <v>63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259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3" t="s">
        <v>236</v>
      </c>
      <c r="B621" s="104"/>
      <c r="C621" s="104"/>
      <c r="D621" s="104"/>
      <c r="E621" s="105">
        <f>SUM(E609:E620)</f>
        <v>0</v>
      </c>
      <c r="F621" s="36">
        <f>SUM(F609:F620)</f>
        <v>79</v>
      </c>
      <c r="G621" s="36">
        <f>SUM(G609:G620)</f>
        <v>345.20000000000005</v>
      </c>
      <c r="H621" s="37"/>
      <c r="I621" s="37"/>
      <c r="J621" s="37"/>
      <c r="K621" s="37"/>
      <c r="L621" s="37"/>
      <c r="M621" s="38">
        <f ca="1">IFERROR(SUM(M609:M620),"")</f>
        <v>1.388888888888884E-2</v>
      </c>
      <c r="N621" s="36" t="s">
        <v>235</v>
      </c>
      <c r="O621" s="39">
        <v>377360</v>
      </c>
    </row>
    <row r="622" spans="1:15" ht="18" customHeight="1">
      <c r="A622" s="106" t="s">
        <v>237</v>
      </c>
      <c r="B622" s="107"/>
      <c r="C622" s="107"/>
      <c r="D622" s="107"/>
      <c r="E622" s="108">
        <f>E608+E621</f>
        <v>0</v>
      </c>
      <c r="F622" s="40">
        <f>F608+F621</f>
        <v>220</v>
      </c>
      <c r="G622" s="40">
        <f>G608+G621</f>
        <v>937.40000000000009</v>
      </c>
      <c r="H622" s="41"/>
      <c r="I622" s="41"/>
      <c r="J622" s="41"/>
      <c r="K622" s="41"/>
      <c r="L622" s="41"/>
      <c r="M622" s="42">
        <f ca="1">IFERROR(M608+M621,"")</f>
        <v>8.4027777777777701E-2</v>
      </c>
      <c r="N622" s="40" t="s">
        <v>238</v>
      </c>
      <c r="O622" s="48">
        <f>IFERROR(O608+O621,"")</f>
        <v>1109480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259</v>
      </c>
      <c r="F623" s="27">
        <v>17</v>
      </c>
      <c r="G623" s="34">
        <f t="shared" ref="G623:G634" si="138">IF(F623="","",IF(E623="PC 17",F623*4.2,IF(E623="PC 19",F623*5,"")))</f>
        <v>71.400000000000006</v>
      </c>
      <c r="H623" s="33" t="s">
        <v>19</v>
      </c>
      <c r="I623" s="33" t="s">
        <v>47</v>
      </c>
      <c r="J623" s="33" t="s">
        <v>27</v>
      </c>
      <c r="K623" s="29">
        <v>0.62847222222222221</v>
      </c>
      <c r="L623" s="29">
        <v>0.63402777777777775</v>
      </c>
      <c r="M623" s="35">
        <f t="shared" ref="M623:M634" ca="1" si="139">IFERROR(IF(K623="","",IF(L623="",MOD(NOW()-K623,1),IF(L623&gt;=K623,L623-K623,L623+1-K623))),"")</f>
        <v>5.5555555555555358E-3</v>
      </c>
      <c r="N623" s="27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259</v>
      </c>
      <c r="F624" s="27">
        <v>8</v>
      </c>
      <c r="G624" s="28">
        <f t="shared" si="138"/>
        <v>33.6</v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259</v>
      </c>
      <c r="F625" s="27">
        <v>21</v>
      </c>
      <c r="G625" s="34">
        <f t="shared" si="138"/>
        <v>88.2</v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259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259</v>
      </c>
      <c r="F627" s="27">
        <v>13</v>
      </c>
      <c r="G627" s="34">
        <f t="shared" si="138"/>
        <v>54.6</v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259</v>
      </c>
      <c r="F628" s="27">
        <v>16</v>
      </c>
      <c r="G628" s="28">
        <f t="shared" si="138"/>
        <v>67.2</v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259</v>
      </c>
      <c r="F629" s="27">
        <v>18</v>
      </c>
      <c r="G629" s="34">
        <f t="shared" si="138"/>
        <v>75.600000000000009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259</v>
      </c>
      <c r="F630" s="27">
        <v>8</v>
      </c>
      <c r="G630" s="28">
        <f t="shared" si="138"/>
        <v>33.6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259</v>
      </c>
      <c r="F631" s="27">
        <v>13</v>
      </c>
      <c r="G631" s="34">
        <f t="shared" si="138"/>
        <v>54.6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259</v>
      </c>
      <c r="F632" s="27">
        <v>7</v>
      </c>
      <c r="G632" s="28">
        <f t="shared" si="138"/>
        <v>29.400000000000002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259</v>
      </c>
      <c r="F633" s="27">
        <v>12</v>
      </c>
      <c r="G633" s="34">
        <f t="shared" si="138"/>
        <v>50.400000000000006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259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3" t="s">
        <v>234</v>
      </c>
      <c r="B635" s="104"/>
      <c r="C635" s="104"/>
      <c r="D635" s="104"/>
      <c r="E635" s="105">
        <f>SUM(E623:E634)</f>
        <v>0</v>
      </c>
      <c r="F635" s="36">
        <f>SUM(F623:F634)</f>
        <v>146</v>
      </c>
      <c r="G635" s="36">
        <f>SUM(G623:G634)</f>
        <v>613.19999999999993</v>
      </c>
      <c r="H635" s="37"/>
      <c r="I635" s="37"/>
      <c r="J635" s="37"/>
      <c r="K635" s="37"/>
      <c r="L635" s="37"/>
      <c r="M635" s="38">
        <f ca="1">IFERROR(SUM(M623:M634),"")</f>
        <v>5.5555555555555358E-3</v>
      </c>
      <c r="N635" s="36" t="s">
        <v>235</v>
      </c>
      <c r="O635" s="39">
        <v>659370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259</v>
      </c>
      <c r="F636" s="27">
        <v>13</v>
      </c>
      <c r="G636" s="28">
        <f t="shared" ref="G636:G647" si="141">IF(F636="","",IF(E636="PC 17",F636*4.2,IF(E636="PC 19",F636*5,"")))</f>
        <v>54.6</v>
      </c>
      <c r="H636" s="26" t="s">
        <v>20</v>
      </c>
      <c r="I636" s="26" t="s">
        <v>121</v>
      </c>
      <c r="J636" s="26" t="s">
        <v>113</v>
      </c>
      <c r="K636" s="29">
        <v>2.0833333333333332E-2</v>
      </c>
      <c r="L636" s="29">
        <v>9.0277777777777776E-2</v>
      </c>
      <c r="M636" s="30">
        <f t="shared" ref="M636:M647" ca="1" si="142">IFERROR(IF(K636="","",IF(L636="",MOD(NOW()-K636,1),IF(L636&gt;=K636,L636-K636,L636+1-K636))),"")</f>
        <v>6.9444444444444448E-2</v>
      </c>
      <c r="N636" s="27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259</v>
      </c>
      <c r="F637" s="27">
        <v>10</v>
      </c>
      <c r="G637" s="34">
        <f t="shared" si="141"/>
        <v>42</v>
      </c>
      <c r="H637" s="33" t="s">
        <v>19</v>
      </c>
      <c r="I637" s="33" t="s">
        <v>47</v>
      </c>
      <c r="J637" s="33" t="s">
        <v>27</v>
      </c>
      <c r="K637" s="29">
        <v>0.20555555555555555</v>
      </c>
      <c r="L637" s="29">
        <v>0.22569444444444445</v>
      </c>
      <c r="M637" s="35">
        <f t="shared" ca="1" si="142"/>
        <v>2.0138888888888901E-2</v>
      </c>
      <c r="N637" s="27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259</v>
      </c>
      <c r="F638" s="27">
        <v>10</v>
      </c>
      <c r="G638" s="28">
        <f t="shared" si="141"/>
        <v>42</v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259</v>
      </c>
      <c r="F639" s="27">
        <v>9</v>
      </c>
      <c r="G639" s="34">
        <f t="shared" si="141"/>
        <v>37.800000000000004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259</v>
      </c>
      <c r="F640" s="27">
        <v>8</v>
      </c>
      <c r="G640" s="28">
        <f t="shared" si="141"/>
        <v>33.6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259</v>
      </c>
      <c r="F641" s="27">
        <v>5</v>
      </c>
      <c r="G641" s="34">
        <f t="shared" si="141"/>
        <v>21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259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259</v>
      </c>
      <c r="F643" s="27">
        <v>10</v>
      </c>
      <c r="G643" s="34">
        <f t="shared" si="141"/>
        <v>42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259</v>
      </c>
      <c r="F644" s="27">
        <v>5</v>
      </c>
      <c r="G644" s="28">
        <f t="shared" si="141"/>
        <v>21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259</v>
      </c>
      <c r="F645" s="27">
        <v>7</v>
      </c>
      <c r="G645" s="34">
        <f t="shared" si="141"/>
        <v>29.400000000000002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259</v>
      </c>
      <c r="F646" s="27">
        <v>0</v>
      </c>
      <c r="G646" s="28">
        <f t="shared" si="141"/>
        <v>0</v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259</v>
      </c>
      <c r="F647" s="27">
        <v>4</v>
      </c>
      <c r="G647" s="34">
        <f t="shared" si="141"/>
        <v>16.8</v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3" t="s">
        <v>236</v>
      </c>
      <c r="B648" s="104"/>
      <c r="C648" s="104"/>
      <c r="D648" s="104"/>
      <c r="E648" s="105">
        <f>SUM(E636:E647)</f>
        <v>0</v>
      </c>
      <c r="F648" s="36">
        <f>SUM(F636:F647)</f>
        <v>81</v>
      </c>
      <c r="G648" s="36">
        <f>SUM(G636:G647)</f>
        <v>340.2</v>
      </c>
      <c r="H648" s="37"/>
      <c r="I648" s="37"/>
      <c r="J648" s="37"/>
      <c r="K648" s="37"/>
      <c r="L648" s="37"/>
      <c r="M648" s="38">
        <f ca="1">IFERROR(SUM(M636:M647),"")</f>
        <v>8.9583333333333348E-2</v>
      </c>
      <c r="N648" s="36" t="s">
        <v>235</v>
      </c>
      <c r="O648" s="39">
        <v>319500</v>
      </c>
    </row>
    <row r="649" spans="1:15" ht="18" customHeight="1">
      <c r="A649" s="106" t="s">
        <v>237</v>
      </c>
      <c r="B649" s="107"/>
      <c r="C649" s="107"/>
      <c r="D649" s="107"/>
      <c r="E649" s="108">
        <f>E635+E648</f>
        <v>0</v>
      </c>
      <c r="F649" s="40">
        <f>F635+F648</f>
        <v>227</v>
      </c>
      <c r="G649" s="40">
        <f>G635+G648</f>
        <v>953.39999999999986</v>
      </c>
      <c r="H649" s="41"/>
      <c r="I649" s="41"/>
      <c r="J649" s="41"/>
      <c r="K649" s="41"/>
      <c r="L649" s="41"/>
      <c r="M649" s="42">
        <f ca="1">IFERROR(M635+M648,"")</f>
        <v>9.5138888888888884E-2</v>
      </c>
      <c r="N649" s="40" t="s">
        <v>238</v>
      </c>
      <c r="O649" s="48">
        <f>IFERROR(O635+O648,"")</f>
        <v>978870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259</v>
      </c>
      <c r="F650" s="27">
        <v>11</v>
      </c>
      <c r="G650" s="28">
        <f t="shared" ref="G650:G661" si="144">IF(F650="","",IF(E650="PC 17",F650*4.2,IF(E650="PC 19",F650*5,"")))</f>
        <v>46.2</v>
      </c>
      <c r="H650" s="26" t="s">
        <v>18</v>
      </c>
      <c r="I650" s="26"/>
      <c r="J650" s="26" t="s">
        <v>128</v>
      </c>
      <c r="K650" s="29">
        <v>0.35902777777777778</v>
      </c>
      <c r="L650" s="29">
        <v>0.41875000000000001</v>
      </c>
      <c r="M650" s="30">
        <f t="shared" ref="M650:M661" ca="1" si="145">IFERROR(IF(K650="","",IF(L650="",MOD(NOW()-K650,1),IF(L650&gt;=K650,L650-K650,L650+1-K650))),"")</f>
        <v>5.9722222222222232E-2</v>
      </c>
      <c r="N650" s="27" t="s">
        <v>367</v>
      </c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259</v>
      </c>
      <c r="F651" s="27">
        <v>4</v>
      </c>
      <c r="G651" s="34">
        <f t="shared" si="144"/>
        <v>16.8</v>
      </c>
      <c r="H651" s="33" t="s">
        <v>20</v>
      </c>
      <c r="I651" s="33" t="s">
        <v>47</v>
      </c>
      <c r="J651" s="33" t="s">
        <v>36</v>
      </c>
      <c r="K651" s="29">
        <v>0.57499999999999996</v>
      </c>
      <c r="L651" s="29">
        <v>0.5854166666666667</v>
      </c>
      <c r="M651" s="35">
        <f t="shared" ca="1" si="145"/>
        <v>1.0416666666666741E-2</v>
      </c>
      <c r="N651" s="27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259</v>
      </c>
      <c r="F652" s="27">
        <v>0</v>
      </c>
      <c r="G652" s="34">
        <f t="shared" si="144"/>
        <v>0</v>
      </c>
      <c r="H652" s="26" t="s">
        <v>19</v>
      </c>
      <c r="I652" s="26" t="s">
        <v>47</v>
      </c>
      <c r="J652" s="26" t="s">
        <v>27</v>
      </c>
      <c r="K652" s="29">
        <v>0.70694444444444449</v>
      </c>
      <c r="L652" s="29">
        <v>0.72777777777777775</v>
      </c>
      <c r="M652" s="30">
        <f t="shared" ca="1" si="145"/>
        <v>2.0833333333333259E-2</v>
      </c>
      <c r="N652" s="27" t="s">
        <v>326</v>
      </c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259</v>
      </c>
      <c r="F653" s="27">
        <v>11</v>
      </c>
      <c r="G653" s="34">
        <f t="shared" si="144"/>
        <v>46.2</v>
      </c>
      <c r="H653" s="33" t="s">
        <v>17</v>
      </c>
      <c r="I653" s="33" t="s">
        <v>47</v>
      </c>
      <c r="J653" s="33" t="s">
        <v>71</v>
      </c>
      <c r="K653" s="29">
        <v>0.7319444444444444</v>
      </c>
      <c r="L653" s="29">
        <v>0.76458333333333328</v>
      </c>
      <c r="M653" s="35">
        <f t="shared" ca="1" si="145"/>
        <v>3.2638888888888884E-2</v>
      </c>
      <c r="N653" s="27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232</v>
      </c>
      <c r="F654" s="27">
        <v>10</v>
      </c>
      <c r="G654" s="28">
        <f t="shared" si="144"/>
        <v>50</v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259</v>
      </c>
      <c r="F655" s="27">
        <v>12</v>
      </c>
      <c r="G655" s="34">
        <f t="shared" si="144"/>
        <v>50.400000000000006</v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259</v>
      </c>
      <c r="F656" s="27">
        <v>14</v>
      </c>
      <c r="G656" s="28">
        <f t="shared" si="144"/>
        <v>58.800000000000004</v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259</v>
      </c>
      <c r="F657" s="27">
        <v>7</v>
      </c>
      <c r="G657" s="34">
        <f t="shared" si="144"/>
        <v>29.400000000000002</v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259</v>
      </c>
      <c r="F658" s="27">
        <v>13</v>
      </c>
      <c r="G658" s="28">
        <f t="shared" si="144"/>
        <v>54.6</v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259</v>
      </c>
      <c r="F659" s="27">
        <v>12</v>
      </c>
      <c r="G659" s="34">
        <f t="shared" si="144"/>
        <v>50.400000000000006</v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259</v>
      </c>
      <c r="F660" s="27">
        <v>1</v>
      </c>
      <c r="G660" s="28">
        <f t="shared" si="144"/>
        <v>4.2</v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259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3" t="s">
        <v>234</v>
      </c>
      <c r="B662" s="104"/>
      <c r="C662" s="104"/>
      <c r="D662" s="104"/>
      <c r="E662" s="105">
        <f>SUM(E650:E661)</f>
        <v>0</v>
      </c>
      <c r="F662" s="36">
        <f>SUM(F650:F661)</f>
        <v>95</v>
      </c>
      <c r="G662" s="36">
        <f>SUM(G650:G661)</f>
        <v>406.99999999999994</v>
      </c>
      <c r="H662" s="37"/>
      <c r="I662" s="37"/>
      <c r="J662" s="37"/>
      <c r="K662" s="37"/>
      <c r="L662" s="37"/>
      <c r="M662" s="38">
        <f ca="1">IFERROR(SUM(M650:M661),"")</f>
        <v>0.12361111111111112</v>
      </c>
      <c r="N662" s="36" t="s">
        <v>235</v>
      </c>
      <c r="O662" s="39">
        <v>446880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259</v>
      </c>
      <c r="F663" s="27">
        <v>10</v>
      </c>
      <c r="G663" s="34">
        <f t="shared" ref="G663:G674" si="147">IF(F663="","",IF(E663="PC 17",F663*4.2,IF(E663="PC 19",F663*5,"")))</f>
        <v>42</v>
      </c>
      <c r="H663" s="33" t="s">
        <v>20</v>
      </c>
      <c r="I663" s="33" t="s">
        <v>121</v>
      </c>
      <c r="J663" s="33" t="s">
        <v>113</v>
      </c>
      <c r="K663" s="29">
        <v>0.96527777777777779</v>
      </c>
      <c r="L663" s="29">
        <v>0.99305555555555558</v>
      </c>
      <c r="M663" s="35">
        <f t="shared" ref="M663:M674" ca="1" si="148">IFERROR(IF(K663="","",IF(L663="",MOD(NOW()-K663,1),IF(L663&gt;=K663,L663-K663,L663+1-K663))),"")</f>
        <v>2.777777777777779E-2</v>
      </c>
      <c r="N663" s="27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259</v>
      </c>
      <c r="F664" s="27">
        <v>10</v>
      </c>
      <c r="G664" s="28">
        <f t="shared" si="147"/>
        <v>42</v>
      </c>
      <c r="H664" s="26" t="s">
        <v>20</v>
      </c>
      <c r="I664" s="26" t="s">
        <v>47</v>
      </c>
      <c r="J664" s="26" t="s">
        <v>36</v>
      </c>
      <c r="K664" s="29">
        <v>0.1111111111111111</v>
      </c>
      <c r="L664" s="29">
        <v>0.15486111111111112</v>
      </c>
      <c r="M664" s="30">
        <f t="shared" ca="1" si="148"/>
        <v>4.3750000000000011E-2</v>
      </c>
      <c r="N664" s="27" t="s">
        <v>368</v>
      </c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259</v>
      </c>
      <c r="F665" s="27">
        <v>10</v>
      </c>
      <c r="G665" s="34">
        <f t="shared" si="147"/>
        <v>42</v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259</v>
      </c>
      <c r="F666" s="27">
        <v>12</v>
      </c>
      <c r="G666" s="28">
        <f t="shared" si="147"/>
        <v>50.400000000000006</v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259</v>
      </c>
      <c r="F667" s="27">
        <v>3</v>
      </c>
      <c r="G667" s="34">
        <f t="shared" si="147"/>
        <v>12.600000000000001</v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259</v>
      </c>
      <c r="F668" s="27">
        <v>7</v>
      </c>
      <c r="G668" s="28">
        <f t="shared" si="147"/>
        <v>29.400000000000002</v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259</v>
      </c>
      <c r="F669" s="27">
        <v>4</v>
      </c>
      <c r="G669" s="34">
        <f t="shared" si="147"/>
        <v>16.8</v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259</v>
      </c>
      <c r="F670" s="27">
        <v>6</v>
      </c>
      <c r="G670" s="28">
        <f t="shared" si="147"/>
        <v>25.200000000000003</v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259</v>
      </c>
      <c r="F671" s="27">
        <v>3</v>
      </c>
      <c r="G671" s="34">
        <f t="shared" si="147"/>
        <v>12.600000000000001</v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259</v>
      </c>
      <c r="F672" s="27">
        <v>0</v>
      </c>
      <c r="G672" s="28">
        <f t="shared" si="147"/>
        <v>0</v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259</v>
      </c>
      <c r="F673" s="27">
        <v>5</v>
      </c>
      <c r="G673" s="34">
        <f t="shared" si="147"/>
        <v>21</v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259</v>
      </c>
      <c r="F674" s="27">
        <v>3</v>
      </c>
      <c r="G674" s="28">
        <f t="shared" si="147"/>
        <v>12.600000000000001</v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3" t="s">
        <v>236</v>
      </c>
      <c r="B675" s="104"/>
      <c r="C675" s="104"/>
      <c r="D675" s="104"/>
      <c r="E675" s="105">
        <f>SUM(E663:E674)</f>
        <v>0</v>
      </c>
      <c r="F675" s="36">
        <f>SUM(F663:F674)</f>
        <v>73</v>
      </c>
      <c r="G675" s="36">
        <f>SUM(G663:G674)</f>
        <v>306.60000000000008</v>
      </c>
      <c r="H675" s="37"/>
      <c r="I675" s="37"/>
      <c r="J675" s="37"/>
      <c r="K675" s="37"/>
      <c r="L675" s="37"/>
      <c r="M675" s="38">
        <f ca="1">IFERROR(SUM(M663:M674),"")</f>
        <v>7.1527777777777801E-2</v>
      </c>
      <c r="N675" s="36" t="s">
        <v>235</v>
      </c>
      <c r="O675" s="39">
        <v>323580</v>
      </c>
    </row>
    <row r="676" spans="1:15" ht="18" customHeight="1">
      <c r="A676" s="106" t="s">
        <v>237</v>
      </c>
      <c r="B676" s="107"/>
      <c r="C676" s="107"/>
      <c r="D676" s="107"/>
      <c r="E676" s="108">
        <f>E662+E675</f>
        <v>0</v>
      </c>
      <c r="F676" s="40">
        <f>F662+F675</f>
        <v>168</v>
      </c>
      <c r="G676" s="40">
        <f>G662+G675</f>
        <v>713.6</v>
      </c>
      <c r="H676" s="41"/>
      <c r="I676" s="41"/>
      <c r="J676" s="41"/>
      <c r="K676" s="41"/>
      <c r="L676" s="41"/>
      <c r="M676" s="42">
        <f ca="1">IFERROR(M662+M675,"")</f>
        <v>0.19513888888888892</v>
      </c>
      <c r="N676" s="40" t="s">
        <v>238</v>
      </c>
      <c r="O676" s="48">
        <f>IFERROR(O662+O675,"")</f>
        <v>770460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259</v>
      </c>
      <c r="F677" s="27">
        <v>14</v>
      </c>
      <c r="G677" s="34">
        <f t="shared" ref="G677:G688" si="150">IF(F677="","",IF(E677="PC 17",F677*4.2,IF(E677="PC 19",F677*5,"")))</f>
        <v>58.800000000000004</v>
      </c>
      <c r="H677" s="33" t="s">
        <v>20</v>
      </c>
      <c r="I677" s="33" t="s">
        <v>47</v>
      </c>
      <c r="J677" s="33" t="s">
        <v>51</v>
      </c>
      <c r="K677" s="29">
        <v>0.37152777777777779</v>
      </c>
      <c r="L677" s="29">
        <v>0.37569444444444444</v>
      </c>
      <c r="M677" s="35">
        <f t="shared" ref="M677:M688" ca="1" si="151">IFERROR(IF(K677="","",IF(L677="",MOD(NOW()-K677,1),IF(L677&gt;=K677,L677-K677,L677+1-K677))),"")</f>
        <v>4.1666666666666519E-3</v>
      </c>
      <c r="N677" s="27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259</v>
      </c>
      <c r="F678" s="27">
        <v>10</v>
      </c>
      <c r="G678" s="28">
        <f t="shared" si="150"/>
        <v>42</v>
      </c>
      <c r="H678" s="26" t="s">
        <v>19</v>
      </c>
      <c r="I678" s="26" t="s">
        <v>47</v>
      </c>
      <c r="J678" s="26" t="s">
        <v>27</v>
      </c>
      <c r="K678" s="29">
        <v>0.48055555555555557</v>
      </c>
      <c r="L678" s="29">
        <v>0.5</v>
      </c>
      <c r="M678" s="30">
        <f t="shared" ca="1" si="151"/>
        <v>1.9444444444444431E-2</v>
      </c>
      <c r="N678" s="27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259</v>
      </c>
      <c r="F679" s="27">
        <v>10</v>
      </c>
      <c r="G679" s="34">
        <f t="shared" si="150"/>
        <v>42</v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259</v>
      </c>
      <c r="F680" s="27">
        <v>8</v>
      </c>
      <c r="G680" s="28">
        <f t="shared" si="150"/>
        <v>33.6</v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259</v>
      </c>
      <c r="F681" s="27">
        <v>6</v>
      </c>
      <c r="G681" s="34">
        <f t="shared" si="150"/>
        <v>25.200000000000003</v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259</v>
      </c>
      <c r="F682" s="27">
        <v>8</v>
      </c>
      <c r="G682" s="28">
        <f t="shared" si="150"/>
        <v>33.6</v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259</v>
      </c>
      <c r="F683" s="27">
        <v>17</v>
      </c>
      <c r="G683" s="34">
        <f t="shared" si="150"/>
        <v>71.400000000000006</v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259</v>
      </c>
      <c r="F684" s="27">
        <v>14</v>
      </c>
      <c r="G684" s="28">
        <f t="shared" si="150"/>
        <v>58.800000000000004</v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259</v>
      </c>
      <c r="F685" s="27">
        <v>14</v>
      </c>
      <c r="G685" s="34">
        <f t="shared" si="150"/>
        <v>58.800000000000004</v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259</v>
      </c>
      <c r="F686" s="27">
        <v>13</v>
      </c>
      <c r="G686" s="34">
        <f t="shared" si="150"/>
        <v>54.6</v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259</v>
      </c>
      <c r="F687" s="27">
        <v>13</v>
      </c>
      <c r="G687" s="34">
        <f t="shared" si="150"/>
        <v>54.6</v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259</v>
      </c>
      <c r="F688" s="27">
        <v>3</v>
      </c>
      <c r="G688" s="28">
        <f t="shared" si="150"/>
        <v>12.600000000000001</v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3" t="s">
        <v>234</v>
      </c>
      <c r="B689" s="104"/>
      <c r="C689" s="104"/>
      <c r="D689" s="104"/>
      <c r="E689" s="105">
        <f>SUM(E677:E688)</f>
        <v>0</v>
      </c>
      <c r="F689" s="36">
        <f>SUM(F677:F688)</f>
        <v>130</v>
      </c>
      <c r="G689" s="36">
        <f>SUM(G677:G688)</f>
        <v>546.00000000000011</v>
      </c>
      <c r="H689" s="37"/>
      <c r="I689" s="37"/>
      <c r="J689" s="37"/>
      <c r="K689" s="37"/>
      <c r="L689" s="37"/>
      <c r="M689" s="38">
        <f ca="1">IFERROR(SUM(M677:M688),"")</f>
        <v>2.3611111111111083E-2</v>
      </c>
      <c r="N689" s="36" t="s">
        <v>235</v>
      </c>
      <c r="O689" s="39">
        <v>585300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259</v>
      </c>
      <c r="F690" s="27">
        <v>10</v>
      </c>
      <c r="G690" s="28">
        <f t="shared" ref="G690:G701" si="153">IF(F690="","",IF(E690="PC 17",F690*4.2,IF(E690="PC 19",F690*5,"")))</f>
        <v>42</v>
      </c>
      <c r="H690" s="26" t="s">
        <v>19</v>
      </c>
      <c r="I690" s="26" t="s">
        <v>47</v>
      </c>
      <c r="J690" s="26" t="s">
        <v>27</v>
      </c>
      <c r="K690" s="29">
        <v>0.10416666666666667</v>
      </c>
      <c r="L690" s="29">
        <v>0.12291666666666666</v>
      </c>
      <c r="M690" s="30">
        <f t="shared" ref="M690:M701" ca="1" si="154">IFERROR(IF(K690="","",IF(L690="",MOD(NOW()-K690,1),IF(L690&gt;=K690,L690-K690,L690+1-K690))),"")</f>
        <v>1.8749999999999989E-2</v>
      </c>
      <c r="N690" s="27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232</v>
      </c>
      <c r="F691" s="27">
        <v>4</v>
      </c>
      <c r="G691" s="34">
        <f t="shared" si="153"/>
        <v>20</v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232</v>
      </c>
      <c r="F692" s="27">
        <v>0</v>
      </c>
      <c r="G692" s="28">
        <f t="shared" si="153"/>
        <v>0</v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259</v>
      </c>
      <c r="F693" s="27">
        <v>7</v>
      </c>
      <c r="G693" s="34">
        <f t="shared" si="153"/>
        <v>29.400000000000002</v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259</v>
      </c>
      <c r="F694" s="27">
        <v>8</v>
      </c>
      <c r="G694" s="28">
        <f t="shared" si="153"/>
        <v>33.6</v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259</v>
      </c>
      <c r="F695" s="27">
        <v>15</v>
      </c>
      <c r="G695" s="34">
        <f t="shared" si="153"/>
        <v>63</v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259</v>
      </c>
      <c r="F696" s="27">
        <v>0</v>
      </c>
      <c r="G696" s="28">
        <f t="shared" si="153"/>
        <v>0</v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259</v>
      </c>
      <c r="F697" s="27">
        <v>10</v>
      </c>
      <c r="G697" s="34">
        <f t="shared" si="153"/>
        <v>42</v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259</v>
      </c>
      <c r="F698" s="27">
        <v>0</v>
      </c>
      <c r="G698" s="28">
        <f t="shared" si="153"/>
        <v>0</v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259</v>
      </c>
      <c r="F699" s="27">
        <v>10</v>
      </c>
      <c r="G699" s="34">
        <f t="shared" si="153"/>
        <v>42</v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259</v>
      </c>
      <c r="F700" s="27">
        <v>5</v>
      </c>
      <c r="G700" s="28">
        <f t="shared" si="153"/>
        <v>21</v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259</v>
      </c>
      <c r="F701" s="27">
        <v>5</v>
      </c>
      <c r="G701" s="34">
        <f t="shared" si="153"/>
        <v>21</v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3" t="s">
        <v>236</v>
      </c>
      <c r="B702" s="104"/>
      <c r="C702" s="104"/>
      <c r="D702" s="104"/>
      <c r="E702" s="105">
        <f>SUM(E690:E701)</f>
        <v>0</v>
      </c>
      <c r="F702" s="36">
        <f>SUM(F690:F701)</f>
        <v>74</v>
      </c>
      <c r="G702" s="36">
        <f>SUM(G690:G701)</f>
        <v>314</v>
      </c>
      <c r="H702" s="37"/>
      <c r="I702" s="37"/>
      <c r="J702" s="37"/>
      <c r="K702" s="37"/>
      <c r="L702" s="37"/>
      <c r="M702" s="38">
        <f ca="1">IFERROR(SUM(M690:M701),"")</f>
        <v>1.8749999999999989E-2</v>
      </c>
      <c r="N702" s="36" t="s">
        <v>235</v>
      </c>
      <c r="O702" s="39">
        <v>349730</v>
      </c>
    </row>
    <row r="703" spans="1:15" ht="18" customHeight="1">
      <c r="A703" s="106" t="s">
        <v>237</v>
      </c>
      <c r="B703" s="107"/>
      <c r="C703" s="107"/>
      <c r="D703" s="107"/>
      <c r="E703" s="108">
        <f>E689+E702</f>
        <v>0</v>
      </c>
      <c r="F703" s="40">
        <f>F689+F702</f>
        <v>204</v>
      </c>
      <c r="G703" s="40">
        <f>G689+G702</f>
        <v>860.00000000000011</v>
      </c>
      <c r="H703" s="41"/>
      <c r="I703" s="41"/>
      <c r="J703" s="41"/>
      <c r="K703" s="41"/>
      <c r="L703" s="41"/>
      <c r="M703" s="42">
        <f ca="1">IFERROR(M689+M702,"")</f>
        <v>4.2361111111111072E-2</v>
      </c>
      <c r="N703" s="40" t="s">
        <v>238</v>
      </c>
      <c r="O703" s="48">
        <f>IFERROR(O689+O702,"")</f>
        <v>935030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259</v>
      </c>
      <c r="F704" s="27">
        <v>8</v>
      </c>
      <c r="G704" s="28">
        <f t="shared" ref="G704:G715" si="156">IF(F704="","",IF(E704="PC 17",F704*4.2,IF(E704="PC 19",F704*5,"")))</f>
        <v>33.6</v>
      </c>
      <c r="H704" s="26" t="s">
        <v>17</v>
      </c>
      <c r="I704" s="26" t="s">
        <v>138</v>
      </c>
      <c r="J704" s="26" t="s">
        <v>115</v>
      </c>
      <c r="K704" s="29">
        <v>0.35486111111111113</v>
      </c>
      <c r="L704" s="29">
        <v>0.37083333333333335</v>
      </c>
      <c r="M704" s="30">
        <f t="shared" ref="M704:M715" ca="1" si="157">IFERROR(IF(K704="","",IF(L704="",MOD(NOW()-K704,1),IF(L704&gt;=K704,L704-K704,L704+1-K704))),"")</f>
        <v>1.5972222222222221E-2</v>
      </c>
      <c r="N704" s="27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259</v>
      </c>
      <c r="F705" s="27">
        <v>7</v>
      </c>
      <c r="G705" s="34">
        <f t="shared" si="156"/>
        <v>29.400000000000002</v>
      </c>
      <c r="H705" s="33" t="s">
        <v>20</v>
      </c>
      <c r="I705" s="33" t="s">
        <v>47</v>
      </c>
      <c r="J705" s="33" t="s">
        <v>36</v>
      </c>
      <c r="K705" s="29">
        <v>0.61250000000000004</v>
      </c>
      <c r="L705" s="29">
        <v>0.66527777777777775</v>
      </c>
      <c r="M705" s="35">
        <f t="shared" ca="1" si="157"/>
        <v>5.2777777777777701E-2</v>
      </c>
      <c r="N705" s="27" t="s">
        <v>310</v>
      </c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259</v>
      </c>
      <c r="F706" s="27">
        <v>5</v>
      </c>
      <c r="G706" s="28">
        <f t="shared" si="156"/>
        <v>21</v>
      </c>
      <c r="H706" s="26" t="s">
        <v>20</v>
      </c>
      <c r="I706" s="26" t="s">
        <v>47</v>
      </c>
      <c r="J706" s="26" t="s">
        <v>36</v>
      </c>
      <c r="K706" s="29">
        <v>0.69305555555555554</v>
      </c>
      <c r="L706" s="29">
        <v>0.70833333333333337</v>
      </c>
      <c r="M706" s="30">
        <f t="shared" ca="1" si="157"/>
        <v>1.5277777777777835E-2</v>
      </c>
      <c r="N706" s="27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259</v>
      </c>
      <c r="F707" s="27">
        <v>15</v>
      </c>
      <c r="G707" s="34">
        <f t="shared" si="156"/>
        <v>63</v>
      </c>
      <c r="H707" s="33" t="s">
        <v>20</v>
      </c>
      <c r="I707" s="33" t="s">
        <v>47</v>
      </c>
      <c r="J707" s="33" t="s">
        <v>36</v>
      </c>
      <c r="K707" s="29">
        <v>0.72499999999999998</v>
      </c>
      <c r="L707" s="29">
        <v>0.74444444444444446</v>
      </c>
      <c r="M707" s="35">
        <f t="shared" ca="1" si="157"/>
        <v>1.9444444444444486E-2</v>
      </c>
      <c r="N707" s="27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259</v>
      </c>
      <c r="F708" s="27">
        <v>12</v>
      </c>
      <c r="G708" s="28">
        <f t="shared" si="156"/>
        <v>50.400000000000006</v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259</v>
      </c>
      <c r="F709" s="27">
        <v>5</v>
      </c>
      <c r="G709" s="34">
        <f t="shared" si="156"/>
        <v>21</v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259</v>
      </c>
      <c r="F710" s="27">
        <v>7</v>
      </c>
      <c r="G710" s="28">
        <f t="shared" si="156"/>
        <v>29.400000000000002</v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259</v>
      </c>
      <c r="F711" s="27">
        <v>6</v>
      </c>
      <c r="G711" s="34">
        <f t="shared" si="156"/>
        <v>25.200000000000003</v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259</v>
      </c>
      <c r="F712" s="27">
        <v>6</v>
      </c>
      <c r="G712" s="28">
        <f t="shared" si="156"/>
        <v>25.200000000000003</v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259</v>
      </c>
      <c r="F713" s="27">
        <v>3</v>
      </c>
      <c r="G713" s="34">
        <f t="shared" si="156"/>
        <v>12.600000000000001</v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259</v>
      </c>
      <c r="F714" s="27">
        <v>2</v>
      </c>
      <c r="G714" s="28">
        <f t="shared" si="156"/>
        <v>8.4</v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259</v>
      </c>
      <c r="F715" s="27">
        <v>0</v>
      </c>
      <c r="G715" s="34">
        <f t="shared" si="156"/>
        <v>0</v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3" t="s">
        <v>234</v>
      </c>
      <c r="B716" s="104"/>
      <c r="C716" s="104"/>
      <c r="D716" s="104"/>
      <c r="E716" s="105">
        <f>SUM(E704:E715)</f>
        <v>0</v>
      </c>
      <c r="F716" s="36">
        <f>SUM(F704:F715)</f>
        <v>76</v>
      </c>
      <c r="G716" s="36">
        <f>SUM(G704:G715)</f>
        <v>319.2</v>
      </c>
      <c r="H716" s="37"/>
      <c r="I716" s="37"/>
      <c r="J716" s="37"/>
      <c r="K716" s="37"/>
      <c r="L716" s="37"/>
      <c r="M716" s="38">
        <f ca="1">IFERROR(SUM(M704:M715),"")</f>
        <v>0.10347222222222224</v>
      </c>
      <c r="N716" s="36" t="s">
        <v>235</v>
      </c>
      <c r="O716" s="39">
        <v>333820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62" t="s">
        <v>259</v>
      </c>
      <c r="F717" s="27">
        <v>4</v>
      </c>
      <c r="G717" s="34">
        <f t="shared" ref="G717:G728" si="159">IF(F717="","",IF(E717="PC 17",F717*4.2,IF(E717="PC 19",F717*5,"")))</f>
        <v>16.8</v>
      </c>
      <c r="H717" s="33" t="s">
        <v>20</v>
      </c>
      <c r="I717" s="33" t="s">
        <v>121</v>
      </c>
      <c r="J717" s="33" t="s">
        <v>113</v>
      </c>
      <c r="K717" s="29">
        <v>0.81944444444444442</v>
      </c>
      <c r="L717" s="29">
        <v>0.83333333333333337</v>
      </c>
      <c r="M717" s="35">
        <f t="shared" ref="M717:M728" ca="1" si="160">IFERROR(IF(K717="","",IF(L717="",MOD(NOW()-K717,1),IF(L717&gt;=K717,L717-K717,L717+1-K717))),"")</f>
        <v>1.3888888888888951E-2</v>
      </c>
      <c r="N717" s="27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62" t="s">
        <v>232</v>
      </c>
      <c r="F718" s="27">
        <v>2</v>
      </c>
      <c r="G718" s="28">
        <f t="shared" si="159"/>
        <v>10</v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62" t="s">
        <v>259</v>
      </c>
      <c r="F719" s="27">
        <v>4</v>
      </c>
      <c r="G719" s="34">
        <f t="shared" si="159"/>
        <v>16.8</v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62" t="s">
        <v>259</v>
      </c>
      <c r="F720" s="27">
        <v>2</v>
      </c>
      <c r="G720" s="28">
        <f t="shared" si="159"/>
        <v>8.4</v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62" t="s">
        <v>259</v>
      </c>
      <c r="F721" s="27">
        <v>0</v>
      </c>
      <c r="G721" s="34">
        <f t="shared" si="159"/>
        <v>0</v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62" t="s">
        <v>259</v>
      </c>
      <c r="F722" s="27">
        <v>5</v>
      </c>
      <c r="G722" s="28">
        <f t="shared" si="159"/>
        <v>21</v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62" t="s">
        <v>259</v>
      </c>
      <c r="F723" s="27">
        <v>4</v>
      </c>
      <c r="G723" s="34">
        <f t="shared" si="159"/>
        <v>16.8</v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62" t="s">
        <v>259</v>
      </c>
      <c r="F724" s="27">
        <v>2</v>
      </c>
      <c r="G724" s="28">
        <f t="shared" si="159"/>
        <v>8.4</v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62" t="s">
        <v>232</v>
      </c>
      <c r="F725" s="27">
        <v>4</v>
      </c>
      <c r="G725" s="34">
        <f t="shared" si="159"/>
        <v>20</v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62" t="s">
        <v>232</v>
      </c>
      <c r="F726" s="27">
        <v>6</v>
      </c>
      <c r="G726" s="28">
        <f t="shared" si="159"/>
        <v>30</v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62" t="s">
        <v>232</v>
      </c>
      <c r="F727" s="27">
        <v>2</v>
      </c>
      <c r="G727" s="34">
        <f t="shared" si="159"/>
        <v>10</v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62" t="s">
        <v>259</v>
      </c>
      <c r="F728" s="27">
        <v>0</v>
      </c>
      <c r="G728" s="28">
        <f t="shared" si="159"/>
        <v>0</v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3" t="s">
        <v>236</v>
      </c>
      <c r="B729" s="104"/>
      <c r="C729" s="104"/>
      <c r="D729" s="104"/>
      <c r="E729" s="105">
        <f>SUM(E717:E728)</f>
        <v>0</v>
      </c>
      <c r="F729" s="36">
        <f>SUM(F717:F728)</f>
        <v>35</v>
      </c>
      <c r="G729" s="36">
        <f>SUM(G717:G728)</f>
        <v>158.19999999999999</v>
      </c>
      <c r="H729" s="37"/>
      <c r="I729" s="37"/>
      <c r="J729" s="37"/>
      <c r="K729" s="37"/>
      <c r="L729" s="37"/>
      <c r="M729" s="38">
        <f ca="1">IFERROR(SUM(M717:M728),"")</f>
        <v>1.3888888888888951E-2</v>
      </c>
      <c r="N729" s="36" t="s">
        <v>235</v>
      </c>
      <c r="O729" s="39">
        <v>175420</v>
      </c>
    </row>
    <row r="730" spans="1:15" ht="18" customHeight="1">
      <c r="A730" s="106" t="s">
        <v>237</v>
      </c>
      <c r="B730" s="107"/>
      <c r="C730" s="107"/>
      <c r="D730" s="107"/>
      <c r="E730" s="108">
        <f>E716+E729</f>
        <v>0</v>
      </c>
      <c r="F730" s="40">
        <f>F716+F729</f>
        <v>111</v>
      </c>
      <c r="G730" s="40">
        <f>G716+G729</f>
        <v>477.4</v>
      </c>
      <c r="H730" s="41"/>
      <c r="I730" s="41"/>
      <c r="J730" s="41"/>
      <c r="K730" s="41"/>
      <c r="L730" s="41"/>
      <c r="M730" s="42">
        <f ca="1">IFERROR(M716+M729,"")</f>
        <v>0.11736111111111119</v>
      </c>
      <c r="N730" s="40" t="s">
        <v>238</v>
      </c>
      <c r="O730" s="48">
        <f>IFERROR(O716+O729,"")</f>
        <v>509240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46</v>
      </c>
      <c r="E731" s="62" t="s">
        <v>259</v>
      </c>
      <c r="F731" s="27">
        <v>1</v>
      </c>
      <c r="G731" s="34">
        <f t="shared" ref="G731:G742" si="162">IF(F731="","",IF(E731="PC 17",F731*4.2,IF(E731="PC 19",F731*5,"")))</f>
        <v>4.2</v>
      </c>
      <c r="H731" s="33" t="s">
        <v>20</v>
      </c>
      <c r="I731" s="33" t="s">
        <v>47</v>
      </c>
      <c r="J731" s="33" t="s">
        <v>36</v>
      </c>
      <c r="K731" s="29">
        <v>0.29375000000000001</v>
      </c>
      <c r="L731" s="29">
        <v>0.30902777777777779</v>
      </c>
      <c r="M731" s="35">
        <f t="shared" ref="M731:M742" ca="1" si="163">IFERROR(IF(K731="","",IF(L731="",MOD(NOW()-K731,1),IF(L731&gt;=K731,L731-K731,L731+1-K731))),"")</f>
        <v>1.5277777777777779E-2</v>
      </c>
      <c r="N731" s="27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46</v>
      </c>
      <c r="E732" s="59" t="s">
        <v>259</v>
      </c>
      <c r="F732" s="27">
        <v>10</v>
      </c>
      <c r="G732" s="28">
        <f t="shared" si="162"/>
        <v>42</v>
      </c>
      <c r="H732" s="26" t="s">
        <v>18</v>
      </c>
      <c r="I732" s="26" t="s">
        <v>47</v>
      </c>
      <c r="J732" s="26" t="s">
        <v>128</v>
      </c>
      <c r="K732" s="29">
        <v>0.4548611111111111</v>
      </c>
      <c r="L732" s="29">
        <v>0.48055555555555557</v>
      </c>
      <c r="M732" s="30">
        <f t="shared" ca="1" si="163"/>
        <v>2.5694444444444464E-2</v>
      </c>
      <c r="N732" s="27" t="s">
        <v>324</v>
      </c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46</v>
      </c>
      <c r="E733" s="62" t="s">
        <v>259</v>
      </c>
      <c r="F733" s="27">
        <v>13</v>
      </c>
      <c r="G733" s="34">
        <f t="shared" si="162"/>
        <v>54.6</v>
      </c>
      <c r="H733" s="33" t="s">
        <v>20</v>
      </c>
      <c r="I733" s="33" t="s">
        <v>47</v>
      </c>
      <c r="J733" s="33" t="s">
        <v>181</v>
      </c>
      <c r="K733" s="29">
        <v>0.67500000000000004</v>
      </c>
      <c r="L733" s="29">
        <v>0.67777777777777781</v>
      </c>
      <c r="M733" s="35">
        <f t="shared" ca="1" si="163"/>
        <v>2.7777777777777679E-3</v>
      </c>
      <c r="N733" s="27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46</v>
      </c>
      <c r="E734" s="59" t="s">
        <v>259</v>
      </c>
      <c r="F734" s="27">
        <v>6</v>
      </c>
      <c r="G734" s="28">
        <f t="shared" si="162"/>
        <v>25.200000000000003</v>
      </c>
      <c r="H734" s="26" t="s">
        <v>19</v>
      </c>
      <c r="I734" s="26" t="s">
        <v>47</v>
      </c>
      <c r="J734" s="26" t="s">
        <v>27</v>
      </c>
      <c r="K734" s="29">
        <v>0.67777777777777781</v>
      </c>
      <c r="L734" s="29">
        <v>0.68472222222222223</v>
      </c>
      <c r="M734" s="30">
        <f t="shared" ca="1" si="163"/>
        <v>6.9444444444444198E-3</v>
      </c>
      <c r="N734" s="27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46</v>
      </c>
      <c r="E735" s="62" t="s">
        <v>259</v>
      </c>
      <c r="F735" s="27">
        <v>0</v>
      </c>
      <c r="G735" s="34">
        <f t="shared" si="162"/>
        <v>0</v>
      </c>
      <c r="H735" s="33" t="s">
        <v>18</v>
      </c>
      <c r="I735" s="33" t="s">
        <v>47</v>
      </c>
      <c r="J735" s="33" t="s">
        <v>128</v>
      </c>
      <c r="K735" s="29">
        <v>0.68472222222222223</v>
      </c>
      <c r="L735" s="29">
        <v>0.69861111111111107</v>
      </c>
      <c r="M735" s="35">
        <f t="shared" ca="1" si="163"/>
        <v>1.388888888888884E-2</v>
      </c>
      <c r="N735" s="27" t="s">
        <v>324</v>
      </c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46</v>
      </c>
      <c r="E736" s="59" t="s">
        <v>259</v>
      </c>
      <c r="F736" s="27">
        <v>0</v>
      </c>
      <c r="G736" s="28">
        <f t="shared" si="162"/>
        <v>0</v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46</v>
      </c>
      <c r="E737" s="62" t="s">
        <v>259</v>
      </c>
      <c r="F737" s="27">
        <v>15</v>
      </c>
      <c r="G737" s="34">
        <f t="shared" si="162"/>
        <v>63</v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46</v>
      </c>
      <c r="E738" s="59" t="s">
        <v>259</v>
      </c>
      <c r="F738" s="27">
        <v>6</v>
      </c>
      <c r="G738" s="28">
        <f t="shared" si="162"/>
        <v>25.200000000000003</v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46</v>
      </c>
      <c r="E739" s="62" t="s">
        <v>259</v>
      </c>
      <c r="F739" s="27">
        <v>0</v>
      </c>
      <c r="G739" s="34">
        <f t="shared" si="162"/>
        <v>0</v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46</v>
      </c>
      <c r="E740" s="59" t="s">
        <v>259</v>
      </c>
      <c r="F740" s="27">
        <v>2</v>
      </c>
      <c r="G740" s="28">
        <f t="shared" si="162"/>
        <v>8.4</v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46</v>
      </c>
      <c r="E741" s="59" t="s">
        <v>259</v>
      </c>
      <c r="F741" s="27">
        <v>6</v>
      </c>
      <c r="G741" s="28">
        <f t="shared" si="162"/>
        <v>25.200000000000003</v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46</v>
      </c>
      <c r="E742" s="62" t="s">
        <v>259</v>
      </c>
      <c r="F742" s="27">
        <v>6</v>
      </c>
      <c r="G742" s="28">
        <f t="shared" si="162"/>
        <v>25.200000000000003</v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3" t="s">
        <v>234</v>
      </c>
      <c r="B743" s="104"/>
      <c r="C743" s="104"/>
      <c r="D743" s="104"/>
      <c r="E743" s="105">
        <f>SUM(E731:E742)</f>
        <v>0</v>
      </c>
      <c r="F743" s="36">
        <f>SUM(F731:F742)</f>
        <v>65</v>
      </c>
      <c r="G743" s="36">
        <f>SUM(G731:G742)</f>
        <v>273</v>
      </c>
      <c r="H743" s="37"/>
      <c r="I743" s="37"/>
      <c r="J743" s="37"/>
      <c r="K743" s="37"/>
      <c r="L743" s="37"/>
      <c r="M743" s="38">
        <f ca="1">IFERROR(SUM(M731:M742),"")</f>
        <v>6.458333333333327E-2</v>
      </c>
      <c r="N743" s="36" t="s">
        <v>235</v>
      </c>
      <c r="O743" s="39">
        <v>272000</v>
      </c>
    </row>
    <row r="744" spans="1:15" ht="15" customHeight="1">
      <c r="A744" s="68">
        <v>46231</v>
      </c>
      <c r="B744" s="25">
        <v>0.83333333333333304</v>
      </c>
      <c r="C744" s="26" t="s">
        <v>21</v>
      </c>
      <c r="D744" s="59" t="s">
        <v>30</v>
      </c>
      <c r="E744" s="59" t="s">
        <v>259</v>
      </c>
      <c r="F744" s="27">
        <v>5</v>
      </c>
      <c r="G744" s="28">
        <f t="shared" ref="G744:G755" si="165">IF(F744="","",IF(E744="PC 17",F744*4.2,IF(E744="PC 19",F744*5,"")))</f>
        <v>21</v>
      </c>
      <c r="H744" s="26" t="s">
        <v>17</v>
      </c>
      <c r="I744" s="26"/>
      <c r="J744" s="26" t="s">
        <v>25</v>
      </c>
      <c r="K744" s="29">
        <v>0.88888888888888884</v>
      </c>
      <c r="L744" s="29">
        <v>0.92708333333333337</v>
      </c>
      <c r="M744" s="30">
        <f t="shared" ref="M744:M755" ca="1" si="166">IFERROR(IF(K744="","",IF(L744="",MOD(NOW()-K744,1),IF(L744&gt;=K744,L744-K744,L744+1-K744))),"")</f>
        <v>3.8194444444444531E-2</v>
      </c>
      <c r="N744" s="27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26" t="s">
        <v>21</v>
      </c>
      <c r="D745" s="59" t="s">
        <v>30</v>
      </c>
      <c r="E745" s="59" t="s">
        <v>259</v>
      </c>
      <c r="F745" s="27">
        <v>2</v>
      </c>
      <c r="G745" s="34">
        <f t="shared" si="165"/>
        <v>8.4</v>
      </c>
      <c r="H745" s="33" t="s">
        <v>20</v>
      </c>
      <c r="I745" s="33" t="s">
        <v>47</v>
      </c>
      <c r="J745" s="33" t="s">
        <v>28</v>
      </c>
      <c r="K745" s="29">
        <v>0.97222222222222221</v>
      </c>
      <c r="L745" s="29">
        <v>0.98124999999999996</v>
      </c>
      <c r="M745" s="35">
        <f t="shared" ca="1" si="166"/>
        <v>9.0277777777777457E-3</v>
      </c>
      <c r="N745" s="27" t="s">
        <v>369</v>
      </c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 t="s">
        <v>21</v>
      </c>
      <c r="D746" s="59" t="s">
        <v>30</v>
      </c>
      <c r="E746" s="59" t="s">
        <v>259</v>
      </c>
      <c r="F746" s="27">
        <v>4</v>
      </c>
      <c r="G746" s="28">
        <f t="shared" si="165"/>
        <v>16.8</v>
      </c>
      <c r="H746" s="26" t="s">
        <v>20</v>
      </c>
      <c r="I746" s="26" t="s">
        <v>47</v>
      </c>
      <c r="J746" s="26" t="s">
        <v>202</v>
      </c>
      <c r="K746" s="29">
        <v>5.1388888888888887E-2</v>
      </c>
      <c r="L746" s="29">
        <v>7.6388888888888895E-2</v>
      </c>
      <c r="M746" s="30">
        <f t="shared" ca="1" si="166"/>
        <v>2.5000000000000008E-2</v>
      </c>
      <c r="N746" s="27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26" t="s">
        <v>21</v>
      </c>
      <c r="D747" s="59" t="s">
        <v>30</v>
      </c>
      <c r="E747" s="59" t="s">
        <v>259</v>
      </c>
      <c r="F747" s="27">
        <v>2</v>
      </c>
      <c r="G747" s="34">
        <f t="shared" si="165"/>
        <v>8.4</v>
      </c>
      <c r="H747" s="33" t="s">
        <v>20</v>
      </c>
      <c r="I747" s="33" t="s">
        <v>47</v>
      </c>
      <c r="J747" s="33" t="s">
        <v>202</v>
      </c>
      <c r="K747" s="29">
        <v>8.3333333333333329E-2</v>
      </c>
      <c r="L747" s="29">
        <v>9.7222222222222224E-2</v>
      </c>
      <c r="M747" s="35">
        <f t="shared" ca="1" si="166"/>
        <v>1.3888888888888895E-2</v>
      </c>
      <c r="N747" s="27" t="s">
        <v>370</v>
      </c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 t="s">
        <v>21</v>
      </c>
      <c r="D748" s="59" t="s">
        <v>30</v>
      </c>
      <c r="E748" s="59" t="s">
        <v>259</v>
      </c>
      <c r="F748" s="27">
        <v>3</v>
      </c>
      <c r="G748" s="28">
        <f t="shared" si="165"/>
        <v>12.600000000000001</v>
      </c>
      <c r="H748" s="26" t="s">
        <v>17</v>
      </c>
      <c r="I748" s="26"/>
      <c r="J748" s="26" t="s">
        <v>25</v>
      </c>
      <c r="K748" s="29">
        <v>0.11805555555555555</v>
      </c>
      <c r="L748" s="29">
        <v>0.1388888888888889</v>
      </c>
      <c r="M748" s="30">
        <f t="shared" ca="1" si="166"/>
        <v>2.0833333333333343E-2</v>
      </c>
      <c r="N748" s="27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26" t="s">
        <v>21</v>
      </c>
      <c r="D749" s="59" t="s">
        <v>30</v>
      </c>
      <c r="E749" s="59" t="s">
        <v>259</v>
      </c>
      <c r="F749" s="27">
        <v>6</v>
      </c>
      <c r="G749" s="34">
        <f t="shared" si="165"/>
        <v>25.200000000000003</v>
      </c>
      <c r="H749" s="33" t="s">
        <v>20</v>
      </c>
      <c r="I749" s="33" t="s">
        <v>47</v>
      </c>
      <c r="J749" s="33" t="s">
        <v>36</v>
      </c>
      <c r="K749" s="29">
        <v>0.1388888888888889</v>
      </c>
      <c r="L749" s="29">
        <v>0.15277777777777779</v>
      </c>
      <c r="M749" s="35">
        <f t="shared" ca="1" si="166"/>
        <v>1.3888888888888895E-2</v>
      </c>
      <c r="N749" s="27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 t="s">
        <v>21</v>
      </c>
      <c r="D750" s="59" t="s">
        <v>30</v>
      </c>
      <c r="E750" s="59" t="s">
        <v>259</v>
      </c>
      <c r="F750" s="27">
        <v>2</v>
      </c>
      <c r="G750" s="28">
        <f t="shared" si="165"/>
        <v>8.4</v>
      </c>
      <c r="H750" s="26" t="s">
        <v>20</v>
      </c>
      <c r="I750" s="26" t="s">
        <v>47</v>
      </c>
      <c r="J750" s="26" t="s">
        <v>36</v>
      </c>
      <c r="K750" s="29">
        <v>0.19930555555555557</v>
      </c>
      <c r="L750" s="29">
        <v>0.21875</v>
      </c>
      <c r="M750" s="30">
        <f t="shared" ca="1" si="166"/>
        <v>1.9444444444444431E-2</v>
      </c>
      <c r="N750" s="27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26" t="s">
        <v>21</v>
      </c>
      <c r="D751" s="59" t="s">
        <v>30</v>
      </c>
      <c r="E751" s="59" t="s">
        <v>259</v>
      </c>
      <c r="F751" s="27">
        <v>4</v>
      </c>
      <c r="G751" s="34">
        <f t="shared" si="165"/>
        <v>16.8</v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 t="s">
        <v>21</v>
      </c>
      <c r="D752" s="59" t="s">
        <v>30</v>
      </c>
      <c r="E752" s="59" t="s">
        <v>259</v>
      </c>
      <c r="F752" s="27">
        <v>0</v>
      </c>
      <c r="G752" s="28">
        <f t="shared" si="165"/>
        <v>0</v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26" t="s">
        <v>21</v>
      </c>
      <c r="D753" s="59" t="s">
        <v>30</v>
      </c>
      <c r="E753" s="59" t="s">
        <v>259</v>
      </c>
      <c r="F753" s="27">
        <v>4</v>
      </c>
      <c r="G753" s="34">
        <f t="shared" si="165"/>
        <v>16.8</v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46231</v>
      </c>
      <c r="B754" s="25">
        <f t="shared" si="167"/>
        <v>1.25</v>
      </c>
      <c r="C754" s="26" t="s">
        <v>21</v>
      </c>
      <c r="D754" s="59" t="s">
        <v>30</v>
      </c>
      <c r="E754" s="59" t="s">
        <v>259</v>
      </c>
      <c r="F754" s="27">
        <v>2</v>
      </c>
      <c r="G754" s="28">
        <f t="shared" si="165"/>
        <v>8.4</v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26" t="s">
        <v>21</v>
      </c>
      <c r="D755" s="59" t="s">
        <v>30</v>
      </c>
      <c r="E755" s="59" t="s">
        <v>259</v>
      </c>
      <c r="F755" s="27">
        <v>1</v>
      </c>
      <c r="G755" s="34">
        <f t="shared" si="165"/>
        <v>4.2</v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3" t="s">
        <v>236</v>
      </c>
      <c r="B756" s="104"/>
      <c r="C756" s="104"/>
      <c r="D756" s="104"/>
      <c r="E756" s="105">
        <f>SUM(E744:E755)</f>
        <v>0</v>
      </c>
      <c r="F756" s="36">
        <f>SUM(F744:F755)</f>
        <v>35</v>
      </c>
      <c r="G756" s="36">
        <f>SUM(G744:G755)</f>
        <v>147</v>
      </c>
      <c r="H756" s="37"/>
      <c r="I756" s="37"/>
      <c r="J756" s="37"/>
      <c r="K756" s="37"/>
      <c r="L756" s="37"/>
      <c r="M756" s="38">
        <f ca="1">IFERROR(SUM(M744:M755),"")</f>
        <v>0.14027777777777783</v>
      </c>
      <c r="N756" s="36" t="s">
        <v>235</v>
      </c>
      <c r="O756" s="39">
        <v>154160</v>
      </c>
    </row>
    <row r="757" spans="1:15" ht="18" customHeight="1">
      <c r="A757" s="106" t="s">
        <v>237</v>
      </c>
      <c r="B757" s="107"/>
      <c r="C757" s="107"/>
      <c r="D757" s="107"/>
      <c r="E757" s="108">
        <f>E743+E756</f>
        <v>0</v>
      </c>
      <c r="F757" s="40">
        <f>F743+F756</f>
        <v>100</v>
      </c>
      <c r="G757" s="40">
        <f>G743+G756</f>
        <v>420</v>
      </c>
      <c r="H757" s="41"/>
      <c r="I757" s="41"/>
      <c r="J757" s="41"/>
      <c r="K757" s="41"/>
      <c r="L757" s="41"/>
      <c r="M757" s="42">
        <f ca="1">IFERROR(M743+M756,"")</f>
        <v>0.2048611111111111</v>
      </c>
      <c r="N757" s="40" t="s">
        <v>238</v>
      </c>
      <c r="O757" s="48">
        <f>IFERROR(O743+O756,"")</f>
        <v>426160</v>
      </c>
    </row>
    <row r="758" spans="1:15" ht="15" customHeight="1">
      <c r="A758" s="68">
        <v>46232</v>
      </c>
      <c r="B758" s="25">
        <v>0.33333333333333298</v>
      </c>
      <c r="C758" s="26" t="s">
        <v>29</v>
      </c>
      <c r="D758" s="59" t="s">
        <v>30</v>
      </c>
      <c r="E758" s="59" t="s">
        <v>259</v>
      </c>
      <c r="F758" s="27">
        <v>2</v>
      </c>
      <c r="G758" s="28">
        <f t="shared" ref="G758:G769" si="168">IF(F758="","",IF(E758="PC 17",F758*4.2,IF(E758="PC 19",F758*5,"")))</f>
        <v>8.4</v>
      </c>
      <c r="H758" s="26" t="s">
        <v>18</v>
      </c>
      <c r="I758" s="26" t="s">
        <v>47</v>
      </c>
      <c r="J758" s="26" t="s">
        <v>128</v>
      </c>
      <c r="K758" s="29">
        <v>0.29930555555555555</v>
      </c>
      <c r="L758" s="29">
        <v>0.31597222222222221</v>
      </c>
      <c r="M758" s="30">
        <f t="shared" ref="M758:M769" ca="1" si="169">IFERROR(IF(K758="","",IF(L758="",MOD(NOW()-K758,1),IF(L758&gt;=K758,L758-K758,L758+1-K758))),"")</f>
        <v>1.6666666666666663E-2</v>
      </c>
      <c r="N758" s="27" t="s">
        <v>371</v>
      </c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26" t="s">
        <v>29</v>
      </c>
      <c r="D759" s="59" t="s">
        <v>30</v>
      </c>
      <c r="E759" s="62" t="s">
        <v>259</v>
      </c>
      <c r="F759" s="27">
        <v>1</v>
      </c>
      <c r="G759" s="34">
        <f t="shared" si="168"/>
        <v>4.2</v>
      </c>
      <c r="H759" s="33" t="s">
        <v>20</v>
      </c>
      <c r="I759" s="33" t="s">
        <v>47</v>
      </c>
      <c r="J759" s="33" t="s">
        <v>36</v>
      </c>
      <c r="K759" s="29">
        <v>0.34236111111111112</v>
      </c>
      <c r="L759" s="29">
        <v>0.36458333333333331</v>
      </c>
      <c r="M759" s="35">
        <f t="shared" ca="1" si="169"/>
        <v>2.2222222222222199E-2</v>
      </c>
      <c r="N759" s="27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 t="s">
        <v>29</v>
      </c>
      <c r="D760" s="59" t="s">
        <v>30</v>
      </c>
      <c r="E760" s="59" t="s">
        <v>259</v>
      </c>
      <c r="F760" s="27">
        <v>5</v>
      </c>
      <c r="G760" s="28">
        <f t="shared" si="168"/>
        <v>21</v>
      </c>
      <c r="H760" s="26" t="s">
        <v>20</v>
      </c>
      <c r="I760" s="26" t="s">
        <v>155</v>
      </c>
      <c r="J760" s="26" t="s">
        <v>74</v>
      </c>
      <c r="K760" s="29">
        <v>0.37986111111111109</v>
      </c>
      <c r="L760" s="29">
        <v>0.38541666666666669</v>
      </c>
      <c r="M760" s="30">
        <f t="shared" ca="1" si="169"/>
        <v>5.5555555555555913E-3</v>
      </c>
      <c r="N760" s="27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26" t="s">
        <v>29</v>
      </c>
      <c r="D761" s="59" t="s">
        <v>30</v>
      </c>
      <c r="E761" s="62" t="s">
        <v>259</v>
      </c>
      <c r="F761" s="27">
        <v>4</v>
      </c>
      <c r="G761" s="34">
        <f t="shared" si="168"/>
        <v>16.8</v>
      </c>
      <c r="H761" s="33" t="s">
        <v>18</v>
      </c>
      <c r="I761" s="33" t="s">
        <v>47</v>
      </c>
      <c r="J761" s="33" t="s">
        <v>128</v>
      </c>
      <c r="K761" s="29">
        <v>0.39861111111111114</v>
      </c>
      <c r="L761" s="29">
        <v>0.4201388888888889</v>
      </c>
      <c r="M761" s="35">
        <f t="shared" ca="1" si="169"/>
        <v>2.1527777777777757E-2</v>
      </c>
      <c r="N761" s="27" t="s">
        <v>324</v>
      </c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 t="s">
        <v>29</v>
      </c>
      <c r="D762" s="59" t="s">
        <v>30</v>
      </c>
      <c r="E762" s="59" t="s">
        <v>259</v>
      </c>
      <c r="F762" s="27">
        <v>8</v>
      </c>
      <c r="G762" s="28">
        <f t="shared" si="168"/>
        <v>33.6</v>
      </c>
      <c r="H762" s="26" t="s">
        <v>20</v>
      </c>
      <c r="I762" s="26" t="s">
        <v>155</v>
      </c>
      <c r="J762" s="26" t="s">
        <v>74</v>
      </c>
      <c r="K762" s="29">
        <v>0.52083333333333337</v>
      </c>
      <c r="L762" s="29">
        <v>0.52847222222222223</v>
      </c>
      <c r="M762" s="30">
        <f t="shared" ca="1" si="169"/>
        <v>7.6388888888888618E-3</v>
      </c>
      <c r="N762" s="27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26" t="s">
        <v>29</v>
      </c>
      <c r="D763" s="59" t="s">
        <v>30</v>
      </c>
      <c r="E763" s="62" t="s">
        <v>232</v>
      </c>
      <c r="F763" s="27">
        <v>5</v>
      </c>
      <c r="G763" s="34">
        <f t="shared" si="168"/>
        <v>25</v>
      </c>
      <c r="H763" s="33" t="s">
        <v>20</v>
      </c>
      <c r="I763" s="33" t="s">
        <v>47</v>
      </c>
      <c r="J763" s="33" t="s">
        <v>51</v>
      </c>
      <c r="K763" s="29">
        <v>0.57361111111111107</v>
      </c>
      <c r="L763" s="29">
        <v>0.57708333333333328</v>
      </c>
      <c r="M763" s="35">
        <f t="shared" ca="1" si="169"/>
        <v>3.4722222222222099E-3</v>
      </c>
      <c r="N763" s="27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 t="s">
        <v>29</v>
      </c>
      <c r="D764" s="59" t="s">
        <v>30</v>
      </c>
      <c r="E764" s="59" t="s">
        <v>259</v>
      </c>
      <c r="F764" s="27">
        <v>1</v>
      </c>
      <c r="G764" s="28">
        <f t="shared" si="168"/>
        <v>4.2</v>
      </c>
      <c r="H764" s="26" t="s">
        <v>20</v>
      </c>
      <c r="I764" s="26" t="s">
        <v>47</v>
      </c>
      <c r="J764" s="26" t="s">
        <v>51</v>
      </c>
      <c r="K764" s="29">
        <v>0.61111111111111116</v>
      </c>
      <c r="L764" s="29">
        <v>0.61527777777777781</v>
      </c>
      <c r="M764" s="30">
        <f t="shared" ca="1" si="169"/>
        <v>4.1666666666666519E-3</v>
      </c>
      <c r="N764" s="27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26" t="s">
        <v>29</v>
      </c>
      <c r="D765" s="59" t="s">
        <v>30</v>
      </c>
      <c r="E765" s="62" t="s">
        <v>259</v>
      </c>
      <c r="F765" s="27">
        <v>5</v>
      </c>
      <c r="G765" s="34">
        <f t="shared" si="168"/>
        <v>21</v>
      </c>
      <c r="H765" s="33" t="s">
        <v>20</v>
      </c>
      <c r="I765" s="33" t="s">
        <v>47</v>
      </c>
      <c r="J765" s="33" t="s">
        <v>51</v>
      </c>
      <c r="K765" s="29">
        <v>0.63888888888888884</v>
      </c>
      <c r="L765" s="29">
        <v>0.64236111111111116</v>
      </c>
      <c r="M765" s="35">
        <f t="shared" ca="1" si="169"/>
        <v>3.4722222222223209E-3</v>
      </c>
      <c r="N765" s="27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 t="s">
        <v>29</v>
      </c>
      <c r="D766" s="59" t="s">
        <v>30</v>
      </c>
      <c r="E766" s="59" t="s">
        <v>259</v>
      </c>
      <c r="F766" s="27">
        <v>0</v>
      </c>
      <c r="G766" s="28">
        <f t="shared" si="168"/>
        <v>0</v>
      </c>
      <c r="H766" s="26" t="s">
        <v>20</v>
      </c>
      <c r="I766" s="26" t="s">
        <v>47</v>
      </c>
      <c r="J766" s="26" t="s">
        <v>51</v>
      </c>
      <c r="K766" s="29">
        <v>0.66319444444444442</v>
      </c>
      <c r="L766" s="29">
        <v>0.66597222222222219</v>
      </c>
      <c r="M766" s="30">
        <f t="shared" ca="1" si="169"/>
        <v>2.7777777777777679E-3</v>
      </c>
      <c r="N766" s="27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26" t="s">
        <v>29</v>
      </c>
      <c r="D767" s="59" t="s">
        <v>30</v>
      </c>
      <c r="E767" s="62" t="s">
        <v>259</v>
      </c>
      <c r="F767" s="27">
        <v>5</v>
      </c>
      <c r="G767" s="34">
        <f t="shared" si="168"/>
        <v>21</v>
      </c>
      <c r="H767" s="33" t="s">
        <v>17</v>
      </c>
      <c r="I767" s="33"/>
      <c r="J767" s="33" t="s">
        <v>86</v>
      </c>
      <c r="K767" s="29">
        <v>0.73541666666666672</v>
      </c>
      <c r="L767" s="29">
        <v>0.76041666666666663</v>
      </c>
      <c r="M767" s="35">
        <f t="shared" ca="1" si="169"/>
        <v>2.4999999999999911E-2</v>
      </c>
      <c r="N767" s="27" t="s">
        <v>372</v>
      </c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 t="s">
        <v>29</v>
      </c>
      <c r="D768" s="59" t="s">
        <v>30</v>
      </c>
      <c r="E768" s="59" t="s">
        <v>259</v>
      </c>
      <c r="F768" s="27">
        <v>5</v>
      </c>
      <c r="G768" s="28">
        <f t="shared" si="168"/>
        <v>21</v>
      </c>
      <c r="H768" s="26" t="s">
        <v>17</v>
      </c>
      <c r="I768" s="26"/>
      <c r="J768" s="26" t="s">
        <v>25</v>
      </c>
      <c r="K768" s="29">
        <v>0.76458333333333328</v>
      </c>
      <c r="L768" s="29">
        <v>0.76597222222222228</v>
      </c>
      <c r="M768" s="30">
        <f t="shared" ca="1" si="169"/>
        <v>1.388888888888995E-3</v>
      </c>
      <c r="N768" s="27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26" t="s">
        <v>29</v>
      </c>
      <c r="D769" s="59" t="s">
        <v>30</v>
      </c>
      <c r="E769" s="62" t="s">
        <v>259</v>
      </c>
      <c r="F769" s="27">
        <v>0</v>
      </c>
      <c r="G769" s="34">
        <f t="shared" si="168"/>
        <v>0</v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3" t="s">
        <v>234</v>
      </c>
      <c r="B770" s="104"/>
      <c r="C770" s="104"/>
      <c r="D770" s="104"/>
      <c r="E770" s="105">
        <f>SUM(E758:E769)</f>
        <v>0</v>
      </c>
      <c r="F770" s="36">
        <f>SUM(F758:F769)</f>
        <v>41</v>
      </c>
      <c r="G770" s="36">
        <f>SUM(G758:G769)</f>
        <v>176.2</v>
      </c>
      <c r="H770" s="37"/>
      <c r="I770" s="37"/>
      <c r="J770" s="37"/>
      <c r="K770" s="37"/>
      <c r="L770" s="37"/>
      <c r="M770" s="38">
        <f ca="1">IFERROR(SUM(M758:M769),"")</f>
        <v>0.11388888888888893</v>
      </c>
      <c r="N770" s="36" t="s">
        <v>235</v>
      </c>
      <c r="O770" s="39">
        <v>172140</v>
      </c>
    </row>
    <row r="771" spans="1:15" ht="15" customHeight="1">
      <c r="A771" s="69">
        <v>46232</v>
      </c>
      <c r="B771" s="32">
        <v>0.83333333333333304</v>
      </c>
      <c r="C771" s="33" t="s">
        <v>21</v>
      </c>
      <c r="D771" s="62" t="s">
        <v>22</v>
      </c>
      <c r="E771" s="62" t="s">
        <v>259</v>
      </c>
      <c r="F771" s="27">
        <v>10</v>
      </c>
      <c r="G771" s="34">
        <f t="shared" ref="G771:G782" si="171">IF(F771="","",IF(E771="PC 17",F771*4.2,IF(E771="PC 19",F771*5,"")))</f>
        <v>42</v>
      </c>
      <c r="H771" s="33" t="s">
        <v>20</v>
      </c>
      <c r="I771" s="33" t="s">
        <v>47</v>
      </c>
      <c r="J771" s="33" t="s">
        <v>51</v>
      </c>
      <c r="K771" s="29">
        <v>0.81666666666666665</v>
      </c>
      <c r="L771" s="29">
        <v>0.82291666666666663</v>
      </c>
      <c r="M771" s="35">
        <f t="shared" ref="M771:M782" ca="1" si="172">IFERROR(IF(K771="","",IF(L771="",MOD(NOW()-K771,1),IF(L771&gt;=K771,L771-K771,L771+1-K771))),"")</f>
        <v>6.2499999999999778E-3</v>
      </c>
      <c r="N771" s="27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33" t="s">
        <v>21</v>
      </c>
      <c r="D772" s="62" t="s">
        <v>22</v>
      </c>
      <c r="E772" s="62" t="s">
        <v>232</v>
      </c>
      <c r="F772" s="27">
        <v>5</v>
      </c>
      <c r="G772" s="28">
        <f t="shared" si="171"/>
        <v>25</v>
      </c>
      <c r="H772" s="26" t="s">
        <v>20</v>
      </c>
      <c r="I772" s="26" t="s">
        <v>47</v>
      </c>
      <c r="J772" s="26" t="s">
        <v>36</v>
      </c>
      <c r="K772" s="29">
        <v>0.89027777777777772</v>
      </c>
      <c r="L772" s="29">
        <v>0.91249999999999998</v>
      </c>
      <c r="M772" s="30">
        <f t="shared" ca="1" si="172"/>
        <v>2.2222222222222254E-2</v>
      </c>
      <c r="N772" s="27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 t="s">
        <v>21</v>
      </c>
      <c r="D773" s="62" t="s">
        <v>22</v>
      </c>
      <c r="E773" s="62" t="s">
        <v>259</v>
      </c>
      <c r="F773" s="27">
        <v>4</v>
      </c>
      <c r="G773" s="34">
        <f t="shared" si="171"/>
        <v>16.8</v>
      </c>
      <c r="H773" s="33" t="s">
        <v>20</v>
      </c>
      <c r="I773" s="33" t="s">
        <v>121</v>
      </c>
      <c r="J773" s="33" t="s">
        <v>113</v>
      </c>
      <c r="K773" s="29">
        <v>0.91874999999999996</v>
      </c>
      <c r="L773" s="29">
        <v>0.93402777777777779</v>
      </c>
      <c r="M773" s="35">
        <f t="shared" ca="1" si="172"/>
        <v>1.5277777777777835E-2</v>
      </c>
      <c r="N773" s="27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33" t="s">
        <v>21</v>
      </c>
      <c r="D774" s="62" t="s">
        <v>22</v>
      </c>
      <c r="E774" s="62" t="s">
        <v>259</v>
      </c>
      <c r="F774" s="27">
        <v>6</v>
      </c>
      <c r="G774" s="28">
        <f t="shared" si="171"/>
        <v>25.200000000000003</v>
      </c>
      <c r="H774" s="26" t="s">
        <v>20</v>
      </c>
      <c r="I774" s="26" t="s">
        <v>121</v>
      </c>
      <c r="J774" s="26" t="s">
        <v>113</v>
      </c>
      <c r="K774" s="29">
        <v>0.97777777777777775</v>
      </c>
      <c r="L774" s="29">
        <v>0.99305555555555558</v>
      </c>
      <c r="M774" s="30">
        <f t="shared" ca="1" si="172"/>
        <v>1.5277777777777835E-2</v>
      </c>
      <c r="N774" s="27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 t="s">
        <v>21</v>
      </c>
      <c r="D775" s="62" t="s">
        <v>22</v>
      </c>
      <c r="E775" s="62" t="s">
        <v>259</v>
      </c>
      <c r="F775" s="27">
        <v>4</v>
      </c>
      <c r="G775" s="34">
        <f t="shared" si="171"/>
        <v>16.8</v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33" t="s">
        <v>21</v>
      </c>
      <c r="D776" s="62" t="s">
        <v>22</v>
      </c>
      <c r="E776" s="62" t="s">
        <v>259</v>
      </c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 t="s">
        <v>21</v>
      </c>
      <c r="D777" s="62" t="s">
        <v>22</v>
      </c>
      <c r="E777" s="62" t="s">
        <v>259</v>
      </c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33" t="s">
        <v>21</v>
      </c>
      <c r="D778" s="62" t="s">
        <v>22</v>
      </c>
      <c r="E778" s="62" t="s">
        <v>259</v>
      </c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 t="s">
        <v>21</v>
      </c>
      <c r="D779" s="62" t="s">
        <v>22</v>
      </c>
      <c r="E779" s="62" t="s">
        <v>259</v>
      </c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33" t="s">
        <v>21</v>
      </c>
      <c r="D780" s="62" t="s">
        <v>22</v>
      </c>
      <c r="E780" s="62" t="s">
        <v>259</v>
      </c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46232</v>
      </c>
      <c r="B781" s="32">
        <f t="shared" si="173"/>
        <v>1.25</v>
      </c>
      <c r="C781" s="33" t="s">
        <v>21</v>
      </c>
      <c r="D781" s="62" t="s">
        <v>22</v>
      </c>
      <c r="E781" s="62" t="s">
        <v>259</v>
      </c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33" t="s">
        <v>21</v>
      </c>
      <c r="D782" s="62" t="s">
        <v>22</v>
      </c>
      <c r="E782" s="62" t="s">
        <v>259</v>
      </c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3" t="s">
        <v>236</v>
      </c>
      <c r="B783" s="104"/>
      <c r="C783" s="104"/>
      <c r="D783" s="104"/>
      <c r="E783" s="105">
        <f>SUM(E771:E782)</f>
        <v>0</v>
      </c>
      <c r="F783" s="36">
        <f>SUM(F771:F782)</f>
        <v>29</v>
      </c>
      <c r="G783" s="36">
        <f>SUM(G771:G782)</f>
        <v>125.8</v>
      </c>
      <c r="H783" s="37"/>
      <c r="I783" s="37"/>
      <c r="J783" s="37"/>
      <c r="K783" s="37"/>
      <c r="L783" s="37"/>
      <c r="M783" s="38">
        <f ca="1">IFERROR(SUM(M771:M782),"")</f>
        <v>5.9027777777777901E-2</v>
      </c>
      <c r="N783" s="36" t="s">
        <v>235</v>
      </c>
      <c r="O783" s="39"/>
    </row>
    <row r="784" spans="1:15" ht="18" customHeight="1">
      <c r="A784" s="106" t="s">
        <v>237</v>
      </c>
      <c r="B784" s="107"/>
      <c r="C784" s="107"/>
      <c r="D784" s="107"/>
      <c r="E784" s="108">
        <f>E770+E783</f>
        <v>0</v>
      </c>
      <c r="F784" s="40">
        <f>F770+F783</f>
        <v>70</v>
      </c>
      <c r="G784" s="40">
        <f>G770+G783</f>
        <v>302</v>
      </c>
      <c r="H784" s="41"/>
      <c r="I784" s="41"/>
      <c r="J784" s="41"/>
      <c r="K784" s="41"/>
      <c r="L784" s="41"/>
      <c r="M784" s="42">
        <f ca="1">IFERROR(M770+M783,"")</f>
        <v>0.17291666666666683</v>
      </c>
      <c r="N784" s="40" t="s">
        <v>238</v>
      </c>
      <c r="O784" s="48">
        <f>IFERROR(O770+O783,"")</f>
        <v>172140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3" t="s">
        <v>234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235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3" t="s">
        <v>236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106" t="s">
        <v>237</v>
      </c>
      <c r="B811" s="107"/>
      <c r="C811" s="107"/>
      <c r="D811" s="107"/>
      <c r="E811" s="10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238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3">
    <dataValidation type="list" allowBlank="1" showErrorMessage="1" errorTitle="Valor inválido" error="Selecione PC 17 ou PC 19 da lista." sqref="E15:E26 E2:E13 E29:E380 E382:E514 E516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764" activePane="bottomLeft" state="frozen"/>
      <selection pane="bottomLeft" activeCell="F776" sqref="F776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48.42578125" style="57" customWidth="1"/>
    <col min="11" max="11" width="18.42578125" style="57" customWidth="1"/>
    <col min="12" max="12" width="14" style="58" customWidth="1"/>
    <col min="13" max="13" width="14" style="57" customWidth="1"/>
    <col min="14" max="14" width="52.57031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221</v>
      </c>
      <c r="C1" s="23" t="s">
        <v>12</v>
      </c>
      <c r="D1" s="22" t="s">
        <v>13</v>
      </c>
      <c r="E1" s="22" t="s">
        <v>222</v>
      </c>
      <c r="F1" s="23" t="s">
        <v>223</v>
      </c>
      <c r="G1" s="23" t="s">
        <v>224</v>
      </c>
      <c r="H1" s="23" t="s">
        <v>14</v>
      </c>
      <c r="I1" s="23" t="s">
        <v>15</v>
      </c>
      <c r="J1" s="23" t="s">
        <v>225</v>
      </c>
      <c r="K1" s="23" t="s">
        <v>226</v>
      </c>
      <c r="L1" s="23" t="s">
        <v>227</v>
      </c>
      <c r="M1" s="24" t="s">
        <v>228</v>
      </c>
      <c r="N1" s="23" t="s">
        <v>229</v>
      </c>
      <c r="O1" s="23" t="s">
        <v>230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259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139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373</v>
      </c>
      <c r="O2" s="60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259</v>
      </c>
      <c r="F3" s="27">
        <v>0</v>
      </c>
      <c r="G3" s="34">
        <f t="shared" si="0"/>
        <v>0</v>
      </c>
      <c r="H3" s="33" t="s">
        <v>18</v>
      </c>
      <c r="I3" s="33" t="s">
        <v>160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310</v>
      </c>
      <c r="O3" s="60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259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191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259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259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259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259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259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259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259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259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259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3" t="s">
        <v>234</v>
      </c>
      <c r="B14" s="104"/>
      <c r="C14" s="104"/>
      <c r="D14" s="104"/>
      <c r="E14" s="105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235</v>
      </c>
      <c r="O14" s="39">
        <v>327070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259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259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8">
        <f ca="1">IFERROR(IF(K16="","",IF(L16="",MOD(NOW()-K16,1),IF(L16&gt;=K16,L16-K16,L16+1-K16))),"")</f>
        <v>4.1666666666666741E-2</v>
      </c>
      <c r="N16" s="27" t="s">
        <v>374</v>
      </c>
      <c r="O16" s="60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259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259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259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259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259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259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259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259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259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259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3" t="s">
        <v>236</v>
      </c>
      <c r="B27" s="104"/>
      <c r="C27" s="104"/>
      <c r="D27" s="104"/>
      <c r="E27" s="105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235</v>
      </c>
      <c r="O27" s="39">
        <v>202230</v>
      </c>
    </row>
    <row r="28" spans="1:15" ht="18" customHeight="1">
      <c r="A28" s="106" t="s">
        <v>237</v>
      </c>
      <c r="B28" s="107"/>
      <c r="C28" s="107"/>
      <c r="D28" s="107"/>
      <c r="E28" s="108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238</v>
      </c>
      <c r="O28" s="48">
        <f>IFERROR(O14+O27,"")</f>
        <v>529300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259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127</v>
      </c>
      <c r="J29" s="33" t="s">
        <v>195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375</v>
      </c>
      <c r="O29" s="60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259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259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259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259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259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376</v>
      </c>
      <c r="O34" s="60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259</v>
      </c>
      <c r="F35" s="27">
        <v>0</v>
      </c>
      <c r="G35" s="28">
        <f t="shared" si="6"/>
        <v>0</v>
      </c>
      <c r="H35" s="33" t="s">
        <v>20</v>
      </c>
      <c r="I35" s="33" t="s">
        <v>150</v>
      </c>
      <c r="J35" s="33" t="s">
        <v>180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259</v>
      </c>
      <c r="F36" s="27">
        <v>0</v>
      </c>
      <c r="G36" s="34">
        <f t="shared" si="6"/>
        <v>0</v>
      </c>
      <c r="H36" s="26" t="s">
        <v>20</v>
      </c>
      <c r="I36" s="26" t="s">
        <v>150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259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259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259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259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3" t="s">
        <v>234</v>
      </c>
      <c r="B41" s="104"/>
      <c r="C41" s="104"/>
      <c r="D41" s="104"/>
      <c r="E41" s="105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235</v>
      </c>
      <c r="O41" s="39">
        <v>304990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259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259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259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259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259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259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259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259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259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259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259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259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3" t="s">
        <v>236</v>
      </c>
      <c r="B54" s="104"/>
      <c r="C54" s="104"/>
      <c r="D54" s="104"/>
      <c r="E54" s="105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235</v>
      </c>
      <c r="O54" s="39">
        <v>473910</v>
      </c>
    </row>
    <row r="55" spans="1:15" ht="18" customHeight="1">
      <c r="A55" s="106" t="s">
        <v>237</v>
      </c>
      <c r="B55" s="107"/>
      <c r="C55" s="107"/>
      <c r="D55" s="107"/>
      <c r="E55" s="108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238</v>
      </c>
      <c r="O55" s="48">
        <f>IFERROR(O41+O54,"")</f>
        <v>778900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259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259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259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377</v>
      </c>
      <c r="L58" s="29">
        <v>0.54097222222222219</v>
      </c>
      <c r="M58" s="30" t="str">
        <f t="shared" ca="1" si="13"/>
        <v/>
      </c>
      <c r="N58" s="27" t="s">
        <v>378</v>
      </c>
      <c r="O58" s="60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259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259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259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259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259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259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259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259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259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3" t="s">
        <v>234</v>
      </c>
      <c r="B68" s="104"/>
      <c r="C68" s="104"/>
      <c r="D68" s="104"/>
      <c r="E68" s="105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235</v>
      </c>
      <c r="O68" s="39">
        <v>763370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259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259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324</v>
      </c>
      <c r="O70" s="60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259</v>
      </c>
      <c r="F71" s="27">
        <v>12</v>
      </c>
      <c r="G71" s="34">
        <f t="shared" si="15"/>
        <v>50.400000000000006</v>
      </c>
      <c r="H71" s="33" t="s">
        <v>18</v>
      </c>
      <c r="I71" s="33" t="s">
        <v>127</v>
      </c>
      <c r="J71" s="33" t="s">
        <v>197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259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165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379</v>
      </c>
      <c r="O72" s="60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259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165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380</v>
      </c>
      <c r="O73" s="60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259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381</v>
      </c>
      <c r="O74" s="60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259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165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382</v>
      </c>
      <c r="O75" s="60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259</v>
      </c>
      <c r="F76" s="27">
        <v>1</v>
      </c>
      <c r="G76" s="28">
        <f t="shared" si="15"/>
        <v>4.2</v>
      </c>
      <c r="H76" s="26" t="s">
        <v>20</v>
      </c>
      <c r="I76" s="26" t="s">
        <v>150</v>
      </c>
      <c r="J76" s="26" t="s">
        <v>183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259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259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259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259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3" t="s">
        <v>236</v>
      </c>
      <c r="B81" s="104"/>
      <c r="C81" s="104"/>
      <c r="D81" s="104"/>
      <c r="E81" s="105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235</v>
      </c>
      <c r="O81" s="39">
        <v>565120</v>
      </c>
    </row>
    <row r="82" spans="1:15" ht="18" customHeight="1">
      <c r="A82" s="106" t="s">
        <v>237</v>
      </c>
      <c r="B82" s="107"/>
      <c r="C82" s="107"/>
      <c r="D82" s="107"/>
      <c r="E82" s="108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238</v>
      </c>
      <c r="O82" s="48">
        <f>IFERROR(O68+O81,"")</f>
        <v>1328490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259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383</v>
      </c>
      <c r="O83" s="60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259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259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259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259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232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232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232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232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232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232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232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3" t="s">
        <v>234</v>
      </c>
      <c r="B95" s="104"/>
      <c r="C95" s="104"/>
      <c r="D95" s="104"/>
      <c r="E95" s="105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235</v>
      </c>
      <c r="O95" s="39">
        <v>776910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259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160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259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259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199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259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259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259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259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259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259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259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259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259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3" t="s">
        <v>236</v>
      </c>
      <c r="B108" s="104"/>
      <c r="C108" s="104"/>
      <c r="D108" s="104"/>
      <c r="E108" s="105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235</v>
      </c>
      <c r="O108" s="39">
        <v>558590</v>
      </c>
    </row>
    <row r="109" spans="1:15" ht="18" customHeight="1">
      <c r="A109" s="106" t="s">
        <v>237</v>
      </c>
      <c r="B109" s="107"/>
      <c r="C109" s="107"/>
      <c r="D109" s="107"/>
      <c r="E109" s="108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238</v>
      </c>
      <c r="O109" s="48">
        <f>IFERROR(O95+O108,"")</f>
        <v>1335500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259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199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384</v>
      </c>
      <c r="O110" s="60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259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259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259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259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259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259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259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259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259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259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259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3" t="s">
        <v>234</v>
      </c>
      <c r="B122" s="104"/>
      <c r="C122" s="104"/>
      <c r="D122" s="104"/>
      <c r="E122" s="105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235</v>
      </c>
      <c r="O122" s="39">
        <v>274450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232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232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385</v>
      </c>
      <c r="O124" s="60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232</v>
      </c>
      <c r="F125" s="27">
        <v>20</v>
      </c>
      <c r="G125" s="34">
        <f t="shared" si="27"/>
        <v>100</v>
      </c>
      <c r="H125" s="33" t="s">
        <v>18</v>
      </c>
      <c r="I125" s="33" t="s">
        <v>127</v>
      </c>
      <c r="J125" s="33" t="s">
        <v>203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386</v>
      </c>
      <c r="O125" s="60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232</v>
      </c>
      <c r="F126" s="27">
        <v>23</v>
      </c>
      <c r="G126" s="28">
        <f t="shared" si="27"/>
        <v>115</v>
      </c>
      <c r="H126" s="26" t="s">
        <v>19</v>
      </c>
      <c r="I126" s="26" t="s">
        <v>160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232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192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232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0.77033506945008412</v>
      </c>
      <c r="N128" s="27"/>
      <c r="O128" s="60"/>
    </row>
    <row r="129" spans="1:18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232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285</v>
      </c>
      <c r="O129" s="60"/>
    </row>
    <row r="130" spans="1:18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232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232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232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232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232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3" t="s">
        <v>236</v>
      </c>
      <c r="B135" s="104"/>
      <c r="C135" s="104"/>
      <c r="D135" s="104"/>
      <c r="E135" s="105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0.96964062500563974</v>
      </c>
      <c r="N135" s="36" t="s">
        <v>235</v>
      </c>
      <c r="O135" s="39">
        <v>729290</v>
      </c>
    </row>
    <row r="136" spans="1:18" ht="18" customHeight="1">
      <c r="A136" s="106" t="s">
        <v>237</v>
      </c>
      <c r="B136" s="107"/>
      <c r="C136" s="107"/>
      <c r="D136" s="107"/>
      <c r="E136" s="108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1.3370017361167508</v>
      </c>
      <c r="N136" s="40" t="s">
        <v>238</v>
      </c>
      <c r="O136" s="48">
        <f>IFERROR(O122+O135,"")</f>
        <v>1003740</v>
      </c>
    </row>
    <row r="137" spans="1:18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232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232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232</v>
      </c>
      <c r="F139" s="27">
        <v>28</v>
      </c>
      <c r="G139" s="34">
        <f t="shared" si="30"/>
        <v>140</v>
      </c>
      <c r="H139" s="33" t="s">
        <v>19</v>
      </c>
      <c r="I139" s="33" t="s">
        <v>160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387</v>
      </c>
      <c r="O139" s="31"/>
    </row>
    <row r="140" spans="1:18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232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287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232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232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232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232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232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232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232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232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234</v>
      </c>
      <c r="B149" s="104"/>
      <c r="C149" s="104"/>
      <c r="D149" s="104"/>
      <c r="E149" s="105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235</v>
      </c>
      <c r="O149" s="39">
        <v>1058340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232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344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232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259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165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388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259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259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259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259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259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259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259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259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259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236</v>
      </c>
      <c r="B162" s="104"/>
      <c r="C162" s="104"/>
      <c r="D162" s="104"/>
      <c r="E162" s="105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235</v>
      </c>
      <c r="O162" s="39">
        <v>697320</v>
      </c>
    </row>
    <row r="163" spans="1:15" ht="18" customHeight="1">
      <c r="A163" s="106" t="s">
        <v>237</v>
      </c>
      <c r="B163" s="107"/>
      <c r="C163" s="107"/>
      <c r="D163" s="107"/>
      <c r="E163" s="108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238</v>
      </c>
      <c r="O163" s="43">
        <f>IFERROR(O149+O162,"")</f>
        <v>1755660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232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259</v>
      </c>
      <c r="F165" s="27">
        <v>20</v>
      </c>
      <c r="G165" s="34">
        <f t="shared" si="36"/>
        <v>84</v>
      </c>
      <c r="H165" s="33" t="s">
        <v>20</v>
      </c>
      <c r="I165" s="33" t="s">
        <v>139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259</v>
      </c>
      <c r="F166" s="27">
        <v>10</v>
      </c>
      <c r="G166" s="28">
        <f t="shared" si="36"/>
        <v>42</v>
      </c>
      <c r="H166" s="26" t="s">
        <v>19</v>
      </c>
      <c r="I166" s="26" t="s">
        <v>139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259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259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389</v>
      </c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259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259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259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259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259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259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259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234</v>
      </c>
      <c r="B176" s="104"/>
      <c r="C176" s="104"/>
      <c r="D176" s="104"/>
      <c r="E176" s="105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235</v>
      </c>
      <c r="O176" s="39">
        <v>500370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259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160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259</v>
      </c>
      <c r="F178" s="27">
        <v>16</v>
      </c>
      <c r="G178" s="28">
        <f t="shared" si="39"/>
        <v>67.2</v>
      </c>
      <c r="H178" s="26" t="s">
        <v>20</v>
      </c>
      <c r="I178" s="26" t="s">
        <v>139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259</v>
      </c>
      <c r="F179" s="27">
        <v>20</v>
      </c>
      <c r="G179" s="34">
        <f t="shared" si="39"/>
        <v>84</v>
      </c>
      <c r="H179" s="33" t="s">
        <v>20</v>
      </c>
      <c r="I179" s="33" t="s">
        <v>139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259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259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259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259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259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259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259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259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259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236</v>
      </c>
      <c r="B189" s="104"/>
      <c r="C189" s="104"/>
      <c r="D189" s="104"/>
      <c r="E189" s="105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235</v>
      </c>
      <c r="O189" s="39">
        <v>973580</v>
      </c>
    </row>
    <row r="190" spans="1:15" ht="18" customHeight="1">
      <c r="A190" s="106" t="s">
        <v>237</v>
      </c>
      <c r="B190" s="107"/>
      <c r="C190" s="107"/>
      <c r="D190" s="107"/>
      <c r="E190" s="108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238</v>
      </c>
      <c r="O190" s="43">
        <f>IFERROR(O176+O189,"")</f>
        <v>1473950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259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141</v>
      </c>
      <c r="J191" s="33" t="s">
        <v>128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259</v>
      </c>
      <c r="F192" s="27">
        <v>15</v>
      </c>
      <c r="G192" s="28">
        <f t="shared" si="42"/>
        <v>63</v>
      </c>
      <c r="H192" s="26" t="s">
        <v>19</v>
      </c>
      <c r="I192" s="26" t="s">
        <v>160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259</v>
      </c>
      <c r="F193" s="27">
        <v>15</v>
      </c>
      <c r="G193" s="34">
        <f t="shared" si="42"/>
        <v>63</v>
      </c>
      <c r="H193" s="33" t="s">
        <v>18</v>
      </c>
      <c r="I193" s="33" t="s">
        <v>139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390</v>
      </c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259</v>
      </c>
      <c r="F194" s="27">
        <v>15</v>
      </c>
      <c r="G194" s="28">
        <f t="shared" si="42"/>
        <v>63</v>
      </c>
      <c r="H194" s="26" t="s">
        <v>19</v>
      </c>
      <c r="I194" s="26" t="s">
        <v>160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391</v>
      </c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259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259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259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259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259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259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259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259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234</v>
      </c>
      <c r="B203" s="104"/>
      <c r="C203" s="104"/>
      <c r="D203" s="104"/>
      <c r="E203" s="105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235</v>
      </c>
      <c r="O203" s="45">
        <v>674440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259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232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259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164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392</v>
      </c>
      <c r="O206" s="60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259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259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259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259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259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259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259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259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259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3" t="s">
        <v>236</v>
      </c>
      <c r="B216" s="104"/>
      <c r="C216" s="104"/>
      <c r="D216" s="104"/>
      <c r="E216" s="105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235</v>
      </c>
      <c r="O216" s="45">
        <v>1060630</v>
      </c>
    </row>
    <row r="217" spans="1:15" ht="18" customHeight="1">
      <c r="A217" s="106" t="s">
        <v>237</v>
      </c>
      <c r="B217" s="107"/>
      <c r="C217" s="107"/>
      <c r="D217" s="107"/>
      <c r="E217" s="108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238</v>
      </c>
      <c r="O217" s="48">
        <f>IFERROR(O203+O216,"")</f>
        <v>1735070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259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393</v>
      </c>
      <c r="O218" s="60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259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259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394</v>
      </c>
      <c r="O220" s="60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259</v>
      </c>
      <c r="F221" s="27">
        <v>10</v>
      </c>
      <c r="G221" s="34">
        <f t="shared" si="48"/>
        <v>42</v>
      </c>
      <c r="H221" s="33" t="s">
        <v>20</v>
      </c>
      <c r="I221" s="33" t="s">
        <v>139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259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259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259</v>
      </c>
      <c r="F224" s="27">
        <v>30</v>
      </c>
      <c r="G224" s="28">
        <f t="shared" si="48"/>
        <v>126</v>
      </c>
      <c r="H224" s="26" t="s">
        <v>20</v>
      </c>
      <c r="I224" s="26" t="s">
        <v>139</v>
      </c>
      <c r="J224" s="26" t="s">
        <v>183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259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395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259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259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259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259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3" t="s">
        <v>234</v>
      </c>
      <c r="B230" s="104"/>
      <c r="C230" s="104"/>
      <c r="D230" s="104"/>
      <c r="E230" s="105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235</v>
      </c>
      <c r="O230" s="39">
        <v>587230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259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232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396</v>
      </c>
      <c r="O232" s="60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259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154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259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259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259</v>
      </c>
      <c r="F236" s="27">
        <v>27</v>
      </c>
      <c r="G236" s="28">
        <f t="shared" si="51"/>
        <v>113.4</v>
      </c>
      <c r="H236" s="50" t="s">
        <v>20</v>
      </c>
      <c r="I236" s="50" t="s">
        <v>139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259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259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232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259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232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259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3" t="s">
        <v>236</v>
      </c>
      <c r="B243" s="104"/>
      <c r="C243" s="104"/>
      <c r="D243" s="104"/>
      <c r="E243" s="105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235</v>
      </c>
      <c r="O243" s="39">
        <v>982340</v>
      </c>
    </row>
    <row r="244" spans="1:15" ht="18" customHeight="1">
      <c r="A244" s="106" t="s">
        <v>237</v>
      </c>
      <c r="B244" s="107"/>
      <c r="C244" s="107"/>
      <c r="D244" s="107"/>
      <c r="E244" s="108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238</v>
      </c>
      <c r="O244" s="48">
        <f>IFERROR(O230+O243,"")</f>
        <v>1569570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259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160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397</v>
      </c>
      <c r="O245" s="60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259</v>
      </c>
      <c r="F246" s="27">
        <v>20</v>
      </c>
      <c r="G246" s="34">
        <f t="shared" si="54"/>
        <v>84</v>
      </c>
      <c r="H246" s="33" t="s">
        <v>18</v>
      </c>
      <c r="I246" s="26" t="s">
        <v>138</v>
      </c>
      <c r="J246" s="33" t="s">
        <v>208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259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259</v>
      </c>
      <c r="F248" s="27">
        <v>5</v>
      </c>
      <c r="G248" s="34">
        <f t="shared" si="54"/>
        <v>21</v>
      </c>
      <c r="H248" s="26" t="s">
        <v>20</v>
      </c>
      <c r="I248" s="26" t="s">
        <v>155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259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259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259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259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259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259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259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259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3" t="s">
        <v>234</v>
      </c>
      <c r="B257" s="104"/>
      <c r="C257" s="104"/>
      <c r="D257" s="104"/>
      <c r="E257" s="105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235</v>
      </c>
      <c r="O257" s="39">
        <v>874480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259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155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259</v>
      </c>
      <c r="F259" s="27">
        <v>19</v>
      </c>
      <c r="G259" s="28">
        <f t="shared" si="57"/>
        <v>79.8</v>
      </c>
      <c r="H259" s="50" t="s">
        <v>19</v>
      </c>
      <c r="I259" s="50" t="s">
        <v>160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259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259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259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259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259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259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259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259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259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259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3" t="s">
        <v>236</v>
      </c>
      <c r="B270" s="104"/>
      <c r="C270" s="104"/>
      <c r="D270" s="104"/>
      <c r="E270" s="105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235</v>
      </c>
      <c r="O270" s="39">
        <v>1208450</v>
      </c>
    </row>
    <row r="271" spans="1:15" ht="18" customHeight="1">
      <c r="A271" s="106" t="s">
        <v>237</v>
      </c>
      <c r="B271" s="107"/>
      <c r="C271" s="107"/>
      <c r="D271" s="107"/>
      <c r="E271" s="108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238</v>
      </c>
      <c r="O271" s="48">
        <f>IFERROR(O257+O270,"")</f>
        <v>2082930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259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160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259</v>
      </c>
      <c r="F273" s="27">
        <v>25</v>
      </c>
      <c r="G273" s="34">
        <f t="shared" si="60"/>
        <v>105</v>
      </c>
      <c r="H273" s="33" t="s">
        <v>20</v>
      </c>
      <c r="I273" s="33" t="s">
        <v>155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259</v>
      </c>
      <c r="F274" s="27">
        <v>12</v>
      </c>
      <c r="G274" s="28">
        <f t="shared" si="60"/>
        <v>50.400000000000006</v>
      </c>
      <c r="H274" s="26" t="s">
        <v>19</v>
      </c>
      <c r="I274" s="26" t="s">
        <v>160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259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259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259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259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259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259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259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259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259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3" t="s">
        <v>234</v>
      </c>
      <c r="B284" s="104"/>
      <c r="C284" s="104"/>
      <c r="D284" s="104"/>
      <c r="E284" s="105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235</v>
      </c>
      <c r="O284" s="39">
        <v>787000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259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259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259</v>
      </c>
      <c r="F287" s="27">
        <v>40</v>
      </c>
      <c r="G287" s="34">
        <f t="shared" si="63"/>
        <v>168</v>
      </c>
      <c r="H287" s="33" t="s">
        <v>20</v>
      </c>
      <c r="I287" s="33" t="s">
        <v>155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259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232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259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259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259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259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259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259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259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3" t="s">
        <v>236</v>
      </c>
      <c r="B297" s="104"/>
      <c r="C297" s="104"/>
      <c r="D297" s="104"/>
      <c r="E297" s="105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235</v>
      </c>
      <c r="O297" s="39">
        <v>1049090</v>
      </c>
    </row>
    <row r="298" spans="1:15" ht="18" customHeight="1">
      <c r="A298" s="106" t="s">
        <v>237</v>
      </c>
      <c r="B298" s="107"/>
      <c r="C298" s="107"/>
      <c r="D298" s="107"/>
      <c r="E298" s="108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238</v>
      </c>
      <c r="O298" s="48">
        <f>IFERROR(O284+O297,"")</f>
        <v>1836090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259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398</v>
      </c>
      <c r="O299" s="60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259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210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259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211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259</v>
      </c>
      <c r="F302" s="27">
        <v>0</v>
      </c>
      <c r="G302" s="28">
        <f t="shared" si="66"/>
        <v>0</v>
      </c>
      <c r="H302" s="26" t="s">
        <v>18</v>
      </c>
      <c r="I302" s="26" t="s">
        <v>138</v>
      </c>
      <c r="J302" s="26" t="s">
        <v>128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259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259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259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259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259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259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259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259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3" t="s">
        <v>234</v>
      </c>
      <c r="B311" s="104"/>
      <c r="C311" s="104"/>
      <c r="D311" s="104"/>
      <c r="E311" s="105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235</v>
      </c>
      <c r="O311" s="39">
        <v>145580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232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138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259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170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259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259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259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259</v>
      </c>
      <c r="F317" s="27">
        <v>20</v>
      </c>
      <c r="G317" s="34">
        <f t="shared" si="69"/>
        <v>84</v>
      </c>
      <c r="H317" s="33" t="s">
        <v>20</v>
      </c>
      <c r="I317" s="33" t="s">
        <v>130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259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282</v>
      </c>
      <c r="O318" s="60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259</v>
      </c>
      <c r="F319" s="27">
        <v>26</v>
      </c>
      <c r="G319" s="34">
        <f t="shared" si="69"/>
        <v>109.2</v>
      </c>
      <c r="H319" s="33" t="s">
        <v>20</v>
      </c>
      <c r="I319" s="33" t="s">
        <v>155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259</v>
      </c>
      <c r="F320" s="27">
        <v>30</v>
      </c>
      <c r="G320" s="28">
        <f t="shared" si="69"/>
        <v>126</v>
      </c>
      <c r="H320" s="26" t="s">
        <v>19</v>
      </c>
      <c r="I320" s="26" t="s">
        <v>160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259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259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232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3" t="s">
        <v>236</v>
      </c>
      <c r="B324" s="104"/>
      <c r="C324" s="104"/>
      <c r="D324" s="104"/>
      <c r="E324" s="105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235</v>
      </c>
      <c r="O324" s="39">
        <v>1063720</v>
      </c>
    </row>
    <row r="325" spans="1:15" ht="18" customHeight="1">
      <c r="A325" s="106" t="s">
        <v>237</v>
      </c>
      <c r="B325" s="107"/>
      <c r="C325" s="107"/>
      <c r="D325" s="107"/>
      <c r="E325" s="108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238</v>
      </c>
      <c r="O325" s="48">
        <f>IFERROR(O311+O324,"")</f>
        <v>1209300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7" t="s">
        <v>259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69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259</v>
      </c>
      <c r="F327" s="27">
        <v>20</v>
      </c>
      <c r="G327" s="34">
        <v>84</v>
      </c>
      <c r="H327" s="33" t="s">
        <v>18</v>
      </c>
      <c r="I327" s="33" t="s">
        <v>160</v>
      </c>
      <c r="J327" s="33" t="s">
        <v>119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310</v>
      </c>
      <c r="O327" s="60"/>
    </row>
    <row r="328" spans="1:15" ht="15" customHeight="1">
      <c r="A328" s="68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259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130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69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259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232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259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259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259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259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259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259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259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3" t="s">
        <v>234</v>
      </c>
      <c r="B338" s="104"/>
      <c r="C338" s="104"/>
      <c r="D338" s="104"/>
      <c r="E338" s="105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235</v>
      </c>
      <c r="O338" s="39">
        <v>780000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259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259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259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259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259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259</v>
      </c>
      <c r="F344" s="27">
        <v>20</v>
      </c>
      <c r="G344" s="28">
        <f t="shared" si="75"/>
        <v>84</v>
      </c>
      <c r="H344" s="26" t="s">
        <v>20</v>
      </c>
      <c r="I344" s="26" t="s">
        <v>155</v>
      </c>
      <c r="J344" s="26" t="s">
        <v>74</v>
      </c>
      <c r="K344" s="29" t="s">
        <v>399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259</v>
      </c>
      <c r="F345" s="27">
        <v>5</v>
      </c>
      <c r="G345" s="34">
        <f t="shared" si="75"/>
        <v>21</v>
      </c>
      <c r="H345" s="33" t="s">
        <v>20</v>
      </c>
      <c r="I345" s="33" t="s">
        <v>155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259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259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400</v>
      </c>
      <c r="O347" s="60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259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259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259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3" t="s">
        <v>236</v>
      </c>
      <c r="B351" s="104"/>
      <c r="C351" s="104"/>
      <c r="D351" s="104"/>
      <c r="E351" s="105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235</v>
      </c>
      <c r="O351" s="39">
        <v>696140</v>
      </c>
    </row>
    <row r="352" spans="1:15" ht="18" customHeight="1">
      <c r="A352" s="106" t="s">
        <v>237</v>
      </c>
      <c r="B352" s="107"/>
      <c r="C352" s="107"/>
      <c r="D352" s="107"/>
      <c r="E352" s="108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238</v>
      </c>
      <c r="O352" s="48">
        <f>IFERROR(O338+O351,"")</f>
        <v>1476140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259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259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259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344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259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259</v>
      </c>
      <c r="F357" s="27">
        <v>10</v>
      </c>
      <c r="G357" s="34">
        <f t="shared" si="78"/>
        <v>42</v>
      </c>
      <c r="H357" s="33" t="s">
        <v>18</v>
      </c>
      <c r="I357" s="33" t="s">
        <v>138</v>
      </c>
      <c r="J357" s="33" t="s">
        <v>128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259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259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259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259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259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259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259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234</v>
      </c>
      <c r="B365" s="88"/>
      <c r="C365" s="88"/>
      <c r="D365" s="88"/>
      <c r="E365" s="89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235</v>
      </c>
      <c r="O365" s="39">
        <v>597930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46</v>
      </c>
      <c r="E366" s="59" t="s">
        <v>259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259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259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401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259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259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259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259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259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259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259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119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259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259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103" t="s">
        <v>236</v>
      </c>
      <c r="B378" s="104"/>
      <c r="C378" s="104"/>
      <c r="D378" s="104"/>
      <c r="E378" s="105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235</v>
      </c>
      <c r="O378" s="39">
        <v>704750</v>
      </c>
    </row>
    <row r="379" spans="1:15" ht="18" customHeight="1">
      <c r="A379" s="106" t="s">
        <v>237</v>
      </c>
      <c r="B379" s="107"/>
      <c r="C379" s="107"/>
      <c r="D379" s="107"/>
      <c r="E379" s="108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238</v>
      </c>
      <c r="O379" s="48">
        <f>IFERROR(O365+O378,"")</f>
        <v>1302680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259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402</v>
      </c>
      <c r="O380" s="60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259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259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389</v>
      </c>
      <c r="O382" s="60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259</v>
      </c>
      <c r="F383" s="27">
        <v>0</v>
      </c>
      <c r="G383" s="34">
        <f t="shared" si="84"/>
        <v>0</v>
      </c>
      <c r="H383" s="33" t="s">
        <v>18</v>
      </c>
      <c r="I383" s="33" t="s">
        <v>138</v>
      </c>
      <c r="J383" s="33" t="s">
        <v>128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259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259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259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259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259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259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259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259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3" t="s">
        <v>234</v>
      </c>
      <c r="B392" s="104"/>
      <c r="C392" s="104"/>
      <c r="D392" s="104"/>
      <c r="E392" s="105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235</v>
      </c>
      <c r="O392" s="39">
        <v>565570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232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160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259</v>
      </c>
      <c r="F394" s="27">
        <v>10</v>
      </c>
      <c r="G394" s="28">
        <f t="shared" si="87"/>
        <v>42</v>
      </c>
      <c r="H394" s="26" t="s">
        <v>20</v>
      </c>
      <c r="I394" s="26" t="s">
        <v>138</v>
      </c>
      <c r="J394" s="26" t="s">
        <v>181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403</v>
      </c>
      <c r="O394" s="60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259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259</v>
      </c>
      <c r="F396" s="27">
        <v>21</v>
      </c>
      <c r="G396" s="28">
        <f t="shared" si="87"/>
        <v>88.2</v>
      </c>
      <c r="H396" s="26" t="s">
        <v>16</v>
      </c>
      <c r="I396" s="26" t="s">
        <v>160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259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259</v>
      </c>
      <c r="F398" s="27">
        <v>15</v>
      </c>
      <c r="G398" s="28">
        <f t="shared" si="87"/>
        <v>63</v>
      </c>
      <c r="H398" s="26" t="s">
        <v>19</v>
      </c>
      <c r="I398" s="26" t="s">
        <v>160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404</v>
      </c>
      <c r="O398" s="60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259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259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259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259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259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259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3" t="s">
        <v>236</v>
      </c>
      <c r="B405" s="104"/>
      <c r="C405" s="104"/>
      <c r="D405" s="104"/>
      <c r="E405" s="105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235</v>
      </c>
      <c r="O405" s="39">
        <v>958130</v>
      </c>
    </row>
    <row r="406" spans="1:15" ht="18" customHeight="1">
      <c r="A406" s="106" t="s">
        <v>237</v>
      </c>
      <c r="B406" s="107"/>
      <c r="C406" s="107"/>
      <c r="D406" s="107"/>
      <c r="E406" s="108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238</v>
      </c>
      <c r="O406" s="48">
        <f>IFERROR(O392+O405,"")</f>
        <v>1523700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259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259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119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259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259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138</v>
      </c>
      <c r="J410" s="26" t="s">
        <v>128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259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259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259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259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232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259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259</v>
      </c>
      <c r="F417" s="27">
        <v>16</v>
      </c>
      <c r="G417" s="34">
        <f t="shared" si="90"/>
        <v>67.2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232</v>
      </c>
      <c r="F418" s="27">
        <v>4</v>
      </c>
      <c r="G418" s="28">
        <f t="shared" si="90"/>
        <v>20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3" t="s">
        <v>234</v>
      </c>
      <c r="B419" s="104"/>
      <c r="C419" s="104"/>
      <c r="D419" s="104"/>
      <c r="E419" s="105">
        <f>SUM(E407:E418)</f>
        <v>0</v>
      </c>
      <c r="F419" s="36">
        <f>SUM(F407:F418)</f>
        <v>114</v>
      </c>
      <c r="G419" s="36">
        <f>SUM(G407:G418)</f>
        <v>482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235</v>
      </c>
      <c r="O419" s="39">
        <v>491520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259</v>
      </c>
      <c r="F420" s="27">
        <v>0</v>
      </c>
      <c r="G420" s="28">
        <f t="shared" ref="G420:G431" si="93">IF(F420="","",IF(E420="PC 17",F420*4.2,IF(E420="PC 19",F420*5,"")))</f>
        <v>0</v>
      </c>
      <c r="H420" s="26" t="s">
        <v>18</v>
      </c>
      <c r="I420" s="26" t="s">
        <v>166</v>
      </c>
      <c r="J420" s="26" t="s">
        <v>214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60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259</v>
      </c>
      <c r="F421" s="27">
        <v>0</v>
      </c>
      <c r="G421" s="34">
        <f t="shared" si="93"/>
        <v>0</v>
      </c>
      <c r="H421" s="33" t="s">
        <v>20</v>
      </c>
      <c r="I421" s="33" t="s">
        <v>155</v>
      </c>
      <c r="J421" s="33" t="s">
        <v>44</v>
      </c>
      <c r="K421" s="29">
        <v>0.97499999999999998</v>
      </c>
      <c r="L421" s="29">
        <v>0.98472222222222228</v>
      </c>
      <c r="M421" s="35">
        <f t="shared" ca="1" si="94"/>
        <v>9.7222222222222987E-3</v>
      </c>
      <c r="N421" s="27"/>
      <c r="O421" s="60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259</v>
      </c>
      <c r="F422" s="27">
        <v>0</v>
      </c>
      <c r="G422" s="28">
        <f t="shared" si="93"/>
        <v>0</v>
      </c>
      <c r="H422" s="26" t="s">
        <v>20</v>
      </c>
      <c r="I422" s="26" t="s">
        <v>139</v>
      </c>
      <c r="J422" s="26" t="s">
        <v>180</v>
      </c>
      <c r="K422" s="29">
        <v>2.0833333333333332E-2</v>
      </c>
      <c r="L422" s="29">
        <v>4.3749999999999997E-2</v>
      </c>
      <c r="M422" s="30">
        <f t="shared" ca="1" si="94"/>
        <v>2.2916666666666665E-2</v>
      </c>
      <c r="N422" s="27"/>
      <c r="O422" s="60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259</v>
      </c>
      <c r="F423" s="27">
        <v>0</v>
      </c>
      <c r="G423" s="34">
        <f t="shared" si="93"/>
        <v>0</v>
      </c>
      <c r="H423" s="33" t="s">
        <v>20</v>
      </c>
      <c r="I423" s="33" t="s">
        <v>155</v>
      </c>
      <c r="J423" s="33" t="s">
        <v>44</v>
      </c>
      <c r="K423" s="29">
        <v>6.7361111111111108E-2</v>
      </c>
      <c r="L423" s="29">
        <v>7.4305555555555555E-2</v>
      </c>
      <c r="M423" s="35">
        <f t="shared" ca="1" si="94"/>
        <v>6.9444444444444475E-3</v>
      </c>
      <c r="N423" s="27"/>
      <c r="O423" s="60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259</v>
      </c>
      <c r="F424" s="27">
        <v>14</v>
      </c>
      <c r="G424" s="28">
        <f t="shared" si="93"/>
        <v>58.800000000000004</v>
      </c>
      <c r="H424" s="26" t="s">
        <v>19</v>
      </c>
      <c r="I424" s="26" t="s">
        <v>52</v>
      </c>
      <c r="J424" s="26" t="s">
        <v>27</v>
      </c>
      <c r="K424" s="29">
        <v>7.4305555555555555E-2</v>
      </c>
      <c r="L424" s="29">
        <v>8.819444444444445E-2</v>
      </c>
      <c r="M424" s="30">
        <f t="shared" ca="1" si="94"/>
        <v>1.3888888888888895E-2</v>
      </c>
      <c r="N424" s="27"/>
      <c r="O424" s="60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259</v>
      </c>
      <c r="F425" s="27">
        <v>21</v>
      </c>
      <c r="G425" s="34">
        <f t="shared" si="93"/>
        <v>88.2</v>
      </c>
      <c r="H425" s="33" t="s">
        <v>20</v>
      </c>
      <c r="I425" s="33" t="s">
        <v>57</v>
      </c>
      <c r="J425" s="33" t="s">
        <v>56</v>
      </c>
      <c r="K425" s="29">
        <v>7.9166666666666663E-2</v>
      </c>
      <c r="L425" s="29">
        <v>9.0972222222222218E-2</v>
      </c>
      <c r="M425" s="35">
        <f t="shared" ca="1" si="94"/>
        <v>1.1805555555555555E-2</v>
      </c>
      <c r="N425" s="27" t="s">
        <v>405</v>
      </c>
      <c r="O425" s="60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259</v>
      </c>
      <c r="F426" s="27">
        <v>16</v>
      </c>
      <c r="G426" s="28">
        <f t="shared" si="93"/>
        <v>67.2</v>
      </c>
      <c r="H426" s="26" t="s">
        <v>18</v>
      </c>
      <c r="I426" s="26" t="s">
        <v>57</v>
      </c>
      <c r="J426" s="26" t="s">
        <v>164</v>
      </c>
      <c r="K426" s="29">
        <v>0.21111111111111111</v>
      </c>
      <c r="L426" s="29">
        <v>0.21527777777777779</v>
      </c>
      <c r="M426" s="30">
        <f t="shared" ca="1" si="94"/>
        <v>4.1666666666666796E-3</v>
      </c>
      <c r="N426" s="27"/>
      <c r="O426" s="60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259</v>
      </c>
      <c r="F427" s="27">
        <v>10</v>
      </c>
      <c r="G427" s="34">
        <f t="shared" si="93"/>
        <v>42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259</v>
      </c>
      <c r="F428" s="27">
        <v>26</v>
      </c>
      <c r="G428" s="28">
        <f t="shared" si="93"/>
        <v>109.2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259</v>
      </c>
      <c r="F429" s="27">
        <v>18</v>
      </c>
      <c r="G429" s="34">
        <f t="shared" si="93"/>
        <v>75.600000000000009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259</v>
      </c>
      <c r="F430" s="27">
        <v>16</v>
      </c>
      <c r="G430" s="28">
        <f t="shared" si="93"/>
        <v>67.2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259</v>
      </c>
      <c r="F431" s="27">
        <v>7</v>
      </c>
      <c r="G431" s="34">
        <f t="shared" si="93"/>
        <v>29.400000000000002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3" t="s">
        <v>236</v>
      </c>
      <c r="B432" s="104"/>
      <c r="C432" s="104"/>
      <c r="D432" s="104"/>
      <c r="E432" s="105">
        <f>SUM(E420:E431)</f>
        <v>0</v>
      </c>
      <c r="F432" s="36">
        <f>SUM(F420:F431)</f>
        <v>128</v>
      </c>
      <c r="G432" s="36">
        <f>SUM(G420:G431)</f>
        <v>537.6</v>
      </c>
      <c r="H432" s="37"/>
      <c r="I432" s="37"/>
      <c r="J432" s="37"/>
      <c r="K432" s="61"/>
      <c r="L432" s="61"/>
      <c r="M432" s="38">
        <f ca="1">IFERROR(SUM(M420:M431),"")</f>
        <v>0.20416666666666675</v>
      </c>
      <c r="N432" s="36" t="s">
        <v>235</v>
      </c>
      <c r="O432" s="39">
        <v>605220</v>
      </c>
    </row>
    <row r="433" spans="1:17" ht="18" customHeight="1">
      <c r="A433" s="106" t="s">
        <v>237</v>
      </c>
      <c r="B433" s="107"/>
      <c r="C433" s="107"/>
      <c r="D433" s="107"/>
      <c r="E433" s="108">
        <f>E419+E432</f>
        <v>0</v>
      </c>
      <c r="F433" s="40">
        <f>F419+F432</f>
        <v>242</v>
      </c>
      <c r="G433" s="40">
        <f>G419+G432</f>
        <v>1019.6</v>
      </c>
      <c r="H433" s="41"/>
      <c r="I433" s="41"/>
      <c r="J433" s="41"/>
      <c r="K433" s="63"/>
      <c r="L433" s="63"/>
      <c r="M433" s="42">
        <f ca="1">IFERROR(M419+M432,"")</f>
        <v>0.43819444444444455</v>
      </c>
      <c r="N433" s="40" t="s">
        <v>238</v>
      </c>
      <c r="O433" s="48">
        <f>IFERROR(O419+O432,"")</f>
        <v>1096740</v>
      </c>
    </row>
    <row r="434" spans="1:17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259</v>
      </c>
      <c r="F434" s="27">
        <v>28</v>
      </c>
      <c r="G434" s="28">
        <f t="shared" ref="G434:G445" si="96">IF(F434="","",IF(E434="PC 17",F434*4.2,IF(E434="PC 19",F434*5,"")))</f>
        <v>117.60000000000001</v>
      </c>
      <c r="H434" s="26" t="s">
        <v>18</v>
      </c>
      <c r="I434" s="26" t="s">
        <v>57</v>
      </c>
      <c r="J434" s="26" t="s">
        <v>215</v>
      </c>
      <c r="K434" s="29">
        <v>0.33333333333333331</v>
      </c>
      <c r="L434" s="29">
        <v>0.35416666666666669</v>
      </c>
      <c r="M434" s="30">
        <f t="shared" ref="M434:M445" ca="1" si="97">IFERROR(IF(K434="","",IF(L434="",MOD(NOW()-K434,1),IF(L434&gt;=K434,L434-K434,L434+1-K434))),"")</f>
        <v>2.083333333333337E-2</v>
      </c>
      <c r="N434" s="27"/>
      <c r="O434" s="60"/>
    </row>
    <row r="435" spans="1:17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259</v>
      </c>
      <c r="F435" s="27">
        <v>6</v>
      </c>
      <c r="G435" s="28">
        <f t="shared" si="96"/>
        <v>25.200000000000003</v>
      </c>
      <c r="H435" s="33" t="s">
        <v>19</v>
      </c>
      <c r="I435" s="33" t="s">
        <v>160</v>
      </c>
      <c r="J435" s="33" t="s">
        <v>27</v>
      </c>
      <c r="K435" s="29">
        <v>0.60416666666666663</v>
      </c>
      <c r="L435" s="29">
        <v>0.6166666666666667</v>
      </c>
      <c r="M435" s="35">
        <f t="shared" ca="1" si="97"/>
        <v>1.2500000000000067E-2</v>
      </c>
      <c r="N435" s="27"/>
      <c r="O435" s="60"/>
    </row>
    <row r="436" spans="1:17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259</v>
      </c>
      <c r="F436" s="27">
        <v>23</v>
      </c>
      <c r="G436" s="28">
        <f t="shared" si="96"/>
        <v>96.600000000000009</v>
      </c>
      <c r="H436" s="26" t="s">
        <v>20</v>
      </c>
      <c r="I436" s="26" t="s">
        <v>138</v>
      </c>
      <c r="J436" s="26" t="s">
        <v>74</v>
      </c>
      <c r="K436" s="29">
        <v>0.66319444444444442</v>
      </c>
      <c r="L436" s="29">
        <v>0.67708333333333337</v>
      </c>
      <c r="M436" s="30">
        <f t="shared" ca="1" si="97"/>
        <v>1.3888888888888951E-2</v>
      </c>
      <c r="N436" s="27"/>
      <c r="O436" s="60"/>
    </row>
    <row r="437" spans="1:17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259</v>
      </c>
      <c r="F437" s="27">
        <v>17</v>
      </c>
      <c r="G437" s="34">
        <f t="shared" si="96"/>
        <v>71.400000000000006</v>
      </c>
      <c r="H437" s="33" t="s">
        <v>20</v>
      </c>
      <c r="I437" s="33" t="s">
        <v>39</v>
      </c>
      <c r="J437" s="33" t="s">
        <v>51</v>
      </c>
      <c r="K437" s="29">
        <v>0.76875000000000004</v>
      </c>
      <c r="L437" s="29">
        <v>0.77222222222222225</v>
      </c>
      <c r="M437" s="35">
        <f t="shared" ca="1" si="97"/>
        <v>3.4722222222222099E-3</v>
      </c>
      <c r="N437" s="27"/>
      <c r="O437" s="60"/>
    </row>
    <row r="438" spans="1:17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259</v>
      </c>
      <c r="F438" s="27">
        <v>21</v>
      </c>
      <c r="G438" s="28">
        <f t="shared" si="96"/>
        <v>88.2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259</v>
      </c>
      <c r="F439" s="27">
        <v>20</v>
      </c>
      <c r="G439" s="34">
        <f t="shared" si="96"/>
        <v>84</v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259</v>
      </c>
      <c r="F440" s="27">
        <v>13</v>
      </c>
      <c r="G440" s="28">
        <f t="shared" si="96"/>
        <v>54.6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259</v>
      </c>
      <c r="F441" s="27">
        <v>14</v>
      </c>
      <c r="G441" s="34">
        <f t="shared" si="96"/>
        <v>58.800000000000004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259</v>
      </c>
      <c r="F442" s="27">
        <v>19</v>
      </c>
      <c r="G442" s="28">
        <f t="shared" si="96"/>
        <v>79.8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259</v>
      </c>
      <c r="F443" s="27">
        <v>21</v>
      </c>
      <c r="G443" s="34">
        <f t="shared" si="96"/>
        <v>88.2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259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259</v>
      </c>
      <c r="F445" s="27">
        <v>5</v>
      </c>
      <c r="G445" s="34">
        <f t="shared" si="96"/>
        <v>21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3" t="s">
        <v>234</v>
      </c>
      <c r="B446" s="104"/>
      <c r="C446" s="104"/>
      <c r="D446" s="104"/>
      <c r="E446" s="105">
        <f>SUM(E434:E445)</f>
        <v>0</v>
      </c>
      <c r="F446" s="36">
        <f>SUM(F434:F445)</f>
        <v>195</v>
      </c>
      <c r="G446" s="36">
        <f>SUM(G434:G445)</f>
        <v>819</v>
      </c>
      <c r="H446" s="37"/>
      <c r="I446" s="37"/>
      <c r="J446" s="37"/>
      <c r="K446" s="61"/>
      <c r="L446" s="61"/>
      <c r="M446" s="38">
        <f ca="1">IFERROR(SUM(M434:M445),"")</f>
        <v>5.0694444444444597E-2</v>
      </c>
      <c r="N446" s="36" t="s">
        <v>235</v>
      </c>
      <c r="O446" s="39">
        <v>878370</v>
      </c>
    </row>
    <row r="447" spans="1:17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232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 t="s">
        <v>57</v>
      </c>
      <c r="J447" s="33" t="s">
        <v>51</v>
      </c>
      <c r="K447" s="29">
        <v>0.79166666666666663</v>
      </c>
      <c r="L447" s="29">
        <v>0.80694444444444446</v>
      </c>
      <c r="M447" s="35">
        <f t="shared" ref="M447:M458" ca="1" si="100">IFERROR(IF(K447="","",IF(L447="",MOD(NOW()-K447,1),IF(L447&gt;=K447,L447-K447,L447+1-K447))),"")</f>
        <v>1.5277777777777835E-2</v>
      </c>
      <c r="N447" s="27"/>
      <c r="O447" s="60"/>
    </row>
    <row r="448" spans="1:17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232</v>
      </c>
      <c r="F448" s="27">
        <v>4</v>
      </c>
      <c r="G448" s="28">
        <f t="shared" si="99"/>
        <v>20</v>
      </c>
      <c r="H448" s="26" t="s">
        <v>20</v>
      </c>
      <c r="I448" s="26" t="s">
        <v>52</v>
      </c>
      <c r="J448" s="26" t="s">
        <v>51</v>
      </c>
      <c r="K448" s="29">
        <v>0.81458333333333333</v>
      </c>
      <c r="L448" s="29">
        <v>0.81805555555555554</v>
      </c>
      <c r="M448" s="30">
        <f t="shared" ca="1" si="100"/>
        <v>3.4722222222222099E-3</v>
      </c>
      <c r="N448" s="27"/>
      <c r="O448" s="60"/>
      <c r="Q448" s="66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232</v>
      </c>
      <c r="F449" s="27">
        <v>6</v>
      </c>
      <c r="G449" s="34">
        <f t="shared" si="99"/>
        <v>30</v>
      </c>
      <c r="H449" s="33" t="s">
        <v>18</v>
      </c>
      <c r="I449" s="33" t="s">
        <v>138</v>
      </c>
      <c r="J449" s="33" t="s">
        <v>128</v>
      </c>
      <c r="K449" s="29">
        <v>0.81944444444444442</v>
      </c>
      <c r="L449" s="29">
        <v>0.86250000000000004</v>
      </c>
      <c r="M449" s="35">
        <f t="shared" ca="1" si="100"/>
        <v>4.3055555555555625E-2</v>
      </c>
      <c r="N449" s="27"/>
      <c r="O449" s="60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57" t="s">
        <v>321</v>
      </c>
      <c r="F450" s="27">
        <v>9</v>
      </c>
      <c r="G450" s="28">
        <f>IF(F450="","",IF(E451="PC 17",F450*4.2,IF(E451="PC 19",F450*5,"")))</f>
        <v>45</v>
      </c>
      <c r="H450" s="26" t="s">
        <v>20</v>
      </c>
      <c r="I450" s="26" t="s">
        <v>52</v>
      </c>
      <c r="J450" s="26" t="s">
        <v>56</v>
      </c>
      <c r="K450" s="29">
        <v>0.84166666666666667</v>
      </c>
      <c r="L450" s="29">
        <v>0.86805555555555558</v>
      </c>
      <c r="M450" s="30">
        <f t="shared" ca="1" si="100"/>
        <v>2.6388888888888906E-2</v>
      </c>
      <c r="N450" s="27"/>
      <c r="O450" s="60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232</v>
      </c>
      <c r="F451" s="27">
        <v>14</v>
      </c>
      <c r="G451" s="34">
        <v>59</v>
      </c>
      <c r="H451" s="33" t="s">
        <v>20</v>
      </c>
      <c r="I451" s="33" t="s">
        <v>52</v>
      </c>
      <c r="J451" s="33" t="s">
        <v>51</v>
      </c>
      <c r="K451" s="29">
        <v>0.92638888888888893</v>
      </c>
      <c r="L451" s="29">
        <v>0.9291666666666667</v>
      </c>
      <c r="M451" s="35">
        <f t="shared" ca="1" si="100"/>
        <v>2.7777777777777679E-3</v>
      </c>
      <c r="N451" s="27"/>
      <c r="O451" s="60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232</v>
      </c>
      <c r="F452" s="27">
        <v>10</v>
      </c>
      <c r="G452" s="28">
        <f t="shared" si="99"/>
        <v>50</v>
      </c>
      <c r="H452" s="26" t="s">
        <v>20</v>
      </c>
      <c r="I452" s="26" t="s">
        <v>52</v>
      </c>
      <c r="J452" s="26" t="s">
        <v>56</v>
      </c>
      <c r="K452" s="29">
        <v>3.8194444444444448E-2</v>
      </c>
      <c r="L452" s="29">
        <v>6.805555555555555E-2</v>
      </c>
      <c r="M452" s="30">
        <f t="shared" ca="1" si="100"/>
        <v>2.9861111111111102E-2</v>
      </c>
      <c r="N452" s="27"/>
      <c r="O452" s="60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232</v>
      </c>
      <c r="F453" s="27">
        <v>3</v>
      </c>
      <c r="G453" s="34">
        <f t="shared" si="99"/>
        <v>15</v>
      </c>
      <c r="H453" s="33" t="s">
        <v>20</v>
      </c>
      <c r="I453" s="33" t="s">
        <v>150</v>
      </c>
      <c r="J453" s="33" t="s">
        <v>180</v>
      </c>
      <c r="K453" s="29">
        <v>8.3333333333333329E-2</v>
      </c>
      <c r="L453" s="29">
        <v>0.10625</v>
      </c>
      <c r="M453" s="35">
        <f t="shared" ca="1" si="100"/>
        <v>2.2916666666666669E-2</v>
      </c>
      <c r="N453" s="27"/>
      <c r="O453" s="60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232</v>
      </c>
      <c r="F454" s="27">
        <v>12</v>
      </c>
      <c r="G454" s="28">
        <f t="shared" si="99"/>
        <v>60</v>
      </c>
      <c r="H454" s="26" t="s">
        <v>18</v>
      </c>
      <c r="I454" s="26" t="s">
        <v>138</v>
      </c>
      <c r="J454" s="26" t="s">
        <v>128</v>
      </c>
      <c r="K454" s="29">
        <v>0.22222222222222221</v>
      </c>
      <c r="L454" s="29">
        <v>0.24444444444444444</v>
      </c>
      <c r="M454" s="30">
        <f t="shared" ca="1" si="100"/>
        <v>2.2222222222222227E-2</v>
      </c>
      <c r="N454" s="27"/>
      <c r="O454" s="60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232</v>
      </c>
      <c r="F455" s="27">
        <v>19</v>
      </c>
      <c r="G455" s="34">
        <f t="shared" si="99"/>
        <v>95</v>
      </c>
      <c r="H455" s="33" t="s">
        <v>18</v>
      </c>
      <c r="I455" s="33"/>
      <c r="J455" s="33" t="s">
        <v>218</v>
      </c>
      <c r="K455" s="29">
        <v>0.25833333333333336</v>
      </c>
      <c r="L455" s="29">
        <v>0.28402777777777777</v>
      </c>
      <c r="M455" s="35">
        <f t="shared" ca="1" si="100"/>
        <v>2.5694444444444409E-2</v>
      </c>
      <c r="N455" s="27"/>
      <c r="O455" s="60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232</v>
      </c>
      <c r="F456" s="27">
        <v>18</v>
      </c>
      <c r="G456" s="28">
        <f t="shared" si="99"/>
        <v>90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232</v>
      </c>
      <c r="F457" s="27">
        <v>12</v>
      </c>
      <c r="G457" s="34">
        <f t="shared" si="99"/>
        <v>60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232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3" t="s">
        <v>236</v>
      </c>
      <c r="B459" s="104"/>
      <c r="C459" s="104"/>
      <c r="D459" s="104"/>
      <c r="E459" s="105">
        <f>SUM(E447:E458)</f>
        <v>0</v>
      </c>
      <c r="F459" s="36">
        <f>SUM(F447:F458)</f>
        <v>113</v>
      </c>
      <c r="G459" s="36">
        <f>SUM(G447:G458)</f>
        <v>554</v>
      </c>
      <c r="H459" s="37"/>
      <c r="I459" s="37"/>
      <c r="J459" s="37"/>
      <c r="K459" s="61"/>
      <c r="L459" s="61"/>
      <c r="M459" s="38">
        <f ca="1">IFERROR(SUM(M447:M458),"")</f>
        <v>0.19166666666666674</v>
      </c>
      <c r="N459" s="36" t="s">
        <v>235</v>
      </c>
      <c r="O459" s="39">
        <v>615330</v>
      </c>
    </row>
    <row r="460" spans="1:15" ht="18" customHeight="1">
      <c r="A460" s="106" t="s">
        <v>237</v>
      </c>
      <c r="B460" s="107"/>
      <c r="C460" s="107"/>
      <c r="D460" s="107"/>
      <c r="E460" s="108">
        <f>E446+E459</f>
        <v>0</v>
      </c>
      <c r="F460" s="40">
        <f>F446+F459</f>
        <v>308</v>
      </c>
      <c r="G460" s="40">
        <f>G446+G459</f>
        <v>1373</v>
      </c>
      <c r="H460" s="41"/>
      <c r="I460" s="41"/>
      <c r="J460" s="41"/>
      <c r="K460" s="63"/>
      <c r="L460" s="63"/>
      <c r="M460" s="42">
        <f ca="1">IFERROR(M446+M459,"")</f>
        <v>0.24236111111111133</v>
      </c>
      <c r="N460" s="40" t="s">
        <v>238</v>
      </c>
      <c r="O460" s="48">
        <f>IFERROR(O446+O459,"")</f>
        <v>1493700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232</v>
      </c>
      <c r="F461" s="27">
        <v>5</v>
      </c>
      <c r="G461" s="34">
        <f t="shared" ref="G461:G472" si="102">IF(F461="","",IF(E461="PC 17",F461*4.2,IF(E461="PC 19",F461*5,"")))</f>
        <v>25</v>
      </c>
      <c r="H461" s="33" t="s">
        <v>18</v>
      </c>
      <c r="I461" s="33" t="s">
        <v>57</v>
      </c>
      <c r="J461" s="33" t="s">
        <v>128</v>
      </c>
      <c r="K461" s="29">
        <v>0.3263888888888889</v>
      </c>
      <c r="L461" s="29">
        <v>0.40277777777777779</v>
      </c>
      <c r="M461" s="35">
        <f t="shared" ref="M461:M472" ca="1" si="103">IFERROR(IF(K461="","",IF(L461="",MOD(NOW()-K461,1),IF(L461&gt;=K461,L461-K461,L461+1-K461))),"")</f>
        <v>7.6388888888888895E-2</v>
      </c>
      <c r="N461" s="27" t="s">
        <v>406</v>
      </c>
      <c r="O461" s="60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232</v>
      </c>
      <c r="F462" s="27">
        <v>0</v>
      </c>
      <c r="G462" s="28">
        <f t="shared" si="102"/>
        <v>0</v>
      </c>
      <c r="H462" s="26" t="s">
        <v>20</v>
      </c>
      <c r="I462" s="26" t="s">
        <v>52</v>
      </c>
      <c r="J462" s="26" t="s">
        <v>56</v>
      </c>
      <c r="K462" s="29">
        <v>0.47222222222222221</v>
      </c>
      <c r="L462" s="29">
        <v>0.4861111111111111</v>
      </c>
      <c r="M462" s="30">
        <f t="shared" ca="1" si="103"/>
        <v>1.3888888888888895E-2</v>
      </c>
      <c r="N462" s="27" t="s">
        <v>407</v>
      </c>
      <c r="O462" s="60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232</v>
      </c>
      <c r="F463" s="27">
        <v>4</v>
      </c>
      <c r="G463" s="34">
        <f t="shared" si="102"/>
        <v>20</v>
      </c>
      <c r="H463" s="33" t="s">
        <v>20</v>
      </c>
      <c r="I463" s="33" t="s">
        <v>139</v>
      </c>
      <c r="J463" s="33" t="s">
        <v>74</v>
      </c>
      <c r="K463" s="29">
        <v>0.57986111111111116</v>
      </c>
      <c r="L463" s="29">
        <v>0.60069444444444442</v>
      </c>
      <c r="M463" s="35">
        <f t="shared" ca="1" si="103"/>
        <v>2.0833333333333259E-2</v>
      </c>
      <c r="N463" s="27"/>
      <c r="O463" s="60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232</v>
      </c>
      <c r="F464" s="27">
        <v>20</v>
      </c>
      <c r="G464" s="28">
        <f t="shared" si="102"/>
        <v>100</v>
      </c>
      <c r="H464" s="26" t="s">
        <v>18</v>
      </c>
      <c r="I464" s="26" t="s">
        <v>139</v>
      </c>
      <c r="J464" s="26" t="s">
        <v>100</v>
      </c>
      <c r="K464" s="29">
        <v>0.60069444444444442</v>
      </c>
      <c r="L464" s="29">
        <v>0.60763888888888884</v>
      </c>
      <c r="M464" s="30">
        <f t="shared" ca="1" si="103"/>
        <v>6.9444444444444198E-3</v>
      </c>
      <c r="N464" s="27"/>
      <c r="O464" s="60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232</v>
      </c>
      <c r="F465" s="27">
        <v>4</v>
      </c>
      <c r="G465" s="34">
        <f t="shared" si="102"/>
        <v>20</v>
      </c>
      <c r="H465" s="33" t="s">
        <v>20</v>
      </c>
      <c r="I465" s="33" t="s">
        <v>57</v>
      </c>
      <c r="J465" s="33" t="s">
        <v>165</v>
      </c>
      <c r="K465" s="29">
        <v>0.64930555555555558</v>
      </c>
      <c r="L465" s="29">
        <v>0.67222222222222228</v>
      </c>
      <c r="M465" s="35">
        <f t="shared" ca="1" si="103"/>
        <v>2.2916666666666696E-2</v>
      </c>
      <c r="N465" s="27" t="s">
        <v>382</v>
      </c>
      <c r="O465" s="60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232</v>
      </c>
      <c r="F466" s="27">
        <v>21</v>
      </c>
      <c r="G466" s="28">
        <f t="shared" si="102"/>
        <v>105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232</v>
      </c>
      <c r="F467" s="27">
        <v>9</v>
      </c>
      <c r="G467" s="34">
        <f t="shared" si="102"/>
        <v>45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232</v>
      </c>
      <c r="F468" s="27">
        <v>12</v>
      </c>
      <c r="G468" s="28">
        <f t="shared" si="102"/>
        <v>60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232</v>
      </c>
      <c r="F469" s="27">
        <v>10</v>
      </c>
      <c r="G469" s="34">
        <f t="shared" si="102"/>
        <v>50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232</v>
      </c>
      <c r="F470" s="27">
        <v>16</v>
      </c>
      <c r="G470" s="28">
        <f t="shared" si="102"/>
        <v>80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232</v>
      </c>
      <c r="F471" s="27">
        <v>10</v>
      </c>
      <c r="G471" s="34">
        <f t="shared" si="102"/>
        <v>50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232</v>
      </c>
      <c r="F472" s="27">
        <v>4</v>
      </c>
      <c r="G472" s="28">
        <f t="shared" si="102"/>
        <v>20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3" t="s">
        <v>234</v>
      </c>
      <c r="B473" s="104"/>
      <c r="C473" s="104"/>
      <c r="D473" s="104"/>
      <c r="E473" s="105">
        <f>SUM(E461:E472)</f>
        <v>0</v>
      </c>
      <c r="F473" s="36">
        <f>SUM(F461:F472)</f>
        <v>115</v>
      </c>
      <c r="G473" s="36">
        <f>SUM(G461:G472)</f>
        <v>575</v>
      </c>
      <c r="H473" s="37"/>
      <c r="I473" s="37"/>
      <c r="J473" s="37"/>
      <c r="K473" s="61"/>
      <c r="L473" s="61"/>
      <c r="M473" s="38">
        <f ca="1">IFERROR(SUM(M461:M472),"")</f>
        <v>0.14097222222222217</v>
      </c>
      <c r="N473" s="36" t="s">
        <v>235</v>
      </c>
      <c r="O473" s="39">
        <v>774200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232</v>
      </c>
      <c r="F474" s="27">
        <v>20</v>
      </c>
      <c r="G474" s="28">
        <f t="shared" ref="G474:G485" si="105">IF(F474="","",IF(E474="PC 17",F474*4.2,IF(E474="PC 19",F474*5,"")))</f>
        <v>100</v>
      </c>
      <c r="H474" s="26" t="s">
        <v>19</v>
      </c>
      <c r="I474" s="26" t="s">
        <v>160</v>
      </c>
      <c r="J474" s="26" t="s">
        <v>27</v>
      </c>
      <c r="K474" s="29">
        <v>0.17847222222222223</v>
      </c>
      <c r="L474" s="29">
        <v>0.19444444444444445</v>
      </c>
      <c r="M474" s="30">
        <f t="shared" ref="M474:M485" ca="1" si="106">IFERROR(IF(K474="","",IF(L474="",MOD(NOW()-K474,1),IF(L474&gt;=K474,L474-K474,L474+1-K474))),"")</f>
        <v>1.5972222222222221E-2</v>
      </c>
      <c r="N474" s="27"/>
      <c r="O474" s="60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232</v>
      </c>
      <c r="F475" s="27">
        <v>18</v>
      </c>
      <c r="G475" s="34">
        <f t="shared" si="105"/>
        <v>90</v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232</v>
      </c>
      <c r="F476" s="27">
        <v>10</v>
      </c>
      <c r="G476" s="28">
        <f t="shared" si="105"/>
        <v>50</v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232</v>
      </c>
      <c r="F477" s="27">
        <v>10</v>
      </c>
      <c r="G477" s="34">
        <f t="shared" si="105"/>
        <v>50</v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232</v>
      </c>
      <c r="F478" s="27">
        <v>15</v>
      </c>
      <c r="G478" s="28">
        <f t="shared" si="105"/>
        <v>75</v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232</v>
      </c>
      <c r="F479" s="27">
        <v>13</v>
      </c>
      <c r="G479" s="34">
        <f t="shared" si="105"/>
        <v>65</v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232</v>
      </c>
      <c r="F480" s="27">
        <v>15</v>
      </c>
      <c r="G480" s="28">
        <f t="shared" si="105"/>
        <v>75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232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232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232</v>
      </c>
      <c r="F483" s="27">
        <v>0</v>
      </c>
      <c r="G483" s="34">
        <f t="shared" si="105"/>
        <v>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232</v>
      </c>
      <c r="F484" s="27">
        <v>15</v>
      </c>
      <c r="G484" s="28">
        <f t="shared" si="105"/>
        <v>75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232</v>
      </c>
      <c r="F485" s="27">
        <v>8</v>
      </c>
      <c r="G485" s="34">
        <f t="shared" si="105"/>
        <v>40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3" t="s">
        <v>236</v>
      </c>
      <c r="B486" s="104"/>
      <c r="C486" s="104"/>
      <c r="D486" s="104"/>
      <c r="E486" s="105">
        <f>SUM(E474:E485)</f>
        <v>0</v>
      </c>
      <c r="F486" s="36">
        <f>SUM(F474:F485)</f>
        <v>147</v>
      </c>
      <c r="G486" s="36">
        <f>SUM(G474:G485)</f>
        <v>735</v>
      </c>
      <c r="H486" s="37"/>
      <c r="I486" s="37"/>
      <c r="J486" s="37"/>
      <c r="K486" s="61"/>
      <c r="L486" s="61"/>
      <c r="M486" s="38">
        <f ca="1">IFERROR(SUM(M474:M485),"")</f>
        <v>1.5972222222222221E-2</v>
      </c>
      <c r="N486" s="36" t="s">
        <v>235</v>
      </c>
      <c r="O486" s="39">
        <v>1120830</v>
      </c>
    </row>
    <row r="487" spans="1:15" ht="18" customHeight="1">
      <c r="A487" s="106" t="s">
        <v>237</v>
      </c>
      <c r="B487" s="107"/>
      <c r="C487" s="107"/>
      <c r="D487" s="107"/>
      <c r="E487" s="108">
        <f>E473+E486</f>
        <v>0</v>
      </c>
      <c r="F487" s="40">
        <f>F473+F486</f>
        <v>262</v>
      </c>
      <c r="G487" s="40">
        <f>G473+G486</f>
        <v>1310</v>
      </c>
      <c r="H487" s="41"/>
      <c r="I487" s="41"/>
      <c r="J487" s="41"/>
      <c r="K487" s="63"/>
      <c r="L487" s="63"/>
      <c r="M487" s="42">
        <f ca="1">IFERROR(M473+M486,"")</f>
        <v>0.15694444444444439</v>
      </c>
      <c r="N487" s="40" t="s">
        <v>238</v>
      </c>
      <c r="O487" s="48">
        <f>IFERROR(O473+O486,"")</f>
        <v>1895030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232</v>
      </c>
      <c r="F488" s="27">
        <v>10</v>
      </c>
      <c r="G488" s="28">
        <f t="shared" ref="G488:G499" si="108">IF(F488="","",IF(E488="PC 17",F488*4.2,IF(E488="PC 19",F488*5,"")))</f>
        <v>50</v>
      </c>
      <c r="H488" s="26" t="s">
        <v>20</v>
      </c>
      <c r="I488" s="26" t="s">
        <v>57</v>
      </c>
      <c r="J488" s="26" t="s">
        <v>62</v>
      </c>
      <c r="K488" s="29">
        <v>0.40625</v>
      </c>
      <c r="L488" s="29">
        <v>0.40833333333333333</v>
      </c>
      <c r="M488" s="30">
        <f ca="1">IFERROR(IF(K488="","",IF(L488="",MOD(NOW()-K488,1),IF(L488&gt;=K488,L488-K488,L488+1-K488))),"")</f>
        <v>2.0833333333333259E-3</v>
      </c>
      <c r="N488" s="27"/>
      <c r="O488" s="60"/>
    </row>
    <row r="489" spans="1:15" ht="15" customHeight="1">
      <c r="A489" s="69">
        <v>46222</v>
      </c>
      <c r="B489" s="32">
        <f t="shared" ref="B489:B499" si="109">B488+TIME(0,60,0)</f>
        <v>0.37499999999999967</v>
      </c>
      <c r="C489" s="26" t="s">
        <v>21</v>
      </c>
      <c r="D489" s="59" t="s">
        <v>30</v>
      </c>
      <c r="E489" s="59" t="s">
        <v>232</v>
      </c>
      <c r="F489" s="27">
        <v>15</v>
      </c>
      <c r="G489" s="34">
        <f t="shared" si="108"/>
        <v>75</v>
      </c>
      <c r="H489" s="33" t="s">
        <v>20</v>
      </c>
      <c r="I489" s="33" t="s">
        <v>57</v>
      </c>
      <c r="J489" s="33" t="s">
        <v>165</v>
      </c>
      <c r="K489" s="29">
        <v>0.44236111111111109</v>
      </c>
      <c r="L489" s="29">
        <v>0.45833333333333331</v>
      </c>
      <c r="M489" s="35">
        <f ca="1">IFERROR(IF(K489="","",IF(L489="",MOD(NOW()-K489,1),IF(L489&gt;=K489,L489-K489,L489+1-K489))),"")</f>
        <v>1.5972222222222221E-2</v>
      </c>
      <c r="N489" s="27" t="s">
        <v>382</v>
      </c>
      <c r="O489" s="60"/>
    </row>
    <row r="490" spans="1:15" ht="15" customHeight="1">
      <c r="A490" s="68">
        <v>46222</v>
      </c>
      <c r="B490" s="25">
        <f t="shared" si="109"/>
        <v>0.41666666666666635</v>
      </c>
      <c r="C490" s="26" t="s">
        <v>21</v>
      </c>
      <c r="D490" s="59" t="s">
        <v>30</v>
      </c>
      <c r="E490" s="59" t="s">
        <v>232</v>
      </c>
      <c r="F490" s="27">
        <v>17</v>
      </c>
      <c r="G490" s="28">
        <f t="shared" si="108"/>
        <v>85</v>
      </c>
      <c r="H490" s="26" t="s">
        <v>20</v>
      </c>
      <c r="I490" s="26" t="s">
        <v>57</v>
      </c>
      <c r="J490" s="26" t="s">
        <v>51</v>
      </c>
      <c r="K490" s="29">
        <v>0.48055555555555557</v>
      </c>
      <c r="L490" s="29">
        <v>0.48402777777777778</v>
      </c>
      <c r="M490" s="30">
        <f ca="1">IFERROR(IF(K490="","",IF(L490="",MOD(NOW()-K490,1),IF(L490&gt;=K490,L490-K490,L490+1-K490))),"")</f>
        <v>3.4722222222222099E-3</v>
      </c>
      <c r="N490" s="27"/>
      <c r="O490" s="60"/>
    </row>
    <row r="491" spans="1:15" ht="15" customHeight="1">
      <c r="A491" s="69">
        <v>46222</v>
      </c>
      <c r="B491" s="32">
        <f t="shared" si="109"/>
        <v>0.45833333333333304</v>
      </c>
      <c r="C491" s="26" t="s">
        <v>21</v>
      </c>
      <c r="D491" s="59" t="s">
        <v>30</v>
      </c>
      <c r="E491" s="59" t="s">
        <v>232</v>
      </c>
      <c r="F491" s="27">
        <v>12</v>
      </c>
      <c r="G491" s="34">
        <f t="shared" si="108"/>
        <v>60</v>
      </c>
      <c r="H491" s="33" t="s">
        <v>20</v>
      </c>
      <c r="I491" s="33" t="s">
        <v>52</v>
      </c>
      <c r="J491" s="33" t="s">
        <v>51</v>
      </c>
      <c r="K491" s="29">
        <v>0.61111111111111116</v>
      </c>
      <c r="L491" s="29">
        <v>0.63888888888888884</v>
      </c>
      <c r="M491" s="35">
        <f ca="1">IFERROR(IF(K491="","",IF(L491="",MOD(NOW()-K491,1),IF(L491&gt;=K491,L491-K491,L491+1-K491))),"")</f>
        <v>2.7777777777777679E-2</v>
      </c>
      <c r="N491" s="27"/>
      <c r="O491" s="60"/>
    </row>
    <row r="492" spans="1:15" ht="15" customHeight="1">
      <c r="A492" s="68">
        <v>46222</v>
      </c>
      <c r="B492" s="25">
        <f t="shared" si="109"/>
        <v>0.49999999999999972</v>
      </c>
      <c r="C492" s="26" t="s">
        <v>21</v>
      </c>
      <c r="D492" s="59" t="s">
        <v>30</v>
      </c>
      <c r="E492" s="59" t="s">
        <v>232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46222</v>
      </c>
      <c r="B493" s="32">
        <f t="shared" si="109"/>
        <v>0.54166666666666641</v>
      </c>
      <c r="C493" s="26" t="s">
        <v>21</v>
      </c>
      <c r="D493" s="59" t="s">
        <v>30</v>
      </c>
      <c r="E493" s="59" t="s">
        <v>232</v>
      </c>
      <c r="F493" s="27">
        <v>12</v>
      </c>
      <c r="G493" s="34">
        <f t="shared" si="108"/>
        <v>60</v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46222</v>
      </c>
      <c r="B494" s="25">
        <f t="shared" si="109"/>
        <v>0.58333333333333304</v>
      </c>
      <c r="C494" s="26" t="s">
        <v>21</v>
      </c>
      <c r="D494" s="59" t="s">
        <v>30</v>
      </c>
      <c r="E494" s="59" t="s">
        <v>259</v>
      </c>
      <c r="F494" s="27">
        <v>18</v>
      </c>
      <c r="G494" s="28">
        <f t="shared" si="108"/>
        <v>75.600000000000009</v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46222</v>
      </c>
      <c r="B495" s="32">
        <f t="shared" si="109"/>
        <v>0.62499999999999967</v>
      </c>
      <c r="C495" s="26" t="s">
        <v>21</v>
      </c>
      <c r="D495" s="59" t="s">
        <v>30</v>
      </c>
      <c r="E495" s="59" t="s">
        <v>259</v>
      </c>
      <c r="F495" s="27">
        <v>10</v>
      </c>
      <c r="G495" s="34">
        <f t="shared" si="108"/>
        <v>42</v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46222</v>
      </c>
      <c r="B496" s="25">
        <f t="shared" si="109"/>
        <v>0.6666666666666663</v>
      </c>
      <c r="C496" s="26" t="s">
        <v>21</v>
      </c>
      <c r="D496" s="59" t="s">
        <v>30</v>
      </c>
      <c r="E496" s="59" t="s">
        <v>259</v>
      </c>
      <c r="F496" s="27">
        <v>11</v>
      </c>
      <c r="G496" s="28">
        <f t="shared" si="108"/>
        <v>46.2</v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46222</v>
      </c>
      <c r="B497" s="32">
        <f t="shared" si="109"/>
        <v>0.70833333333333293</v>
      </c>
      <c r="C497" s="26" t="s">
        <v>21</v>
      </c>
      <c r="D497" s="59" t="s">
        <v>30</v>
      </c>
      <c r="E497" s="59" t="s">
        <v>259</v>
      </c>
      <c r="F497" s="27">
        <v>16</v>
      </c>
      <c r="G497" s="34">
        <f t="shared" si="108"/>
        <v>67.2</v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46222</v>
      </c>
      <c r="B498" s="25">
        <f t="shared" si="109"/>
        <v>0.74999999999999956</v>
      </c>
      <c r="C498" s="26" t="s">
        <v>21</v>
      </c>
      <c r="D498" s="59" t="s">
        <v>30</v>
      </c>
      <c r="E498" s="59" t="s">
        <v>259</v>
      </c>
      <c r="F498" s="27">
        <v>15</v>
      </c>
      <c r="G498" s="28">
        <f t="shared" si="108"/>
        <v>63</v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46222</v>
      </c>
      <c r="B499" s="32">
        <f t="shared" si="109"/>
        <v>0.79166666666666619</v>
      </c>
      <c r="C499" s="26" t="s">
        <v>21</v>
      </c>
      <c r="D499" s="59" t="s">
        <v>30</v>
      </c>
      <c r="E499" s="59" t="s">
        <v>259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3" t="s">
        <v>234</v>
      </c>
      <c r="B500" s="104"/>
      <c r="C500" s="104"/>
      <c r="D500" s="104"/>
      <c r="E500" s="105">
        <f>SUM(E488:E499)</f>
        <v>0</v>
      </c>
      <c r="F500" s="36">
        <f>SUM(F488:F499)</f>
        <v>155</v>
      </c>
      <c r="G500" s="36">
        <f>SUM(G488:G499)</f>
        <v>714.20000000000016</v>
      </c>
      <c r="H500" s="37"/>
      <c r="I500" s="37"/>
      <c r="J500" s="37"/>
      <c r="K500" s="61"/>
      <c r="L500" s="61"/>
      <c r="M500" s="38">
        <f ca="1">IFERROR(SUM(M488:M499),"")</f>
        <v>4.9305555555555436E-2</v>
      </c>
      <c r="N500" s="36" t="s">
        <v>235</v>
      </c>
      <c r="O500" s="39">
        <v>1031150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259</v>
      </c>
      <c r="F501" s="27">
        <v>22</v>
      </c>
      <c r="G501" s="34">
        <f t="shared" ref="G501:G512" si="111">IF(F501="","",IF(E501="PC 17",F501*4.2,IF(E501="PC 19",F501*5,"")))</f>
        <v>92.4</v>
      </c>
      <c r="H501" s="33" t="s">
        <v>19</v>
      </c>
      <c r="I501" s="33" t="s">
        <v>160</v>
      </c>
      <c r="J501" s="33" t="s">
        <v>27</v>
      </c>
      <c r="K501" s="29">
        <v>0.83333333333333337</v>
      </c>
      <c r="L501" s="29">
        <v>0.86250000000000004</v>
      </c>
      <c r="M501" s="35">
        <f t="shared" ref="M501:M512" ca="1" si="112">IFERROR(IF(K501="","",IF(L501="",MOD(NOW()-K501,1),IF(L501&gt;=K501,L501-K501,L501+1-K501))),"")</f>
        <v>2.9166666666666674E-2</v>
      </c>
      <c r="N501" s="27"/>
      <c r="O501" s="60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232</v>
      </c>
      <c r="F502" s="27">
        <v>6</v>
      </c>
      <c r="G502" s="28">
        <f t="shared" si="111"/>
        <v>30</v>
      </c>
      <c r="H502" s="26" t="s">
        <v>20</v>
      </c>
      <c r="I502" s="26" t="s">
        <v>130</v>
      </c>
      <c r="J502" s="26" t="s">
        <v>113</v>
      </c>
      <c r="K502" s="29">
        <v>0.98819444444444449</v>
      </c>
      <c r="L502" s="29">
        <v>1.7361111111111112E-2</v>
      </c>
      <c r="M502" s="30">
        <f t="shared" ca="1" si="112"/>
        <v>2.9166666666666674E-2</v>
      </c>
      <c r="N502" s="27"/>
      <c r="O502" s="60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259</v>
      </c>
      <c r="F503" s="27">
        <v>10</v>
      </c>
      <c r="G503" s="34">
        <f t="shared" si="111"/>
        <v>42</v>
      </c>
      <c r="H503" s="33" t="s">
        <v>20</v>
      </c>
      <c r="I503" s="33" t="s">
        <v>130</v>
      </c>
      <c r="J503" s="33" t="s">
        <v>113</v>
      </c>
      <c r="K503" s="29">
        <v>0.14374999999999999</v>
      </c>
      <c r="L503" s="29">
        <v>0.28472222222222221</v>
      </c>
      <c r="M503" s="35">
        <f t="shared" ca="1" si="112"/>
        <v>0.14097222222222222</v>
      </c>
      <c r="N503" s="27" t="s">
        <v>408</v>
      </c>
      <c r="O503" s="60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259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259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259</v>
      </c>
      <c r="F506" s="27">
        <v>15</v>
      </c>
      <c r="G506" s="28">
        <f t="shared" si="111"/>
        <v>63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259</v>
      </c>
      <c r="F507" s="27">
        <v>17</v>
      </c>
      <c r="G507" s="34">
        <f t="shared" si="111"/>
        <v>71.400000000000006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259</v>
      </c>
      <c r="F508" s="27">
        <v>10</v>
      </c>
      <c r="G508" s="28">
        <f t="shared" si="111"/>
        <v>42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259</v>
      </c>
      <c r="F509" s="27">
        <v>5</v>
      </c>
      <c r="G509" s="34">
        <f t="shared" si="111"/>
        <v>21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259</v>
      </c>
      <c r="F510" s="27">
        <v>0</v>
      </c>
      <c r="G510" s="28">
        <f t="shared" si="111"/>
        <v>0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259</v>
      </c>
      <c r="F511" s="27">
        <v>0</v>
      </c>
      <c r="G511" s="34">
        <f t="shared" si="111"/>
        <v>0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259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3" t="s">
        <v>236</v>
      </c>
      <c r="B513" s="104"/>
      <c r="C513" s="104"/>
      <c r="D513" s="104"/>
      <c r="E513" s="105">
        <f>SUM(E501:E512)</f>
        <v>0</v>
      </c>
      <c r="F513" s="36">
        <f>SUM(F501:F512)</f>
        <v>95</v>
      </c>
      <c r="G513" s="36">
        <f>SUM(G501:G512)</f>
        <v>403.79999999999995</v>
      </c>
      <c r="H513" s="37"/>
      <c r="I513" s="37"/>
      <c r="J513" s="37"/>
      <c r="K513" s="61"/>
      <c r="L513" s="61"/>
      <c r="M513" s="38">
        <f ca="1">IFERROR(SUM(M501:M512),"")</f>
        <v>0.19930555555555557</v>
      </c>
      <c r="N513" s="36" t="s">
        <v>235</v>
      </c>
      <c r="O513" s="39">
        <v>416720</v>
      </c>
    </row>
    <row r="514" spans="1:15" ht="18" customHeight="1">
      <c r="A514" s="106" t="s">
        <v>237</v>
      </c>
      <c r="B514" s="107"/>
      <c r="C514" s="107"/>
      <c r="D514" s="107"/>
      <c r="E514" s="108">
        <f>E500+E513</f>
        <v>0</v>
      </c>
      <c r="F514" s="40">
        <f>F500+F513</f>
        <v>250</v>
      </c>
      <c r="G514" s="40">
        <f>G500+G513</f>
        <v>1118</v>
      </c>
      <c r="H514" s="41"/>
      <c r="I514" s="41"/>
      <c r="J514" s="41"/>
      <c r="K514" s="63"/>
      <c r="L514" s="63"/>
      <c r="M514" s="42">
        <f ca="1">IFERROR(M500+M513,"")</f>
        <v>0.24861111111111101</v>
      </c>
      <c r="N514" s="40" t="s">
        <v>238</v>
      </c>
      <c r="O514" s="48">
        <f>IFERROR(O500+O513,"")</f>
        <v>1447870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259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18</v>
      </c>
      <c r="I515" s="33" t="s">
        <v>75</v>
      </c>
      <c r="J515" s="33" t="s">
        <v>219</v>
      </c>
      <c r="K515" s="29">
        <v>0.29166666666666669</v>
      </c>
      <c r="L515" s="29">
        <v>0.56597222222222221</v>
      </c>
      <c r="M515" s="35">
        <f t="shared" ref="M515:M526" ca="1" si="115">IFERROR(IF(K515="","",IF(L515="",MOD(NOW()-K515,1),IF(L515&gt;=K515,L515-K515,L515+1-K515))),"")</f>
        <v>0.27430555555555552</v>
      </c>
      <c r="N515" s="27" t="s">
        <v>409</v>
      </c>
      <c r="O515" s="60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259</v>
      </c>
      <c r="F516" s="27">
        <v>0</v>
      </c>
      <c r="G516" s="28">
        <f t="shared" si="114"/>
        <v>0</v>
      </c>
      <c r="H516" s="49" t="s">
        <v>20</v>
      </c>
      <c r="I516" s="26"/>
      <c r="J516" s="49" t="s">
        <v>44</v>
      </c>
      <c r="K516" s="29">
        <v>0.57986111111111116</v>
      </c>
      <c r="L516" s="29">
        <v>0.59305555555555556</v>
      </c>
      <c r="M516" s="30">
        <f t="shared" ca="1" si="115"/>
        <v>1.3194444444444398E-2</v>
      </c>
      <c r="N516" s="27"/>
      <c r="O516" s="60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259</v>
      </c>
      <c r="F517" s="27">
        <v>0</v>
      </c>
      <c r="G517" s="34">
        <f t="shared" si="114"/>
        <v>0</v>
      </c>
      <c r="H517" s="33" t="s">
        <v>20</v>
      </c>
      <c r="I517" s="33" t="s">
        <v>57</v>
      </c>
      <c r="J517" s="33" t="s">
        <v>165</v>
      </c>
      <c r="K517" s="29">
        <v>0.63680555555555551</v>
      </c>
      <c r="L517" s="29">
        <v>0.65347222222222223</v>
      </c>
      <c r="M517" s="35">
        <f t="shared" ca="1" si="115"/>
        <v>1.6666666666666718E-2</v>
      </c>
      <c r="N517" s="27" t="s">
        <v>410</v>
      </c>
      <c r="O517" s="60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259</v>
      </c>
      <c r="F518" s="27">
        <v>0</v>
      </c>
      <c r="G518" s="28">
        <f t="shared" si="114"/>
        <v>0</v>
      </c>
      <c r="H518" s="33" t="s">
        <v>20</v>
      </c>
      <c r="I518" s="26" t="s">
        <v>57</v>
      </c>
      <c r="J518" s="26" t="s">
        <v>28</v>
      </c>
      <c r="K518" s="29">
        <v>0.73472222222222228</v>
      </c>
      <c r="L518" s="29">
        <v>0.74236111111111114</v>
      </c>
      <c r="M518" s="30">
        <f t="shared" ca="1" si="115"/>
        <v>7.6388888888888618E-3</v>
      </c>
      <c r="N518" s="27"/>
      <c r="O518" s="60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259</v>
      </c>
      <c r="F519" s="27">
        <v>0</v>
      </c>
      <c r="G519" s="34">
        <f t="shared" si="114"/>
        <v>0</v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259</v>
      </c>
      <c r="F520" s="27">
        <v>8</v>
      </c>
      <c r="G520" s="28">
        <f t="shared" si="114"/>
        <v>33.6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259</v>
      </c>
      <c r="F521" s="27">
        <v>3</v>
      </c>
      <c r="G521" s="34">
        <f t="shared" si="114"/>
        <v>12.600000000000001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259</v>
      </c>
      <c r="F522" s="27">
        <v>13</v>
      </c>
      <c r="G522" s="28">
        <f t="shared" si="114"/>
        <v>54.6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259</v>
      </c>
      <c r="F523" s="27">
        <v>12</v>
      </c>
      <c r="G523" s="34">
        <f t="shared" si="114"/>
        <v>50.400000000000006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259</v>
      </c>
      <c r="F524" s="27">
        <v>22</v>
      </c>
      <c r="G524" s="28">
        <f t="shared" si="114"/>
        <v>92.4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259</v>
      </c>
      <c r="F525" s="27">
        <v>13</v>
      </c>
      <c r="G525" s="34">
        <f t="shared" si="114"/>
        <v>54.6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259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3" t="s">
        <v>234</v>
      </c>
      <c r="B527" s="104"/>
      <c r="C527" s="104"/>
      <c r="D527" s="104"/>
      <c r="E527" s="105">
        <f>SUM(E515:E526)</f>
        <v>0</v>
      </c>
      <c r="F527" s="36">
        <f>SUM(F515:F526)</f>
        <v>80</v>
      </c>
      <c r="G527" s="36">
        <f>SUM(G515:G526)</f>
        <v>336.00000000000006</v>
      </c>
      <c r="H527" s="37"/>
      <c r="I527" s="37"/>
      <c r="J527" s="37"/>
      <c r="K527" s="61"/>
      <c r="L527" s="61"/>
      <c r="M527" s="38">
        <f ca="1">IFERROR(SUM(M515:M526),"")</f>
        <v>0.3118055555555555</v>
      </c>
      <c r="N527" s="36" t="s">
        <v>235</v>
      </c>
      <c r="O527" s="39">
        <v>362510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259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57</v>
      </c>
      <c r="J528" s="26" t="s">
        <v>28</v>
      </c>
      <c r="K528" s="29">
        <v>0.85972222222222228</v>
      </c>
      <c r="L528" s="29">
        <v>0.86458333333333337</v>
      </c>
      <c r="M528" s="30">
        <f t="shared" ref="M528:M539" ca="1" si="118">IFERROR(IF(K528="","",IF(L528="",MOD(NOW()-K528,1),IF(L528&gt;=K528,L528-K528,L528+1-K528))),"")</f>
        <v>4.8611111111110938E-3</v>
      </c>
      <c r="N528" s="27"/>
      <c r="O528" s="60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259</v>
      </c>
      <c r="F529" s="27">
        <v>7</v>
      </c>
      <c r="G529" s="34">
        <f t="shared" si="117"/>
        <v>29.400000000000002</v>
      </c>
      <c r="H529" s="33" t="s">
        <v>20</v>
      </c>
      <c r="I529" s="33" t="s">
        <v>57</v>
      </c>
      <c r="J529" s="33" t="s">
        <v>56</v>
      </c>
      <c r="K529" s="29">
        <v>0.89930555555555558</v>
      </c>
      <c r="L529" s="29">
        <v>0.92777777777777781</v>
      </c>
      <c r="M529" s="35">
        <f t="shared" ca="1" si="118"/>
        <v>2.8472222222222232E-2</v>
      </c>
      <c r="N529" s="27"/>
      <c r="O529" s="60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259</v>
      </c>
      <c r="F530" s="27">
        <v>5</v>
      </c>
      <c r="G530" s="28">
        <f t="shared" si="117"/>
        <v>21</v>
      </c>
      <c r="H530" s="26" t="s">
        <v>19</v>
      </c>
      <c r="I530" s="26" t="s">
        <v>160</v>
      </c>
      <c r="J530" s="26" t="s">
        <v>27</v>
      </c>
      <c r="K530" s="29">
        <v>2.0833333333333332E-2</v>
      </c>
      <c r="L530" s="29">
        <v>4.3055555555555555E-2</v>
      </c>
      <c r="M530" s="30">
        <f t="shared" ca="1" si="118"/>
        <v>2.2222222222222223E-2</v>
      </c>
      <c r="N530" s="27"/>
      <c r="O530" s="60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259</v>
      </c>
      <c r="F531" s="27">
        <v>0</v>
      </c>
      <c r="G531" s="34">
        <f t="shared" si="117"/>
        <v>0</v>
      </c>
      <c r="H531" s="33" t="s">
        <v>20</v>
      </c>
      <c r="I531" s="33" t="s">
        <v>57</v>
      </c>
      <c r="J531" s="33" t="s">
        <v>62</v>
      </c>
      <c r="K531" s="29">
        <v>7.8472222222222221E-2</v>
      </c>
      <c r="L531" s="29">
        <v>0.11458333333333333</v>
      </c>
      <c r="M531" s="35">
        <f t="shared" ca="1" si="118"/>
        <v>3.6111111111111108E-2</v>
      </c>
      <c r="N531" s="27"/>
      <c r="O531" s="60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259</v>
      </c>
      <c r="F532" s="27">
        <v>10</v>
      </c>
      <c r="G532" s="28">
        <f t="shared" si="117"/>
        <v>42</v>
      </c>
      <c r="H532" s="26" t="s">
        <v>20</v>
      </c>
      <c r="I532" s="26" t="s">
        <v>57</v>
      </c>
      <c r="J532" s="26" t="s">
        <v>56</v>
      </c>
      <c r="K532" s="29">
        <v>0.18055555555555555</v>
      </c>
      <c r="L532" s="29">
        <v>0.19583333333333333</v>
      </c>
      <c r="M532" s="30">
        <f t="shared" ca="1" si="118"/>
        <v>1.5277777777777779E-2</v>
      </c>
      <c r="N532" s="27"/>
      <c r="O532" s="60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259</v>
      </c>
      <c r="F533" s="27">
        <v>10</v>
      </c>
      <c r="G533" s="34">
        <f t="shared" si="117"/>
        <v>42</v>
      </c>
      <c r="H533" s="33" t="s">
        <v>20</v>
      </c>
      <c r="I533" s="33" t="s">
        <v>52</v>
      </c>
      <c r="J533" s="33" t="s">
        <v>194</v>
      </c>
      <c r="K533" s="29">
        <v>0.2361111111111111</v>
      </c>
      <c r="L533" s="29">
        <v>0.24027777777777778</v>
      </c>
      <c r="M533" s="35">
        <f t="shared" ca="1" si="118"/>
        <v>4.1666666666666796E-3</v>
      </c>
      <c r="N533" s="27"/>
      <c r="O533" s="60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259</v>
      </c>
      <c r="F534" s="27">
        <v>10</v>
      </c>
      <c r="G534" s="28">
        <f t="shared" si="117"/>
        <v>42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259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259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259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259</v>
      </c>
      <c r="F538" s="27">
        <v>20</v>
      </c>
      <c r="G538" s="28">
        <f t="shared" si="117"/>
        <v>84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259</v>
      </c>
      <c r="F539" s="27">
        <v>25</v>
      </c>
      <c r="G539" s="34">
        <f t="shared" si="117"/>
        <v>105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3" t="s">
        <v>236</v>
      </c>
      <c r="B540" s="104"/>
      <c r="C540" s="104"/>
      <c r="D540" s="104"/>
      <c r="E540" s="105">
        <f>SUM(E528:E539)</f>
        <v>0</v>
      </c>
      <c r="F540" s="36">
        <f>SUM(F528:F539)</f>
        <v>112</v>
      </c>
      <c r="G540" s="36">
        <f>SUM(G528:G539)</f>
        <v>470.4</v>
      </c>
      <c r="H540" s="37"/>
      <c r="I540" s="37"/>
      <c r="J540" s="37"/>
      <c r="K540" s="61"/>
      <c r="L540" s="61"/>
      <c r="M540" s="38">
        <f ca="1">IFERROR(SUM(M528:M539),"")</f>
        <v>0.11111111111111112</v>
      </c>
      <c r="N540" s="36" t="s">
        <v>235</v>
      </c>
      <c r="O540" s="39">
        <v>404370</v>
      </c>
    </row>
    <row r="541" spans="1:15" ht="18" customHeight="1">
      <c r="A541" s="106" t="s">
        <v>237</v>
      </c>
      <c r="B541" s="107"/>
      <c r="C541" s="107"/>
      <c r="D541" s="107"/>
      <c r="E541" s="108">
        <f>E527+E540</f>
        <v>0</v>
      </c>
      <c r="F541" s="40">
        <f>F527+F540</f>
        <v>192</v>
      </c>
      <c r="G541" s="40">
        <f>G527+G540</f>
        <v>806.40000000000009</v>
      </c>
      <c r="H541" s="41"/>
      <c r="I541" s="41"/>
      <c r="J541" s="41"/>
      <c r="K541" s="63"/>
      <c r="L541" s="63"/>
      <c r="M541" s="42">
        <f ca="1">IFERROR(M527+M540,"")</f>
        <v>0.42291666666666661</v>
      </c>
      <c r="N541" s="40" t="s">
        <v>238</v>
      </c>
      <c r="O541" s="48">
        <f>IFERROR(O527+O540,"")</f>
        <v>766880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259</v>
      </c>
      <c r="F542" s="27">
        <v>17</v>
      </c>
      <c r="G542" s="28">
        <f t="shared" ref="G542:G553" si="120">IF(F542="","",IF(E542="PC 17",F542*4.2,IF(E542="PC 19",F542*5,"")))</f>
        <v>71.400000000000006</v>
      </c>
      <c r="H542" s="26" t="s">
        <v>20</v>
      </c>
      <c r="I542" s="26" t="s">
        <v>138</v>
      </c>
      <c r="J542" s="26" t="s">
        <v>74</v>
      </c>
      <c r="K542" s="29">
        <v>0.30902777777777779</v>
      </c>
      <c r="L542" s="29">
        <v>0.32361111111111113</v>
      </c>
      <c r="M542" s="30">
        <f t="shared" ref="M542:M553" ca="1" si="121">IFERROR(IF(K542="","",IF(L542="",MOD(NOW()-K542,1),IF(L542&gt;=K542,L542-K542,L542+1-K542))),"")</f>
        <v>1.4583333333333337E-2</v>
      </c>
      <c r="N542" s="27" t="s">
        <v>411</v>
      </c>
      <c r="O542" s="60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259</v>
      </c>
      <c r="F543" s="27">
        <v>23</v>
      </c>
      <c r="G543" s="34">
        <f t="shared" si="120"/>
        <v>96.600000000000009</v>
      </c>
      <c r="H543" s="33" t="s">
        <v>18</v>
      </c>
      <c r="I543" s="33" t="s">
        <v>57</v>
      </c>
      <c r="J543" s="33" t="s">
        <v>128</v>
      </c>
      <c r="K543" s="29">
        <v>0.43333333333333335</v>
      </c>
      <c r="L543" s="29">
        <v>0.45</v>
      </c>
      <c r="M543" s="35">
        <f t="shared" ca="1" si="121"/>
        <v>1.6666666666666663E-2</v>
      </c>
      <c r="N543" s="27" t="s">
        <v>412</v>
      </c>
      <c r="O543" s="60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259</v>
      </c>
      <c r="F544" s="27">
        <v>23</v>
      </c>
      <c r="G544" s="28">
        <f t="shared" si="120"/>
        <v>96.600000000000009</v>
      </c>
      <c r="H544" s="26" t="s">
        <v>18</v>
      </c>
      <c r="I544" s="26" t="s">
        <v>57</v>
      </c>
      <c r="J544" s="26" t="s">
        <v>145</v>
      </c>
      <c r="K544" s="29">
        <v>0.54166666666666663</v>
      </c>
      <c r="L544" s="29">
        <v>0.57291666666666663</v>
      </c>
      <c r="M544" s="30">
        <f t="shared" ca="1" si="121"/>
        <v>3.125E-2</v>
      </c>
      <c r="N544" s="27" t="s">
        <v>413</v>
      </c>
      <c r="O544" s="60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259</v>
      </c>
      <c r="F545" s="27">
        <v>12</v>
      </c>
      <c r="G545" s="34">
        <f t="shared" si="120"/>
        <v>50.400000000000006</v>
      </c>
      <c r="H545" s="33" t="s">
        <v>18</v>
      </c>
      <c r="I545" s="33" t="s">
        <v>57</v>
      </c>
      <c r="J545" s="33" t="s">
        <v>34</v>
      </c>
      <c r="K545" s="29">
        <v>0.67500000000000004</v>
      </c>
      <c r="L545" s="29">
        <v>0.79166666666666663</v>
      </c>
      <c r="M545" s="35">
        <f t="shared" ca="1" si="121"/>
        <v>0.11666666666666659</v>
      </c>
      <c r="N545" s="27"/>
      <c r="O545" s="60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259</v>
      </c>
      <c r="F546" s="27">
        <v>25</v>
      </c>
      <c r="G546" s="28">
        <f t="shared" si="120"/>
        <v>105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259</v>
      </c>
      <c r="F547" s="27">
        <v>16</v>
      </c>
      <c r="G547" s="34">
        <f t="shared" si="120"/>
        <v>67.2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259</v>
      </c>
      <c r="F548" s="27">
        <v>9</v>
      </c>
      <c r="G548" s="28">
        <f t="shared" si="120"/>
        <v>37.800000000000004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259</v>
      </c>
      <c r="F549" s="27">
        <v>5</v>
      </c>
      <c r="G549" s="34">
        <f t="shared" si="120"/>
        <v>21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259</v>
      </c>
      <c r="F550" s="27">
        <v>18</v>
      </c>
      <c r="G550" s="28">
        <f t="shared" si="120"/>
        <v>75.600000000000009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259</v>
      </c>
      <c r="F551" s="27">
        <v>2</v>
      </c>
      <c r="G551" s="34">
        <f t="shared" si="120"/>
        <v>8.4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259</v>
      </c>
      <c r="F552" s="27">
        <v>0</v>
      </c>
      <c r="G552" s="28">
        <f t="shared" si="120"/>
        <v>0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259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3" t="s">
        <v>234</v>
      </c>
      <c r="B554" s="104"/>
      <c r="C554" s="104"/>
      <c r="D554" s="104"/>
      <c r="E554" s="105">
        <f>SUM(E542:E553)</f>
        <v>0</v>
      </c>
      <c r="F554" s="36">
        <f>SUM(F542:F553)</f>
        <v>150</v>
      </c>
      <c r="G554" s="36">
        <f>SUM(G542:G553)</f>
        <v>630</v>
      </c>
      <c r="H554" s="37"/>
      <c r="I554" s="37"/>
      <c r="J554" s="37"/>
      <c r="K554" s="61"/>
      <c r="L554" s="61"/>
      <c r="M554" s="38">
        <f ca="1">IFERROR(SUM(M542:M553),"")</f>
        <v>0.17916666666666659</v>
      </c>
      <c r="N554" s="36" t="s">
        <v>235</v>
      </c>
      <c r="O554" s="39">
        <v>583380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259</v>
      </c>
      <c r="F555" s="27">
        <v>0</v>
      </c>
      <c r="G555" s="34">
        <f t="shared" ref="G555:G566" si="123">IF(F555="","",IF(E555="PC 17",F555*4.2,IF(E555="PC 19",F555*5,"")))</f>
        <v>0</v>
      </c>
      <c r="H555" s="33" t="s">
        <v>18</v>
      </c>
      <c r="I555" s="33" t="s">
        <v>57</v>
      </c>
      <c r="J555" s="33" t="s">
        <v>128</v>
      </c>
      <c r="K555" s="29">
        <v>0.29166666666666669</v>
      </c>
      <c r="L555" s="29">
        <v>0.83333333333333337</v>
      </c>
      <c r="M555" s="35">
        <v>2.7777777777777776E-2</v>
      </c>
      <c r="N555" s="27"/>
      <c r="O555" s="60"/>
    </row>
    <row r="556" spans="1:15" ht="15" customHeight="1">
      <c r="A556" s="68">
        <v>46224</v>
      </c>
      <c r="B556" s="25">
        <f t="shared" ref="B556:B566" si="124">B555+TIME(0,60,0)</f>
        <v>0.87499999999999967</v>
      </c>
      <c r="C556" s="33" t="s">
        <v>45</v>
      </c>
      <c r="D556" s="62" t="s">
        <v>30</v>
      </c>
      <c r="E556" s="62" t="s">
        <v>259</v>
      </c>
      <c r="F556" s="27">
        <v>5</v>
      </c>
      <c r="G556" s="28">
        <f t="shared" si="123"/>
        <v>21</v>
      </c>
      <c r="H556" s="26" t="s">
        <v>20</v>
      </c>
      <c r="I556" s="26" t="s">
        <v>139</v>
      </c>
      <c r="J556" s="26" t="s">
        <v>74</v>
      </c>
      <c r="K556" s="29">
        <v>0.97777777777777775</v>
      </c>
      <c r="L556" s="29">
        <v>0.98958333333333337</v>
      </c>
      <c r="M556" s="30">
        <f t="shared" ref="M555:M566" ca="1" si="125">IFERROR(IF(K556="","",IF(L556="",MOD(NOW()-K556,1),IF(L556&gt;=K556,L556-K556,L556+1-K556))),"")</f>
        <v>1.1805555555555625E-2</v>
      </c>
      <c r="N556" s="27"/>
      <c r="O556" s="60"/>
    </row>
    <row r="557" spans="1:15" ht="15" customHeight="1">
      <c r="A557" s="69">
        <v>46224</v>
      </c>
      <c r="B557" s="32">
        <f t="shared" si="124"/>
        <v>0.9166666666666663</v>
      </c>
      <c r="C557" s="33" t="s">
        <v>45</v>
      </c>
      <c r="D557" s="62" t="s">
        <v>30</v>
      </c>
      <c r="E557" s="62" t="s">
        <v>259</v>
      </c>
      <c r="F557" s="27">
        <v>27</v>
      </c>
      <c r="G557" s="34">
        <f t="shared" si="123"/>
        <v>113.4</v>
      </c>
      <c r="H557" s="33" t="s">
        <v>20</v>
      </c>
      <c r="I557" s="33"/>
      <c r="J557" s="33" t="s">
        <v>181</v>
      </c>
      <c r="K557" s="29">
        <v>0.125</v>
      </c>
      <c r="L557" s="29">
        <v>0.28402777777777777</v>
      </c>
      <c r="M557" s="35">
        <f t="shared" ca="1" si="125"/>
        <v>0.15902777777777777</v>
      </c>
      <c r="N557" s="27" t="s">
        <v>414</v>
      </c>
      <c r="O557" s="60"/>
    </row>
    <row r="558" spans="1:15" ht="15" customHeight="1">
      <c r="A558" s="68">
        <v>46224</v>
      </c>
      <c r="B558" s="25">
        <f t="shared" si="124"/>
        <v>0.95833333333333293</v>
      </c>
      <c r="C558" s="33" t="s">
        <v>45</v>
      </c>
      <c r="D558" s="62" t="s">
        <v>30</v>
      </c>
      <c r="E558" s="62" t="s">
        <v>259</v>
      </c>
      <c r="F558" s="27">
        <v>19</v>
      </c>
      <c r="G558" s="28">
        <f t="shared" si="123"/>
        <v>79.8</v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46224</v>
      </c>
      <c r="B559" s="32">
        <f t="shared" si="124"/>
        <v>0.99999999999999956</v>
      </c>
      <c r="C559" s="33" t="s">
        <v>45</v>
      </c>
      <c r="D559" s="62" t="s">
        <v>30</v>
      </c>
      <c r="E559" s="62" t="s">
        <v>259</v>
      </c>
      <c r="F559" s="27">
        <v>14</v>
      </c>
      <c r="G559" s="34">
        <f t="shared" si="123"/>
        <v>58.800000000000004</v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46224</v>
      </c>
      <c r="B560" s="25">
        <f t="shared" si="124"/>
        <v>1.0416666666666663</v>
      </c>
      <c r="C560" s="33" t="s">
        <v>45</v>
      </c>
      <c r="D560" s="62" t="s">
        <v>30</v>
      </c>
      <c r="E560" s="62" t="s">
        <v>259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46224</v>
      </c>
      <c r="B561" s="32">
        <f t="shared" si="124"/>
        <v>1.083333333333333</v>
      </c>
      <c r="C561" s="33" t="s">
        <v>45</v>
      </c>
      <c r="D561" s="62" t="s">
        <v>30</v>
      </c>
      <c r="E561" s="62" t="s">
        <v>259</v>
      </c>
      <c r="F561" s="27">
        <v>15</v>
      </c>
      <c r="G561" s="34">
        <f t="shared" si="123"/>
        <v>63</v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46224</v>
      </c>
      <c r="B562" s="25">
        <f t="shared" si="124"/>
        <v>1.1249999999999998</v>
      </c>
      <c r="C562" s="33" t="s">
        <v>45</v>
      </c>
      <c r="D562" s="62" t="s">
        <v>30</v>
      </c>
      <c r="E562" s="62" t="s">
        <v>259</v>
      </c>
      <c r="F562" s="27">
        <v>5</v>
      </c>
      <c r="G562" s="28">
        <f t="shared" si="123"/>
        <v>21</v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46224</v>
      </c>
      <c r="B563" s="32">
        <f t="shared" si="124"/>
        <v>1.1666666666666665</v>
      </c>
      <c r="C563" s="33" t="s">
        <v>45</v>
      </c>
      <c r="D563" s="62" t="s">
        <v>30</v>
      </c>
      <c r="E563" s="62" t="s">
        <v>259</v>
      </c>
      <c r="F563" s="27">
        <v>5</v>
      </c>
      <c r="G563" s="34">
        <f t="shared" si="123"/>
        <v>21</v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46224</v>
      </c>
      <c r="B564" s="25">
        <f t="shared" si="124"/>
        <v>1.2083333333333333</v>
      </c>
      <c r="C564" s="33" t="s">
        <v>45</v>
      </c>
      <c r="D564" s="62" t="s">
        <v>30</v>
      </c>
      <c r="E564" s="62" t="s">
        <v>259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46224</v>
      </c>
      <c r="B565" s="32">
        <f t="shared" si="124"/>
        <v>1.25</v>
      </c>
      <c r="C565" s="33" t="s">
        <v>45</v>
      </c>
      <c r="D565" s="62" t="s">
        <v>30</v>
      </c>
      <c r="E565" s="62" t="s">
        <v>259</v>
      </c>
      <c r="F565" s="27">
        <v>0</v>
      </c>
      <c r="G565" s="34">
        <f t="shared" si="123"/>
        <v>0</v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46224</v>
      </c>
      <c r="B566" s="25">
        <f t="shared" si="124"/>
        <v>1.2916666666666667</v>
      </c>
      <c r="C566" s="33" t="s">
        <v>45</v>
      </c>
      <c r="D566" s="62" t="s">
        <v>30</v>
      </c>
      <c r="E566" s="62" t="s">
        <v>259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3" t="s">
        <v>236</v>
      </c>
      <c r="B567" s="104"/>
      <c r="C567" s="104"/>
      <c r="D567" s="104"/>
      <c r="E567" s="105">
        <f>SUM(E555:E566)</f>
        <v>0</v>
      </c>
      <c r="F567" s="36">
        <f>SUM(F555:F566)</f>
        <v>105</v>
      </c>
      <c r="G567" s="36">
        <f>SUM(G555:G566)</f>
        <v>441</v>
      </c>
      <c r="H567" s="37"/>
      <c r="I567" s="37"/>
      <c r="J567" s="37"/>
      <c r="K567" s="61"/>
      <c r="L567" s="61"/>
      <c r="M567" s="38">
        <f ca="1">IFERROR(SUM(M555:M566),"")</f>
        <v>0.19861111111111118</v>
      </c>
      <c r="N567" s="36" t="s">
        <v>235</v>
      </c>
      <c r="O567" s="39">
        <v>499820</v>
      </c>
    </row>
    <row r="568" spans="1:15" ht="18" customHeight="1">
      <c r="A568" s="106" t="s">
        <v>237</v>
      </c>
      <c r="B568" s="107"/>
      <c r="C568" s="107"/>
      <c r="D568" s="107"/>
      <c r="E568" s="108">
        <f>E554+E567</f>
        <v>0</v>
      </c>
      <c r="F568" s="40">
        <f>F554+F567</f>
        <v>255</v>
      </c>
      <c r="G568" s="40">
        <f>G554+G567</f>
        <v>1071</v>
      </c>
      <c r="H568" s="41"/>
      <c r="I568" s="41"/>
      <c r="J568" s="41"/>
      <c r="K568" s="63"/>
      <c r="L568" s="63"/>
      <c r="M568" s="42">
        <f ca="1">IFERROR(M554+M567,"")</f>
        <v>0.37777777777777777</v>
      </c>
      <c r="N568" s="40" t="s">
        <v>238</v>
      </c>
      <c r="O568" s="48">
        <f>IFERROR(O554+O567,"")</f>
        <v>1083200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259</v>
      </c>
      <c r="F569" s="27"/>
      <c r="G569" s="34" t="str">
        <f t="shared" ref="G569:G580" si="126">IF(F569="","",IF(E569="PC 17",F569*4.2,IF(E569="PC 19",F569*5,"")))</f>
        <v/>
      </c>
      <c r="H569" s="33" t="s">
        <v>18</v>
      </c>
      <c r="I569" s="33" t="s">
        <v>75</v>
      </c>
      <c r="J569" s="33" t="s">
        <v>106</v>
      </c>
      <c r="K569" s="29">
        <v>0.29166666666666669</v>
      </c>
      <c r="L569" s="29">
        <v>0.79166666666666663</v>
      </c>
      <c r="M569" s="35">
        <f t="shared" ref="M569:M574" ca="1" si="127">IFERROR(IF(K569="","",IF(L569="",MOD(NOW()-K569,1),IF(L569&gt;=K569,L569-K569,L569+1-K569))),"")</f>
        <v>0.49999999999999994</v>
      </c>
      <c r="N569" s="27" t="s">
        <v>415</v>
      </c>
      <c r="O569" s="60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259</v>
      </c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259</v>
      </c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259</v>
      </c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259</v>
      </c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259</v>
      </c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259</v>
      </c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259</v>
      </c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259</v>
      </c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259</v>
      </c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259</v>
      </c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259</v>
      </c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3" t="s">
        <v>234</v>
      </c>
      <c r="B581" s="104"/>
      <c r="C581" s="104"/>
      <c r="D581" s="104"/>
      <c r="E581" s="105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0.49999999999999994</v>
      </c>
      <c r="N581" s="36" t="s">
        <v>235</v>
      </c>
      <c r="O581" s="39">
        <v>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259</v>
      </c>
      <c r="F582" s="27">
        <v>0</v>
      </c>
      <c r="G582" s="28">
        <f t="shared" ref="G582:G593" si="129">IF(F582="","",IF(E582="PC 17",F582*4.2,IF(E582="PC 19",F582*5,"")))</f>
        <v>0</v>
      </c>
      <c r="H582" s="26" t="s">
        <v>18</v>
      </c>
      <c r="I582" s="26" t="s">
        <v>75</v>
      </c>
      <c r="J582" s="26" t="s">
        <v>106</v>
      </c>
      <c r="K582" s="29">
        <v>0.79166666666666663</v>
      </c>
      <c r="L582" s="29">
        <v>0.90833333333333333</v>
      </c>
      <c r="M582" s="30"/>
      <c r="N582" s="27"/>
      <c r="O582" s="60"/>
    </row>
    <row r="583" spans="1:15" ht="15" customHeight="1">
      <c r="A583" s="69">
        <v>46225</v>
      </c>
      <c r="B583" s="32">
        <f t="shared" ref="B583:B593" si="130">B582+TIME(0,60,0)</f>
        <v>0.87499999999999967</v>
      </c>
      <c r="C583" s="26" t="s">
        <v>45</v>
      </c>
      <c r="D583" s="59" t="s">
        <v>30</v>
      </c>
      <c r="E583" s="59" t="s">
        <v>259</v>
      </c>
      <c r="F583" s="27">
        <v>5</v>
      </c>
      <c r="G583" s="34">
        <f t="shared" si="129"/>
        <v>21</v>
      </c>
      <c r="H583" s="33" t="s">
        <v>19</v>
      </c>
      <c r="I583" s="33" t="s">
        <v>160</v>
      </c>
      <c r="J583" s="33" t="s">
        <v>27</v>
      </c>
      <c r="K583" s="29">
        <v>0.23125000000000001</v>
      </c>
      <c r="L583" s="29">
        <v>0.25277777777777777</v>
      </c>
      <c r="M583" s="35">
        <f t="shared" ref="M582:M593" ca="1" si="131">IFERROR(IF(K583="","",IF(L583="",MOD(NOW()-K583,1),IF(L583&gt;=K583,L583-K583,L583+1-K583))),"")</f>
        <v>2.1527777777777757E-2</v>
      </c>
      <c r="N583" s="27"/>
      <c r="O583" s="60"/>
    </row>
    <row r="584" spans="1:15" ht="15" customHeight="1">
      <c r="A584" s="68">
        <v>46225</v>
      </c>
      <c r="B584" s="25">
        <f t="shared" si="130"/>
        <v>0.9166666666666663</v>
      </c>
      <c r="C584" s="26" t="s">
        <v>45</v>
      </c>
      <c r="D584" s="59" t="s">
        <v>30</v>
      </c>
      <c r="E584" s="59" t="s">
        <v>259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1"/>
        <v/>
      </c>
      <c r="N584" s="27"/>
      <c r="O584" s="60"/>
    </row>
    <row r="585" spans="1:15" ht="15" customHeight="1">
      <c r="A585" s="69">
        <v>46225</v>
      </c>
      <c r="B585" s="32">
        <f t="shared" si="130"/>
        <v>0.95833333333333293</v>
      </c>
      <c r="C585" s="26" t="s">
        <v>45</v>
      </c>
      <c r="D585" s="59" t="s">
        <v>30</v>
      </c>
      <c r="E585" s="59" t="s">
        <v>259</v>
      </c>
      <c r="F585" s="27">
        <v>15</v>
      </c>
      <c r="G585" s="34">
        <f t="shared" si="129"/>
        <v>63</v>
      </c>
      <c r="H585" s="33"/>
      <c r="I585" s="33"/>
      <c r="J585" s="33"/>
      <c r="K585" s="29"/>
      <c r="L585" s="29"/>
      <c r="M585" s="35" t="str">
        <f t="shared" ca="1" si="131"/>
        <v/>
      </c>
      <c r="N585" s="27"/>
      <c r="O585" s="60"/>
    </row>
    <row r="586" spans="1:15" ht="15" customHeight="1">
      <c r="A586" s="68">
        <v>46225</v>
      </c>
      <c r="B586" s="25">
        <f t="shared" si="130"/>
        <v>0.99999999999999956</v>
      </c>
      <c r="C586" s="26" t="s">
        <v>45</v>
      </c>
      <c r="D586" s="59" t="s">
        <v>30</v>
      </c>
      <c r="E586" s="59" t="s">
        <v>259</v>
      </c>
      <c r="F586" s="27">
        <v>23</v>
      </c>
      <c r="G586" s="28">
        <f t="shared" si="129"/>
        <v>96.600000000000009</v>
      </c>
      <c r="H586" s="26"/>
      <c r="I586" s="26"/>
      <c r="J586" s="26"/>
      <c r="K586" s="29"/>
      <c r="L586" s="29"/>
      <c r="M586" s="30" t="str">
        <f t="shared" ca="1" si="131"/>
        <v/>
      </c>
      <c r="N586" s="27"/>
      <c r="O586" s="60"/>
    </row>
    <row r="587" spans="1:15" ht="15" customHeight="1">
      <c r="A587" s="69">
        <v>46225</v>
      </c>
      <c r="B587" s="32">
        <f t="shared" si="130"/>
        <v>1.0416666666666663</v>
      </c>
      <c r="C587" s="26" t="s">
        <v>45</v>
      </c>
      <c r="D587" s="59" t="s">
        <v>30</v>
      </c>
      <c r="E587" s="57" t="s">
        <v>259</v>
      </c>
      <c r="F587" s="27">
        <v>26</v>
      </c>
      <c r="G587" s="34">
        <f>IF(F587="","",IF(E588="PC 17",F587*4.2,IF(E588="PC 19",F587*5,"")))</f>
        <v>109.2</v>
      </c>
      <c r="H587" s="33"/>
      <c r="I587" s="33"/>
      <c r="J587" s="33"/>
      <c r="K587" s="29"/>
      <c r="L587" s="29"/>
      <c r="M587" s="35" t="str">
        <f t="shared" ca="1" si="131"/>
        <v/>
      </c>
      <c r="N587" s="27"/>
      <c r="O587" s="60"/>
    </row>
    <row r="588" spans="1:15" ht="15" customHeight="1">
      <c r="A588" s="68">
        <v>46225</v>
      </c>
      <c r="B588" s="25">
        <f t="shared" si="130"/>
        <v>1.083333333333333</v>
      </c>
      <c r="C588" s="26" t="s">
        <v>45</v>
      </c>
      <c r="D588" s="59" t="s">
        <v>30</v>
      </c>
      <c r="E588" s="59" t="s">
        <v>259</v>
      </c>
      <c r="F588" s="27">
        <v>8</v>
      </c>
      <c r="G588" s="28">
        <v>34</v>
      </c>
      <c r="H588" s="26"/>
      <c r="I588" s="26"/>
      <c r="J588" s="26"/>
      <c r="K588" s="29"/>
      <c r="L588" s="29"/>
      <c r="M588" s="30" t="str">
        <f t="shared" ca="1" si="131"/>
        <v/>
      </c>
      <c r="N588" s="27"/>
      <c r="O588" s="60"/>
    </row>
    <row r="589" spans="1:15" ht="15" customHeight="1">
      <c r="A589" s="69">
        <v>46225</v>
      </c>
      <c r="B589" s="32">
        <f t="shared" si="130"/>
        <v>1.1249999999999998</v>
      </c>
      <c r="C589" s="26" t="s">
        <v>45</v>
      </c>
      <c r="D589" s="59" t="s">
        <v>30</v>
      </c>
      <c r="E589" s="59" t="s">
        <v>259</v>
      </c>
      <c r="F589" s="27">
        <v>15</v>
      </c>
      <c r="G589" s="34">
        <f t="shared" si="129"/>
        <v>63</v>
      </c>
      <c r="H589" s="33"/>
      <c r="I589" s="33"/>
      <c r="J589" s="33"/>
      <c r="K589" s="29"/>
      <c r="L589" s="29"/>
      <c r="M589" s="35" t="str">
        <f t="shared" ca="1" si="131"/>
        <v/>
      </c>
      <c r="N589" s="27"/>
      <c r="O589" s="60"/>
    </row>
    <row r="590" spans="1:15" ht="15" customHeight="1">
      <c r="A590" s="68">
        <v>46225</v>
      </c>
      <c r="B590" s="25">
        <f t="shared" si="130"/>
        <v>1.1666666666666665</v>
      </c>
      <c r="C590" s="26" t="s">
        <v>45</v>
      </c>
      <c r="D590" s="59" t="s">
        <v>30</v>
      </c>
      <c r="E590" s="59" t="s">
        <v>259</v>
      </c>
      <c r="F590" s="27">
        <v>15</v>
      </c>
      <c r="G590" s="28">
        <f t="shared" si="129"/>
        <v>63</v>
      </c>
      <c r="H590" s="26"/>
      <c r="I590" s="26"/>
      <c r="J590" s="26"/>
      <c r="K590" s="29"/>
      <c r="L590" s="29"/>
      <c r="M590" s="30" t="str">
        <f t="shared" ca="1" si="131"/>
        <v/>
      </c>
      <c r="N590" s="27"/>
      <c r="O590" s="60"/>
    </row>
    <row r="591" spans="1:15" ht="15" customHeight="1">
      <c r="A591" s="69">
        <v>46225</v>
      </c>
      <c r="B591" s="32">
        <f t="shared" si="130"/>
        <v>1.2083333333333333</v>
      </c>
      <c r="C591" s="26" t="s">
        <v>45</v>
      </c>
      <c r="D591" s="59" t="s">
        <v>30</v>
      </c>
      <c r="E591" s="59" t="s">
        <v>259</v>
      </c>
      <c r="F591" s="27">
        <v>17</v>
      </c>
      <c r="G591" s="34">
        <f t="shared" si="129"/>
        <v>71.400000000000006</v>
      </c>
      <c r="H591" s="33"/>
      <c r="I591" s="33"/>
      <c r="J591" s="33"/>
      <c r="K591" s="29"/>
      <c r="L591" s="29"/>
      <c r="M591" s="35" t="str">
        <f t="shared" ca="1" si="131"/>
        <v/>
      </c>
      <c r="N591" s="27"/>
      <c r="O591" s="60"/>
    </row>
    <row r="592" spans="1:15" ht="15" customHeight="1">
      <c r="A592" s="68">
        <v>46225</v>
      </c>
      <c r="B592" s="25">
        <f t="shared" si="130"/>
        <v>1.25</v>
      </c>
      <c r="C592" s="26" t="s">
        <v>45</v>
      </c>
      <c r="D592" s="59" t="s">
        <v>30</v>
      </c>
      <c r="E592" s="59" t="s">
        <v>259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1"/>
        <v/>
      </c>
      <c r="N592" s="27"/>
      <c r="O592" s="60"/>
    </row>
    <row r="593" spans="1:15" ht="15" customHeight="1">
      <c r="A593" s="69">
        <v>46225</v>
      </c>
      <c r="B593" s="32">
        <f t="shared" si="130"/>
        <v>1.2916666666666667</v>
      </c>
      <c r="C593" s="26" t="s">
        <v>45</v>
      </c>
      <c r="D593" s="59" t="s">
        <v>30</v>
      </c>
      <c r="E593" s="59" t="s">
        <v>259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1"/>
        <v/>
      </c>
      <c r="N593" s="27"/>
      <c r="O593" s="60"/>
    </row>
    <row r="594" spans="1:15" ht="15.75" customHeight="1">
      <c r="A594" s="103" t="s">
        <v>236</v>
      </c>
      <c r="B594" s="104"/>
      <c r="C594" s="104"/>
      <c r="D594" s="104"/>
      <c r="E594" s="105">
        <f>SUM(E582:E593)</f>
        <v>0</v>
      </c>
      <c r="F594" s="36">
        <f>SUM(F582:F593)</f>
        <v>129</v>
      </c>
      <c r="G594" s="36">
        <f>SUM(G582:G593)</f>
        <v>542.20000000000005</v>
      </c>
      <c r="H594" s="37"/>
      <c r="I594" s="37"/>
      <c r="J594" s="37"/>
      <c r="K594" s="61"/>
      <c r="L594" s="61"/>
      <c r="M594" s="38">
        <f ca="1">IFERROR(SUM(M582:M593),"")</f>
        <v>2.1527777777777757E-2</v>
      </c>
      <c r="N594" s="36" t="s">
        <v>235</v>
      </c>
      <c r="O594" s="39">
        <v>572580</v>
      </c>
    </row>
    <row r="595" spans="1:15" ht="18" customHeight="1">
      <c r="A595" s="106" t="s">
        <v>237</v>
      </c>
      <c r="B595" s="107"/>
      <c r="C595" s="107"/>
      <c r="D595" s="107"/>
      <c r="E595" s="108">
        <f>E581+E594</f>
        <v>0</v>
      </c>
      <c r="F595" s="40">
        <f>F581+F594</f>
        <v>129</v>
      </c>
      <c r="G595" s="40">
        <f>G581+G594</f>
        <v>542.20000000000005</v>
      </c>
      <c r="H595" s="41"/>
      <c r="I595" s="41"/>
      <c r="J595" s="41"/>
      <c r="K595" s="63"/>
      <c r="L595" s="63"/>
      <c r="M595" s="42">
        <f ca="1">IFERROR(M581+M594,"")</f>
        <v>0.5215277777777777</v>
      </c>
      <c r="N595" s="40" t="s">
        <v>238</v>
      </c>
      <c r="O595" s="48">
        <f>IFERROR(O581+O594,"")</f>
        <v>572580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259</v>
      </c>
      <c r="F596" s="27">
        <v>27</v>
      </c>
      <c r="G596" s="28">
        <f t="shared" ref="G596:G607" si="132">IF(F596="","",IF(E596="PC 17",F596*4.2,IF(E596="PC 19",F596*5,"")))</f>
        <v>113.4</v>
      </c>
      <c r="H596" s="26" t="s">
        <v>18</v>
      </c>
      <c r="I596" s="26" t="s">
        <v>75</v>
      </c>
      <c r="J596" s="26" t="s">
        <v>220</v>
      </c>
      <c r="K596" s="29">
        <v>0.31944444444444442</v>
      </c>
      <c r="L596" s="29">
        <v>0.3347222222222222</v>
      </c>
      <c r="M596" s="30">
        <f t="shared" ref="M596:M607" ca="1" si="133">IFERROR(IF(K596="","",IF(L596="",MOD(NOW()-K596,1),IF(L596&gt;=K596,L596-K596,L596+1-K596))),"")</f>
        <v>1.5277777777777779E-2</v>
      </c>
      <c r="N596" s="27"/>
      <c r="O596" s="60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259</v>
      </c>
      <c r="F597" s="27">
        <v>13</v>
      </c>
      <c r="G597" s="34">
        <f t="shared" si="132"/>
        <v>54.6</v>
      </c>
      <c r="H597" s="33" t="s">
        <v>20</v>
      </c>
      <c r="I597" s="33" t="s">
        <v>57</v>
      </c>
      <c r="J597" s="33" t="s">
        <v>51</v>
      </c>
      <c r="K597" s="29">
        <v>0.35069444444444442</v>
      </c>
      <c r="L597" s="29">
        <v>0.35416666666666669</v>
      </c>
      <c r="M597" s="35">
        <f t="shared" ca="1" si="133"/>
        <v>3.4722222222222654E-3</v>
      </c>
      <c r="N597" s="27"/>
      <c r="O597" s="60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259</v>
      </c>
      <c r="F598" s="27">
        <v>16</v>
      </c>
      <c r="G598" s="28">
        <f t="shared" si="132"/>
        <v>67.2</v>
      </c>
      <c r="H598" s="26" t="s">
        <v>20</v>
      </c>
      <c r="I598" s="26" t="s">
        <v>127</v>
      </c>
      <c r="J598" s="26" t="s">
        <v>113</v>
      </c>
      <c r="K598" s="29">
        <v>0.37708333333333333</v>
      </c>
      <c r="L598" s="29">
        <v>0.38124999999999998</v>
      </c>
      <c r="M598" s="30">
        <f t="shared" ca="1" si="133"/>
        <v>4.1666666666666519E-3</v>
      </c>
      <c r="N598" s="27"/>
      <c r="O598" s="60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259</v>
      </c>
      <c r="F599" s="27">
        <v>20</v>
      </c>
      <c r="G599" s="34">
        <f t="shared" si="132"/>
        <v>84</v>
      </c>
      <c r="H599" s="33" t="s">
        <v>20</v>
      </c>
      <c r="I599" s="33" t="s">
        <v>155</v>
      </c>
      <c r="J599" s="33" t="s">
        <v>74</v>
      </c>
      <c r="K599" s="29">
        <v>0.47430555555555554</v>
      </c>
      <c r="L599" s="29">
        <v>0.47916666666666669</v>
      </c>
      <c r="M599" s="35">
        <f t="shared" ca="1" si="133"/>
        <v>4.8611111111111494E-3</v>
      </c>
      <c r="N599" s="27"/>
      <c r="O599" s="60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259</v>
      </c>
      <c r="F600" s="27">
        <v>5</v>
      </c>
      <c r="G600" s="28">
        <f t="shared" si="132"/>
        <v>21</v>
      </c>
      <c r="H600" s="26" t="s">
        <v>20</v>
      </c>
      <c r="I600" s="26" t="s">
        <v>155</v>
      </c>
      <c r="J600" s="33" t="s">
        <v>74</v>
      </c>
      <c r="K600" s="29">
        <v>0.49722222222222223</v>
      </c>
      <c r="L600" s="29">
        <v>0.5</v>
      </c>
      <c r="M600" s="30">
        <f t="shared" ca="1" si="133"/>
        <v>2.7777777777777679E-3</v>
      </c>
      <c r="N600" s="27"/>
      <c r="O600" s="60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259</v>
      </c>
      <c r="F601" s="27">
        <v>17</v>
      </c>
      <c r="G601" s="34">
        <f t="shared" si="132"/>
        <v>71.400000000000006</v>
      </c>
      <c r="H601" s="26" t="s">
        <v>19</v>
      </c>
      <c r="I601" s="33" t="s">
        <v>160</v>
      </c>
      <c r="J601" s="33" t="s">
        <v>27</v>
      </c>
      <c r="K601" s="29">
        <v>0.59791666666666665</v>
      </c>
      <c r="L601" s="29">
        <v>0.62222222222222223</v>
      </c>
      <c r="M601" s="35">
        <f t="shared" ca="1" si="133"/>
        <v>2.430555555555558E-2</v>
      </c>
      <c r="N601" s="27" t="s">
        <v>416</v>
      </c>
      <c r="O601" s="60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259</v>
      </c>
      <c r="F602" s="27">
        <v>19</v>
      </c>
      <c r="G602" s="28">
        <f t="shared" si="132"/>
        <v>79.8</v>
      </c>
      <c r="H602" s="26" t="s">
        <v>18</v>
      </c>
      <c r="I602" s="26" t="s">
        <v>75</v>
      </c>
      <c r="J602" s="26" t="s">
        <v>100</v>
      </c>
      <c r="K602" s="29">
        <v>0.70833333333333337</v>
      </c>
      <c r="L602" s="29">
        <v>0.79166666666666663</v>
      </c>
      <c r="M602" s="30">
        <f t="shared" ca="1" si="133"/>
        <v>8.3333333333333259E-2</v>
      </c>
      <c r="N602" s="27"/>
      <c r="O602" s="60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259</v>
      </c>
      <c r="F603" s="27">
        <v>5</v>
      </c>
      <c r="G603" s="34">
        <f t="shared" si="132"/>
        <v>21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259</v>
      </c>
      <c r="F604" s="27">
        <v>14</v>
      </c>
      <c r="G604" s="28">
        <f t="shared" si="132"/>
        <v>58.800000000000004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259</v>
      </c>
      <c r="F605" s="27">
        <v>24</v>
      </c>
      <c r="G605" s="34">
        <f t="shared" si="132"/>
        <v>100.80000000000001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259</v>
      </c>
      <c r="F606" s="27">
        <v>0</v>
      </c>
      <c r="G606" s="28">
        <f t="shared" si="132"/>
        <v>0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259</v>
      </c>
      <c r="F607" s="27">
        <v>0</v>
      </c>
      <c r="G607" s="34">
        <f t="shared" si="132"/>
        <v>0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3" t="s">
        <v>234</v>
      </c>
      <c r="B608" s="104"/>
      <c r="C608" s="104"/>
      <c r="D608" s="104"/>
      <c r="E608" s="105">
        <f>SUM(E596:E607)</f>
        <v>0</v>
      </c>
      <c r="F608" s="36">
        <f>SUM(F596:F607)</f>
        <v>160</v>
      </c>
      <c r="G608" s="36">
        <f>SUM(G596:G607)</f>
        <v>672</v>
      </c>
      <c r="H608" s="37"/>
      <c r="I608" s="37"/>
      <c r="J608" s="37"/>
      <c r="K608" s="61"/>
      <c r="L608" s="61"/>
      <c r="M608" s="38">
        <f ca="1">IFERROR(SUM(M596:M607),"")</f>
        <v>0.13819444444444445</v>
      </c>
      <c r="N608" s="36" t="s">
        <v>235</v>
      </c>
      <c r="O608" s="39">
        <v>685860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259</v>
      </c>
      <c r="F609" s="27">
        <v>0</v>
      </c>
      <c r="G609" s="34">
        <f t="shared" ref="G609:G614" si="135">IF(F609="","",IF(E609="PC 17",F609*4.2,IF(E609="PC 19",F609*5,"")))</f>
        <v>0</v>
      </c>
      <c r="H609" s="33" t="s">
        <v>18</v>
      </c>
      <c r="I609" s="33" t="s">
        <v>75</v>
      </c>
      <c r="J609" s="33" t="s">
        <v>100</v>
      </c>
      <c r="K609" s="29">
        <v>0.79166666666666663</v>
      </c>
      <c r="L609" s="29">
        <v>0.875</v>
      </c>
      <c r="M609" s="35">
        <f t="shared" ref="M609:M620" ca="1" si="136">IFERROR(IF(K609="","",IF(L609="",MOD(NOW()-K609,1),IF(L609&gt;=K609,L609-K609,L609+1-K609))),"")</f>
        <v>8.333333333333337E-2</v>
      </c>
      <c r="N609" s="27"/>
      <c r="O609" s="60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259</v>
      </c>
      <c r="F610" s="27">
        <v>0</v>
      </c>
      <c r="G610" s="28">
        <f t="shared" si="135"/>
        <v>0</v>
      </c>
      <c r="H610" s="26" t="s">
        <v>19</v>
      </c>
      <c r="I610" s="26" t="s">
        <v>57</v>
      </c>
      <c r="J610" s="26" t="s">
        <v>27</v>
      </c>
      <c r="K610" s="29">
        <v>6.0416666666666667E-2</v>
      </c>
      <c r="L610" s="29">
        <v>7.7777777777777779E-2</v>
      </c>
      <c r="M610" s="30">
        <f t="shared" ca="1" si="136"/>
        <v>1.7361111111111112E-2</v>
      </c>
      <c r="N610" s="27"/>
      <c r="O610" s="60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232</v>
      </c>
      <c r="F611" s="27">
        <v>8</v>
      </c>
      <c r="G611" s="34">
        <f t="shared" si="135"/>
        <v>40</v>
      </c>
      <c r="H611" s="33" t="s">
        <v>19</v>
      </c>
      <c r="I611" s="33" t="s">
        <v>52</v>
      </c>
      <c r="J611" s="33" t="s">
        <v>27</v>
      </c>
      <c r="K611" s="29">
        <v>0.17569444444444443</v>
      </c>
      <c r="L611" s="29">
        <v>0.19166666666666668</v>
      </c>
      <c r="M611" s="35">
        <f t="shared" ca="1" si="136"/>
        <v>1.5972222222222249E-2</v>
      </c>
      <c r="N611" s="27"/>
      <c r="O611" s="60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259</v>
      </c>
      <c r="F612" s="27">
        <v>3</v>
      </c>
      <c r="G612" s="28">
        <f t="shared" si="135"/>
        <v>12.600000000000001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259</v>
      </c>
      <c r="F613" s="27">
        <v>9</v>
      </c>
      <c r="G613" s="34">
        <f t="shared" si="135"/>
        <v>37.800000000000004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259</v>
      </c>
      <c r="F614" s="27">
        <v>12</v>
      </c>
      <c r="G614" s="28">
        <f t="shared" si="135"/>
        <v>50.400000000000006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259</v>
      </c>
      <c r="F615" s="27">
        <v>0</v>
      </c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259</v>
      </c>
      <c r="F616" s="27">
        <v>12</v>
      </c>
      <c r="G616" s="28">
        <f>IF(F616="","",IF(E616="PC 17",F616*4.2,IF(E616="PC 19",F616*5,"")))</f>
        <v>50.400000000000006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259</v>
      </c>
      <c r="F617" s="27">
        <v>9</v>
      </c>
      <c r="G617" s="34">
        <f>IF(F617="","",IF(E617="PC 17",F617*4.2,IF(E617="PC 19",F617*5,"")))</f>
        <v>37.800000000000004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259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259</v>
      </c>
      <c r="F619" s="27">
        <v>19</v>
      </c>
      <c r="G619" s="34">
        <f>IF(F619="","",IF(E619="PC 17",F619*4.2,IF(E619="PC 19",F619*5,"")))</f>
        <v>79.8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259</v>
      </c>
      <c r="F620" s="27">
        <v>0</v>
      </c>
      <c r="G620" s="28">
        <f>IF(F620="","",IF(E620="PC 17",F620*4.2,IF(E620="PC 19",F620*5,"")))</f>
        <v>0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3" t="s">
        <v>236</v>
      </c>
      <c r="B621" s="104"/>
      <c r="C621" s="104"/>
      <c r="D621" s="104"/>
      <c r="E621" s="105">
        <f>SUM(E609:E620)</f>
        <v>0</v>
      </c>
      <c r="F621" s="36">
        <f>SUM(F609:F620)</f>
        <v>82</v>
      </c>
      <c r="G621" s="36">
        <f>SUM(G609:G620)</f>
        <v>350.8</v>
      </c>
      <c r="H621" s="37"/>
      <c r="I621" s="37"/>
      <c r="J621" s="37"/>
      <c r="K621" s="61"/>
      <c r="L621" s="61"/>
      <c r="M621" s="38">
        <f ca="1">IFERROR(SUM(M609:M620),"")</f>
        <v>0.11666666666666672</v>
      </c>
      <c r="N621" s="36" t="s">
        <v>235</v>
      </c>
      <c r="O621" s="39">
        <v>414860</v>
      </c>
    </row>
    <row r="622" spans="1:15" ht="18" customHeight="1">
      <c r="A622" s="106" t="s">
        <v>237</v>
      </c>
      <c r="B622" s="107"/>
      <c r="C622" s="107"/>
      <c r="D622" s="107"/>
      <c r="E622" s="108">
        <f>E608+E621</f>
        <v>0</v>
      </c>
      <c r="F622" s="40">
        <f>F608+F621</f>
        <v>242</v>
      </c>
      <c r="G622" s="40">
        <f>G608+G621</f>
        <v>1022.8</v>
      </c>
      <c r="H622" s="41"/>
      <c r="I622" s="41"/>
      <c r="J622" s="41"/>
      <c r="K622" s="63"/>
      <c r="L622" s="63"/>
      <c r="M622" s="42">
        <f ca="1">IFERROR(M608+M621,"")</f>
        <v>0.2548611111111112</v>
      </c>
      <c r="N622" s="40" t="s">
        <v>238</v>
      </c>
      <c r="O622" s="48">
        <f>IFERROR(O608+O621,"")</f>
        <v>1100720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259</v>
      </c>
      <c r="F623" s="27">
        <v>18</v>
      </c>
      <c r="G623" s="34">
        <f t="shared" ref="G623:G634" si="138">IF(F623="","",IF(E623="PC 17",F623*4.2,IF(E623="PC 19",F623*5,"")))</f>
        <v>75.600000000000009</v>
      </c>
      <c r="H623" s="33" t="s">
        <v>18</v>
      </c>
      <c r="I623" s="33" t="s">
        <v>75</v>
      </c>
      <c r="J623" s="33" t="s">
        <v>210</v>
      </c>
      <c r="K623" s="29">
        <v>0.45833333333333331</v>
      </c>
      <c r="L623" s="29">
        <v>0.46180555555555558</v>
      </c>
      <c r="M623" s="35">
        <f t="shared" ref="M623:M634" ca="1" si="139">IFERROR(IF(K623="","",IF(L623="",MOD(NOW()-K623,1),IF(L623&gt;=K623,L623-K623,L623+1-K623))),"")</f>
        <v>3.4722222222222654E-3</v>
      </c>
      <c r="N623" s="27"/>
      <c r="O623" s="60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259</v>
      </c>
      <c r="F624" s="27">
        <v>11</v>
      </c>
      <c r="G624" s="28">
        <f t="shared" si="138"/>
        <v>46.2</v>
      </c>
      <c r="H624" s="26" t="s">
        <v>20</v>
      </c>
      <c r="I624" s="26" t="s">
        <v>57</v>
      </c>
      <c r="J624" s="26" t="s">
        <v>28</v>
      </c>
      <c r="K624" s="29">
        <v>0.57291666666666663</v>
      </c>
      <c r="L624" s="29">
        <v>0.57916666666666672</v>
      </c>
      <c r="M624" s="30">
        <f t="shared" ca="1" si="139"/>
        <v>6.2500000000000888E-3</v>
      </c>
      <c r="N624" s="27"/>
      <c r="O624" s="60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259</v>
      </c>
      <c r="F625" s="27">
        <v>14</v>
      </c>
      <c r="G625" s="34">
        <f t="shared" si="138"/>
        <v>58.800000000000004</v>
      </c>
      <c r="H625" s="33" t="s">
        <v>18</v>
      </c>
      <c r="I625" s="33" t="s">
        <v>75</v>
      </c>
      <c r="J625" s="33" t="s">
        <v>220</v>
      </c>
      <c r="K625" s="29">
        <v>0.58333333333333337</v>
      </c>
      <c r="L625" s="29">
        <v>0.59444444444444444</v>
      </c>
      <c r="M625" s="35">
        <f t="shared" ca="1" si="139"/>
        <v>1.1111111111111072E-2</v>
      </c>
      <c r="N625" s="27"/>
      <c r="O625" s="60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259</v>
      </c>
      <c r="F626" s="27">
        <v>11</v>
      </c>
      <c r="G626" s="28">
        <f t="shared" si="138"/>
        <v>46.2</v>
      </c>
      <c r="H626" s="26" t="s">
        <v>18</v>
      </c>
      <c r="I626" s="26" t="s">
        <v>75</v>
      </c>
      <c r="J626" s="26" t="s">
        <v>111</v>
      </c>
      <c r="K626" s="29">
        <v>0.59861111111111109</v>
      </c>
      <c r="L626" s="29">
        <v>0.62361111111111112</v>
      </c>
      <c r="M626" s="30">
        <f t="shared" ca="1" si="139"/>
        <v>2.5000000000000022E-2</v>
      </c>
      <c r="N626" s="27"/>
      <c r="O626" s="60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259</v>
      </c>
      <c r="F627" s="27">
        <v>10</v>
      </c>
      <c r="G627" s="34">
        <f t="shared" si="138"/>
        <v>42</v>
      </c>
      <c r="H627" s="33" t="s">
        <v>20</v>
      </c>
      <c r="I627" s="33" t="s">
        <v>153</v>
      </c>
      <c r="J627" s="33"/>
      <c r="K627" s="29">
        <v>0.64583333333333337</v>
      </c>
      <c r="L627" s="29">
        <v>0.67291666666666672</v>
      </c>
      <c r="M627" s="35">
        <f t="shared" ca="1" si="139"/>
        <v>2.7083333333333348E-2</v>
      </c>
      <c r="N627" s="27" t="s">
        <v>417</v>
      </c>
      <c r="O627" s="60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259</v>
      </c>
      <c r="F628" s="27">
        <v>17</v>
      </c>
      <c r="G628" s="28">
        <f t="shared" si="138"/>
        <v>71.400000000000006</v>
      </c>
      <c r="H628" s="26" t="s">
        <v>18</v>
      </c>
      <c r="I628" s="26" t="s">
        <v>75</v>
      </c>
      <c r="J628" s="26" t="s">
        <v>220</v>
      </c>
      <c r="K628" s="29">
        <v>0.68819444444444444</v>
      </c>
      <c r="L628" s="29">
        <v>0.79166666666666663</v>
      </c>
      <c r="M628" s="30">
        <f t="shared" ca="1" si="139"/>
        <v>0.10347222222222219</v>
      </c>
      <c r="N628" s="27"/>
      <c r="O628" s="60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259</v>
      </c>
      <c r="F629" s="27">
        <v>1</v>
      </c>
      <c r="G629" s="34">
        <f t="shared" si="138"/>
        <v>4.2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259</v>
      </c>
      <c r="F630" s="27">
        <v>1</v>
      </c>
      <c r="G630" s="28">
        <f t="shared" si="138"/>
        <v>4.2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259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259</v>
      </c>
      <c r="F632" s="27">
        <v>0</v>
      </c>
      <c r="G632" s="28">
        <f t="shared" si="138"/>
        <v>0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259</v>
      </c>
      <c r="F633" s="27">
        <v>0</v>
      </c>
      <c r="G633" s="34">
        <f t="shared" si="138"/>
        <v>0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259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3" t="s">
        <v>234</v>
      </c>
      <c r="B635" s="104"/>
      <c r="C635" s="104"/>
      <c r="D635" s="104"/>
      <c r="E635" s="105">
        <f>SUM(E623:E634)</f>
        <v>0</v>
      </c>
      <c r="F635" s="36">
        <f>SUM(F623:F634)</f>
        <v>86</v>
      </c>
      <c r="G635" s="36">
        <f>SUM(G623:G634)</f>
        <v>361.20000000000005</v>
      </c>
      <c r="H635" s="37"/>
      <c r="I635" s="37"/>
      <c r="J635" s="37"/>
      <c r="K635" s="61"/>
      <c r="L635" s="61"/>
      <c r="M635" s="38">
        <f ca="1">IFERROR(SUM(M623:M634),"")</f>
        <v>0.17638888888888898</v>
      </c>
      <c r="N635" s="36" t="s">
        <v>235</v>
      </c>
      <c r="O635" s="39">
        <v>360420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259</v>
      </c>
      <c r="F636" s="27">
        <v>0</v>
      </c>
      <c r="G636" s="28">
        <f t="shared" ref="G636:G647" si="141">IF(F636="","",IF(E636="PC 17",F636*4.2,IF(E636="PC 19",F636*5,"")))</f>
        <v>0</v>
      </c>
      <c r="H636" s="26" t="s">
        <v>18</v>
      </c>
      <c r="I636" s="26" t="s">
        <v>75</v>
      </c>
      <c r="J636" s="26" t="s">
        <v>106</v>
      </c>
      <c r="K636" s="29">
        <v>0.79166666666666663</v>
      </c>
      <c r="L636" s="29">
        <v>0.96666666666666667</v>
      </c>
      <c r="M636" s="30">
        <f t="shared" ref="M636:M647" ca="1" si="142">IFERROR(IF(K636="","",IF(L636="",MOD(NOW()-K636,1),IF(L636&gt;=K636,L636-K636,L636+1-K636))),"")</f>
        <v>0.17500000000000004</v>
      </c>
      <c r="N636" s="27" t="s">
        <v>418</v>
      </c>
      <c r="O636" s="60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259</v>
      </c>
      <c r="F637" s="27">
        <v>0</v>
      </c>
      <c r="G637" s="34">
        <f t="shared" si="141"/>
        <v>0</v>
      </c>
      <c r="H637" s="26" t="s">
        <v>18</v>
      </c>
      <c r="I637" s="26" t="s">
        <v>75</v>
      </c>
      <c r="J637" s="26" t="s">
        <v>106</v>
      </c>
      <c r="K637" s="29">
        <v>0.99791666666666667</v>
      </c>
      <c r="L637" s="29">
        <v>5.8333333333333334E-2</v>
      </c>
      <c r="M637" s="35">
        <f t="shared" ca="1" si="142"/>
        <v>6.0416666666666674E-2</v>
      </c>
      <c r="N637" s="27"/>
      <c r="O637" s="60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259</v>
      </c>
      <c r="F638" s="27">
        <v>0</v>
      </c>
      <c r="G638" s="28">
        <f t="shared" si="141"/>
        <v>0</v>
      </c>
      <c r="H638" s="26" t="s">
        <v>20</v>
      </c>
      <c r="I638" s="26" t="s">
        <v>57</v>
      </c>
      <c r="J638" s="26" t="s">
        <v>56</v>
      </c>
      <c r="K638" s="29">
        <v>0.11458333333333333</v>
      </c>
      <c r="L638" s="29">
        <v>0.125</v>
      </c>
      <c r="M638" s="30">
        <f t="shared" ca="1" si="142"/>
        <v>1.0416666666666671E-2</v>
      </c>
      <c r="N638" s="27"/>
      <c r="O638" s="60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259</v>
      </c>
      <c r="F639" s="27">
        <v>0</v>
      </c>
      <c r="G639" s="34">
        <f t="shared" si="141"/>
        <v>0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259</v>
      </c>
      <c r="F640" s="27">
        <v>12</v>
      </c>
      <c r="G640" s="28">
        <f t="shared" si="141"/>
        <v>50.400000000000006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259</v>
      </c>
      <c r="F641" s="27">
        <v>0</v>
      </c>
      <c r="G641" s="34">
        <f t="shared" si="141"/>
        <v>0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259</v>
      </c>
      <c r="F642" s="27">
        <v>10</v>
      </c>
      <c r="G642" s="28">
        <f t="shared" si="141"/>
        <v>42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259</v>
      </c>
      <c r="F643" s="27">
        <v>5</v>
      </c>
      <c r="G643" s="34">
        <f t="shared" si="141"/>
        <v>21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259</v>
      </c>
      <c r="F644" s="27">
        <v>10</v>
      </c>
      <c r="G644" s="28">
        <f t="shared" si="141"/>
        <v>42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259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259</v>
      </c>
      <c r="F646" s="27">
        <v>12</v>
      </c>
      <c r="G646" s="28">
        <f t="shared" si="141"/>
        <v>50.400000000000006</v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259</v>
      </c>
      <c r="F647" s="27">
        <v>0</v>
      </c>
      <c r="G647" s="34">
        <f t="shared" si="141"/>
        <v>0</v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3" t="s">
        <v>236</v>
      </c>
      <c r="B648" s="104"/>
      <c r="C648" s="104"/>
      <c r="D648" s="104"/>
      <c r="E648" s="105">
        <f>SUM(E636:E647)</f>
        <v>0</v>
      </c>
      <c r="F648" s="36">
        <f>SUM(F636:F647)</f>
        <v>69</v>
      </c>
      <c r="G648" s="36">
        <f>SUM(G636:G647)</f>
        <v>289.8</v>
      </c>
      <c r="H648" s="37"/>
      <c r="I648" s="37"/>
      <c r="J648" s="37"/>
      <c r="K648" s="61"/>
      <c r="L648" s="61"/>
      <c r="M648" s="38">
        <f ca="1">IFERROR(SUM(M636:M647),"")</f>
        <v>0.2458333333333334</v>
      </c>
      <c r="N648" s="36" t="s">
        <v>235</v>
      </c>
      <c r="O648" s="39">
        <v>284850</v>
      </c>
    </row>
    <row r="649" spans="1:15" ht="18" customHeight="1">
      <c r="A649" s="106" t="s">
        <v>237</v>
      </c>
      <c r="B649" s="107"/>
      <c r="C649" s="107"/>
      <c r="D649" s="107"/>
      <c r="E649" s="108">
        <f>E635+E648</f>
        <v>0</v>
      </c>
      <c r="F649" s="40">
        <f>F635+F648</f>
        <v>155</v>
      </c>
      <c r="G649" s="40">
        <f>G635+G648</f>
        <v>651</v>
      </c>
      <c r="H649" s="41"/>
      <c r="I649" s="41"/>
      <c r="J649" s="41"/>
      <c r="K649" s="63"/>
      <c r="L649" s="63"/>
      <c r="M649" s="42">
        <f ca="1">IFERROR(M635+M648,"")</f>
        <v>0.42222222222222239</v>
      </c>
      <c r="N649" s="40" t="s">
        <v>238</v>
      </c>
      <c r="O649" s="48">
        <f>IFERROR(O635+O648,"")</f>
        <v>645270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/>
      <c r="F650" s="27">
        <v>0</v>
      </c>
      <c r="G650" s="28" t="str">
        <f t="shared" ref="G650:G661" si="144">IF(F650="","",IF(E650="PC 17",F650*4.2,IF(E650="PC 19",F650*5,"")))</f>
        <v/>
      </c>
      <c r="H650" s="26" t="s">
        <v>18</v>
      </c>
      <c r="I650" s="26" t="s">
        <v>75</v>
      </c>
      <c r="J650" s="26" t="s">
        <v>220</v>
      </c>
      <c r="K650" s="29">
        <v>0.29166666666666669</v>
      </c>
      <c r="L650" s="29">
        <v>0.79166666666666663</v>
      </c>
      <c r="M650" s="30">
        <f t="shared" ref="M650:M661" ca="1" si="145">IFERROR(IF(K650="","",IF(L650="",MOD(NOW()-K650,1),IF(L650&gt;=K650,L650-K650,L650+1-K650))),"")</f>
        <v>0.49999999999999994</v>
      </c>
      <c r="N650" s="27" t="s">
        <v>419</v>
      </c>
      <c r="O650" s="60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/>
      <c r="F651" s="27">
        <v>0</v>
      </c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/>
      <c r="F652" s="27">
        <v>0</v>
      </c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/>
      <c r="F653" s="27">
        <v>0</v>
      </c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/>
      <c r="F654" s="27">
        <v>0</v>
      </c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/>
      <c r="F655" s="27">
        <v>0</v>
      </c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/>
      <c r="F656" s="27">
        <v>0</v>
      </c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/>
      <c r="F657" s="27">
        <v>0</v>
      </c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/>
      <c r="F658" s="27">
        <v>0</v>
      </c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/>
      <c r="F659" s="27">
        <v>0</v>
      </c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/>
      <c r="F660" s="27">
        <v>0</v>
      </c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/>
      <c r="F661" s="27">
        <v>0</v>
      </c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3" t="s">
        <v>234</v>
      </c>
      <c r="B662" s="104"/>
      <c r="C662" s="104"/>
      <c r="D662" s="104"/>
      <c r="E662" s="105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0.49999999999999994</v>
      </c>
      <c r="N662" s="36" t="s">
        <v>235</v>
      </c>
      <c r="O662" s="39"/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 t="s">
        <v>18</v>
      </c>
      <c r="I663" s="33" t="s">
        <v>75</v>
      </c>
      <c r="J663" s="33" t="s">
        <v>220</v>
      </c>
      <c r="K663" s="29">
        <v>0.79166666666666663</v>
      </c>
      <c r="L663" s="29">
        <v>2.7777777777777776E-2</v>
      </c>
      <c r="M663" s="35">
        <f t="shared" ref="M663:M674" ca="1" si="148">IFERROR(IF(K663="","",IF(L663="",MOD(NOW()-K663,1),IF(L663&gt;=K663,L663-K663,L663+1-K663))),"")</f>
        <v>0.23611111111111105</v>
      </c>
      <c r="N663" s="27"/>
      <c r="O663" s="60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/>
      <c r="E664" s="62"/>
      <c r="F664" s="27"/>
      <c r="G664" s="28" t="str">
        <f t="shared" si="147"/>
        <v/>
      </c>
      <c r="H664" s="26" t="s">
        <v>19</v>
      </c>
      <c r="I664" s="26" t="s">
        <v>160</v>
      </c>
      <c r="J664" s="26" t="s">
        <v>27</v>
      </c>
      <c r="K664" s="29">
        <v>0.22222222222222221</v>
      </c>
      <c r="L664" s="29">
        <v>0.24166666666666667</v>
      </c>
      <c r="M664" s="30">
        <f t="shared" ca="1" si="148"/>
        <v>1.9444444444444459E-2</v>
      </c>
      <c r="N664" s="27"/>
      <c r="O664" s="60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 t="s">
        <v>420</v>
      </c>
      <c r="O666" s="60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259</v>
      </c>
      <c r="F668" s="27">
        <v>13</v>
      </c>
      <c r="G668" s="28">
        <f t="shared" si="147"/>
        <v>54.6</v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259</v>
      </c>
      <c r="F669" s="27">
        <v>20</v>
      </c>
      <c r="G669" s="34">
        <f t="shared" si="147"/>
        <v>84</v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259</v>
      </c>
      <c r="F670" s="27">
        <v>20</v>
      </c>
      <c r="G670" s="28">
        <f t="shared" si="147"/>
        <v>84</v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259</v>
      </c>
      <c r="F671" s="27">
        <v>15</v>
      </c>
      <c r="G671" s="34">
        <f t="shared" si="147"/>
        <v>63</v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259</v>
      </c>
      <c r="F672" s="27">
        <v>22</v>
      </c>
      <c r="G672" s="28">
        <f t="shared" si="147"/>
        <v>92.4</v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259</v>
      </c>
      <c r="F673" s="27">
        <v>11</v>
      </c>
      <c r="G673" s="34">
        <f t="shared" si="147"/>
        <v>46.2</v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259</v>
      </c>
      <c r="F674" s="27">
        <v>7</v>
      </c>
      <c r="G674" s="28">
        <f t="shared" si="147"/>
        <v>29.400000000000002</v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3" t="s">
        <v>236</v>
      </c>
      <c r="B675" s="104"/>
      <c r="C675" s="104"/>
      <c r="D675" s="104"/>
      <c r="E675" s="105">
        <f>SUM(E663:E674)</f>
        <v>0</v>
      </c>
      <c r="F675" s="36">
        <f>SUM(F663:F674)</f>
        <v>108</v>
      </c>
      <c r="G675" s="36">
        <f>SUM(G663:G674)</f>
        <v>453.59999999999997</v>
      </c>
      <c r="H675" s="37"/>
      <c r="I675" s="37"/>
      <c r="J675" s="37"/>
      <c r="K675" s="61"/>
      <c r="L675" s="61"/>
      <c r="M675" s="38">
        <f ca="1">IFERROR(SUM(M663:M674),"")</f>
        <v>0.25555555555555554</v>
      </c>
      <c r="N675" s="36" t="s">
        <v>235</v>
      </c>
      <c r="O675" s="39">
        <v>486620</v>
      </c>
    </row>
    <row r="676" spans="1:15" ht="18" customHeight="1">
      <c r="A676" s="106" t="s">
        <v>237</v>
      </c>
      <c r="B676" s="107"/>
      <c r="C676" s="107"/>
      <c r="D676" s="107"/>
      <c r="E676" s="108">
        <f>E662+E675</f>
        <v>0</v>
      </c>
      <c r="F676" s="40">
        <f>F662+F675</f>
        <v>108</v>
      </c>
      <c r="G676" s="40">
        <f>G662+G675</f>
        <v>453.59999999999997</v>
      </c>
      <c r="H676" s="41"/>
      <c r="I676" s="41"/>
      <c r="J676" s="41"/>
      <c r="K676" s="63"/>
      <c r="L676" s="63"/>
      <c r="M676" s="42">
        <f ca="1">IFERROR(M662+M675,"")</f>
        <v>0.75555555555555554</v>
      </c>
      <c r="N676" s="40" t="s">
        <v>238</v>
      </c>
      <c r="O676" s="48">
        <f>IFERROR(O662+O675,"")</f>
        <v>486620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259</v>
      </c>
      <c r="F677" s="27">
        <v>22</v>
      </c>
      <c r="G677" s="34">
        <f t="shared" ref="G677:G688" si="150">IF(F677="","",IF(E677="PC 17",F677*4.2,IF(E677="PC 19",F677*5,"")))</f>
        <v>92.4</v>
      </c>
      <c r="H677" s="33" t="s">
        <v>20</v>
      </c>
      <c r="I677" s="33" t="s">
        <v>57</v>
      </c>
      <c r="J677" s="33" t="s">
        <v>51</v>
      </c>
      <c r="K677" s="29">
        <v>0.31736111111111109</v>
      </c>
      <c r="L677" s="29">
        <v>0.31944444444444442</v>
      </c>
      <c r="M677" s="35">
        <f t="shared" ref="M677:M688" ca="1" si="151">IFERROR(IF(K677="","",IF(L677="",MOD(NOW()-K677,1),IF(L677&gt;=K677,L677-K677,L677+1-K677))),"")</f>
        <v>2.0833333333333259E-3</v>
      </c>
      <c r="N677" s="27"/>
      <c r="O677" s="60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259</v>
      </c>
      <c r="F678" s="27">
        <v>20</v>
      </c>
      <c r="G678" s="28">
        <f t="shared" si="150"/>
        <v>84</v>
      </c>
      <c r="H678" s="26" t="s">
        <v>18</v>
      </c>
      <c r="I678" s="26" t="s">
        <v>160</v>
      </c>
      <c r="J678" s="26" t="s">
        <v>122</v>
      </c>
      <c r="K678" s="29">
        <v>0.39861111111111114</v>
      </c>
      <c r="L678" s="29">
        <v>0.43472222222222223</v>
      </c>
      <c r="M678" s="30">
        <f t="shared" ca="1" si="151"/>
        <v>3.6111111111111094E-2</v>
      </c>
      <c r="N678" s="27"/>
      <c r="O678" s="60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259</v>
      </c>
      <c r="F679" s="27">
        <v>14</v>
      </c>
      <c r="G679" s="34">
        <f t="shared" si="150"/>
        <v>58.800000000000004</v>
      </c>
      <c r="H679" s="33" t="s">
        <v>20</v>
      </c>
      <c r="I679" s="33" t="s">
        <v>57</v>
      </c>
      <c r="J679" s="33" t="s">
        <v>62</v>
      </c>
      <c r="K679" s="29">
        <v>0.50763888888888886</v>
      </c>
      <c r="L679" s="29">
        <v>0.51597222222222228</v>
      </c>
      <c r="M679" s="35">
        <f t="shared" ca="1" si="151"/>
        <v>8.3333333333334147E-3</v>
      </c>
      <c r="N679" s="27"/>
      <c r="O679" s="60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259</v>
      </c>
      <c r="F680" s="27">
        <v>13</v>
      </c>
      <c r="G680" s="28">
        <f t="shared" si="150"/>
        <v>54.6</v>
      </c>
      <c r="H680" s="26" t="s">
        <v>20</v>
      </c>
      <c r="I680" s="26" t="s">
        <v>52</v>
      </c>
      <c r="J680" s="26" t="s">
        <v>28</v>
      </c>
      <c r="K680" s="29">
        <v>0.57638888888888884</v>
      </c>
      <c r="L680" s="29">
        <v>0.59722222222222221</v>
      </c>
      <c r="M680" s="30">
        <f t="shared" ca="1" si="151"/>
        <v>2.083333333333337E-2</v>
      </c>
      <c r="N680" s="27"/>
      <c r="O680" s="60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57" t="s">
        <v>259</v>
      </c>
      <c r="F681" s="27">
        <v>10</v>
      </c>
      <c r="G681" s="34">
        <f>IF(F681="","",IF(E682="PC 17",F681*4.2,IF(E682="PC 19",F681*5,"")))</f>
        <v>42</v>
      </c>
      <c r="H681" s="33" t="s">
        <v>19</v>
      </c>
      <c r="I681" s="33" t="s">
        <v>160</v>
      </c>
      <c r="J681" s="33" t="s">
        <v>27</v>
      </c>
      <c r="K681" s="29">
        <v>0.70833333333333337</v>
      </c>
      <c r="L681" s="29">
        <v>0.72430555555555554</v>
      </c>
      <c r="M681" s="35">
        <f t="shared" ca="1" si="151"/>
        <v>1.5972222222222165E-2</v>
      </c>
      <c r="N681" s="27"/>
      <c r="O681" s="60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259</v>
      </c>
      <c r="F682" s="27">
        <v>17</v>
      </c>
      <c r="G682" s="28"/>
      <c r="H682" s="26" t="s">
        <v>18</v>
      </c>
      <c r="I682" s="26" t="s">
        <v>52</v>
      </c>
      <c r="J682" s="26" t="s">
        <v>122</v>
      </c>
      <c r="K682" s="29">
        <v>0.72430555555555554</v>
      </c>
      <c r="L682" s="29">
        <v>0.7319444444444444</v>
      </c>
      <c r="M682" s="30">
        <f t="shared" ca="1" si="151"/>
        <v>7.6388888888888618E-3</v>
      </c>
      <c r="N682" s="27"/>
      <c r="O682" s="60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259</v>
      </c>
      <c r="F683" s="27">
        <v>25</v>
      </c>
      <c r="G683" s="34">
        <f t="shared" si="150"/>
        <v>105</v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259</v>
      </c>
      <c r="F684" s="27">
        <v>24</v>
      </c>
      <c r="G684" s="28">
        <f t="shared" si="150"/>
        <v>100.80000000000001</v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259</v>
      </c>
      <c r="F685" s="27">
        <v>22</v>
      </c>
      <c r="G685" s="34">
        <f t="shared" si="150"/>
        <v>92.4</v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259</v>
      </c>
      <c r="F686" s="27">
        <v>17</v>
      </c>
      <c r="G686" s="34">
        <f t="shared" si="150"/>
        <v>71.400000000000006</v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259</v>
      </c>
      <c r="F687" s="27">
        <v>10</v>
      </c>
      <c r="G687" s="34">
        <f t="shared" si="150"/>
        <v>42</v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259</v>
      </c>
      <c r="F688" s="27">
        <v>5</v>
      </c>
      <c r="G688" s="28">
        <f t="shared" si="150"/>
        <v>21</v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3" t="s">
        <v>234</v>
      </c>
      <c r="B689" s="104"/>
      <c r="C689" s="104"/>
      <c r="D689" s="104"/>
      <c r="E689" s="105">
        <f>SUM(E677:E688)</f>
        <v>0</v>
      </c>
      <c r="F689" s="36">
        <f>SUM(F677:F688)</f>
        <v>199</v>
      </c>
      <c r="G689" s="36">
        <f>SUM(G677:G688)</f>
        <v>764.4</v>
      </c>
      <c r="H689" s="37"/>
      <c r="I689" s="37"/>
      <c r="J689" s="37"/>
      <c r="K689" s="61"/>
      <c r="L689" s="61"/>
      <c r="M689" s="38">
        <f ca="1">IFERROR(SUM(M677:M688),"")</f>
        <v>9.0972222222222232E-2</v>
      </c>
      <c r="N689" s="36" t="s">
        <v>235</v>
      </c>
      <c r="O689" s="39">
        <v>838060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259</v>
      </c>
      <c r="F690" s="27">
        <v>26</v>
      </c>
      <c r="G690" s="28">
        <f t="shared" ref="G690:G701" si="153">IF(F690="","",IF(E690="PC 17",F690*4.2,IF(E690="PC 19",F690*5,"")))</f>
        <v>109.2</v>
      </c>
      <c r="H690" s="26" t="s">
        <v>20</v>
      </c>
      <c r="I690" s="26" t="s">
        <v>57</v>
      </c>
      <c r="J690" s="26" t="s">
        <v>28</v>
      </c>
      <c r="K690" s="29">
        <v>0.84722222222222221</v>
      </c>
      <c r="L690" s="29">
        <v>0.85763888888888884</v>
      </c>
      <c r="M690" s="30">
        <f t="shared" ref="M690:M701" ca="1" si="154">IFERROR(IF(K690="","",IF(L690="",MOD(NOW()-K690,1),IF(L690&gt;=K690,L690-K690,L690+1-K690))),"")</f>
        <v>1.041666666666663E-2</v>
      </c>
      <c r="N690" s="27"/>
      <c r="O690" s="60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232</v>
      </c>
      <c r="F691" s="27">
        <v>11</v>
      </c>
      <c r="G691" s="34">
        <f t="shared" si="153"/>
        <v>55</v>
      </c>
      <c r="H691" s="33" t="s">
        <v>20</v>
      </c>
      <c r="I691" s="33" t="s">
        <v>57</v>
      </c>
      <c r="J691" s="33" t="s">
        <v>56</v>
      </c>
      <c r="K691" s="29">
        <v>0.91319444444444442</v>
      </c>
      <c r="L691" s="29">
        <v>0.92500000000000004</v>
      </c>
      <c r="M691" s="35">
        <f t="shared" ca="1" si="154"/>
        <v>1.1805555555555625E-2</v>
      </c>
      <c r="N691" s="27" t="s">
        <v>421</v>
      </c>
      <c r="O691" s="60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232</v>
      </c>
      <c r="F692" s="27">
        <v>14</v>
      </c>
      <c r="G692" s="28">
        <f t="shared" si="153"/>
        <v>70</v>
      </c>
      <c r="H692" s="26" t="s">
        <v>20</v>
      </c>
      <c r="I692" s="26" t="s">
        <v>57</v>
      </c>
      <c r="J692" s="26" t="s">
        <v>28</v>
      </c>
      <c r="K692" s="29">
        <v>0.16319444444444445</v>
      </c>
      <c r="L692" s="29">
        <v>0.19097222222222221</v>
      </c>
      <c r="M692" s="30">
        <f t="shared" ca="1" si="154"/>
        <v>2.7777777777777762E-2</v>
      </c>
      <c r="N692" s="27" t="s">
        <v>422</v>
      </c>
      <c r="O692" s="60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259</v>
      </c>
      <c r="F693" s="27">
        <v>6</v>
      </c>
      <c r="G693" s="34">
        <f t="shared" si="153"/>
        <v>25.200000000000003</v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259</v>
      </c>
      <c r="F694" s="27">
        <v>22</v>
      </c>
      <c r="G694" s="28">
        <f t="shared" si="153"/>
        <v>92.4</v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259</v>
      </c>
      <c r="F695" s="27">
        <v>20</v>
      </c>
      <c r="G695" s="34">
        <f t="shared" si="153"/>
        <v>84</v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259</v>
      </c>
      <c r="F696" s="27">
        <v>22</v>
      </c>
      <c r="G696" s="28">
        <f t="shared" si="153"/>
        <v>92.4</v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259</v>
      </c>
      <c r="F697" s="27">
        <v>14</v>
      </c>
      <c r="G697" s="34">
        <f t="shared" si="153"/>
        <v>58.800000000000004</v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259</v>
      </c>
      <c r="F698" s="27">
        <v>25</v>
      </c>
      <c r="G698" s="28">
        <f t="shared" si="153"/>
        <v>105</v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259</v>
      </c>
      <c r="F699" s="27">
        <v>5</v>
      </c>
      <c r="G699" s="34">
        <f t="shared" si="153"/>
        <v>21</v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259</v>
      </c>
      <c r="F700" s="27">
        <v>22</v>
      </c>
      <c r="G700" s="28">
        <f t="shared" si="153"/>
        <v>92.4</v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259</v>
      </c>
      <c r="F701" s="27">
        <v>5</v>
      </c>
      <c r="G701" s="34">
        <f t="shared" si="153"/>
        <v>21</v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3" t="s">
        <v>236</v>
      </c>
      <c r="B702" s="104"/>
      <c r="C702" s="104"/>
      <c r="D702" s="104"/>
      <c r="E702" s="105">
        <f>SUM(E690:E701)</f>
        <v>0</v>
      </c>
      <c r="F702" s="36">
        <f>SUM(F690:F701)</f>
        <v>192</v>
      </c>
      <c r="G702" s="36">
        <f>SUM(G690:G701)</f>
        <v>826.39999999999986</v>
      </c>
      <c r="H702" s="37"/>
      <c r="I702" s="37"/>
      <c r="J702" s="37"/>
      <c r="K702" s="61"/>
      <c r="L702" s="61"/>
      <c r="M702" s="38">
        <f ca="1">IFERROR(SUM(M690:M701),"")</f>
        <v>5.0000000000000017E-2</v>
      </c>
      <c r="N702" s="36" t="s">
        <v>235</v>
      </c>
      <c r="O702" s="39">
        <v>988790</v>
      </c>
    </row>
    <row r="703" spans="1:15" ht="18" customHeight="1">
      <c r="A703" s="106" t="s">
        <v>237</v>
      </c>
      <c r="B703" s="107"/>
      <c r="C703" s="107"/>
      <c r="D703" s="107"/>
      <c r="E703" s="108">
        <f>E689+E702</f>
        <v>0</v>
      </c>
      <c r="F703" s="40">
        <f>F689+F702</f>
        <v>391</v>
      </c>
      <c r="G703" s="40">
        <f>G689+G702</f>
        <v>1590.7999999999997</v>
      </c>
      <c r="H703" s="41"/>
      <c r="I703" s="41"/>
      <c r="J703" s="41"/>
      <c r="K703" s="63"/>
      <c r="L703" s="63"/>
      <c r="M703" s="42">
        <f ca="1">IFERROR(M689+M702,"")</f>
        <v>0.14097222222222225</v>
      </c>
      <c r="N703" s="40" t="s">
        <v>238</v>
      </c>
      <c r="O703" s="48">
        <f>IFERROR(O689+O702,"")</f>
        <v>1826850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259</v>
      </c>
      <c r="F704" s="27">
        <v>2</v>
      </c>
      <c r="G704" s="28">
        <f t="shared" ref="G704:G715" si="156">IF(F704="","",IF(E704="PC 17",F704*4.2,IF(E704="PC 19",F704*5,"")))</f>
        <v>8.4</v>
      </c>
      <c r="H704" s="26" t="s">
        <v>19</v>
      </c>
      <c r="I704" s="26" t="s">
        <v>52</v>
      </c>
      <c r="J704" s="26" t="s">
        <v>35</v>
      </c>
      <c r="K704" s="29">
        <v>0.29166666666666669</v>
      </c>
      <c r="L704" s="29">
        <v>0.33333333333333331</v>
      </c>
      <c r="M704" s="30">
        <f t="shared" ref="M704:M715" ca="1" si="157">IFERROR(IF(K704="","",IF(L704="",MOD(NOW()-K704,1),IF(L704&gt;=K704,L704-K704,L704+1-K704))),"")</f>
        <v>4.166666666666663E-2</v>
      </c>
      <c r="N704" s="27" t="s">
        <v>282</v>
      </c>
      <c r="O704" s="60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259</v>
      </c>
      <c r="F705" s="27">
        <v>1</v>
      </c>
      <c r="G705" s="34">
        <f t="shared" si="156"/>
        <v>4.2</v>
      </c>
      <c r="H705" s="33" t="s">
        <v>17</v>
      </c>
      <c r="I705" s="33" t="s">
        <v>138</v>
      </c>
      <c r="J705" s="33" t="s">
        <v>115</v>
      </c>
      <c r="K705" s="29">
        <v>0.35486111111111113</v>
      </c>
      <c r="L705" s="29">
        <v>0.37083333333333335</v>
      </c>
      <c r="M705" s="35">
        <f t="shared" ca="1" si="157"/>
        <v>1.5972222222222221E-2</v>
      </c>
      <c r="N705" s="27"/>
      <c r="O705" s="60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259</v>
      </c>
      <c r="F706" s="27">
        <v>13</v>
      </c>
      <c r="G706" s="28">
        <f t="shared" si="156"/>
        <v>54.6</v>
      </c>
      <c r="H706" s="26" t="s">
        <v>19</v>
      </c>
      <c r="I706" s="26" t="s">
        <v>57</v>
      </c>
      <c r="J706" s="26" t="s">
        <v>43</v>
      </c>
      <c r="K706" s="29">
        <v>0.33333333333333331</v>
      </c>
      <c r="L706" s="29">
        <v>0.3923611111111111</v>
      </c>
      <c r="M706" s="30">
        <f t="shared" ca="1" si="157"/>
        <v>5.902777777777779E-2</v>
      </c>
      <c r="N706" s="27" t="s">
        <v>324</v>
      </c>
      <c r="O706" s="60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259</v>
      </c>
      <c r="F707" s="27">
        <v>30</v>
      </c>
      <c r="G707" s="34">
        <f t="shared" si="156"/>
        <v>126</v>
      </c>
      <c r="H707" s="33" t="s">
        <v>20</v>
      </c>
      <c r="I707" s="33" t="s">
        <v>57</v>
      </c>
      <c r="J707" s="33" t="s">
        <v>28</v>
      </c>
      <c r="K707" s="29">
        <v>0.43472222222222223</v>
      </c>
      <c r="L707" s="29">
        <v>0.44305555555555554</v>
      </c>
      <c r="M707" s="35">
        <f t="shared" ca="1" si="157"/>
        <v>8.3333333333333037E-3</v>
      </c>
      <c r="N707" s="27"/>
      <c r="O707" s="60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259</v>
      </c>
      <c r="F708" s="27">
        <v>17</v>
      </c>
      <c r="G708" s="28">
        <f t="shared" si="156"/>
        <v>71.400000000000006</v>
      </c>
      <c r="H708" s="26" t="s">
        <v>18</v>
      </c>
      <c r="I708" s="26" t="s">
        <v>52</v>
      </c>
      <c r="J708" s="26" t="s">
        <v>128</v>
      </c>
      <c r="K708" s="29">
        <v>0.63055555555555554</v>
      </c>
      <c r="L708" s="29">
        <v>0.69513888888888886</v>
      </c>
      <c r="M708" s="30">
        <f t="shared" ca="1" si="157"/>
        <v>6.4583333333333326E-2</v>
      </c>
      <c r="N708" s="27"/>
      <c r="O708" s="60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259</v>
      </c>
      <c r="F709" s="27">
        <v>14</v>
      </c>
      <c r="G709" s="34">
        <f t="shared" si="156"/>
        <v>58.800000000000004</v>
      </c>
      <c r="H709" s="33" t="s">
        <v>18</v>
      </c>
      <c r="I709" s="33" t="s">
        <v>127</v>
      </c>
      <c r="J709" s="33" t="s">
        <v>164</v>
      </c>
      <c r="K709" s="29">
        <v>0.69027777777777777</v>
      </c>
      <c r="L709" s="29">
        <v>0.70694444444444449</v>
      </c>
      <c r="M709" s="35">
        <f t="shared" ca="1" si="157"/>
        <v>1.6666666666666718E-2</v>
      </c>
      <c r="N709" s="27"/>
      <c r="O709" s="60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259</v>
      </c>
      <c r="F710" s="27">
        <v>16</v>
      </c>
      <c r="G710" s="28">
        <f t="shared" si="156"/>
        <v>67.2</v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259</v>
      </c>
      <c r="F711" s="27">
        <v>13</v>
      </c>
      <c r="G711" s="34">
        <f t="shared" si="156"/>
        <v>54.6</v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259</v>
      </c>
      <c r="F712" s="27">
        <v>0</v>
      </c>
      <c r="G712" s="28">
        <f t="shared" si="156"/>
        <v>0</v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259</v>
      </c>
      <c r="F713" s="27">
        <v>15</v>
      </c>
      <c r="G713" s="34">
        <f t="shared" si="156"/>
        <v>63</v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259</v>
      </c>
      <c r="F714" s="27">
        <v>3</v>
      </c>
      <c r="G714" s="28">
        <f t="shared" si="156"/>
        <v>12.600000000000001</v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259</v>
      </c>
      <c r="F715" s="27">
        <v>8</v>
      </c>
      <c r="G715" s="34">
        <f t="shared" si="156"/>
        <v>33.6</v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3" t="s">
        <v>234</v>
      </c>
      <c r="B716" s="104"/>
      <c r="C716" s="104"/>
      <c r="D716" s="104"/>
      <c r="E716" s="105">
        <f>SUM(E704:E715)</f>
        <v>0</v>
      </c>
      <c r="F716" s="36">
        <f>SUM(F704:F715)</f>
        <v>132</v>
      </c>
      <c r="G716" s="36">
        <f>SUM(G704:G715)</f>
        <v>554.40000000000009</v>
      </c>
      <c r="H716" s="37"/>
      <c r="I716" s="37"/>
      <c r="J716" s="37"/>
      <c r="K716" s="61"/>
      <c r="L716" s="61"/>
      <c r="M716" s="38">
        <f ca="1">IFERROR(SUM(M704:M715),"")</f>
        <v>0.20624999999999999</v>
      </c>
      <c r="N716" s="36" t="s">
        <v>235</v>
      </c>
      <c r="O716" s="39">
        <v>613260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62" t="s">
        <v>259</v>
      </c>
      <c r="F717" s="27">
        <v>20</v>
      </c>
      <c r="G717" s="34">
        <f t="shared" ref="G717:G728" si="159">IF(F717="","",IF(E717="PC 17",F717*4.2,IF(E717="PC 19",F717*5,"")))</f>
        <v>84</v>
      </c>
      <c r="H717" s="33" t="s">
        <v>20</v>
      </c>
      <c r="I717" s="33" t="s">
        <v>57</v>
      </c>
      <c r="J717" s="33" t="s">
        <v>28</v>
      </c>
      <c r="K717" s="29">
        <v>0.84305555555555556</v>
      </c>
      <c r="L717" s="29">
        <v>0.85902777777777772</v>
      </c>
      <c r="M717" s="35">
        <f t="shared" ref="M717:M728" ca="1" si="160">IFERROR(IF(K717="","",IF(L717="",MOD(NOW()-K717,1),IF(L717&gt;=K717,L717-K717,L717+1-K717))),"")</f>
        <v>1.5972222222222165E-2</v>
      </c>
      <c r="N717" s="27"/>
      <c r="O717" s="60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62" t="s">
        <v>232</v>
      </c>
      <c r="F718" s="27">
        <v>4</v>
      </c>
      <c r="G718" s="28">
        <f t="shared" si="159"/>
        <v>20</v>
      </c>
      <c r="H718" s="26" t="s">
        <v>19</v>
      </c>
      <c r="I718" s="26" t="s">
        <v>160</v>
      </c>
      <c r="J718" s="26" t="s">
        <v>27</v>
      </c>
      <c r="K718" s="29">
        <v>0.89930555555555558</v>
      </c>
      <c r="L718" s="29">
        <v>0.91319444444444442</v>
      </c>
      <c r="M718" s="30">
        <f t="shared" ca="1" si="160"/>
        <v>1.388888888888884E-2</v>
      </c>
      <c r="N718" s="27"/>
      <c r="O718" s="60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62" t="s">
        <v>259</v>
      </c>
      <c r="F719" s="27">
        <v>23</v>
      </c>
      <c r="G719" s="34">
        <f t="shared" si="159"/>
        <v>96.600000000000009</v>
      </c>
      <c r="H719" s="33" t="s">
        <v>20</v>
      </c>
      <c r="I719" s="33" t="s">
        <v>57</v>
      </c>
      <c r="J719" s="33" t="s">
        <v>28</v>
      </c>
      <c r="K719" s="29">
        <v>0.99305555555555558</v>
      </c>
      <c r="L719" s="29">
        <v>0.99791666666666667</v>
      </c>
      <c r="M719" s="35">
        <f t="shared" ca="1" si="160"/>
        <v>4.8611111111110938E-3</v>
      </c>
      <c r="N719" s="27"/>
      <c r="O719" s="60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62" t="s">
        <v>259</v>
      </c>
      <c r="F720" s="27">
        <v>22</v>
      </c>
      <c r="G720" s="28">
        <f t="shared" si="159"/>
        <v>92.4</v>
      </c>
      <c r="H720" s="26" t="s">
        <v>20</v>
      </c>
      <c r="I720" s="26" t="s">
        <v>52</v>
      </c>
      <c r="J720" s="26" t="s">
        <v>28</v>
      </c>
      <c r="K720" s="29">
        <v>1.3888888888888889E-3</v>
      </c>
      <c r="L720" s="29">
        <v>1.1805555555555555E-2</v>
      </c>
      <c r="M720" s="30">
        <f t="shared" ca="1" si="160"/>
        <v>1.0416666666666666E-2</v>
      </c>
      <c r="N720" s="27"/>
      <c r="O720" s="60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62" t="s">
        <v>259</v>
      </c>
      <c r="F721" s="27">
        <v>8</v>
      </c>
      <c r="G721" s="34">
        <f t="shared" si="159"/>
        <v>33.6</v>
      </c>
      <c r="H721" s="33" t="s">
        <v>20</v>
      </c>
      <c r="I721" s="33" t="s">
        <v>52</v>
      </c>
      <c r="J721" s="33" t="s">
        <v>62</v>
      </c>
      <c r="K721" s="29">
        <v>9.6527777777777782E-2</v>
      </c>
      <c r="L721" s="29">
        <v>0.1</v>
      </c>
      <c r="M721" s="35">
        <f t="shared" ca="1" si="160"/>
        <v>3.4722222222222238E-3</v>
      </c>
      <c r="N721" s="27"/>
      <c r="O721" s="60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62" t="s">
        <v>259</v>
      </c>
      <c r="F722" s="27">
        <v>14</v>
      </c>
      <c r="G722" s="28">
        <f t="shared" si="159"/>
        <v>58.800000000000004</v>
      </c>
      <c r="H722" s="26" t="s">
        <v>20</v>
      </c>
      <c r="I722" s="26" t="s">
        <v>139</v>
      </c>
      <c r="J722" s="26" t="s">
        <v>74</v>
      </c>
      <c r="K722" s="29">
        <v>0.18055555555555555</v>
      </c>
      <c r="L722" s="29">
        <v>0.19097222222222221</v>
      </c>
      <c r="M722" s="30">
        <f t="shared" ca="1" si="160"/>
        <v>1.0416666666666657E-2</v>
      </c>
      <c r="N722" s="27"/>
      <c r="O722" s="60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62" t="s">
        <v>259</v>
      </c>
      <c r="F723" s="27">
        <v>20</v>
      </c>
      <c r="G723" s="34">
        <f t="shared" si="159"/>
        <v>84</v>
      </c>
      <c r="H723" s="33" t="s">
        <v>19</v>
      </c>
      <c r="I723" s="33" t="s">
        <v>52</v>
      </c>
      <c r="J723" s="33" t="s">
        <v>27</v>
      </c>
      <c r="K723" s="29">
        <v>0.2013888888888889</v>
      </c>
      <c r="L723" s="29">
        <v>0.21527777777777779</v>
      </c>
      <c r="M723" s="35">
        <f t="shared" ca="1" si="160"/>
        <v>1.3888888888888895E-2</v>
      </c>
      <c r="N723" s="27" t="s">
        <v>423</v>
      </c>
      <c r="O723" s="60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62" t="s">
        <v>259</v>
      </c>
      <c r="F724" s="27">
        <v>7</v>
      </c>
      <c r="G724" s="28">
        <f t="shared" si="159"/>
        <v>29.400000000000002</v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62" t="s">
        <v>232</v>
      </c>
      <c r="F725" s="27">
        <v>28</v>
      </c>
      <c r="G725" s="34">
        <f t="shared" si="159"/>
        <v>140</v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62" t="s">
        <v>232</v>
      </c>
      <c r="F726" s="27">
        <v>11</v>
      </c>
      <c r="G726" s="28">
        <f t="shared" si="159"/>
        <v>55</v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62" t="s">
        <v>232</v>
      </c>
      <c r="F727" s="27">
        <v>10</v>
      </c>
      <c r="G727" s="34">
        <f t="shared" si="159"/>
        <v>50</v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62" t="s">
        <v>259</v>
      </c>
      <c r="F728" s="27">
        <v>5</v>
      </c>
      <c r="G728" s="28">
        <f t="shared" si="159"/>
        <v>21</v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3" t="s">
        <v>236</v>
      </c>
      <c r="B729" s="104"/>
      <c r="C729" s="104"/>
      <c r="D729" s="104"/>
      <c r="E729" s="105">
        <f>SUM(E717:E728)</f>
        <v>0</v>
      </c>
      <c r="F729" s="36">
        <f>SUM(F717:F728)</f>
        <v>172</v>
      </c>
      <c r="G729" s="36">
        <f>SUM(G717:G728)</f>
        <v>764.8</v>
      </c>
      <c r="H729" s="37"/>
      <c r="I729" s="37"/>
      <c r="J729" s="37"/>
      <c r="K729" s="61"/>
      <c r="L729" s="61"/>
      <c r="M729" s="38">
        <f ca="1">IFERROR(SUM(M717:M728),"")</f>
        <v>7.2916666666666546E-2</v>
      </c>
      <c r="N729" s="36" t="s">
        <v>235</v>
      </c>
      <c r="O729" s="39">
        <v>852470</v>
      </c>
    </row>
    <row r="730" spans="1:15" ht="18" customHeight="1">
      <c r="A730" s="106" t="s">
        <v>237</v>
      </c>
      <c r="B730" s="107"/>
      <c r="C730" s="107"/>
      <c r="D730" s="107"/>
      <c r="E730" s="108">
        <f>E716+E729</f>
        <v>0</v>
      </c>
      <c r="F730" s="40">
        <f>F716+F729</f>
        <v>304</v>
      </c>
      <c r="G730" s="40">
        <f>G716+G729</f>
        <v>1319.2</v>
      </c>
      <c r="H730" s="41"/>
      <c r="I730" s="41"/>
      <c r="J730" s="41"/>
      <c r="K730" s="63"/>
      <c r="L730" s="63"/>
      <c r="M730" s="42">
        <f ca="1">IFERROR(M716+M729,"")</f>
        <v>0.27916666666666656</v>
      </c>
      <c r="N730" s="40" t="s">
        <v>238</v>
      </c>
      <c r="O730" s="48">
        <f>IFERROR(O716+O729,"")</f>
        <v>1465730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30</v>
      </c>
      <c r="E731" s="62" t="s">
        <v>259</v>
      </c>
      <c r="F731" s="27">
        <v>15</v>
      </c>
      <c r="G731" s="34">
        <f t="shared" ref="G731:G742" si="162">IF(F731="","",IF(E731="PC 17",F731*4.2,IF(E731="PC 19",F731*5,"")))</f>
        <v>63</v>
      </c>
      <c r="H731" s="33" t="s">
        <v>20</v>
      </c>
      <c r="I731" s="33" t="s">
        <v>153</v>
      </c>
      <c r="J731" s="33" t="s">
        <v>192</v>
      </c>
      <c r="K731" s="29">
        <v>0.30555555555555558</v>
      </c>
      <c r="L731" s="29">
        <v>0.31319444444444444</v>
      </c>
      <c r="M731" s="35">
        <f t="shared" ref="M731:M742" ca="1" si="163">IFERROR(IF(K731="","",IF(L731="",MOD(NOW()-K731,1),IF(L731&gt;=K731,L731-K731,L731+1-K731))),"")</f>
        <v>7.6388888888888618E-3</v>
      </c>
      <c r="N731" s="27"/>
      <c r="O731" s="60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30</v>
      </c>
      <c r="E732" s="59" t="s">
        <v>259</v>
      </c>
      <c r="F732" s="27">
        <v>10</v>
      </c>
      <c r="G732" s="28">
        <f t="shared" si="162"/>
        <v>42</v>
      </c>
      <c r="H732" s="26" t="s">
        <v>20</v>
      </c>
      <c r="I732" s="26" t="s">
        <v>52</v>
      </c>
      <c r="J732" s="26" t="s">
        <v>56</v>
      </c>
      <c r="K732" s="29">
        <v>0.33611111111111114</v>
      </c>
      <c r="L732" s="29">
        <v>0.3576388888888889</v>
      </c>
      <c r="M732" s="30">
        <f t="shared" ca="1" si="163"/>
        <v>2.1527777777777757E-2</v>
      </c>
      <c r="N732" s="27" t="s">
        <v>424</v>
      </c>
      <c r="O732" s="60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30</v>
      </c>
      <c r="E733" s="62" t="s">
        <v>259</v>
      </c>
      <c r="F733" s="27">
        <v>6</v>
      </c>
      <c r="G733" s="34">
        <f t="shared" si="162"/>
        <v>25.200000000000003</v>
      </c>
      <c r="H733" s="33" t="s">
        <v>19</v>
      </c>
      <c r="I733" s="33" t="s">
        <v>57</v>
      </c>
      <c r="J733" s="33" t="s">
        <v>27</v>
      </c>
      <c r="K733" s="29">
        <v>0.33611111111111114</v>
      </c>
      <c r="L733" s="29">
        <v>0.3576388888888889</v>
      </c>
      <c r="M733" s="35">
        <f t="shared" ca="1" si="163"/>
        <v>2.1527777777777757E-2</v>
      </c>
      <c r="N733" s="27"/>
      <c r="O733" s="60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30</v>
      </c>
      <c r="E734" s="59" t="s">
        <v>259</v>
      </c>
      <c r="F734" s="27">
        <v>16</v>
      </c>
      <c r="G734" s="28">
        <f t="shared" si="162"/>
        <v>67.2</v>
      </c>
      <c r="H734" s="26" t="s">
        <v>18</v>
      </c>
      <c r="I734" s="26" t="s">
        <v>127</v>
      </c>
      <c r="J734" s="26" t="s">
        <v>164</v>
      </c>
      <c r="K734" s="29">
        <v>0.42708333333333331</v>
      </c>
      <c r="L734" s="29">
        <v>0.4513888888888889</v>
      </c>
      <c r="M734" s="30">
        <f t="shared" ca="1" si="163"/>
        <v>2.430555555555558E-2</v>
      </c>
      <c r="N734" s="27" t="s">
        <v>425</v>
      </c>
      <c r="O734" s="60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30</v>
      </c>
      <c r="E735" s="62" t="s">
        <v>259</v>
      </c>
      <c r="F735" s="27">
        <v>14</v>
      </c>
      <c r="G735" s="34">
        <f t="shared" si="162"/>
        <v>58.800000000000004</v>
      </c>
      <c r="H735" s="33" t="s">
        <v>20</v>
      </c>
      <c r="I735" s="33" t="s">
        <v>155</v>
      </c>
      <c r="J735" s="33" t="s">
        <v>74</v>
      </c>
      <c r="K735" s="29">
        <v>0.49305555555555558</v>
      </c>
      <c r="L735" s="29">
        <v>0.47152777777777777</v>
      </c>
      <c r="M735" s="35">
        <f t="shared" ca="1" si="163"/>
        <v>0.97847222222222219</v>
      </c>
      <c r="N735" s="27"/>
      <c r="O735" s="60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30</v>
      </c>
      <c r="E736" s="59" t="s">
        <v>259</v>
      </c>
      <c r="F736" s="27">
        <v>0</v>
      </c>
      <c r="G736" s="28">
        <f t="shared" si="162"/>
        <v>0</v>
      </c>
      <c r="H736" s="26" t="s">
        <v>19</v>
      </c>
      <c r="I736" s="26" t="s">
        <v>52</v>
      </c>
      <c r="J736" s="26" t="s">
        <v>27</v>
      </c>
      <c r="K736" s="29">
        <v>0.6069444444444444</v>
      </c>
      <c r="L736" s="29">
        <v>0.61875000000000002</v>
      </c>
      <c r="M736" s="30">
        <f t="shared" ca="1" si="163"/>
        <v>1.1805555555555625E-2</v>
      </c>
      <c r="N736" s="27"/>
      <c r="O736" s="60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30</v>
      </c>
      <c r="E737" s="62" t="s">
        <v>259</v>
      </c>
      <c r="F737" s="27">
        <v>26</v>
      </c>
      <c r="G737" s="34">
        <f t="shared" si="162"/>
        <v>109.2</v>
      </c>
      <c r="H737" s="33" t="s">
        <v>20</v>
      </c>
      <c r="I737" s="33" t="s">
        <v>57</v>
      </c>
      <c r="J737" s="33" t="s">
        <v>132</v>
      </c>
      <c r="K737" s="29">
        <v>0.70694444444444449</v>
      </c>
      <c r="L737" s="29">
        <v>0.71805555555555556</v>
      </c>
      <c r="M737" s="35">
        <f t="shared" ca="1" si="163"/>
        <v>1.1111111111111072E-2</v>
      </c>
      <c r="N737" s="27"/>
      <c r="O737" s="60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30</v>
      </c>
      <c r="E738" s="59" t="s">
        <v>259</v>
      </c>
      <c r="F738" s="27">
        <v>25</v>
      </c>
      <c r="G738" s="28">
        <f t="shared" si="162"/>
        <v>105</v>
      </c>
      <c r="H738" s="26" t="s">
        <v>20</v>
      </c>
      <c r="I738" s="26" t="s">
        <v>150</v>
      </c>
      <c r="J738" s="26" t="s">
        <v>180</v>
      </c>
      <c r="K738" s="29">
        <v>0.71388888888888891</v>
      </c>
      <c r="L738" s="29">
        <v>0.74097222222222225</v>
      </c>
      <c r="M738" s="30">
        <f t="shared" ca="1" si="163"/>
        <v>2.7083333333333348E-2</v>
      </c>
      <c r="N738" s="27"/>
      <c r="O738" s="60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30</v>
      </c>
      <c r="E739" s="62" t="s">
        <v>259</v>
      </c>
      <c r="F739" s="27">
        <v>27</v>
      </c>
      <c r="G739" s="34">
        <f t="shared" si="162"/>
        <v>113.4</v>
      </c>
      <c r="H739" s="33" t="s">
        <v>19</v>
      </c>
      <c r="I739" s="33" t="s">
        <v>57</v>
      </c>
      <c r="J739" s="33" t="s">
        <v>27</v>
      </c>
      <c r="K739" s="29">
        <v>0.71805555555555556</v>
      </c>
      <c r="L739" s="29">
        <v>0.72291666666666665</v>
      </c>
      <c r="M739" s="35">
        <f t="shared" ca="1" si="163"/>
        <v>4.8611111111110938E-3</v>
      </c>
      <c r="N739" s="27"/>
      <c r="O739" s="60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30</v>
      </c>
      <c r="E740" s="59" t="s">
        <v>259</v>
      </c>
      <c r="F740" s="27">
        <v>5</v>
      </c>
      <c r="G740" s="28">
        <f t="shared" si="162"/>
        <v>21</v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30</v>
      </c>
      <c r="E741" s="62" t="s">
        <v>259</v>
      </c>
      <c r="F741" s="27">
        <v>5</v>
      </c>
      <c r="G741" s="34">
        <f t="shared" si="162"/>
        <v>21</v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30</v>
      </c>
      <c r="E742" s="59" t="s">
        <v>259</v>
      </c>
      <c r="F742" s="27">
        <v>8</v>
      </c>
      <c r="G742" s="28">
        <f t="shared" si="162"/>
        <v>33.6</v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3" t="s">
        <v>234</v>
      </c>
      <c r="B743" s="104"/>
      <c r="C743" s="104"/>
      <c r="D743" s="104"/>
      <c r="E743" s="105">
        <f>SUM(E731:E742)</f>
        <v>0</v>
      </c>
      <c r="F743" s="36">
        <f>SUM(F731:F742)</f>
        <v>157</v>
      </c>
      <c r="G743" s="36">
        <f>SUM(G731:G742)</f>
        <v>659.4</v>
      </c>
      <c r="H743" s="37"/>
      <c r="I743" s="37"/>
      <c r="J743" s="37"/>
      <c r="K743" s="61"/>
      <c r="L743" s="61"/>
      <c r="M743" s="38">
        <f ca="1">IFERROR(SUM(M731:M742),"")</f>
        <v>1.1083333333333334</v>
      </c>
      <c r="N743" s="36" t="s">
        <v>235</v>
      </c>
      <c r="O743" s="39">
        <v>635080</v>
      </c>
    </row>
    <row r="744" spans="1:15" ht="15" customHeight="1">
      <c r="A744" s="68">
        <v>46231</v>
      </c>
      <c r="B744" s="25">
        <v>0.83333333333333304</v>
      </c>
      <c r="C744" s="26" t="s">
        <v>21</v>
      </c>
      <c r="D744" s="59" t="s">
        <v>30</v>
      </c>
      <c r="E744" s="59" t="s">
        <v>259</v>
      </c>
      <c r="F744" s="27">
        <v>24</v>
      </c>
      <c r="G744" s="28">
        <f t="shared" ref="G744:G755" si="165">IF(F744="","",IF(E744="PC 17",F744*4.2,IF(E744="PC 19",F744*5,"")))</f>
        <v>100.80000000000001</v>
      </c>
      <c r="H744" s="26" t="s">
        <v>17</v>
      </c>
      <c r="I744" s="26"/>
      <c r="J744" s="26" t="s">
        <v>25</v>
      </c>
      <c r="K744" s="29">
        <v>0.88888888888888884</v>
      </c>
      <c r="L744" s="29">
        <v>0.92708333333333337</v>
      </c>
      <c r="M744" s="30">
        <f t="shared" ref="M744:M755" ca="1" si="166">IFERROR(IF(K744="","",IF(L744="",MOD(NOW()-K744,1),IF(L744&gt;=K744,L744-K744,L744+1-K744))),"")</f>
        <v>3.8194444444444531E-2</v>
      </c>
      <c r="N744" s="27"/>
      <c r="O744" s="60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26" t="s">
        <v>21</v>
      </c>
      <c r="D745" s="59" t="s">
        <v>30</v>
      </c>
      <c r="E745" s="59" t="s">
        <v>259</v>
      </c>
      <c r="F745" s="27">
        <v>17</v>
      </c>
      <c r="G745" s="34">
        <f t="shared" si="165"/>
        <v>71.400000000000006</v>
      </c>
      <c r="H745" s="33" t="s">
        <v>20</v>
      </c>
      <c r="I745" s="33" t="s">
        <v>139</v>
      </c>
      <c r="J745" s="33" t="s">
        <v>205</v>
      </c>
      <c r="K745" s="29">
        <v>0.92708333333333337</v>
      </c>
      <c r="L745" s="29">
        <v>0.93333333333333335</v>
      </c>
      <c r="M745" s="35">
        <f t="shared" ca="1" si="166"/>
        <v>6.2499999999999778E-3</v>
      </c>
      <c r="N745" s="27"/>
      <c r="O745" s="60"/>
    </row>
    <row r="746" spans="1:15" ht="15" customHeight="1">
      <c r="A746" s="68">
        <v>46231</v>
      </c>
      <c r="B746" s="25">
        <f t="shared" si="167"/>
        <v>0.9166666666666663</v>
      </c>
      <c r="C746" s="26" t="s">
        <v>21</v>
      </c>
      <c r="D746" s="59" t="s">
        <v>30</v>
      </c>
      <c r="E746" s="59" t="s">
        <v>259</v>
      </c>
      <c r="F746" s="27">
        <v>9</v>
      </c>
      <c r="G746" s="28">
        <f t="shared" si="165"/>
        <v>37.800000000000004</v>
      </c>
      <c r="H746" s="26" t="s">
        <v>19</v>
      </c>
      <c r="I746" s="26" t="s">
        <v>160</v>
      </c>
      <c r="J746" s="33" t="s">
        <v>27</v>
      </c>
      <c r="K746" s="29">
        <v>4.8611111111111112E-2</v>
      </c>
      <c r="L746" s="29">
        <v>6.5972222222222224E-2</v>
      </c>
      <c r="M746" s="30">
        <f t="shared" ca="1" si="166"/>
        <v>1.7361111111111112E-2</v>
      </c>
      <c r="N746" s="27"/>
      <c r="O746" s="60"/>
    </row>
    <row r="747" spans="1:15" ht="15" customHeight="1">
      <c r="A747" s="69">
        <v>46231</v>
      </c>
      <c r="B747" s="32">
        <f t="shared" si="167"/>
        <v>0.95833333333333293</v>
      </c>
      <c r="C747" s="26" t="s">
        <v>21</v>
      </c>
      <c r="D747" s="59" t="s">
        <v>30</v>
      </c>
      <c r="E747" s="59" t="s">
        <v>259</v>
      </c>
      <c r="F747" s="27">
        <v>8</v>
      </c>
      <c r="G747" s="34">
        <f t="shared" si="165"/>
        <v>33.6</v>
      </c>
      <c r="H747" s="33" t="s">
        <v>20</v>
      </c>
      <c r="I747" s="33" t="s">
        <v>139</v>
      </c>
      <c r="J747" s="33" t="s">
        <v>205</v>
      </c>
      <c r="K747" s="29">
        <v>6.5972222222222224E-2</v>
      </c>
      <c r="L747" s="29">
        <v>8.0555555555555561E-2</v>
      </c>
      <c r="M747" s="35">
        <f t="shared" ca="1" si="166"/>
        <v>1.4583333333333337E-2</v>
      </c>
      <c r="N747" s="27"/>
      <c r="O747" s="60"/>
    </row>
    <row r="748" spans="1:15" ht="15" customHeight="1">
      <c r="A748" s="68">
        <v>46231</v>
      </c>
      <c r="B748" s="25">
        <f t="shared" si="167"/>
        <v>0.99999999999999956</v>
      </c>
      <c r="C748" s="26" t="s">
        <v>21</v>
      </c>
      <c r="D748" s="59" t="s">
        <v>30</v>
      </c>
      <c r="E748" s="59" t="s">
        <v>259</v>
      </c>
      <c r="F748" s="27">
        <v>13</v>
      </c>
      <c r="G748" s="28">
        <f t="shared" si="165"/>
        <v>54.6</v>
      </c>
      <c r="H748" s="26" t="s">
        <v>17</v>
      </c>
      <c r="I748" s="26"/>
      <c r="J748" s="26" t="s">
        <v>25</v>
      </c>
      <c r="K748" s="29">
        <v>0.11805555555555555</v>
      </c>
      <c r="L748" s="29">
        <v>0.1388888888888889</v>
      </c>
      <c r="M748" s="30">
        <f t="shared" ca="1" si="166"/>
        <v>2.0833333333333343E-2</v>
      </c>
      <c r="N748" s="27"/>
      <c r="O748" s="60"/>
    </row>
    <row r="749" spans="1:15" ht="15" customHeight="1">
      <c r="A749" s="69">
        <v>46231</v>
      </c>
      <c r="B749" s="32">
        <f t="shared" si="167"/>
        <v>1.0416666666666663</v>
      </c>
      <c r="C749" s="26" t="s">
        <v>21</v>
      </c>
      <c r="D749" s="59" t="s">
        <v>30</v>
      </c>
      <c r="E749" s="59" t="s">
        <v>259</v>
      </c>
      <c r="F749" s="27">
        <v>21</v>
      </c>
      <c r="G749" s="34">
        <f t="shared" si="165"/>
        <v>88.2</v>
      </c>
      <c r="H749" s="33" t="s">
        <v>16</v>
      </c>
      <c r="I749" s="33"/>
      <c r="J749" s="33" t="s">
        <v>86</v>
      </c>
      <c r="K749" s="29">
        <v>0.22222222222222221</v>
      </c>
      <c r="L749" s="29">
        <v>0.29166666666666669</v>
      </c>
      <c r="M749" s="35">
        <f t="shared" ca="1" si="166"/>
        <v>6.9444444444444475E-2</v>
      </c>
      <c r="N749" s="27"/>
      <c r="O749" s="60"/>
    </row>
    <row r="750" spans="1:15" ht="15" customHeight="1">
      <c r="A750" s="68">
        <v>46231</v>
      </c>
      <c r="B750" s="25">
        <f t="shared" si="167"/>
        <v>1.083333333333333</v>
      </c>
      <c r="C750" s="26" t="s">
        <v>21</v>
      </c>
      <c r="D750" s="59" t="s">
        <v>30</v>
      </c>
      <c r="E750" s="59" t="s">
        <v>259</v>
      </c>
      <c r="F750" s="27">
        <v>1</v>
      </c>
      <c r="G750" s="28">
        <f t="shared" si="165"/>
        <v>4.2</v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46231</v>
      </c>
      <c r="B751" s="32">
        <f t="shared" si="167"/>
        <v>1.1249999999999998</v>
      </c>
      <c r="C751" s="26" t="s">
        <v>21</v>
      </c>
      <c r="D751" s="59" t="s">
        <v>30</v>
      </c>
      <c r="E751" s="59" t="s">
        <v>259</v>
      </c>
      <c r="F751" s="27">
        <v>6</v>
      </c>
      <c r="G751" s="34">
        <f t="shared" si="165"/>
        <v>25.200000000000003</v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46231</v>
      </c>
      <c r="B752" s="25">
        <f t="shared" si="167"/>
        <v>1.1666666666666665</v>
      </c>
      <c r="C752" s="26" t="s">
        <v>21</v>
      </c>
      <c r="D752" s="59" t="s">
        <v>30</v>
      </c>
      <c r="E752" s="59" t="s">
        <v>259</v>
      </c>
      <c r="F752" s="27">
        <v>10</v>
      </c>
      <c r="G752" s="28">
        <f t="shared" si="165"/>
        <v>42</v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46231</v>
      </c>
      <c r="B753" s="32">
        <f t="shared" si="167"/>
        <v>1.2083333333333333</v>
      </c>
      <c r="C753" s="26" t="s">
        <v>21</v>
      </c>
      <c r="D753" s="59" t="s">
        <v>30</v>
      </c>
      <c r="E753" s="59" t="s">
        <v>259</v>
      </c>
      <c r="F753" s="27">
        <v>0</v>
      </c>
      <c r="G753" s="34">
        <f t="shared" si="165"/>
        <v>0</v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46231</v>
      </c>
      <c r="B754" s="25">
        <f t="shared" si="167"/>
        <v>1.25</v>
      </c>
      <c r="C754" s="26" t="s">
        <v>21</v>
      </c>
      <c r="D754" s="59" t="s">
        <v>30</v>
      </c>
      <c r="E754" s="59" t="s">
        <v>259</v>
      </c>
      <c r="F754" s="27">
        <v>0</v>
      </c>
      <c r="G754" s="28">
        <f t="shared" si="165"/>
        <v>0</v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46231</v>
      </c>
      <c r="B755" s="32">
        <f t="shared" si="167"/>
        <v>1.2916666666666667</v>
      </c>
      <c r="C755" s="26" t="s">
        <v>21</v>
      </c>
      <c r="D755" s="59" t="s">
        <v>30</v>
      </c>
      <c r="E755" s="59" t="s">
        <v>259</v>
      </c>
      <c r="F755" s="27">
        <v>0</v>
      </c>
      <c r="G755" s="34">
        <f t="shared" si="165"/>
        <v>0</v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3" t="s">
        <v>236</v>
      </c>
      <c r="B756" s="104"/>
      <c r="C756" s="104"/>
      <c r="D756" s="104"/>
      <c r="E756" s="105">
        <f>SUM(E744:E755)</f>
        <v>0</v>
      </c>
      <c r="F756" s="36">
        <f>SUM(F744:F755)</f>
        <v>109</v>
      </c>
      <c r="G756" s="36">
        <f>SUM(G744:G755)</f>
        <v>457.8</v>
      </c>
      <c r="H756" s="37"/>
      <c r="I756" s="37"/>
      <c r="J756" s="37"/>
      <c r="K756" s="61"/>
      <c r="L756" s="61"/>
      <c r="M756" s="38">
        <f ca="1">IFERROR(SUM(M744:M755),"")</f>
        <v>0.16666666666666677</v>
      </c>
      <c r="N756" s="36" t="s">
        <v>235</v>
      </c>
      <c r="O756" s="39">
        <v>545970</v>
      </c>
    </row>
    <row r="757" spans="1:15" ht="18" customHeight="1">
      <c r="A757" s="106" t="s">
        <v>237</v>
      </c>
      <c r="B757" s="107"/>
      <c r="C757" s="107"/>
      <c r="D757" s="107"/>
      <c r="E757" s="108">
        <f>E743+E756</f>
        <v>0</v>
      </c>
      <c r="F757" s="40">
        <f>F743+F756</f>
        <v>266</v>
      </c>
      <c r="G757" s="40">
        <f>G743+G756</f>
        <v>1117.2</v>
      </c>
      <c r="H757" s="41"/>
      <c r="I757" s="41"/>
      <c r="J757" s="41"/>
      <c r="K757" s="63"/>
      <c r="L757" s="63"/>
      <c r="M757" s="42">
        <f ca="1">IFERROR(M743+M756,"")</f>
        <v>1.2750000000000001</v>
      </c>
      <c r="N757" s="40" t="s">
        <v>238</v>
      </c>
      <c r="O757" s="48">
        <f>IFERROR(O743+O756,"")</f>
        <v>1181050</v>
      </c>
    </row>
    <row r="758" spans="1:15" ht="15" customHeight="1">
      <c r="A758" s="68">
        <v>46232</v>
      </c>
      <c r="B758" s="25">
        <v>0.33333333333333298</v>
      </c>
      <c r="C758" s="26" t="s">
        <v>29</v>
      </c>
      <c r="D758" s="59" t="s">
        <v>30</v>
      </c>
      <c r="E758" s="59"/>
      <c r="F758" s="27">
        <v>0</v>
      </c>
      <c r="G758" s="28" t="str">
        <f t="shared" ref="G758:G769" si="168">IF(F758="","",IF(E758="PC 17",F758*4.2,IF(E758="PC 19",F758*5,"")))</f>
        <v/>
      </c>
      <c r="H758" s="26" t="s">
        <v>16</v>
      </c>
      <c r="I758" s="26"/>
      <c r="J758" s="26" t="s">
        <v>86</v>
      </c>
      <c r="K758" s="29">
        <v>0.29166666666666669</v>
      </c>
      <c r="L758" s="29">
        <v>0.72916666666666663</v>
      </c>
      <c r="M758" s="30">
        <f t="shared" ref="M758:M769" ca="1" si="169">IFERROR(IF(K758="","",IF(L758="",MOD(NOW()-K758,1),IF(L758&gt;=K758,L758-K758,L758+1-K758))),"")</f>
        <v>0.43749999999999994</v>
      </c>
      <c r="N758" s="27"/>
      <c r="O758" s="60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26" t="s">
        <v>29</v>
      </c>
      <c r="D759" s="59" t="s">
        <v>30</v>
      </c>
      <c r="E759" s="62"/>
      <c r="F759" s="27">
        <v>0</v>
      </c>
      <c r="G759" s="34" t="str">
        <f t="shared" si="168"/>
        <v/>
      </c>
      <c r="H759" s="33" t="s">
        <v>17</v>
      </c>
      <c r="I759" s="33"/>
      <c r="J759" s="33" t="s">
        <v>86</v>
      </c>
      <c r="K759" s="29">
        <v>0.73541666666666672</v>
      </c>
      <c r="L759" s="29">
        <v>0.76041666666666663</v>
      </c>
      <c r="M759" s="35">
        <f t="shared" ca="1" si="169"/>
        <v>2.4999999999999911E-2</v>
      </c>
      <c r="N759" s="27" t="s">
        <v>339</v>
      </c>
      <c r="O759" s="60"/>
    </row>
    <row r="760" spans="1:15" ht="15" customHeight="1">
      <c r="A760" s="68">
        <v>46232</v>
      </c>
      <c r="B760" s="25">
        <f t="shared" si="170"/>
        <v>0.41666666666666635</v>
      </c>
      <c r="C760" s="26" t="s">
        <v>29</v>
      </c>
      <c r="D760" s="59" t="s">
        <v>30</v>
      </c>
      <c r="E760" s="59"/>
      <c r="F760" s="27">
        <v>0</v>
      </c>
      <c r="G760" s="28" t="str">
        <f t="shared" si="168"/>
        <v/>
      </c>
      <c r="H760" s="26" t="s">
        <v>17</v>
      </c>
      <c r="I760" s="26"/>
      <c r="J760" s="26" t="s">
        <v>25</v>
      </c>
      <c r="K760" s="29">
        <v>0.76458333333333328</v>
      </c>
      <c r="L760" s="29">
        <v>0.76597222222222228</v>
      </c>
      <c r="M760" s="30">
        <f t="shared" ca="1" si="169"/>
        <v>1.388888888888995E-3</v>
      </c>
      <c r="N760" s="27"/>
      <c r="O760" s="60"/>
    </row>
    <row r="761" spans="1:15" ht="15" customHeight="1">
      <c r="A761" s="69">
        <v>46232</v>
      </c>
      <c r="B761" s="32">
        <f t="shared" si="170"/>
        <v>0.45833333333333304</v>
      </c>
      <c r="C761" s="26" t="s">
        <v>29</v>
      </c>
      <c r="D761" s="59" t="s">
        <v>30</v>
      </c>
      <c r="E761" s="62"/>
      <c r="F761" s="27">
        <v>0</v>
      </c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46232</v>
      </c>
      <c r="B762" s="25">
        <f t="shared" si="170"/>
        <v>0.49999999999999972</v>
      </c>
      <c r="C762" s="26" t="s">
        <v>29</v>
      </c>
      <c r="D762" s="59" t="s">
        <v>30</v>
      </c>
      <c r="E762" s="59"/>
      <c r="F762" s="27">
        <v>0</v>
      </c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46232</v>
      </c>
      <c r="B763" s="32">
        <f t="shared" si="170"/>
        <v>0.54166666666666641</v>
      </c>
      <c r="C763" s="26" t="s">
        <v>29</v>
      </c>
      <c r="D763" s="59" t="s">
        <v>30</v>
      </c>
      <c r="E763" s="62"/>
      <c r="F763" s="27">
        <v>0</v>
      </c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46232</v>
      </c>
      <c r="B764" s="25">
        <f t="shared" si="170"/>
        <v>0.58333333333333304</v>
      </c>
      <c r="C764" s="26" t="s">
        <v>29</v>
      </c>
      <c r="D764" s="59" t="s">
        <v>30</v>
      </c>
      <c r="E764" s="59"/>
      <c r="F764" s="27">
        <v>0</v>
      </c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46232</v>
      </c>
      <c r="B765" s="32">
        <f t="shared" si="170"/>
        <v>0.62499999999999967</v>
      </c>
      <c r="C765" s="26" t="s">
        <v>29</v>
      </c>
      <c r="D765" s="59" t="s">
        <v>30</v>
      </c>
      <c r="E765" s="62"/>
      <c r="F765" s="27">
        <v>0</v>
      </c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46232</v>
      </c>
      <c r="B766" s="25">
        <f t="shared" si="170"/>
        <v>0.6666666666666663</v>
      </c>
      <c r="C766" s="26" t="s">
        <v>29</v>
      </c>
      <c r="D766" s="59" t="s">
        <v>30</v>
      </c>
      <c r="E766" s="59"/>
      <c r="F766" s="27">
        <v>0</v>
      </c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46232</v>
      </c>
      <c r="B767" s="32">
        <f t="shared" si="170"/>
        <v>0.70833333333333293</v>
      </c>
      <c r="C767" s="26" t="s">
        <v>29</v>
      </c>
      <c r="D767" s="59" t="s">
        <v>30</v>
      </c>
      <c r="E767" s="62"/>
      <c r="F767" s="27">
        <v>0</v>
      </c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46232</v>
      </c>
      <c r="B768" s="25">
        <f t="shared" si="170"/>
        <v>0.74999999999999956</v>
      </c>
      <c r="C768" s="26" t="s">
        <v>29</v>
      </c>
      <c r="D768" s="59" t="s">
        <v>30</v>
      </c>
      <c r="E768" s="59" t="s">
        <v>259</v>
      </c>
      <c r="F768" s="27">
        <v>5</v>
      </c>
      <c r="G768" s="28">
        <f t="shared" si="168"/>
        <v>21</v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46232</v>
      </c>
      <c r="B769" s="32">
        <f t="shared" si="170"/>
        <v>0.79166666666666619</v>
      </c>
      <c r="C769" s="26" t="s">
        <v>29</v>
      </c>
      <c r="D769" s="59" t="s">
        <v>30</v>
      </c>
      <c r="E769" s="62" t="s">
        <v>259</v>
      </c>
      <c r="F769" s="27">
        <v>3</v>
      </c>
      <c r="G769" s="34">
        <f t="shared" si="168"/>
        <v>12.600000000000001</v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3" t="s">
        <v>234</v>
      </c>
      <c r="B770" s="104"/>
      <c r="C770" s="104"/>
      <c r="D770" s="104"/>
      <c r="E770" s="105">
        <f>SUM(E758:E769)</f>
        <v>0</v>
      </c>
      <c r="F770" s="36">
        <f>SUM(F758:F769)</f>
        <v>8</v>
      </c>
      <c r="G770" s="36">
        <f>SUM(G758:G769)</f>
        <v>33.6</v>
      </c>
      <c r="H770" s="37"/>
      <c r="I770" s="37"/>
      <c r="J770" s="37"/>
      <c r="K770" s="61"/>
      <c r="L770" s="61"/>
      <c r="M770" s="38">
        <f ca="1">IFERROR(SUM(M758:M769),"")</f>
        <v>0.46388888888888885</v>
      </c>
      <c r="N770" s="36" t="s">
        <v>235</v>
      </c>
      <c r="O770" s="39">
        <v>39360</v>
      </c>
    </row>
    <row r="771" spans="1:15" ht="15" customHeight="1">
      <c r="A771" s="69">
        <v>46232</v>
      </c>
      <c r="B771" s="32">
        <v>0.83333333333333304</v>
      </c>
      <c r="C771" s="33" t="s">
        <v>21</v>
      </c>
      <c r="D771" s="62" t="s">
        <v>22</v>
      </c>
      <c r="E771" s="62" t="s">
        <v>259</v>
      </c>
      <c r="F771" s="27">
        <v>30</v>
      </c>
      <c r="G771" s="34">
        <f t="shared" ref="G771:G782" si="171">IF(F771="","",IF(E771="PC 17",F771*4.2,IF(E771="PC 19",F771*5,"")))</f>
        <v>126</v>
      </c>
      <c r="H771" s="33" t="s">
        <v>18</v>
      </c>
      <c r="I771" s="33" t="s">
        <v>57</v>
      </c>
      <c r="J771" s="33" t="s">
        <v>154</v>
      </c>
      <c r="K771" s="29">
        <v>0.97222222222222221</v>
      </c>
      <c r="L771" s="29">
        <v>3.472222222222222E-3</v>
      </c>
      <c r="M771" s="35">
        <f t="shared" ref="M771:M782" ca="1" si="172">IFERROR(IF(K771="","",IF(L771="",MOD(NOW()-K771,1),IF(L771&gt;=K771,L771-K771,L771+1-K771))),"")</f>
        <v>3.1250000000000111E-2</v>
      </c>
      <c r="N771" s="27" t="s">
        <v>422</v>
      </c>
      <c r="O771" s="60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33" t="s">
        <v>21</v>
      </c>
      <c r="D772" s="62" t="s">
        <v>22</v>
      </c>
      <c r="E772" s="62" t="s">
        <v>232</v>
      </c>
      <c r="F772" s="27">
        <v>12</v>
      </c>
      <c r="G772" s="28">
        <f t="shared" si="171"/>
        <v>60</v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46232</v>
      </c>
      <c r="B773" s="32">
        <f t="shared" si="173"/>
        <v>0.9166666666666663</v>
      </c>
      <c r="C773" s="33" t="s">
        <v>21</v>
      </c>
      <c r="D773" s="62" t="s">
        <v>22</v>
      </c>
      <c r="E773" s="62" t="s">
        <v>259</v>
      </c>
      <c r="F773" s="27">
        <v>25</v>
      </c>
      <c r="G773" s="34">
        <f t="shared" si="171"/>
        <v>105</v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46232</v>
      </c>
      <c r="B774" s="25">
        <f t="shared" si="173"/>
        <v>0.95833333333333293</v>
      </c>
      <c r="C774" s="33" t="s">
        <v>21</v>
      </c>
      <c r="D774" s="62" t="s">
        <v>22</v>
      </c>
      <c r="E774" s="62" t="s">
        <v>259</v>
      </c>
      <c r="F774" s="27">
        <v>24</v>
      </c>
      <c r="G774" s="28">
        <f t="shared" si="171"/>
        <v>100.80000000000001</v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46232</v>
      </c>
      <c r="B775" s="32">
        <f t="shared" si="173"/>
        <v>0.99999999999999956</v>
      </c>
      <c r="C775" s="33" t="s">
        <v>21</v>
      </c>
      <c r="D775" s="62" t="s">
        <v>22</v>
      </c>
      <c r="E775" s="62" t="s">
        <v>259</v>
      </c>
      <c r="F775" s="27">
        <v>6</v>
      </c>
      <c r="G775" s="34">
        <f t="shared" si="171"/>
        <v>25.200000000000003</v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46232</v>
      </c>
      <c r="B776" s="25">
        <f t="shared" si="173"/>
        <v>1.0416666666666663</v>
      </c>
      <c r="C776" s="33" t="s">
        <v>21</v>
      </c>
      <c r="D776" s="62" t="s">
        <v>22</v>
      </c>
      <c r="E776" s="62" t="s">
        <v>259</v>
      </c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46232</v>
      </c>
      <c r="B777" s="32">
        <f t="shared" si="173"/>
        <v>1.083333333333333</v>
      </c>
      <c r="C777" s="33" t="s">
        <v>21</v>
      </c>
      <c r="D777" s="62" t="s">
        <v>22</v>
      </c>
      <c r="E777" s="62" t="s">
        <v>259</v>
      </c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46232</v>
      </c>
      <c r="B778" s="25">
        <f t="shared" si="173"/>
        <v>1.1249999999999998</v>
      </c>
      <c r="C778" s="33" t="s">
        <v>21</v>
      </c>
      <c r="D778" s="62" t="s">
        <v>22</v>
      </c>
      <c r="E778" s="62" t="s">
        <v>259</v>
      </c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46232</v>
      </c>
      <c r="B779" s="32">
        <f t="shared" si="173"/>
        <v>1.1666666666666665</v>
      </c>
      <c r="C779" s="33" t="s">
        <v>21</v>
      </c>
      <c r="D779" s="62" t="s">
        <v>22</v>
      </c>
      <c r="E779" s="62" t="s">
        <v>259</v>
      </c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46232</v>
      </c>
      <c r="B780" s="25">
        <f t="shared" si="173"/>
        <v>1.2083333333333333</v>
      </c>
      <c r="C780" s="33" t="s">
        <v>21</v>
      </c>
      <c r="D780" s="62" t="s">
        <v>22</v>
      </c>
      <c r="E780" s="62" t="s">
        <v>259</v>
      </c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46232</v>
      </c>
      <c r="B781" s="32">
        <f t="shared" si="173"/>
        <v>1.25</v>
      </c>
      <c r="C781" s="33" t="s">
        <v>21</v>
      </c>
      <c r="D781" s="62" t="s">
        <v>22</v>
      </c>
      <c r="E781" s="62" t="s">
        <v>259</v>
      </c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46232</v>
      </c>
      <c r="B782" s="25">
        <f t="shared" si="173"/>
        <v>1.2916666666666667</v>
      </c>
      <c r="C782" s="33" t="s">
        <v>21</v>
      </c>
      <c r="D782" s="62" t="s">
        <v>22</v>
      </c>
      <c r="E782" s="62" t="s">
        <v>259</v>
      </c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3" t="s">
        <v>236</v>
      </c>
      <c r="B783" s="104"/>
      <c r="C783" s="104"/>
      <c r="D783" s="104"/>
      <c r="E783" s="105">
        <f>SUM(E771:E782)</f>
        <v>0</v>
      </c>
      <c r="F783" s="36">
        <f>SUM(F771:F782)</f>
        <v>97</v>
      </c>
      <c r="G783" s="36">
        <f>SUM(G771:G782)</f>
        <v>417</v>
      </c>
      <c r="H783" s="37"/>
      <c r="I783" s="37"/>
      <c r="J783" s="37"/>
      <c r="K783" s="61"/>
      <c r="L783" s="61"/>
      <c r="M783" s="38">
        <f ca="1">IFERROR(SUM(M771:M782),"")</f>
        <v>3.1250000000000111E-2</v>
      </c>
      <c r="N783" s="36" t="s">
        <v>235</v>
      </c>
      <c r="O783" s="39"/>
    </row>
    <row r="784" spans="1:15" ht="18" customHeight="1">
      <c r="A784" s="106" t="s">
        <v>237</v>
      </c>
      <c r="B784" s="107"/>
      <c r="C784" s="107"/>
      <c r="D784" s="107"/>
      <c r="E784" s="108">
        <f>E770+E783</f>
        <v>0</v>
      </c>
      <c r="F784" s="40">
        <f>F770+F783</f>
        <v>105</v>
      </c>
      <c r="G784" s="40">
        <f>G770+G783</f>
        <v>450.6</v>
      </c>
      <c r="H784" s="41"/>
      <c r="I784" s="41"/>
      <c r="J784" s="41"/>
      <c r="K784" s="63"/>
      <c r="L784" s="63"/>
      <c r="M784" s="42">
        <f ca="1">IFERROR(M770+M783,"")</f>
        <v>0.49513888888888896</v>
      </c>
      <c r="N784" s="40" t="s">
        <v>238</v>
      </c>
      <c r="O784" s="48">
        <f>IFERROR(O770+O783,"")</f>
        <v>39360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3" t="s">
        <v>234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235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3" t="s">
        <v>236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106" t="s">
        <v>237</v>
      </c>
      <c r="B811" s="107"/>
      <c r="C811" s="107"/>
      <c r="D811" s="107"/>
      <c r="E811" s="10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238</v>
      </c>
      <c r="O811" s="43">
        <f>IFERROR(O797+O810,"")</f>
        <v>0</v>
      </c>
    </row>
  </sheetData>
  <mergeCells count="89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449 E451:E586 E588:E680 E682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60A38338-7112-4F45-BCE1-49C5EC8DDAF1}"/>
</file>

<file path=customXml/itemProps2.xml><?xml version="1.0" encoding="utf-8"?>
<ds:datastoreItem xmlns:ds="http://schemas.openxmlformats.org/officeDocument/2006/customXml" ds:itemID="{288F5DF9-2BBC-43A5-A79A-7C7087BA3892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2026-07-30T04:28:30Z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