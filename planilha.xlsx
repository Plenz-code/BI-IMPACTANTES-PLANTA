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74" documentId="8_{AF585B22-221D-4780-BB9C-493D365A6A02}" xr6:coauthVersionLast="47" xr6:coauthVersionMax="47" xr10:uidLastSave="{0757548D-826E-4478-B617-3B1CB4460BBD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<sst xmlns="http://schemas.openxmlformats.org/spreadsheetml/2006/main" count="9837" uniqueCount="385">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</sst>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2" sqref="F6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 t="shared" si="141"/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30</v>
      </c>
      <c r="G641" s="34">
        <f t="shared" si="141"/>
        <v>150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164</v>
      </c>
      <c r="G648" s="36">
        <f>SUM(G636:G647)</f>
        <v>820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497</v>
      </c>
      <c r="G649" s="40">
        <f>G635+G648</f>
        <v>2485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J638" sqref="J6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0.80245104166533565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0.96008993055422454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1.0698121527764468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0.78092326389014488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0.95175659722347827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1.0968954861123672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/>
      <c r="M638" s="30">
        <f t="shared" ca="1" si="142"/>
        <v>2.1201041665335651E-2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97</v>
      </c>
      <c r="G648" s="36">
        <f>SUM(G636:G647)</f>
        <v>407.40000000000003</v>
      </c>
      <c r="H648" s="37"/>
      <c r="I648" s="37"/>
      <c r="J648" s="37"/>
      <c r="K648" s="37"/>
      <c r="L648" s="37"/>
      <c r="M648" s="38">
        <f ca="1">IFERROR(SUM(M636:M647),"")</f>
        <v>4.481215277644679E-2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190</v>
      </c>
      <c r="G649" s="40">
        <f>G635+G648</f>
        <v>798</v>
      </c>
      <c r="H649" s="41"/>
      <c r="I649" s="41"/>
      <c r="J649" s="41"/>
      <c r="K649" s="41"/>
      <c r="L649" s="41"/>
      <c r="M649" s="42">
        <f ca="1">IFERROR(M635+M648,"")</f>
        <v>1.0205065972208911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16" zoomScale="50" zoomScaleNormal="50" workbookViewId="0">
      <selection activeCell="F642" sqref="F6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/>
      <c r="M636" s="30">
        <f t="shared" ref="M636:M647" ca="1" si="142">IFERROR(IF(K636="","",IF(L636="",MOD(NOW()-K636,1),IF(L636&gt;=K636,L636-K636,L636+1-K636))),"")</f>
        <v>2.1201041665335651E-2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55</v>
      </c>
      <c r="G648" s="36">
        <f>SUM(G636:G647)</f>
        <v>231</v>
      </c>
      <c r="H648" s="37"/>
      <c r="I648" s="37"/>
      <c r="J648" s="37"/>
      <c r="K648" s="37"/>
      <c r="L648" s="37"/>
      <c r="M648" s="38">
        <f ca="1">IFERROR(SUM(M636:M647),"")</f>
        <v>2.1201041665335651E-2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201</v>
      </c>
      <c r="G649" s="40">
        <f>G635+G648</f>
        <v>844.19999999999993</v>
      </c>
      <c r="H649" s="41"/>
      <c r="I649" s="41"/>
      <c r="J649" s="41"/>
      <c r="K649" s="41"/>
      <c r="L649" s="41"/>
      <c r="M649" s="42">
        <f ca="1">IFERROR(M635+M648,"")</f>
        <v>2.6756597220891187E-2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J643" sqref="J6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0.79272881944780238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0.992034375003358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1.359395486114469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/>
      <c r="M637" s="35">
        <f t="shared" ca="1" si="142"/>
        <v>4.4117708333942574E-2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12</v>
      </c>
      <c r="G648" s="36">
        <f>SUM(G636:G647)</f>
        <v>50.400000000000006</v>
      </c>
      <c r="H648" s="37"/>
      <c r="I648" s="37"/>
      <c r="J648" s="37"/>
      <c r="K648" s="61"/>
      <c r="L648" s="61"/>
      <c r="M648" s="38">
        <f ca="1">IFERROR(SUM(M636:M647),"")</f>
        <v>0.21911770833394262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98</v>
      </c>
      <c r="G649" s="40">
        <f>G635+G648</f>
        <v>411.6</v>
      </c>
      <c r="H649" s="41"/>
      <c r="I649" s="41"/>
      <c r="J649" s="41"/>
      <c r="K649" s="63"/>
      <c r="L649" s="63"/>
      <c r="M649" s="42">
        <f ca="1">IFERROR(M635+M648,"")</f>
        <v>0.3955065972228316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2026-07-25T05:00:33Z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