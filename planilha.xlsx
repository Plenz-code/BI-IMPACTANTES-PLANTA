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26" documentId="13_ncr:1_{0A10D8D4-8450-4366-8075-B53B08E6B7EA}" xr6:coauthVersionLast="47" xr6:coauthVersionMax="47" xr10:uidLastSave="{CEABD8FA-FE0F-4407-AE85-029DAB237749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4" i="4"/>
  <c r="J434" i="4" s="1"/>
  <c r="H435" i="4"/>
  <c r="J435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10" i="4" l="1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K406" i="4" l="1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<sst xmlns="http://schemas.openxmlformats.org/spreadsheetml/2006/main" count="7507" uniqueCount="361">
  <si>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</si>
  <si>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</si>
  <si>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</si>
  <si>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</si>
  <si>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</si>
  <si>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</si>
  <si>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</si>
  <si>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</si>
  <si>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</si>
  <si>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</si>
  <si>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</si>
  <si>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</si>
  <si>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</si>
  <si>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</si>
  <si>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</si>
  <si>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</si>
  <si>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</si>
  <si>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</si>
  <si>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</si>
  <si>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</si>
  <si>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</si>
  <si>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</si>
  <si>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</si>
  <si>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</si>
  <si>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</si>
  <si>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</si>
  <si>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</si>
  <si>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</si>
  <si>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</si>
  <si>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</si>
  <si>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</si>
  <si>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</si>
  <si>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</si>
  <si>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</si>
  <si>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</si>
  <si>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</si>
  <si>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</si>
  <si>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</si>
  <si>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</si>
  <si>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</si>
  <si>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</si>
  <si>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</si>
  <si>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</si>
  <si>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</si>
  <si>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</si>
  <si>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</si>
  <si>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</si>
  <si>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</si>
  <si>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</si>
  <si>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</si>
  <si>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</si>
  <si>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</si>
  <si>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</si>
  <si>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</si>
  <si>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</si>
  <si>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</si>
  <si>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</si>
  <si>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</si>
  <si>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</si>
  <si>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</si>
  <si>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</si>
  <si>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</si>
  <si>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</si>
  <si>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</si>
  <si>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</si>
  <si>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</si>
  <si>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</si>
  <si>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</si>
  <si>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</si>
  <si>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</si>
  <si>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</si>
  <si>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</si>
  <si>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</si>
  <si>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</si>
  <si>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</si>
  <si>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</si>
  <si>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</si>
  <si>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</si>
  <si>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</si>
  <si>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</si>
  <si>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</si>
  <si>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</si>
  <si>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</si>
  <si>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</si>
  <si>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</si>
  <si>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</si>
  <si>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</si>
  <si>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</si>
  <si>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</si>
  <si>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</si>
  <si>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</si>
  <si>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</si>
  <si>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</si>
  <si>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</si>
  <si>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</si>
  <si>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</si>
  <si>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</si>
  <si>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</si>
  <si>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</si>
  <si>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</si>
  <si>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</si>
  <si>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</si>
  <si>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</si>
  <si>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</si>
  <si>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</si>
  <si>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</si>
  <si>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</si>
  <si>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</si>
  <si>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</si>
  <si>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</si>
  <si>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</si>
  <si>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</si>
  <si>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</si>
  <si>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</si>
  <si>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</si>
  <si>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</si>
  <si>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</si>
  <si>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</si>
  <si>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</si>
  <si>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</si>
  <si>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</si>
  <si>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</si>
  <si>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</si>
  <si>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</si>
  <si>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</si>
  <si>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</si>
  <si>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</si>
  <si>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</si>
  <si>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</si>
  <si>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</si>
  <si>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</si>
  <si>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</si>
  <si>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</si>
  <si>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</si>
  <si>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</si>
  <si>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</si>
  <si>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</si>
  <si>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</si>
  <si>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</si>
  <si>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</si>
  <si>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</si>
  <si>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</si>
  <si>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</si>
  <si>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</si>
  <si>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</si>
  <si>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</si>
  <si>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</si>
  <si>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</si>
  <si>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</si>
  <si>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</si>
  <si>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</si>
  <si>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</si>
  <si>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</si>
  <si>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</si>
  <si>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</si>
  <si>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</si>
  <si>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</si>
  <si>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</si>
  <si>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</si>
  <si>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</si>
  <si>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</si>
  <si>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</si>
  <si>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</si>
  <si>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</si>
  <si>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</si>
  <si>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</si>
  <si>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</si>
  <si>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</si>
  <si>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</si>
  <si>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</si>
  <si>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</si>
  <si>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</si>
  <si>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</si>
  <si>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</si>
  <si>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</si>
  <si>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</si>
  <si>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</si>
  <si>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</si>
  <si>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</si>
  <si>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</si>
  <si>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</si>
  <si>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</si>
  <si>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</si>
  <si>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</si>
  <si>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</si>
  <si>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</si>
  <si>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</si>
  <si>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</si>
  <si>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</si>
  <si>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</si>
  <si>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</si>
  <si>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</si>
  <si>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</si>
  <si>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</si>
  <si>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</si>
  <si>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</si>
  <si>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</si>
  <si>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</si>
  <si>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</si>
  <si>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</si>
  <si>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</si>
  <si>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</si>
  <si>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</si>
  <si>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</si>
  <si>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</si>
  <si>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</si>
  <si>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</si>
  <si>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</si>
  <si>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</si>
  <si>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</si>
  <si>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</si>
  <si>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</si>
  <si>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</si>
  <si>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</si>
  <si>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</si>
  <si>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</si>
  <si>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</si>
  <si>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</si>
  <si>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</si>
  <si>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</si>
  <si>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</si>
  <si>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</si>
  <si>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</si>
  <si>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</si>
  <si>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</si>
  <si>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</si>
  <si>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</si>
  <si>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</si>
  <si>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</si>
  <si>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</si>
  <si>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</si>
  <si>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</si>
  <si>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</si>
  <si>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</si>
  <si>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</si>
  <si>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</si>
  <si>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</si>
  <si>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</si>
  <si>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</si>
  <si>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</si>
  <si>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</si>
  <si>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</si>
  <si>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</si>
  <si>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</si>
  <si>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</si>
  <si>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</si>
  <si>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</si>
  <si>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</si>
  <si>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</si>
  <si>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</si>
  <si>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</si>
  <si>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</si>
  <si>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</si>
  <si>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</si>
  <si>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</si>
  <si>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</si>
  <si>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</si>
  <si>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</si>
  <si>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</si>
  <si>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</si>
  <si>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</si>
  <si>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</si>
  <si>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</si>
  <si>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</si>
  <si>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</si>
  <si>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</si>
  <si>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</si>
  <si>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</si>
  <si>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</si>
  <si>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</si>
  <si>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</si>
  <si>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</si>
  <si>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</si>
  <si>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>solda no queixo</t>
  </si>
  <si>
    <t>baixa produtividade,ajustar nivel da caixa de polpa</t>
  </si>
  <si>
    <t>sem material no estoque</t>
  </si>
  <si>
    <t>troca de martelo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</si>
  <si>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</si>
  <si>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</si>
  <si>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</si>
  <si>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</si>
  <si>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</si>
  <si>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</si>
  <si>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</si>
  <si>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alimentação baixa, centrifugas dos moinhos de bola desarmando</t>
  </si>
  <si>
    <t>troca de martelo e solda na grelha</t>
  </si>
  <si>
    <t>reajuste na grelhas</t>
  </si>
  <si>
    <t>desobstrucao nos bicos do hidrociclone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</si>
  <si>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</si>
  <si>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</si>
  <si>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</si>
  <si>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</si>
  <si>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</si>
  <si>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</t>
  </si>
  <si>
    <t>manutenção na bomba,troca de martelo mm3</t>
  </si>
  <si>
    <t>arrebentou correia</t>
  </si>
  <si>
    <t>ajuste nas grelhas</t>
  </si>
  <si>
    <t>parado pra faze um sevico na polia da bomba</t>
  </si>
  <si>
    <t>E TROCA DE MARTELO</t>
  </si>
  <si>
    <t>lubrificação do mm3, reposição de grelha</t>
  </si>
  <si>
    <t xml:space="preserve">e teve que troca balata </t>
  </si>
  <si>
    <t>o revestimento da bica ta soltando</t>
  </si>
  <si>
    <t>a borracha do revestimento da bica soltou de novo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</si>
  <si>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</si>
  <si>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</si>
  <si>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</si>
  <si>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</si>
  <si>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</si>
  <si>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</si>
  <si>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</si>
  <si>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</si>
  <si>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</si>
  <si>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</si>
  <si>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</si>
  <si>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</si>
  <si>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alimentacao baixa centrifuda do moinho de bola desamando toda hora</t>
  </si>
  <si>
    <t>desosbtrucao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</si>
  <si>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</si>
  <si>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</si>
  <si>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</si>
  <si>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</si>
  <si>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</si>
  <si>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</si>
  <si>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troca de martelo,operando com mm1</t>
  </si>
  <si>
    <t xml:space="preserve">forramento do mm2 </t>
  </si>
  <si>
    <t>lubrificação nos rolamentos do mm1 e 2</t>
  </si>
  <si>
    <t>troca de martelo mm1 e 2 , reposição de grelha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</si>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</sst>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 x14ac:dyDescent="0.25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 x14ac:dyDescent="0.25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 x14ac:dyDescent="0.25">
      <c r="M2" s="170"/>
    </row>
    <row r="3" spans="1:18" ht="26.1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70"/>
      <c r="N58" s="16"/>
      <c r="O58" s="16"/>
      <c r="P58" s="16" t="s">
        <v>216</v>
      </c>
      <c r="Q58" s="16"/>
      <c r="R58" s="16"/>
    </row>
    <row r="59" spans="1:18" ht="15" customHeight="1" x14ac:dyDescent="0.25">
      <c r="M59" s="170"/>
      <c r="N59" s="17"/>
      <c r="O59" s="17"/>
      <c r="P59" s="17" t="s">
        <v>217</v>
      </c>
      <c r="Q59" s="17"/>
      <c r="R59" s="17"/>
    </row>
    <row r="60" spans="1:18" ht="15" customHeight="1" x14ac:dyDescent="0.25">
      <c r="M60" s="170"/>
      <c r="N60" s="16"/>
      <c r="O60" s="16"/>
      <c r="P60" s="77" t="s">
        <v>112</v>
      </c>
      <c r="Q60" s="16"/>
      <c r="R60" s="16"/>
    </row>
    <row r="61" spans="1:18" ht="15" customHeight="1" x14ac:dyDescent="0.25">
      <c r="M61" s="170"/>
      <c r="N61" s="17"/>
      <c r="O61" s="17"/>
      <c r="P61" s="17" t="s">
        <v>218</v>
      </c>
      <c r="Q61" s="17"/>
      <c r="R61" s="17"/>
    </row>
    <row r="62" spans="1:18" ht="15" customHeight="1" x14ac:dyDescent="0.25">
      <c r="M62" s="170"/>
      <c r="N62" s="16"/>
      <c r="O62" s="16"/>
      <c r="P62" s="16" t="s">
        <v>219</v>
      </c>
      <c r="Q62" s="16"/>
      <c r="R62" s="16"/>
    </row>
    <row r="63" spans="1:18" ht="15" customHeight="1" x14ac:dyDescent="0.25">
      <c r="M63" s="170"/>
      <c r="N63" s="17"/>
      <c r="O63" s="17"/>
      <c r="P63" s="17" t="s">
        <v>220</v>
      </c>
      <c r="Q63" s="17"/>
      <c r="R63" s="17"/>
    </row>
    <row r="64" spans="1:18" ht="15" customHeight="1" x14ac:dyDescent="0.25">
      <c r="M64" s="170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70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70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70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70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70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70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70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70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70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70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70"/>
      <c r="N75" s="17"/>
      <c r="O75" s="17"/>
      <c r="P75" s="17" t="s">
        <v>232</v>
      </c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9" activePane="bottomLeft" state="frozen"/>
      <selection sqref="A1:G409"/>
      <selection pane="bottomLeft" activeCell="F440" sqref="F440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9" t="s">
        <v>244</v>
      </c>
      <c r="B14" s="160"/>
      <c r="C14" s="160"/>
      <c r="D14" s="160"/>
      <c r="E14" s="17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9" t="s">
        <v>247</v>
      </c>
      <c r="B27" s="160"/>
      <c r="C27" s="160"/>
      <c r="D27" s="160"/>
      <c r="E27" s="17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61" t="s">
        <v>248</v>
      </c>
      <c r="B28" s="162"/>
      <c r="C28" s="162"/>
      <c r="D28" s="162"/>
      <c r="E28" s="17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9" t="s">
        <v>244</v>
      </c>
      <c r="B41" s="160"/>
      <c r="C41" s="160"/>
      <c r="D41" s="160"/>
      <c r="E41" s="17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9" t="s">
        <v>247</v>
      </c>
      <c r="B54" s="160"/>
      <c r="C54" s="160"/>
      <c r="D54" s="160"/>
      <c r="E54" s="17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61" t="s">
        <v>248</v>
      </c>
      <c r="B55" s="162"/>
      <c r="C55" s="162"/>
      <c r="D55" s="162"/>
      <c r="E55" s="17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9" t="s">
        <v>244</v>
      </c>
      <c r="B68" s="160"/>
      <c r="C68" s="160"/>
      <c r="D68" s="160"/>
      <c r="E68" s="17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9" t="s">
        <v>247</v>
      </c>
      <c r="B81" s="160"/>
      <c r="C81" s="160"/>
      <c r="D81" s="160"/>
      <c r="E81" s="17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61" t="s">
        <v>248</v>
      </c>
      <c r="B82" s="162"/>
      <c r="C82" s="162"/>
      <c r="D82" s="162"/>
      <c r="E82" s="17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9" t="s">
        <v>244</v>
      </c>
      <c r="B95" s="160"/>
      <c r="C95" s="160"/>
      <c r="D95" s="160"/>
      <c r="E95" s="17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9" t="s">
        <v>247</v>
      </c>
      <c r="B108" s="160"/>
      <c r="C108" s="160"/>
      <c r="D108" s="160"/>
      <c r="E108" s="17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61" t="s">
        <v>248</v>
      </c>
      <c r="B109" s="162"/>
      <c r="C109" s="162"/>
      <c r="D109" s="162"/>
      <c r="E109" s="17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9" t="s">
        <v>244</v>
      </c>
      <c r="B122" s="160"/>
      <c r="C122" s="160"/>
      <c r="D122" s="160"/>
      <c r="E122" s="17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9" t="s">
        <v>247</v>
      </c>
      <c r="B135" s="160"/>
      <c r="C135" s="160"/>
      <c r="D135" s="160"/>
      <c r="E135" s="17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61" t="s">
        <v>248</v>
      </c>
      <c r="B136" s="162"/>
      <c r="C136" s="162"/>
      <c r="D136" s="162"/>
      <c r="E136" s="17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9" t="s">
        <v>244</v>
      </c>
      <c r="B149" s="160"/>
      <c r="C149" s="160"/>
      <c r="D149" s="160"/>
      <c r="E149" s="17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9" t="s">
        <v>247</v>
      </c>
      <c r="B162" s="160"/>
      <c r="C162" s="160"/>
      <c r="D162" s="160"/>
      <c r="E162" s="17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61" t="s">
        <v>248</v>
      </c>
      <c r="B163" s="162"/>
      <c r="C163" s="162"/>
      <c r="D163" s="162"/>
      <c r="E163" s="17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9" t="s">
        <v>244</v>
      </c>
      <c r="B176" s="160"/>
      <c r="C176" s="160"/>
      <c r="D176" s="160"/>
      <c r="E176" s="17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9" t="s">
        <v>247</v>
      </c>
      <c r="B189" s="160"/>
      <c r="C189" s="160"/>
      <c r="D189" s="160"/>
      <c r="E189" s="17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61" t="s">
        <v>248</v>
      </c>
      <c r="B190" s="162"/>
      <c r="C190" s="162"/>
      <c r="D190" s="162"/>
      <c r="E190" s="17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9" t="s">
        <v>244</v>
      </c>
      <c r="B203" s="160"/>
      <c r="C203" s="160"/>
      <c r="D203" s="160"/>
      <c r="E203" s="17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9" t="s">
        <v>247</v>
      </c>
      <c r="B216" s="160"/>
      <c r="C216" s="160"/>
      <c r="D216" s="160"/>
      <c r="E216" s="17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61" t="s">
        <v>248</v>
      </c>
      <c r="B217" s="162"/>
      <c r="C217" s="162"/>
      <c r="D217" s="162"/>
      <c r="E217" s="17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3" t="s">
        <v>244</v>
      </c>
      <c r="B230" s="164"/>
      <c r="C230" s="164"/>
      <c r="D230" s="164"/>
      <c r="E230" s="17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9" t="s">
        <v>247</v>
      </c>
      <c r="B243" s="160"/>
      <c r="C243" s="160"/>
      <c r="D243" s="160"/>
      <c r="E243" s="17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61" t="s">
        <v>248</v>
      </c>
      <c r="B244" s="162"/>
      <c r="C244" s="162"/>
      <c r="D244" s="162"/>
      <c r="E244" s="17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9" t="s">
        <v>244</v>
      </c>
      <c r="B257" s="160"/>
      <c r="C257" s="160"/>
      <c r="D257" s="160"/>
      <c r="E257" s="17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9" t="s">
        <v>247</v>
      </c>
      <c r="B270" s="160"/>
      <c r="C270" s="160"/>
      <c r="D270" s="160"/>
      <c r="E270" s="17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61" t="s">
        <v>248</v>
      </c>
      <c r="B271" s="162"/>
      <c r="C271" s="162"/>
      <c r="D271" s="162"/>
      <c r="E271" s="17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9" t="s">
        <v>244</v>
      </c>
      <c r="B284" s="160"/>
      <c r="C284" s="160"/>
      <c r="D284" s="160"/>
      <c r="E284" s="17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9" t="s">
        <v>247</v>
      </c>
      <c r="B297" s="160"/>
      <c r="C297" s="160"/>
      <c r="D297" s="160"/>
      <c r="E297" s="17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61" t="s">
        <v>248</v>
      </c>
      <c r="B298" s="162"/>
      <c r="C298" s="162"/>
      <c r="D298" s="162"/>
      <c r="E298" s="17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9" t="s">
        <v>244</v>
      </c>
      <c r="B311" s="160"/>
      <c r="C311" s="160"/>
      <c r="D311" s="160"/>
      <c r="E311" s="17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9" t="s">
        <v>247</v>
      </c>
      <c r="B324" s="160"/>
      <c r="C324" s="160"/>
      <c r="D324" s="160"/>
      <c r="E324" s="17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61" t="s">
        <v>248</v>
      </c>
      <c r="B325" s="162"/>
      <c r="C325" s="162"/>
      <c r="D325" s="162"/>
      <c r="E325" s="17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9" t="s">
        <v>244</v>
      </c>
      <c r="B338" s="160"/>
      <c r="C338" s="160"/>
      <c r="D338" s="160"/>
      <c r="E338" s="17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9" t="s">
        <v>247</v>
      </c>
      <c r="B351" s="160"/>
      <c r="C351" s="160"/>
      <c r="D351" s="160"/>
      <c r="E351" s="17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61" t="s">
        <v>248</v>
      </c>
      <c r="B352" s="162"/>
      <c r="C352" s="162"/>
      <c r="D352" s="162"/>
      <c r="E352" s="176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9" t="s">
        <v>244</v>
      </c>
      <c r="B365" s="160"/>
      <c r="C365" s="160"/>
      <c r="D365" s="160"/>
      <c r="E365" s="17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9" t="s">
        <v>247</v>
      </c>
      <c r="B378" s="160"/>
      <c r="C378" s="160"/>
      <c r="D378" s="160"/>
      <c r="E378" s="17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61" t="s">
        <v>248</v>
      </c>
      <c r="B379" s="162"/>
      <c r="C379" s="162"/>
      <c r="D379" s="162"/>
      <c r="E379" s="176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9" t="s">
        <v>244</v>
      </c>
      <c r="B392" s="160"/>
      <c r="C392" s="160"/>
      <c r="D392" s="160"/>
      <c r="E392" s="177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9" t="s">
        <v>247</v>
      </c>
      <c r="B405" s="160"/>
      <c r="C405" s="160"/>
      <c r="D405" s="160"/>
      <c r="E405" s="177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25">
      <c r="A406" s="161" t="s">
        <v>248</v>
      </c>
      <c r="B406" s="162"/>
      <c r="C406" s="162"/>
      <c r="D406" s="162"/>
      <c r="E406" s="176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9" t="s">
        <v>244</v>
      </c>
      <c r="B419" s="160"/>
      <c r="C419" s="160"/>
      <c r="D419" s="160"/>
      <c r="E419" s="177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9" t="s">
        <v>247</v>
      </c>
      <c r="B432" s="160"/>
      <c r="C432" s="160"/>
      <c r="D432" s="160"/>
      <c r="E432" s="177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 x14ac:dyDescent="0.25">
      <c r="A433" s="161" t="s">
        <v>248</v>
      </c>
      <c r="B433" s="162"/>
      <c r="C433" s="162"/>
      <c r="D433" s="162"/>
      <c r="E433" s="176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9" t="s">
        <v>244</v>
      </c>
      <c r="B446" s="160"/>
      <c r="C446" s="160"/>
      <c r="D446" s="160"/>
      <c r="E446" s="17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9" t="s">
        <v>247</v>
      </c>
      <c r="B459" s="160"/>
      <c r="C459" s="160"/>
      <c r="D459" s="160"/>
      <c r="E459" s="17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61" t="s">
        <v>248</v>
      </c>
      <c r="B460" s="162"/>
      <c r="C460" s="162"/>
      <c r="D460" s="162"/>
      <c r="E460" s="17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9" t="s">
        <v>244</v>
      </c>
      <c r="B473" s="160"/>
      <c r="C473" s="160"/>
      <c r="D473" s="160"/>
      <c r="E473" s="17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9" t="s">
        <v>247</v>
      </c>
      <c r="B486" s="160"/>
      <c r="C486" s="160"/>
      <c r="D486" s="160"/>
      <c r="E486" s="17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61" t="s">
        <v>248</v>
      </c>
      <c r="B487" s="162"/>
      <c r="C487" s="162"/>
      <c r="D487" s="162"/>
      <c r="E487" s="17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9" t="s">
        <v>244</v>
      </c>
      <c r="B500" s="160"/>
      <c r="C500" s="160"/>
      <c r="D500" s="160"/>
      <c r="E500" s="17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9" t="s">
        <v>247</v>
      </c>
      <c r="B513" s="160"/>
      <c r="C513" s="160"/>
      <c r="D513" s="160"/>
      <c r="E513" s="17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61" t="s">
        <v>248</v>
      </c>
      <c r="B514" s="162"/>
      <c r="C514" s="162"/>
      <c r="D514" s="162"/>
      <c r="E514" s="17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9" t="s">
        <v>244</v>
      </c>
      <c r="B527" s="160"/>
      <c r="C527" s="160"/>
      <c r="D527" s="160"/>
      <c r="E527" s="17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9" t="s">
        <v>247</v>
      </c>
      <c r="B540" s="160"/>
      <c r="C540" s="160"/>
      <c r="D540" s="160"/>
      <c r="E540" s="17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61" t="s">
        <v>248</v>
      </c>
      <c r="B541" s="162"/>
      <c r="C541" s="162"/>
      <c r="D541" s="162"/>
      <c r="E541" s="17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9" t="s">
        <v>244</v>
      </c>
      <c r="B554" s="160"/>
      <c r="C554" s="160"/>
      <c r="D554" s="160"/>
      <c r="E554" s="17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9" t="s">
        <v>247</v>
      </c>
      <c r="B567" s="160"/>
      <c r="C567" s="160"/>
      <c r="D567" s="160"/>
      <c r="E567" s="17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61" t="s">
        <v>248</v>
      </c>
      <c r="B568" s="162"/>
      <c r="C568" s="162"/>
      <c r="D568" s="162"/>
      <c r="E568" s="17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9" t="s">
        <v>244</v>
      </c>
      <c r="B581" s="160"/>
      <c r="C581" s="160"/>
      <c r="D581" s="160"/>
      <c r="E581" s="17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9" t="s">
        <v>247</v>
      </c>
      <c r="B594" s="160"/>
      <c r="C594" s="160"/>
      <c r="D594" s="160"/>
      <c r="E594" s="17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61" t="s">
        <v>248</v>
      </c>
      <c r="B595" s="162"/>
      <c r="C595" s="162"/>
      <c r="D595" s="162"/>
      <c r="E595" s="17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9" t="s">
        <v>244</v>
      </c>
      <c r="B608" s="160"/>
      <c r="C608" s="160"/>
      <c r="D608" s="160"/>
      <c r="E608" s="17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9" t="s">
        <v>247</v>
      </c>
      <c r="B621" s="160"/>
      <c r="C621" s="160"/>
      <c r="D621" s="160"/>
      <c r="E621" s="17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61" t="s">
        <v>248</v>
      </c>
      <c r="B622" s="162"/>
      <c r="C622" s="162"/>
      <c r="D622" s="162"/>
      <c r="E622" s="17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9" t="s">
        <v>244</v>
      </c>
      <c r="B635" s="160"/>
      <c r="C635" s="160"/>
      <c r="D635" s="160"/>
      <c r="E635" s="17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9" t="s">
        <v>247</v>
      </c>
      <c r="B648" s="160"/>
      <c r="C648" s="160"/>
      <c r="D648" s="160"/>
      <c r="E648" s="17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61" t="s">
        <v>248</v>
      </c>
      <c r="B649" s="162"/>
      <c r="C649" s="162"/>
      <c r="D649" s="162"/>
      <c r="E649" s="17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9" t="s">
        <v>244</v>
      </c>
      <c r="B662" s="160"/>
      <c r="C662" s="160"/>
      <c r="D662" s="160"/>
      <c r="E662" s="17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9" t="s">
        <v>247</v>
      </c>
      <c r="B675" s="160"/>
      <c r="C675" s="160"/>
      <c r="D675" s="160"/>
      <c r="E675" s="17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61" t="s">
        <v>248</v>
      </c>
      <c r="B676" s="162"/>
      <c r="C676" s="162"/>
      <c r="D676" s="162"/>
      <c r="E676" s="17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9" t="s">
        <v>244</v>
      </c>
      <c r="B689" s="160"/>
      <c r="C689" s="160"/>
      <c r="D689" s="160"/>
      <c r="E689" s="17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9" t="s">
        <v>247</v>
      </c>
      <c r="B702" s="160"/>
      <c r="C702" s="160"/>
      <c r="D702" s="160"/>
      <c r="E702" s="17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61" t="s">
        <v>248</v>
      </c>
      <c r="B703" s="162"/>
      <c r="C703" s="162"/>
      <c r="D703" s="162"/>
      <c r="E703" s="17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9" t="s">
        <v>244</v>
      </c>
      <c r="B716" s="160"/>
      <c r="C716" s="160"/>
      <c r="D716" s="160"/>
      <c r="E716" s="17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9" t="s">
        <v>247</v>
      </c>
      <c r="B729" s="160"/>
      <c r="C729" s="160"/>
      <c r="D729" s="160"/>
      <c r="E729" s="17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61" t="s">
        <v>248</v>
      </c>
      <c r="B730" s="162"/>
      <c r="C730" s="162"/>
      <c r="D730" s="162"/>
      <c r="E730" s="17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9" t="s">
        <v>244</v>
      </c>
      <c r="B743" s="160"/>
      <c r="C743" s="160"/>
      <c r="D743" s="160"/>
      <c r="E743" s="17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9" t="s">
        <v>247</v>
      </c>
      <c r="B756" s="160"/>
      <c r="C756" s="160"/>
      <c r="D756" s="160"/>
      <c r="E756" s="17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61" t="s">
        <v>248</v>
      </c>
      <c r="B757" s="162"/>
      <c r="C757" s="162"/>
      <c r="D757" s="162"/>
      <c r="E757" s="17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9" t="s">
        <v>244</v>
      </c>
      <c r="B770" s="160"/>
      <c r="C770" s="160"/>
      <c r="D770" s="160"/>
      <c r="E770" s="17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9" t="s">
        <v>247</v>
      </c>
      <c r="B783" s="160"/>
      <c r="C783" s="160"/>
      <c r="D783" s="160"/>
      <c r="E783" s="17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61" t="s">
        <v>248</v>
      </c>
      <c r="B784" s="162"/>
      <c r="C784" s="162"/>
      <c r="D784" s="162"/>
      <c r="E784" s="17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9" t="s">
        <v>244</v>
      </c>
      <c r="B797" s="160"/>
      <c r="C797" s="160"/>
      <c r="D797" s="160"/>
      <c r="E797" s="17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9" t="s">
        <v>247</v>
      </c>
      <c r="B810" s="160"/>
      <c r="C810" s="160"/>
      <c r="D810" s="160"/>
      <c r="E810" s="17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73" t="s">
        <v>248</v>
      </c>
      <c r="B811" s="174"/>
      <c r="C811" s="174"/>
      <c r="D811" s="174"/>
      <c r="E811" s="17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9" t="s">
        <v>244</v>
      </c>
      <c r="B824" s="160"/>
      <c r="C824" s="160"/>
      <c r="D824" s="160"/>
      <c r="E824" s="17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9" t="s">
        <v>247</v>
      </c>
      <c r="B837" s="160"/>
      <c r="C837" s="160"/>
      <c r="D837" s="160"/>
      <c r="E837" s="17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61" t="s">
        <v>248</v>
      </c>
      <c r="B838" s="162"/>
      <c r="C838" s="162"/>
      <c r="D838" s="162"/>
      <c r="E838" s="17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01" activePane="bottomLeft" state="frozen"/>
      <selection sqref="A1:G409"/>
      <selection pane="bottomLeft" activeCell="G434" sqref="G434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300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301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302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303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304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305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306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0.20957881944195833</v>
      </c>
      <c r="R53" s="46" t="s">
        <v>307</v>
      </c>
      <c r="S53" s="31"/>
    </row>
    <row r="54" spans="1:20" ht="15.75" customHeight="1" thickBot="1" x14ac:dyDescent="0.3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0.34846770833084723</v>
      </c>
      <c r="R54" s="36" t="s">
        <v>245</v>
      </c>
      <c r="S54" s="75">
        <v>352430</v>
      </c>
      <c r="T54" s="117"/>
    </row>
    <row r="55" spans="1:20" ht="18" customHeight="1" x14ac:dyDescent="0.2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0.43318993055306954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300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308</v>
      </c>
      <c r="Q96" s="30" t="str">
        <f t="shared" ref="Q96:Q107" ca="1" si="22">IFERROR(IF(O96="","",IF(P96="",MOD(NOW()-O96,1),IF(P96&gt;=O96,P96-O96,P96+1-O96))),"")</f>
        <v/>
      </c>
      <c r="R96" s="46" t="s">
        <v>309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310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311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312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313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314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315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316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314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317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312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318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319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320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321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322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293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323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317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314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276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324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297</v>
      </c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325</v>
      </c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2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326</v>
      </c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4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327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2" activePane="bottomLeft" state="frozen"/>
      <selection pane="bottomLeft" activeCell="E445" sqref="E445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273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275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273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273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277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278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279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280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281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282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283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285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286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288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289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290</v>
      </c>
      <c r="Q222" s="30" t="str">
        <f t="shared" ca="1" si="49"/>
        <v/>
      </c>
      <c r="R222" s="27" t="s">
        <v>291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292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293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294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295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276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296</v>
      </c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297</v>
      </c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2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298</v>
      </c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299</v>
      </c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 x14ac:dyDescent="0.2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20" activePane="bottomLeft" state="frozen"/>
      <selection pane="bottomLeft" activeCell="E445" sqref="E44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328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305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273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329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330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331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332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333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334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273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273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335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336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273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337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338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339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341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343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344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346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347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348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349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350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351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352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353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354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355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356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297</v>
      </c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357</v>
      </c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2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358</v>
      </c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25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2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359</v>
      </c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 x14ac:dyDescent="0.25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360</v>
      </c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 x14ac:dyDescent="0.25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25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/>
      <c r="H434" s="140" t="str">
        <f>IFERROR(IF($G434="","",$G434*$S$446/$G$446/Cadastro!$E$33),"")</f>
        <v/>
      </c>
      <c r="I434" s="141">
        <f>IFERROR(IF($D434="","",VLOOKUP($D434,Cadastro!$C$4:$G$7,5,FALSE)),"")</f>
        <v>0.6</v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/>
      <c r="H435" s="134" t="str">
        <f>IFERROR(IF($G435="","",$G435*$S$446/$G$446/Cadastro!$E$33),"")</f>
        <v/>
      </c>
      <c r="I435" s="135">
        <f>IFERROR(IF($D435="","",VLOOKUP($D435,Cadastro!$C$4:$G$7,5,FALSE)),"")</f>
        <v>0.6</v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2026-08-17T11:57:07Z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