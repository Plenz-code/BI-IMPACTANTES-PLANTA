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065" documentId="8_{C51EB6CB-002B-4D6B-B68F-DDEBDB4460C0}" xr6:coauthVersionLast="47" xr6:coauthVersionMax="47" xr10:uidLastSave="{51EE8076-892E-468C-869B-98A52351869D}"/>
  <bookViews>
    <workbookView xWindow="-108" yWindow="-108" windowWidth="23256" windowHeight="12456" tabRatio="500" firstSheet="2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37" i="4" l="1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<sst xmlns="http://schemas.openxmlformats.org/spreadsheetml/2006/main" count="3460" uniqueCount="286">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</sst>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3" fontId="14" fillId="14" borderId="6" xfId="0" applyNumberFormat="1" applyFont="1" applyFill="1" applyBorder="1" applyAlignment="1" applyProtection="1">
      <alignment horizont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K18" sqref="K18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1650350</v>
      </c>
      <c r="D9" s="11">
        <f>IFERROR('Linha 1'!O163,"")</f>
        <v>533860</v>
      </c>
      <c r="E9" s="11">
        <f>IFERROR('Linha 2'!O163,"")</f>
        <v>138890</v>
      </c>
      <c r="F9" s="11">
        <f>IFERROR('Linha 3'!O163,"")</f>
        <v>797860</v>
      </c>
      <c r="G9" s="12">
        <f t="shared" si="0"/>
        <v>1470610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18357835</v>
      </c>
      <c r="D35" s="13">
        <f>IFERROR(SUM(D4:D34),"")</f>
        <v>5882160</v>
      </c>
      <c r="E35" s="13">
        <f>IFERROR(SUM(E4:E34),"")</f>
        <v>3123020</v>
      </c>
      <c r="F35" s="13">
        <f>IFERROR(SUM(F4:F34),"")</f>
        <v>7526120</v>
      </c>
      <c r="G35" s="13">
        <f>IFERROR(SUM(G4:G34),"")</f>
        <v>16531300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I20" sqref="I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3"/>
      <c r="I19" s="17" t="s">
        <v>116</v>
      </c>
      <c r="J19" s="17"/>
      <c r="K19" s="17" t="s">
        <v>117</v>
      </c>
      <c r="L19" s="17"/>
      <c r="M19" s="17" t="s">
        <v>118</v>
      </c>
    </row>
    <row r="20" spans="1:13" ht="15.75" customHeight="1">
      <c r="A20" s="16"/>
      <c r="C20" s="16"/>
      <c r="E20" s="16"/>
      <c r="G20" s="16" t="s">
        <v>119</v>
      </c>
      <c r="H20" s="113"/>
      <c r="I20" s="16"/>
      <c r="J20" s="16"/>
      <c r="K20" s="16" t="s">
        <v>120</v>
      </c>
      <c r="L20" s="16"/>
      <c r="M20" s="16" t="s">
        <v>121</v>
      </c>
    </row>
    <row r="21" spans="1:13" ht="15.75" customHeight="1">
      <c r="A21" s="17"/>
      <c r="C21" s="17"/>
      <c r="E21" s="17"/>
      <c r="G21" s="17" t="s">
        <v>122</v>
      </c>
      <c r="H21" s="113"/>
      <c r="I21" s="17"/>
      <c r="J21" s="17"/>
      <c r="K21" s="17" t="s">
        <v>123</v>
      </c>
      <c r="L21" s="17"/>
      <c r="M21" s="17" t="s">
        <v>124</v>
      </c>
    </row>
    <row r="22" spans="1:13" ht="15.75" customHeight="1">
      <c r="A22" s="16"/>
      <c r="C22" s="16"/>
      <c r="E22" s="16"/>
      <c r="G22" s="16" t="s">
        <v>125</v>
      </c>
      <c r="H22" s="113"/>
      <c r="I22" s="16"/>
      <c r="J22" s="16"/>
      <c r="K22" s="16" t="s">
        <v>126</v>
      </c>
      <c r="L22" s="16"/>
      <c r="M22" s="16" t="s">
        <v>127</v>
      </c>
    </row>
    <row r="23" spans="1:13" ht="15.75" customHeight="1">
      <c r="A23" s="17"/>
      <c r="C23" s="17"/>
      <c r="E23" s="17"/>
      <c r="G23" s="17" t="s">
        <v>128</v>
      </c>
      <c r="H23" s="113"/>
      <c r="I23" s="17"/>
      <c r="J23" s="17"/>
      <c r="K23" s="17" t="s">
        <v>129</v>
      </c>
      <c r="L23" s="17"/>
      <c r="M23" s="17" t="s">
        <v>130</v>
      </c>
    </row>
    <row r="24" spans="1:13" ht="15.75" customHeight="1">
      <c r="A24" s="16"/>
      <c r="C24" s="16"/>
      <c r="E24" s="16"/>
      <c r="G24" s="16" t="s">
        <v>131</v>
      </c>
      <c r="H24" s="113"/>
      <c r="I24" s="16"/>
      <c r="J24" s="16"/>
      <c r="K24" s="16" t="s">
        <v>132</v>
      </c>
      <c r="L24" s="16"/>
      <c r="M24" s="16" t="s">
        <v>133</v>
      </c>
    </row>
    <row r="25" spans="1:13" ht="15.75" customHeight="1">
      <c r="A25" s="17"/>
      <c r="C25" s="17"/>
      <c r="E25" s="17"/>
      <c r="G25" s="17" t="s">
        <v>134</v>
      </c>
      <c r="H25" s="113"/>
      <c r="I25" s="17"/>
      <c r="J25" s="17"/>
      <c r="K25" s="17" t="s">
        <v>135</v>
      </c>
      <c r="L25" s="17"/>
      <c r="M25" s="17" t="s">
        <v>136</v>
      </c>
    </row>
    <row r="26" spans="1:13" ht="15.75" customHeight="1">
      <c r="A26" s="16"/>
      <c r="C26" s="16"/>
      <c r="E26" s="16"/>
      <c r="G26" s="16" t="s">
        <v>137</v>
      </c>
      <c r="H26" s="113"/>
      <c r="I26" s="16"/>
      <c r="J26" s="16"/>
      <c r="K26" s="16" t="s">
        <v>138</v>
      </c>
      <c r="L26" s="16"/>
      <c r="M26" s="16"/>
    </row>
    <row r="27" spans="1:13" ht="15.75" customHeight="1">
      <c r="A27" s="17"/>
      <c r="C27" s="17"/>
      <c r="E27" s="17"/>
      <c r="G27" s="17" t="s">
        <v>139</v>
      </c>
      <c r="H27" s="113"/>
      <c r="I27" s="17"/>
      <c r="J27" s="17"/>
      <c r="K27" s="17" t="s">
        <v>130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140</v>
      </c>
      <c r="H28" s="113"/>
      <c r="I28" s="16"/>
      <c r="J28" s="16"/>
      <c r="K28" s="16" t="s">
        <v>133</v>
      </c>
      <c r="L28" s="16"/>
      <c r="M28" s="16" t="s">
        <v>141</v>
      </c>
    </row>
    <row r="29" spans="1:13" ht="15.75" customHeight="1">
      <c r="A29" s="17"/>
      <c r="C29" s="17"/>
      <c r="E29" s="17"/>
      <c r="G29" s="17" t="s">
        <v>142</v>
      </c>
      <c r="H29" s="113"/>
      <c r="I29" s="17"/>
      <c r="J29" s="17"/>
      <c r="K29" s="17" t="s">
        <v>143</v>
      </c>
      <c r="L29" s="17"/>
      <c r="M29" s="17" t="s">
        <v>144</v>
      </c>
    </row>
    <row r="30" spans="1:13" ht="15.75" customHeight="1">
      <c r="A30" s="16"/>
      <c r="C30" s="16"/>
      <c r="E30" s="16"/>
      <c r="G30" s="16" t="s">
        <v>145</v>
      </c>
      <c r="H30" s="113"/>
      <c r="I30" s="16"/>
      <c r="J30" s="16"/>
      <c r="K30" s="16" t="s">
        <v>146</v>
      </c>
      <c r="L30" s="16"/>
      <c r="M30" s="16" t="s">
        <v>147</v>
      </c>
    </row>
    <row r="31" spans="1:13" ht="15.75" customHeight="1">
      <c r="A31" s="17"/>
      <c r="C31" s="17"/>
      <c r="E31" s="17"/>
      <c r="G31" s="17" t="s">
        <v>148</v>
      </c>
      <c r="H31" s="113"/>
      <c r="I31" s="17"/>
      <c r="J31" s="17"/>
      <c r="K31" s="18" t="s">
        <v>149</v>
      </c>
      <c r="L31" s="17"/>
      <c r="M31" s="17" t="s">
        <v>150</v>
      </c>
    </row>
    <row r="32" spans="1:13" ht="15.75" customHeight="1">
      <c r="A32" s="16"/>
      <c r="C32" s="16"/>
      <c r="E32" s="16"/>
      <c r="G32" s="16" t="s">
        <v>151</v>
      </c>
      <c r="H32" s="113"/>
      <c r="I32" s="16"/>
      <c r="J32" s="16"/>
      <c r="K32" s="16" t="s">
        <v>152</v>
      </c>
      <c r="L32" s="16"/>
      <c r="M32" t="s">
        <v>153</v>
      </c>
    </row>
    <row r="33" spans="1:13" ht="15.75" customHeight="1">
      <c r="A33" s="17"/>
      <c r="C33" s="17"/>
      <c r="E33" s="17"/>
      <c r="G33" s="17" t="s">
        <v>154</v>
      </c>
      <c r="H33" s="113"/>
      <c r="I33" s="17"/>
      <c r="J33" s="17"/>
      <c r="K33" s="18" t="s">
        <v>155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156</v>
      </c>
      <c r="H34" s="113"/>
      <c r="I34" s="16"/>
      <c r="J34" s="16"/>
      <c r="K34" s="16" t="s">
        <v>79</v>
      </c>
      <c r="L34" s="16"/>
      <c r="M34" s="16" t="s">
        <v>157</v>
      </c>
    </row>
    <row r="35" spans="1:13" ht="15.75" customHeight="1">
      <c r="A35" s="17"/>
      <c r="C35" s="17"/>
      <c r="E35" s="17"/>
      <c r="G35" s="17" t="s">
        <v>158</v>
      </c>
      <c r="H35" s="113"/>
      <c r="I35" s="17"/>
      <c r="J35" s="17"/>
      <c r="K35" s="17" t="s">
        <v>159</v>
      </c>
      <c r="L35" s="17"/>
      <c r="M35" s="17" t="s">
        <v>160</v>
      </c>
    </row>
    <row r="36" spans="1:13" ht="15.75" customHeight="1">
      <c r="A36" s="16"/>
      <c r="C36" s="16"/>
      <c r="E36" s="16"/>
      <c r="G36" s="16" t="s">
        <v>161</v>
      </c>
      <c r="H36" s="113"/>
      <c r="I36" s="16"/>
      <c r="J36" s="16"/>
      <c r="K36" s="16" t="s">
        <v>162</v>
      </c>
      <c r="L36" s="16"/>
      <c r="M36" s="16" t="s">
        <v>163</v>
      </c>
    </row>
    <row r="37" spans="1:13" ht="15.75" customHeight="1">
      <c r="A37" s="17"/>
      <c r="C37" s="17"/>
      <c r="E37" s="17"/>
      <c r="G37" s="17" t="s">
        <v>164</v>
      </c>
      <c r="H37" s="113"/>
      <c r="I37" s="17"/>
      <c r="J37" s="17"/>
      <c r="K37" s="17" t="s">
        <v>165</v>
      </c>
      <c r="L37" s="17"/>
      <c r="M37" s="17" t="s">
        <v>166</v>
      </c>
    </row>
    <row r="38" spans="1:13" ht="15.75" customHeight="1">
      <c r="A38" s="16"/>
      <c r="C38" s="16"/>
      <c r="E38" s="16"/>
      <c r="G38" s="16" t="s">
        <v>167</v>
      </c>
      <c r="H38" s="113"/>
      <c r="I38" s="16"/>
      <c r="J38" s="16"/>
      <c r="K38" s="16" t="s">
        <v>168</v>
      </c>
      <c r="L38" s="16"/>
      <c r="M38" s="16" t="s">
        <v>169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170</v>
      </c>
      <c r="L39" s="17"/>
      <c r="M39" s="17" t="s">
        <v>171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172</v>
      </c>
      <c r="L40" s="16"/>
      <c r="M40" s="16" t="s">
        <v>173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174</v>
      </c>
      <c r="L41" s="17"/>
      <c r="M41" s="17" t="s">
        <v>175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176</v>
      </c>
      <c r="L42" s="16"/>
      <c r="M42" s="16" t="s">
        <v>177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178</v>
      </c>
      <c r="L43" s="17"/>
      <c r="M43" s="17" t="s">
        <v>179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180</v>
      </c>
      <c r="L44" s="16"/>
      <c r="M44" s="16" t="s">
        <v>181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182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183</v>
      </c>
      <c r="L46" s="16"/>
      <c r="M46" s="16" t="s">
        <v>184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185</v>
      </c>
      <c r="L47" s="17"/>
      <c r="M47" s="17" t="s">
        <v>186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187</v>
      </c>
      <c r="L48" s="16"/>
      <c r="M48" s="16" t="s">
        <v>188</v>
      </c>
    </row>
    <row r="49" spans="1:13" ht="18" customHeight="1">
      <c r="H49" s="113"/>
      <c r="I49" s="17"/>
      <c r="J49" s="17"/>
      <c r="K49" s="17" t="s">
        <v>189</v>
      </c>
      <c r="L49" s="17"/>
      <c r="M49" s="17" t="s">
        <v>190</v>
      </c>
    </row>
    <row r="50" spans="1:13" ht="21" customHeight="1">
      <c r="A50" s="19" t="s">
        <v>191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192</v>
      </c>
      <c r="L50" s="16"/>
      <c r="M50" s="16" t="s">
        <v>193</v>
      </c>
    </row>
    <row r="51" spans="1:13" ht="24" customHeight="1">
      <c r="H51" s="113"/>
      <c r="I51" s="17"/>
      <c r="J51" s="17"/>
      <c r="K51" s="17" t="s">
        <v>194</v>
      </c>
      <c r="L51" s="17"/>
      <c r="M51" s="17" t="s">
        <v>195</v>
      </c>
    </row>
    <row r="52" spans="1:13" ht="24" customHeight="1">
      <c r="H52" s="113"/>
      <c r="I52" s="16"/>
      <c r="J52" s="16"/>
      <c r="K52" s="16" t="s">
        <v>196</v>
      </c>
      <c r="L52" s="16"/>
      <c r="M52" s="16" t="s">
        <v>197</v>
      </c>
    </row>
    <row r="53" spans="1:13" ht="36" customHeight="1">
      <c r="H53" s="113"/>
      <c r="I53" s="17"/>
      <c r="J53" s="17"/>
      <c r="K53" s="17" t="s">
        <v>198</v>
      </c>
      <c r="L53" s="17"/>
      <c r="M53" s="17" t="s">
        <v>199</v>
      </c>
    </row>
    <row r="54" spans="1:13" ht="15" customHeight="1">
      <c r="H54" s="113"/>
      <c r="I54" s="16"/>
      <c r="J54" s="16"/>
      <c r="K54" s="16" t="s">
        <v>200</v>
      </c>
      <c r="L54" s="16"/>
      <c r="M54" s="16" t="s">
        <v>201</v>
      </c>
    </row>
    <row r="55" spans="1:13" ht="15" customHeight="1">
      <c r="H55" s="113"/>
      <c r="I55" s="17"/>
      <c r="J55" s="17"/>
      <c r="K55" s="17" t="s">
        <v>202</v>
      </c>
      <c r="L55" s="17"/>
      <c r="M55" s="17" t="s">
        <v>203</v>
      </c>
    </row>
    <row r="56" spans="1:13" ht="15" customHeight="1">
      <c r="H56" s="113"/>
      <c r="I56" s="16"/>
      <c r="J56" s="16"/>
      <c r="K56" s="16" t="s">
        <v>204</v>
      </c>
      <c r="L56" s="16"/>
      <c r="M56" s="16" t="s">
        <v>205</v>
      </c>
    </row>
    <row r="57" spans="1:13" ht="15" customHeight="1">
      <c r="H57" s="113"/>
      <c r="I57" s="17"/>
      <c r="J57" s="17"/>
      <c r="K57" s="17" t="s">
        <v>50</v>
      </c>
      <c r="L57" s="17"/>
      <c r="M57" s="17"/>
    </row>
    <row r="58" spans="1:13" ht="15" customHeight="1">
      <c r="H58" s="113"/>
      <c r="I58" s="16"/>
      <c r="J58" s="16"/>
      <c r="K58" s="16" t="s">
        <v>206</v>
      </c>
      <c r="L58" s="16"/>
      <c r="M58" s="16"/>
    </row>
    <row r="59" spans="1:13" ht="15" customHeight="1">
      <c r="H59" s="113"/>
      <c r="I59" s="17"/>
      <c r="J59" s="17"/>
      <c r="K59" s="17" t="s">
        <v>207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208</v>
      </c>
      <c r="L61" s="17"/>
      <c r="M61" s="17"/>
    </row>
    <row r="62" spans="1:13" ht="15" customHeight="1">
      <c r="H62" s="113"/>
      <c r="I62" s="16"/>
      <c r="J62" s="16"/>
      <c r="K62" s="16" t="s">
        <v>209</v>
      </c>
      <c r="L62" s="16"/>
      <c r="M62" s="16"/>
    </row>
    <row r="63" spans="1:13" ht="15" customHeight="1">
      <c r="H63" s="113"/>
      <c r="I63" s="17"/>
      <c r="J63" s="17"/>
      <c r="K63" s="17" t="s">
        <v>210</v>
      </c>
      <c r="L63" s="17"/>
      <c r="M63" s="17"/>
    </row>
    <row r="64" spans="1:13" ht="15" customHeight="1">
      <c r="H64" s="113"/>
      <c r="I64" s="16"/>
      <c r="J64" s="16"/>
      <c r="K64" s="16" t="s">
        <v>211</v>
      </c>
      <c r="L64" s="16"/>
      <c r="M64" s="16"/>
    </row>
    <row r="65" spans="8:13" ht="15" customHeight="1">
      <c r="H65" s="113"/>
      <c r="I65" s="17"/>
      <c r="J65" s="17"/>
      <c r="K65" s="17" t="s">
        <v>212</v>
      </c>
      <c r="L65" s="17"/>
      <c r="M65" s="17"/>
    </row>
    <row r="66" spans="8:13" ht="15" customHeight="1">
      <c r="H66" s="113"/>
      <c r="I66" s="16"/>
      <c r="J66" s="16"/>
      <c r="K66" s="16" t="s">
        <v>213</v>
      </c>
      <c r="L66" s="16"/>
      <c r="M66" s="16"/>
    </row>
    <row r="67" spans="8:13" ht="15" customHeight="1">
      <c r="H67" s="113"/>
      <c r="I67" s="17"/>
      <c r="J67" s="17"/>
      <c r="K67" s="17" t="s">
        <v>214</v>
      </c>
      <c r="L67" s="17"/>
      <c r="M67" s="17"/>
    </row>
    <row r="68" spans="8:13" ht="15" customHeight="1">
      <c r="H68" s="113"/>
      <c r="I68" s="16"/>
      <c r="J68" s="16"/>
      <c r="K68" s="16" t="s">
        <v>215</v>
      </c>
      <c r="L68" s="16"/>
      <c r="M68" s="16"/>
    </row>
    <row r="69" spans="8:13" ht="15" customHeight="1">
      <c r="H69" s="113"/>
      <c r="I69" s="17"/>
      <c r="J69" s="17"/>
      <c r="K69" s="17" t="s">
        <v>216</v>
      </c>
      <c r="L69" s="17"/>
      <c r="M69" s="17"/>
    </row>
    <row r="70" spans="8:13" ht="15" customHeight="1">
      <c r="H70" s="113"/>
      <c r="I70" s="16"/>
      <c r="J70" s="16"/>
      <c r="K70" s="16" t="s">
        <v>217</v>
      </c>
      <c r="L70" s="16"/>
      <c r="M70" s="16"/>
    </row>
    <row r="71" spans="8:13" ht="15" customHeight="1">
      <c r="H71" s="113"/>
      <c r="I71" s="17"/>
      <c r="J71" s="17"/>
      <c r="K71" s="17" t="s">
        <v>218</v>
      </c>
      <c r="L71" s="17"/>
      <c r="M71" s="17"/>
    </row>
    <row r="72" spans="8:13" ht="15" customHeight="1">
      <c r="H72" s="113"/>
      <c r="I72" s="16"/>
      <c r="J72" s="16"/>
      <c r="K72" s="16" t="s">
        <v>219</v>
      </c>
      <c r="L72" s="16"/>
      <c r="M72" s="16"/>
    </row>
    <row r="73" spans="8:13" ht="15" customHeight="1">
      <c r="H73" s="113"/>
      <c r="I73" s="17"/>
      <c r="J73" s="17"/>
      <c r="K73" s="17" t="s">
        <v>220</v>
      </c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126" activePane="bottomLeft" state="frozen"/>
      <selection pane="bottomLeft" activeCell="F152" sqref="F152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231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231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231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231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231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231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231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231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231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231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231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231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6" t="s">
        <v>232</v>
      </c>
      <c r="B14" s="107"/>
      <c r="C14" s="107"/>
      <c r="D14" s="107"/>
      <c r="E14" s="108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233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231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130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231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231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234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231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231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231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231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231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231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231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231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231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6" t="s">
        <v>235</v>
      </c>
      <c r="B27" s="107"/>
      <c r="C27" s="107"/>
      <c r="D27" s="107"/>
      <c r="E27" s="108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233</v>
      </c>
      <c r="O27" s="39">
        <v>997910</v>
      </c>
    </row>
    <row r="28" spans="1:15" ht="18" customHeight="1">
      <c r="A28" s="103" t="s">
        <v>236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237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231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155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231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129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238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231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234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231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231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231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231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231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231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231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6" t="s">
        <v>232</v>
      </c>
      <c r="B41" s="107"/>
      <c r="C41" s="107"/>
      <c r="D41" s="107"/>
      <c r="E41" s="108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233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231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239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231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231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231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231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231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231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231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231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231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6" t="s">
        <v>235</v>
      </c>
      <c r="B54" s="107"/>
      <c r="C54" s="107"/>
      <c r="D54" s="107"/>
      <c r="E54" s="108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233</v>
      </c>
      <c r="O54" s="39">
        <v>981310</v>
      </c>
    </row>
    <row r="55" spans="1:15" ht="18" customHeight="1">
      <c r="A55" s="103" t="s">
        <v>236</v>
      </c>
      <c r="B55" s="104"/>
      <c r="C55" s="104"/>
      <c r="D55" s="104"/>
      <c r="E55" s="10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237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231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155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231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133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231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231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231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231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231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231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231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231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231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231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6" t="s">
        <v>232</v>
      </c>
      <c r="B68" s="107"/>
      <c r="C68" s="107"/>
      <c r="D68" s="107"/>
      <c r="E68" s="108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233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231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231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240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231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231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231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231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231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231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231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231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231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6" t="s">
        <v>235</v>
      </c>
      <c r="B81" s="107"/>
      <c r="C81" s="107"/>
      <c r="D81" s="107"/>
      <c r="E81" s="108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233</v>
      </c>
      <c r="O81" s="39">
        <v>1547910</v>
      </c>
    </row>
    <row r="82" spans="1:15" ht="18" customHeight="1">
      <c r="A82" s="103" t="s">
        <v>236</v>
      </c>
      <c r="B82" s="104"/>
      <c r="C82" s="104"/>
      <c r="D82" s="104"/>
      <c r="E82" s="10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237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231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231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133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231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144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241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231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231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231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231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231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231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231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231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6" t="s">
        <v>232</v>
      </c>
      <c r="B95" s="107"/>
      <c r="C95" s="107"/>
      <c r="D95" s="107"/>
      <c r="E95" s="108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233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231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231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231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231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231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231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242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231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231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231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231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231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6" t="s">
        <v>235</v>
      </c>
      <c r="B108" s="107"/>
      <c r="C108" s="107"/>
      <c r="D108" s="107"/>
      <c r="E108" s="108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233</v>
      </c>
      <c r="O108" s="39">
        <v>3156240</v>
      </c>
    </row>
    <row r="109" spans="1:15" ht="18" customHeight="1">
      <c r="A109" s="103" t="s">
        <v>236</v>
      </c>
      <c r="B109" s="104"/>
      <c r="C109" s="104"/>
      <c r="D109" s="104"/>
      <c r="E109" s="10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237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231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231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231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231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231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231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6" t="s">
        <v>232</v>
      </c>
      <c r="B122" s="107"/>
      <c r="C122" s="107"/>
      <c r="D122" s="107"/>
      <c r="E122" s="108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233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231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231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231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231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231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231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231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231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231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231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231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231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6" t="s">
        <v>235</v>
      </c>
      <c r="B135" s="107"/>
      <c r="C135" s="107"/>
      <c r="D135" s="107"/>
      <c r="E135" s="108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233</v>
      </c>
      <c r="O135" s="39">
        <v>2875180</v>
      </c>
    </row>
    <row r="136" spans="1:15" ht="18" customHeight="1">
      <c r="A136" s="103" t="s">
        <v>236</v>
      </c>
      <c r="B136" s="104"/>
      <c r="C136" s="104"/>
      <c r="D136" s="104"/>
      <c r="E136" s="105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237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231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243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231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231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231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231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231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231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231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231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231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231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232</v>
      </c>
      <c r="B149" s="107"/>
      <c r="C149" s="107"/>
      <c r="D149" s="107"/>
      <c r="E149" s="108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233</v>
      </c>
      <c r="O149" s="118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231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133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231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244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231</v>
      </c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231</v>
      </c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231</v>
      </c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231</v>
      </c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231</v>
      </c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231</v>
      </c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231</v>
      </c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231</v>
      </c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231</v>
      </c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231</v>
      </c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235</v>
      </c>
      <c r="B162" s="107"/>
      <c r="C162" s="107"/>
      <c r="D162" s="107"/>
      <c r="E162" s="108">
        <f>SUM(E150:E161)</f>
        <v>0</v>
      </c>
      <c r="F162" s="36">
        <f>SUM(F150:F161)</f>
        <v>17</v>
      </c>
      <c r="G162" s="36">
        <f>SUM(G150:G161)</f>
        <v>85</v>
      </c>
      <c r="H162" s="37"/>
      <c r="I162" s="37"/>
      <c r="J162" s="37"/>
      <c r="K162" s="37"/>
      <c r="L162" s="37"/>
      <c r="M162" s="38">
        <f ca="1">IFERROR(SUM(M150:M161),"")</f>
        <v>6.4583333333333326E-2</v>
      </c>
      <c r="N162" s="36" t="s">
        <v>233</v>
      </c>
      <c r="O162" s="44"/>
    </row>
    <row r="163" spans="1:15" ht="18" customHeight="1">
      <c r="A163" s="103" t="s">
        <v>236</v>
      </c>
      <c r="B163" s="104"/>
      <c r="C163" s="104"/>
      <c r="D163" s="104"/>
      <c r="E163" s="105">
        <f>E149+E162</f>
        <v>0</v>
      </c>
      <c r="F163" s="40">
        <f>F149+F162</f>
        <v>306</v>
      </c>
      <c r="G163" s="40">
        <f>G149+G162</f>
        <v>1530</v>
      </c>
      <c r="H163" s="41"/>
      <c r="I163" s="41"/>
      <c r="J163" s="41"/>
      <c r="K163" s="41"/>
      <c r="L163" s="41"/>
      <c r="M163" s="42">
        <f ca="1">IFERROR(M149+M162,"")</f>
        <v>0.16319444444444448</v>
      </c>
      <c r="N163" s="40" t="s">
        <v>237</v>
      </c>
      <c r="O163" s="43">
        <f>IFERROR(O149+O162,"")</f>
        <v>1650350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232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233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235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/>
    </row>
    <row r="190" spans="1:15" ht="18" customHeight="1">
      <c r="A190" s="103" t="s">
        <v>236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237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232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233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6" t="s">
        <v>235</v>
      </c>
      <c r="B216" s="107"/>
      <c r="C216" s="107"/>
      <c r="D216" s="107"/>
      <c r="E216" s="10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233</v>
      </c>
      <c r="O216" s="45"/>
    </row>
    <row r="217" spans="1:15" ht="18" customHeight="1">
      <c r="A217" s="103" t="s">
        <v>236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237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6" t="s">
        <v>232</v>
      </c>
      <c r="B230" s="107"/>
      <c r="C230" s="107"/>
      <c r="D230" s="107"/>
      <c r="E230" s="10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233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6" t="s">
        <v>235</v>
      </c>
      <c r="B243" s="107"/>
      <c r="C243" s="107"/>
      <c r="D243" s="107"/>
      <c r="E243" s="10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233</v>
      </c>
      <c r="O243" s="39"/>
    </row>
    <row r="244" spans="1:15" ht="18" customHeight="1">
      <c r="A244" s="103" t="s">
        <v>236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237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6" t="s">
        <v>232</v>
      </c>
      <c r="B257" s="107"/>
      <c r="C257" s="107"/>
      <c r="D257" s="107"/>
      <c r="E257" s="10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233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6" t="s">
        <v>235</v>
      </c>
      <c r="B270" s="107"/>
      <c r="C270" s="107"/>
      <c r="D270" s="107"/>
      <c r="E270" s="10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/>
    </row>
    <row r="271" spans="1:15" ht="18" customHeight="1">
      <c r="A271" s="103" t="s">
        <v>236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237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6" t="s">
        <v>232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233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6" t="s">
        <v>235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233</v>
      </c>
      <c r="O297" s="39"/>
    </row>
    <row r="298" spans="1:15" ht="18" customHeight="1">
      <c r="A298" s="103" t="s">
        <v>236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237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6" t="s">
        <v>232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233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6" t="s">
        <v>235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/>
    </row>
    <row r="325" spans="1:15" ht="18" customHeight="1">
      <c r="A325" s="103" t="s">
        <v>236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237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6" t="s">
        <v>232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233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6" t="s">
        <v>235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233</v>
      </c>
      <c r="O351" s="39"/>
    </row>
    <row r="352" spans="1:15" ht="18" customHeight="1">
      <c r="A352" s="103" t="s">
        <v>236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237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6" t="s">
        <v>232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233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6" t="s">
        <v>235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233</v>
      </c>
      <c r="O378" s="39"/>
    </row>
    <row r="379" spans="1:15" ht="18" customHeight="1">
      <c r="A379" s="103" t="s">
        <v>236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237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6" t="s">
        <v>232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233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6" t="s">
        <v>235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233</v>
      </c>
      <c r="O405" s="39"/>
    </row>
    <row r="406" spans="1:15" ht="18" customHeight="1">
      <c r="A406" s="103" t="s">
        <v>236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237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6" t="s">
        <v>232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233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6" t="s">
        <v>235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/>
    </row>
    <row r="433" spans="1:15" ht="18" customHeight="1">
      <c r="A433" s="103" t="s">
        <v>236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237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6" t="s">
        <v>232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233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6" t="s">
        <v>235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233</v>
      </c>
      <c r="O459" s="39"/>
    </row>
    <row r="460" spans="1:15" ht="18" customHeight="1">
      <c r="A460" s="103" t="s">
        <v>236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237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6" t="s">
        <v>232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6" t="s">
        <v>235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/>
    </row>
    <row r="487" spans="1:15" ht="18" customHeight="1">
      <c r="A487" s="103" t="s">
        <v>236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237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6" t="s">
        <v>232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233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6" t="s">
        <v>235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/>
    </row>
    <row r="514" spans="1:15" ht="18" customHeight="1">
      <c r="A514" s="103" t="s">
        <v>236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237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6" t="s">
        <v>232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233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6" t="s">
        <v>235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233</v>
      </c>
      <c r="O540" s="39"/>
    </row>
    <row r="541" spans="1:15" ht="18" customHeight="1">
      <c r="A541" s="103" t="s">
        <v>236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237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6" t="s">
        <v>232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233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6" t="s">
        <v>235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233</v>
      </c>
      <c r="O567" s="39"/>
    </row>
    <row r="568" spans="1:15" ht="18" customHeight="1">
      <c r="A568" s="103" t="s">
        <v>236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237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6" t="s">
        <v>232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233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6" t="s">
        <v>235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233</v>
      </c>
      <c r="O594" s="39"/>
    </row>
    <row r="595" spans="1:15" ht="18" customHeight="1">
      <c r="A595" s="103" t="s">
        <v>236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237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6" t="s">
        <v>232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233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6" t="s">
        <v>235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233</v>
      </c>
      <c r="O621" s="39"/>
    </row>
    <row r="622" spans="1:15" ht="18" customHeight="1">
      <c r="A622" s="103" t="s">
        <v>236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237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6" t="s">
        <v>232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6" t="s">
        <v>235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3" t="s">
        <v>236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237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6" t="s">
        <v>232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6" t="s">
        <v>235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3" t="s">
        <v>236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237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6" t="s">
        <v>232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6" t="s">
        <v>235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3" t="s">
        <v>236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237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6" t="s">
        <v>232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6" t="s">
        <v>235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3" t="s">
        <v>236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237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6" t="s">
        <v>232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6" t="s">
        <v>235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3" t="s">
        <v>236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6" t="s">
        <v>232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6" t="s">
        <v>235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3" t="s">
        <v>236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6" t="s">
        <v>232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6" t="s">
        <v>235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0" t="s">
        <v>236</v>
      </c>
      <c r="B811" s="101"/>
      <c r="C811" s="101"/>
      <c r="D811" s="101"/>
      <c r="E811" s="102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6" t="s">
        <v>232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233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6" t="s">
        <v>235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233</v>
      </c>
      <c r="O837" s="39"/>
    </row>
    <row r="838" spans="1:15" ht="18" customHeight="1">
      <c r="A838" s="103" t="s">
        <v>236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237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tabSelected="1" zoomScale="50" zoomScaleNormal="50" workbookViewId="0">
      <pane ySplit="1" topLeftCell="A120" activePane="bottomLeft" state="frozen"/>
      <selection pane="bottomLeft" activeCell="J152" sqref="J152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245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158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246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245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245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245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129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247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245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248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245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130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245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130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245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245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245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245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245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6" t="s">
        <v>232</v>
      </c>
      <c r="B14" s="107"/>
      <c r="C14" s="107"/>
      <c r="D14" s="107"/>
      <c r="E14" s="108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233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245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245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245</v>
      </c>
      <c r="F17" s="27">
        <v>26</v>
      </c>
      <c r="G17" s="34">
        <f t="shared" si="3"/>
        <v>109.2</v>
      </c>
      <c r="H17" s="33" t="s">
        <v>17</v>
      </c>
      <c r="I17" s="33" t="s">
        <v>134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245</v>
      </c>
      <c r="F18" s="27">
        <v>1</v>
      </c>
      <c r="G18" s="34">
        <f t="shared" si="3"/>
        <v>4.2</v>
      </c>
      <c r="H18" s="26" t="s">
        <v>20</v>
      </c>
      <c r="I18" s="26" t="s">
        <v>156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245</v>
      </c>
      <c r="F19" s="27">
        <v>1</v>
      </c>
      <c r="G19" s="34">
        <f t="shared" si="3"/>
        <v>4.2</v>
      </c>
      <c r="H19" s="33" t="s">
        <v>17</v>
      </c>
      <c r="I19" s="33" t="s">
        <v>134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249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245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250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245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245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245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245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245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245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6" t="s">
        <v>235</v>
      </c>
      <c r="B27" s="107"/>
      <c r="C27" s="107"/>
      <c r="D27" s="107"/>
      <c r="E27" s="108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233</v>
      </c>
      <c r="O27" s="77">
        <v>549860</v>
      </c>
    </row>
    <row r="28" spans="1:15" ht="18" customHeight="1">
      <c r="A28" s="103" t="s">
        <v>236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237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245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156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245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245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245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245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245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245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245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245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245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245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245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6" t="s">
        <v>232</v>
      </c>
      <c r="B41" s="107"/>
      <c r="C41" s="107"/>
      <c r="D41" s="107"/>
      <c r="E41" s="108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233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245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245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245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245</v>
      </c>
      <c r="F45" s="27">
        <v>3</v>
      </c>
      <c r="G45" s="28">
        <f t="shared" si="9"/>
        <v>12.600000000000001</v>
      </c>
      <c r="H45" s="33" t="s">
        <v>20</v>
      </c>
      <c r="I45" s="33" t="s">
        <v>158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245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245</v>
      </c>
      <c r="F47" s="27">
        <v>0</v>
      </c>
      <c r="G47" s="28">
        <f t="shared" si="9"/>
        <v>0</v>
      </c>
      <c r="H47" s="33" t="s">
        <v>20</v>
      </c>
      <c r="I47" s="33" t="s">
        <v>158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245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251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245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252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245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245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245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129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253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245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129</v>
      </c>
      <c r="K53" s="29">
        <v>0.12152777777777778</v>
      </c>
      <c r="L53" s="29"/>
      <c r="M53" s="30">
        <f t="shared" ca="1" si="11"/>
        <v>0.78226203703525243</v>
      </c>
      <c r="N53" s="46" t="s">
        <v>254</v>
      </c>
      <c r="O53" s="31"/>
    </row>
    <row r="54" spans="1:15" ht="15.75" customHeight="1">
      <c r="A54" s="106" t="s">
        <v>235</v>
      </c>
      <c r="B54" s="107"/>
      <c r="C54" s="107"/>
      <c r="D54" s="107"/>
      <c r="E54" s="108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0.92115092592414127</v>
      </c>
      <c r="N54" s="36" t="s">
        <v>233</v>
      </c>
      <c r="O54" s="84">
        <v>352430</v>
      </c>
    </row>
    <row r="55" spans="1:15" ht="18" customHeight="1">
      <c r="A55" s="103" t="s">
        <v>236</v>
      </c>
      <c r="B55" s="104"/>
      <c r="C55" s="104"/>
      <c r="D55" s="104"/>
      <c r="E55" s="105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1.0058731481463636</v>
      </c>
      <c r="N55" s="40" t="s">
        <v>237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245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245</v>
      </c>
      <c r="F57" s="27">
        <v>17</v>
      </c>
      <c r="G57" s="34">
        <f t="shared" si="12"/>
        <v>71.400000000000006</v>
      </c>
      <c r="H57" s="33" t="s">
        <v>20</v>
      </c>
      <c r="I57" s="33" t="s">
        <v>122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245</v>
      </c>
      <c r="F58" s="27">
        <v>10</v>
      </c>
      <c r="G58" s="28">
        <f t="shared" si="12"/>
        <v>42</v>
      </c>
      <c r="H58" s="26" t="s">
        <v>20</v>
      </c>
      <c r="I58" s="80" t="s">
        <v>122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245</v>
      </c>
      <c r="F59" s="27">
        <v>10</v>
      </c>
      <c r="G59" s="34">
        <f t="shared" si="12"/>
        <v>42</v>
      </c>
      <c r="H59" s="33" t="s">
        <v>20</v>
      </c>
      <c r="I59" s="33" t="s">
        <v>122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245</v>
      </c>
      <c r="F60" s="27">
        <v>6</v>
      </c>
      <c r="G60" s="28">
        <f t="shared" si="12"/>
        <v>25.200000000000003</v>
      </c>
      <c r="H60" s="26" t="s">
        <v>20</v>
      </c>
      <c r="I60" s="26" t="s">
        <v>122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245</v>
      </c>
      <c r="F61" s="27">
        <v>14</v>
      </c>
      <c r="G61" s="34">
        <f t="shared" si="12"/>
        <v>58.800000000000004</v>
      </c>
      <c r="H61" s="33" t="s">
        <v>20</v>
      </c>
      <c r="I61" s="33" t="s">
        <v>122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245</v>
      </c>
      <c r="F62" s="27">
        <v>19</v>
      </c>
      <c r="G62" s="28">
        <f t="shared" si="12"/>
        <v>79.8</v>
      </c>
      <c r="H62" s="26" t="s">
        <v>20</v>
      </c>
      <c r="I62" s="26" t="s">
        <v>122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245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246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245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245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245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245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6" t="s">
        <v>232</v>
      </c>
      <c r="B68" s="107"/>
      <c r="C68" s="107"/>
      <c r="D68" s="107"/>
      <c r="E68" s="108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233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245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148</v>
      </c>
      <c r="J69" s="26" t="s">
        <v>184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245</v>
      </c>
      <c r="F70" s="27">
        <v>14</v>
      </c>
      <c r="G70" s="28">
        <f t="shared" si="15"/>
        <v>58.800000000000004</v>
      </c>
      <c r="H70" s="26" t="s">
        <v>17</v>
      </c>
      <c r="I70" s="26" t="s">
        <v>134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245</v>
      </c>
      <c r="F71" s="27">
        <v>1</v>
      </c>
      <c r="G71" s="34">
        <f t="shared" si="15"/>
        <v>4.2</v>
      </c>
      <c r="H71" s="33" t="s">
        <v>20</v>
      </c>
      <c r="I71" s="33" t="s">
        <v>156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245</v>
      </c>
      <c r="F72" s="27">
        <v>5</v>
      </c>
      <c r="G72" s="28">
        <f t="shared" si="15"/>
        <v>21</v>
      </c>
      <c r="H72" s="26" t="s">
        <v>20</v>
      </c>
      <c r="I72" s="26" t="s">
        <v>156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245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245</v>
      </c>
      <c r="F74" s="27">
        <v>19</v>
      </c>
      <c r="G74" s="28">
        <f t="shared" si="15"/>
        <v>79.8</v>
      </c>
      <c r="H74" s="26" t="s">
        <v>20</v>
      </c>
      <c r="I74" s="26" t="s">
        <v>156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245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245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199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255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245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245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245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245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6" t="s">
        <v>235</v>
      </c>
      <c r="B81" s="107"/>
      <c r="C81" s="107"/>
      <c r="D81" s="107"/>
      <c r="E81" s="108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233</v>
      </c>
      <c r="O81" s="54">
        <v>634210</v>
      </c>
    </row>
    <row r="82" spans="1:15" ht="18" customHeight="1">
      <c r="A82" s="103" t="s">
        <v>236</v>
      </c>
      <c r="B82" s="104"/>
      <c r="C82" s="104"/>
      <c r="D82" s="104"/>
      <c r="E82" s="105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237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256</v>
      </c>
      <c r="E83" s="59" t="s">
        <v>245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137</v>
      </c>
      <c r="J83" s="33" t="s">
        <v>208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245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245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245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245</v>
      </c>
      <c r="F87" s="27">
        <v>14</v>
      </c>
      <c r="G87" s="28">
        <f t="shared" si="18"/>
        <v>58.800000000000004</v>
      </c>
      <c r="H87" s="33" t="s">
        <v>18</v>
      </c>
      <c r="I87" s="33" t="s">
        <v>137</v>
      </c>
      <c r="J87" s="33" t="s">
        <v>117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245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245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245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245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245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6" t="s">
        <v>232</v>
      </c>
      <c r="B95" s="107"/>
      <c r="C95" s="107"/>
      <c r="D95" s="107"/>
      <c r="E95" s="108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233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245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140</v>
      </c>
      <c r="J96" s="26" t="s">
        <v>117</v>
      </c>
      <c r="K96" s="29">
        <v>0.79166666666666663</v>
      </c>
      <c r="L96" s="29" t="s">
        <v>257</v>
      </c>
      <c r="M96" s="30" t="str">
        <f t="shared" ref="M96:M107" ca="1" si="22">IFERROR(IF(K96="","",IF(L96="",MOD(NOW()-K96,1),IF(L96&gt;=K96,L96-K96,L96+1-K96))),"")</f>
        <v/>
      </c>
      <c r="N96" s="46" t="s">
        <v>258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245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234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245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259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245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182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260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245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234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245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245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245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245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245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245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245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6" t="s">
        <v>235</v>
      </c>
      <c r="B108" s="107"/>
      <c r="C108" s="107"/>
      <c r="D108" s="107"/>
      <c r="E108" s="108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233</v>
      </c>
      <c r="O108" s="54">
        <v>456830</v>
      </c>
    </row>
    <row r="109" spans="1:15" ht="18" customHeight="1">
      <c r="A109" s="103" t="s">
        <v>236</v>
      </c>
      <c r="B109" s="104"/>
      <c r="C109" s="104"/>
      <c r="D109" s="104"/>
      <c r="E109" s="105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237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245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155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245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261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245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155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245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245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245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245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245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245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245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245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245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6" t="s">
        <v>232</v>
      </c>
      <c r="B122" s="107"/>
      <c r="C122" s="107"/>
      <c r="D122" s="107"/>
      <c r="E122" s="108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233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245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158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245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155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245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134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245</v>
      </c>
      <c r="F126" s="27">
        <v>20</v>
      </c>
      <c r="G126" s="28">
        <f t="shared" si="27"/>
        <v>84</v>
      </c>
      <c r="H126" s="26" t="s">
        <v>17</v>
      </c>
      <c r="I126" s="26" t="s">
        <v>134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245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122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245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245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245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245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245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245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245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6" t="s">
        <v>235</v>
      </c>
      <c r="B135" s="107"/>
      <c r="C135" s="107"/>
      <c r="D135" s="107"/>
      <c r="E135" s="108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233</v>
      </c>
      <c r="O135" s="54">
        <v>756720</v>
      </c>
    </row>
    <row r="136" spans="1:15" ht="18" customHeight="1">
      <c r="A136" s="103" t="s">
        <v>236</v>
      </c>
      <c r="B136" s="104"/>
      <c r="C136" s="104"/>
      <c r="D136" s="104"/>
      <c r="E136" s="105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237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245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245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245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262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245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245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263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245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117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245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245</v>
      </c>
      <c r="F144" s="27">
        <v>10</v>
      </c>
      <c r="G144" s="28">
        <f t="shared" si="32"/>
        <v>42</v>
      </c>
      <c r="H144" s="26" t="s">
        <v>16</v>
      </c>
      <c r="I144" s="26" t="s">
        <v>158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245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264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245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245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245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6" t="s">
        <v>232</v>
      </c>
      <c r="B149" s="107"/>
      <c r="C149" s="107"/>
      <c r="D149" s="107"/>
      <c r="E149" s="108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233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245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137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245</v>
      </c>
      <c r="F151" s="27">
        <v>7</v>
      </c>
      <c r="G151" s="34">
        <f t="shared" si="33"/>
        <v>29.400000000000002</v>
      </c>
      <c r="H151" s="33" t="s">
        <v>17</v>
      </c>
      <c r="I151" s="33" t="s">
        <v>119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265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245</v>
      </c>
      <c r="F152" s="27"/>
      <c r="G152" s="28" t="str">
        <f t="shared" si="33"/>
        <v/>
      </c>
      <c r="H152" s="26" t="s">
        <v>20</v>
      </c>
      <c r="I152" s="26" t="s">
        <v>39</v>
      </c>
      <c r="J152" s="26" t="s">
        <v>36</v>
      </c>
      <c r="K152" s="29">
        <v>0.90138888888888891</v>
      </c>
      <c r="L152" s="29"/>
      <c r="M152" s="30">
        <f t="shared" ca="1" si="34"/>
        <v>2.4009259286685847E-3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245</v>
      </c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245</v>
      </c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245</v>
      </c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245</v>
      </c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245</v>
      </c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245</v>
      </c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245</v>
      </c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245</v>
      </c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245</v>
      </c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6" t="s">
        <v>235</v>
      </c>
      <c r="B162" s="107"/>
      <c r="C162" s="107"/>
      <c r="D162" s="107"/>
      <c r="E162" s="108">
        <f>SUM(E150:E161)</f>
        <v>0</v>
      </c>
      <c r="F162" s="36">
        <f>SUM(F150:F161)</f>
        <v>24</v>
      </c>
      <c r="G162" s="36">
        <f>SUM(G150:G161)</f>
        <v>100.80000000000001</v>
      </c>
      <c r="H162" s="37"/>
      <c r="I162" s="37"/>
      <c r="J162" s="37"/>
      <c r="K162" s="37"/>
      <c r="L162" s="37"/>
      <c r="M162" s="38">
        <f ca="1">IFERROR(SUM(M150:M161),"")</f>
        <v>3.2262037039779812E-2</v>
      </c>
      <c r="N162" s="36" t="s">
        <v>233</v>
      </c>
      <c r="O162" s="54"/>
    </row>
    <row r="163" spans="1:15" ht="18" customHeight="1">
      <c r="A163" s="103" t="s">
        <v>236</v>
      </c>
      <c r="B163" s="104"/>
      <c r="C163" s="104"/>
      <c r="D163" s="104"/>
      <c r="E163" s="105">
        <f>E149+E162</f>
        <v>0</v>
      </c>
      <c r="F163" s="40">
        <f>F149+F162</f>
        <v>164</v>
      </c>
      <c r="G163" s="40">
        <f>G149+G162</f>
        <v>688.8</v>
      </c>
      <c r="H163" s="41"/>
      <c r="I163" s="41"/>
      <c r="J163" s="41"/>
      <c r="K163" s="41"/>
      <c r="L163" s="41"/>
      <c r="M163" s="42">
        <f ca="1">IFERROR(M149+M162,"")</f>
        <v>0.20795648148422424</v>
      </c>
      <c r="N163" s="40" t="s">
        <v>237</v>
      </c>
      <c r="O163" s="82">
        <f>IFERROR(O149+O162,"")</f>
        <v>533860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6" t="s">
        <v>232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233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6" t="s">
        <v>235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77"/>
    </row>
    <row r="190" spans="1:15" ht="18" customHeight="1">
      <c r="A190" s="103" t="s">
        <v>236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237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6" t="s">
        <v>232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233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6" t="s">
        <v>235</v>
      </c>
      <c r="B216" s="107"/>
      <c r="C216" s="107"/>
      <c r="D216" s="107"/>
      <c r="E216" s="10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233</v>
      </c>
      <c r="O216" s="77"/>
    </row>
    <row r="217" spans="1:15" ht="18" customHeight="1">
      <c r="A217" s="103" t="s">
        <v>236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237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232</v>
      </c>
      <c r="B230" s="116"/>
      <c r="C230" s="116"/>
      <c r="D230" s="116"/>
      <c r="E230" s="11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233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6" t="s">
        <v>235</v>
      </c>
      <c r="B243" s="107"/>
      <c r="C243" s="107"/>
      <c r="D243" s="107"/>
      <c r="E243" s="10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233</v>
      </c>
      <c r="O243" s="77"/>
    </row>
    <row r="244" spans="1:15" ht="18" customHeight="1">
      <c r="A244" s="103" t="s">
        <v>236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237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6" t="s">
        <v>232</v>
      </c>
      <c r="B257" s="107"/>
      <c r="C257" s="107"/>
      <c r="D257" s="107"/>
      <c r="E257" s="10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233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6" t="s">
        <v>235</v>
      </c>
      <c r="B270" s="107"/>
      <c r="C270" s="107"/>
      <c r="D270" s="107"/>
      <c r="E270" s="10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77"/>
    </row>
    <row r="271" spans="1:15" ht="18" customHeight="1">
      <c r="A271" s="103" t="s">
        <v>236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237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6" t="s">
        <v>232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233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6" t="s">
        <v>235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233</v>
      </c>
      <c r="O297" s="77"/>
    </row>
    <row r="298" spans="1:15" ht="18" customHeight="1">
      <c r="A298" s="103" t="s">
        <v>236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237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6" t="s">
        <v>232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233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6" t="s">
        <v>235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77"/>
    </row>
    <row r="325" spans="1:15" ht="18" customHeight="1">
      <c r="A325" s="103" t="s">
        <v>236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237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6" t="s">
        <v>232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233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6" t="s">
        <v>235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233</v>
      </c>
      <c r="O351" s="77"/>
    </row>
    <row r="352" spans="1:15" ht="18" customHeight="1">
      <c r="A352" s="103" t="s">
        <v>236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237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6" t="s">
        <v>232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233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6" t="s">
        <v>235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233</v>
      </c>
      <c r="O378" s="77"/>
    </row>
    <row r="379" spans="1:15" ht="18" customHeight="1">
      <c r="A379" s="103" t="s">
        <v>236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237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6" t="s">
        <v>232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233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6" t="s">
        <v>235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233</v>
      </c>
      <c r="O405" s="77"/>
    </row>
    <row r="406" spans="1:15" ht="18" customHeight="1">
      <c r="A406" s="103" t="s">
        <v>236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237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6" t="s">
        <v>232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233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235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77"/>
    </row>
    <row r="433" spans="1:15" ht="18" customHeight="1">
      <c r="A433" s="92" t="s">
        <v>236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237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6" t="s">
        <v>232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233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6" t="s">
        <v>235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233</v>
      </c>
      <c r="O459" s="77"/>
    </row>
    <row r="460" spans="1:15" ht="18" customHeight="1">
      <c r="A460" s="103" t="s">
        <v>236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237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6" t="s">
        <v>232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6" t="s">
        <v>235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77"/>
    </row>
    <row r="487" spans="1:15" ht="18" customHeight="1">
      <c r="A487" s="103" t="s">
        <v>236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237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6" t="s">
        <v>232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233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235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77"/>
    </row>
    <row r="514" spans="1:15" ht="18" customHeight="1">
      <c r="A514" s="92" t="s">
        <v>236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237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6" t="s">
        <v>232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233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6" t="s">
        <v>235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233</v>
      </c>
      <c r="O540" s="77"/>
    </row>
    <row r="541" spans="1:15" ht="18" customHeight="1">
      <c r="A541" s="103" t="s">
        <v>236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237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6" t="s">
        <v>232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233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6" t="s">
        <v>235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233</v>
      </c>
      <c r="O567" s="77"/>
    </row>
    <row r="568" spans="1:15" ht="18" customHeight="1">
      <c r="A568" s="103" t="s">
        <v>236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237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6" t="s">
        <v>232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233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6" t="s">
        <v>235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233</v>
      </c>
      <c r="O594" s="77"/>
    </row>
    <row r="595" spans="1:15" ht="18" customHeight="1">
      <c r="A595" s="103" t="s">
        <v>236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237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6" t="s">
        <v>232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233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6" t="s">
        <v>235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233</v>
      </c>
      <c r="O621" s="77"/>
    </row>
    <row r="622" spans="1:15" ht="18" customHeight="1">
      <c r="A622" s="103" t="s">
        <v>236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237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6" t="s">
        <v>232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6" t="s">
        <v>235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77"/>
    </row>
    <row r="649" spans="1:15" ht="18" customHeight="1">
      <c r="A649" s="103" t="s">
        <v>236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237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6" t="s">
        <v>232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6" t="s">
        <v>235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77"/>
    </row>
    <row r="676" spans="1:15" ht="18" customHeight="1">
      <c r="A676" s="103" t="s">
        <v>236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237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6" t="s">
        <v>232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6" t="s">
        <v>235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77"/>
    </row>
    <row r="703" spans="1:15" ht="18" customHeight="1">
      <c r="A703" s="103" t="s">
        <v>236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237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6" t="s">
        <v>232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6" t="s">
        <v>235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77"/>
    </row>
    <row r="730" spans="1:15" ht="18" customHeight="1">
      <c r="A730" s="103" t="s">
        <v>236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237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6" t="s">
        <v>232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6" t="s">
        <v>235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3" t="s">
        <v>236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6" t="s">
        <v>232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6" t="s">
        <v>235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3" t="s">
        <v>236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6" t="s">
        <v>232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6" t="s">
        <v>235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3" t="s">
        <v>236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6" t="s">
        <v>232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233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6" t="s">
        <v>235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233</v>
      </c>
      <c r="O837" s="84"/>
    </row>
    <row r="838" spans="1:15" ht="18" customHeight="1">
      <c r="A838" s="103" t="s">
        <v>236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237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117" zoomScale="50" zoomScaleNormal="50" workbookViewId="0">
      <selection activeCell="F152" sqref="F152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245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245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245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245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245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245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245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245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245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245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245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6" t="s">
        <v>232</v>
      </c>
      <c r="B14" s="107"/>
      <c r="C14" s="107"/>
      <c r="D14" s="107"/>
      <c r="E14" s="108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233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245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266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245</v>
      </c>
      <c r="F16" s="27">
        <v>9</v>
      </c>
      <c r="G16" s="28">
        <f t="shared" si="3"/>
        <v>37.800000000000004</v>
      </c>
      <c r="H16" s="26" t="s">
        <v>17</v>
      </c>
      <c r="I16" s="26" t="s">
        <v>134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245</v>
      </c>
      <c r="F17" s="27">
        <v>12</v>
      </c>
      <c r="G17" s="34">
        <f t="shared" si="3"/>
        <v>50.400000000000006</v>
      </c>
      <c r="H17" s="33" t="s">
        <v>20</v>
      </c>
      <c r="I17" s="33" t="s">
        <v>156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245</v>
      </c>
      <c r="F18" s="27">
        <v>0</v>
      </c>
      <c r="G18" s="28">
        <f t="shared" si="3"/>
        <v>0</v>
      </c>
      <c r="H18" s="26" t="s">
        <v>17</v>
      </c>
      <c r="I18" s="26" t="s">
        <v>134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249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245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160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267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245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245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245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245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245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245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245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6" t="s">
        <v>235</v>
      </c>
      <c r="B27" s="107"/>
      <c r="C27" s="107"/>
      <c r="D27" s="107"/>
      <c r="E27" s="108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233</v>
      </c>
      <c r="O27" s="39">
        <v>358000</v>
      </c>
    </row>
    <row r="28" spans="1:15" ht="18" customHeight="1">
      <c r="A28" s="103" t="s">
        <v>236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237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245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245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245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245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245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245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245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245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245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245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245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6" t="s">
        <v>232</v>
      </c>
      <c r="B41" s="107"/>
      <c r="C41" s="107"/>
      <c r="D41" s="107"/>
      <c r="E41" s="108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233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245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166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255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245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266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245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245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245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245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245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245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245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266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245</v>
      </c>
      <c r="F51" s="27">
        <v>0</v>
      </c>
      <c r="G51" s="28">
        <f t="shared" si="9"/>
        <v>0</v>
      </c>
      <c r="H51" s="33" t="s">
        <v>20</v>
      </c>
      <c r="I51" s="33" t="s">
        <v>156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245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245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133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6" t="s">
        <v>235</v>
      </c>
      <c r="B54" s="107"/>
      <c r="C54" s="107"/>
      <c r="D54" s="107"/>
      <c r="E54" s="108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233</v>
      </c>
      <c r="O54" s="39">
        <v>279980</v>
      </c>
    </row>
    <row r="55" spans="1:15" ht="18" customHeight="1">
      <c r="A55" s="103" t="s">
        <v>236</v>
      </c>
      <c r="B55" s="104"/>
      <c r="C55" s="104"/>
      <c r="D55" s="104"/>
      <c r="E55" s="105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237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245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122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245</v>
      </c>
      <c r="F57" s="27">
        <v>4</v>
      </c>
      <c r="G57" s="34">
        <f t="shared" si="12"/>
        <v>16.8</v>
      </c>
      <c r="H57" s="33" t="s">
        <v>20</v>
      </c>
      <c r="I57" s="33" t="s">
        <v>122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245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245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245</v>
      </c>
      <c r="F60" s="27">
        <v>5</v>
      </c>
      <c r="G60" s="28">
        <f t="shared" si="12"/>
        <v>21</v>
      </c>
      <c r="H60" s="26" t="s">
        <v>20</v>
      </c>
      <c r="I60" s="26" t="s">
        <v>122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245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245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129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268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245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245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245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245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245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6" t="s">
        <v>232</v>
      </c>
      <c r="B68" s="107"/>
      <c r="C68" s="107"/>
      <c r="D68" s="107"/>
      <c r="E68" s="108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233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245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269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245</v>
      </c>
      <c r="F70" s="27">
        <v>9</v>
      </c>
      <c r="G70" s="28">
        <f t="shared" si="15"/>
        <v>37.800000000000004</v>
      </c>
      <c r="H70" s="26" t="s">
        <v>20</v>
      </c>
      <c r="I70" s="26" t="s">
        <v>148</v>
      </c>
      <c r="J70" s="26" t="s">
        <v>184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245</v>
      </c>
      <c r="F71" s="27">
        <v>9</v>
      </c>
      <c r="G71" s="34">
        <f t="shared" si="15"/>
        <v>37.800000000000004</v>
      </c>
      <c r="H71" s="33" t="s">
        <v>20</v>
      </c>
      <c r="I71" s="33" t="s">
        <v>156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245</v>
      </c>
      <c r="F72" s="27">
        <v>0</v>
      </c>
      <c r="G72" s="28">
        <f t="shared" si="15"/>
        <v>0</v>
      </c>
      <c r="H72" s="26" t="s">
        <v>20</v>
      </c>
      <c r="I72" s="26" t="s">
        <v>156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245</v>
      </c>
      <c r="F73" s="27">
        <v>7</v>
      </c>
      <c r="G73" s="34">
        <f t="shared" si="15"/>
        <v>29.400000000000002</v>
      </c>
      <c r="H73" s="33" t="s">
        <v>20</v>
      </c>
      <c r="I73" s="33" t="s">
        <v>156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245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245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245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245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6" t="s">
        <v>235</v>
      </c>
      <c r="B81" s="107"/>
      <c r="C81" s="107"/>
      <c r="D81" s="107"/>
      <c r="E81" s="108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233</v>
      </c>
      <c r="O81" s="39">
        <v>185920</v>
      </c>
    </row>
    <row r="82" spans="1:15" ht="18" customHeight="1">
      <c r="A82" s="103" t="s">
        <v>236</v>
      </c>
      <c r="B82" s="104"/>
      <c r="C82" s="104"/>
      <c r="D82" s="104"/>
      <c r="E82" s="105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237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245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270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245</v>
      </c>
      <c r="F84" s="27">
        <v>0</v>
      </c>
      <c r="G84" s="34">
        <f t="shared" si="18"/>
        <v>0</v>
      </c>
      <c r="H84" s="26" t="s">
        <v>18</v>
      </c>
      <c r="I84" s="26" t="s">
        <v>137</v>
      </c>
      <c r="J84" s="26" t="s">
        <v>117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271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245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245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245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245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245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245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245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245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245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6" t="s">
        <v>232</v>
      </c>
      <c r="B95" s="107"/>
      <c r="C95" s="107"/>
      <c r="D95" s="107"/>
      <c r="E95" s="108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233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245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137</v>
      </c>
      <c r="J96" s="26" t="s">
        <v>117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245</v>
      </c>
      <c r="F97" s="27">
        <v>0</v>
      </c>
      <c r="G97" s="28">
        <f t="shared" si="21"/>
        <v>0</v>
      </c>
      <c r="H97" s="33" t="s">
        <v>18</v>
      </c>
      <c r="I97" s="33" t="s">
        <v>137</v>
      </c>
      <c r="J97" s="33" t="s">
        <v>117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272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245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245</v>
      </c>
      <c r="F99" s="27">
        <v>7</v>
      </c>
      <c r="G99" s="28">
        <f t="shared" si="21"/>
        <v>29.400000000000002</v>
      </c>
      <c r="H99" s="33" t="s">
        <v>20</v>
      </c>
      <c r="I99" s="33" t="s">
        <v>156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245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245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245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245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245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245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245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245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6" t="s">
        <v>235</v>
      </c>
      <c r="B108" s="107"/>
      <c r="C108" s="107"/>
      <c r="D108" s="107"/>
      <c r="E108" s="108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233</v>
      </c>
      <c r="O108" s="39">
        <v>434370</v>
      </c>
    </row>
    <row r="109" spans="1:15" ht="18" customHeight="1">
      <c r="A109" s="103" t="s">
        <v>236</v>
      </c>
      <c r="B109" s="104"/>
      <c r="C109" s="104"/>
      <c r="D109" s="104"/>
      <c r="E109" s="105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237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245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245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245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245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245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245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245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245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245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245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245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245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6" t="s">
        <v>232</v>
      </c>
      <c r="B122" s="107"/>
      <c r="C122" s="107"/>
      <c r="D122" s="107"/>
      <c r="E122" s="108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233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245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156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245</v>
      </c>
      <c r="F124" s="27">
        <v>9</v>
      </c>
      <c r="G124" s="28">
        <f t="shared" si="27"/>
        <v>37.800000000000004</v>
      </c>
      <c r="H124" s="26" t="s">
        <v>20</v>
      </c>
      <c r="I124" s="26" t="s">
        <v>156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245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273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245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245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134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245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245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130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245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245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197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245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245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245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6" t="s">
        <v>235</v>
      </c>
      <c r="B135" s="107"/>
      <c r="C135" s="107"/>
      <c r="D135" s="107"/>
      <c r="E135" s="108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233</v>
      </c>
      <c r="O135" s="39">
        <v>416350</v>
      </c>
    </row>
    <row r="136" spans="1:15" ht="18" customHeight="1">
      <c r="A136" s="103" t="s">
        <v>236</v>
      </c>
      <c r="B136" s="104"/>
      <c r="C136" s="104"/>
      <c r="D136" s="104"/>
      <c r="E136" s="105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237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245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274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245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245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203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245</v>
      </c>
      <c r="F140" s="27">
        <v>0</v>
      </c>
      <c r="G140" s="28">
        <f t="shared" si="30"/>
        <v>0</v>
      </c>
      <c r="H140" s="26" t="s">
        <v>20</v>
      </c>
      <c r="I140" s="26" t="s">
        <v>137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245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245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245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245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264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245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245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245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245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232</v>
      </c>
      <c r="B149" s="107"/>
      <c r="C149" s="107"/>
      <c r="D149" s="107"/>
      <c r="E149" s="108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233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245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137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245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/>
      <c r="M151" s="35">
        <f t="shared" ca="1" si="34"/>
        <v>3.642870370822493E-2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245</v>
      </c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245</v>
      </c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245</v>
      </c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245</v>
      </c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245</v>
      </c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245</v>
      </c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245</v>
      </c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245</v>
      </c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245</v>
      </c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245</v>
      </c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235</v>
      </c>
      <c r="B162" s="107"/>
      <c r="C162" s="107"/>
      <c r="D162" s="107"/>
      <c r="E162" s="108">
        <f>SUM(E150:E161)</f>
        <v>0</v>
      </c>
      <c r="F162" s="36">
        <f>SUM(F150:F161)</f>
        <v>8</v>
      </c>
      <c r="G162" s="36">
        <f>SUM(G150:G161)</f>
        <v>33.6</v>
      </c>
      <c r="H162" s="37"/>
      <c r="I162" s="37"/>
      <c r="J162" s="37"/>
      <c r="K162" s="37"/>
      <c r="L162" s="37"/>
      <c r="M162" s="38">
        <f ca="1">IFERROR(SUM(M150:M161),"")</f>
        <v>5.6567592597113858E-2</v>
      </c>
      <c r="N162" s="36" t="s">
        <v>233</v>
      </c>
      <c r="O162" s="39"/>
    </row>
    <row r="163" spans="1:15" ht="18" customHeight="1">
      <c r="A163" s="103" t="s">
        <v>236</v>
      </c>
      <c r="B163" s="104"/>
      <c r="C163" s="104"/>
      <c r="D163" s="104"/>
      <c r="E163" s="105">
        <f>E149+E162</f>
        <v>0</v>
      </c>
      <c r="F163" s="40">
        <f>F149+F162</f>
        <v>41</v>
      </c>
      <c r="G163" s="40">
        <f>G149+G162</f>
        <v>172.2</v>
      </c>
      <c r="H163" s="41"/>
      <c r="I163" s="41"/>
      <c r="J163" s="41"/>
      <c r="K163" s="41"/>
      <c r="L163" s="41"/>
      <c r="M163" s="42">
        <f ca="1">IFERROR(M149+M162,"")</f>
        <v>0.21003981481933603</v>
      </c>
      <c r="N163" s="40" t="s">
        <v>237</v>
      </c>
      <c r="O163" s="43">
        <f>IFERROR(O149+O162,"")</f>
        <v>138890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232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233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235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/>
    </row>
    <row r="190" spans="1:15" ht="18" customHeight="1">
      <c r="A190" s="103" t="s">
        <v>236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237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232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233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6" t="s">
        <v>235</v>
      </c>
      <c r="B216" s="107"/>
      <c r="C216" s="107"/>
      <c r="D216" s="107"/>
      <c r="E216" s="10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233</v>
      </c>
      <c r="O216" s="39"/>
    </row>
    <row r="217" spans="1:15" ht="18" customHeight="1">
      <c r="A217" s="103" t="s">
        <v>236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237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6" t="s">
        <v>232</v>
      </c>
      <c r="B230" s="107"/>
      <c r="C230" s="107"/>
      <c r="D230" s="107"/>
      <c r="E230" s="10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233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6" t="s">
        <v>235</v>
      </c>
      <c r="B243" s="107"/>
      <c r="C243" s="107"/>
      <c r="D243" s="107"/>
      <c r="E243" s="10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233</v>
      </c>
      <c r="O243" s="39"/>
    </row>
    <row r="244" spans="1:15" ht="18" customHeight="1">
      <c r="A244" s="103" t="s">
        <v>236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237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6" t="s">
        <v>232</v>
      </c>
      <c r="B257" s="107"/>
      <c r="C257" s="107"/>
      <c r="D257" s="107"/>
      <c r="E257" s="10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233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6" t="s">
        <v>235</v>
      </c>
      <c r="B270" s="107"/>
      <c r="C270" s="107"/>
      <c r="D270" s="107"/>
      <c r="E270" s="10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/>
    </row>
    <row r="271" spans="1:15" ht="18" customHeight="1">
      <c r="A271" s="103" t="s">
        <v>236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237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6" t="s">
        <v>232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233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6" t="s">
        <v>235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233</v>
      </c>
      <c r="O297" s="39"/>
    </row>
    <row r="298" spans="1:15" ht="18" customHeight="1">
      <c r="A298" s="103" t="s">
        <v>236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237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6" t="s">
        <v>232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233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6" t="s">
        <v>235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/>
    </row>
    <row r="325" spans="1:15" ht="18" customHeight="1">
      <c r="A325" s="103" t="s">
        <v>236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237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6" t="s">
        <v>232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233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6" t="s">
        <v>235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233</v>
      </c>
      <c r="O351" s="39"/>
    </row>
    <row r="352" spans="1:15" ht="18" customHeight="1">
      <c r="A352" s="103" t="s">
        <v>236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237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6" t="s">
        <v>232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233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6" t="s">
        <v>235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233</v>
      </c>
      <c r="O378" s="39"/>
    </row>
    <row r="379" spans="1:15" ht="18" customHeight="1">
      <c r="A379" s="103" t="s">
        <v>236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237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6" t="s">
        <v>232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233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6" t="s">
        <v>235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233</v>
      </c>
      <c r="O405" s="39"/>
    </row>
    <row r="406" spans="1:15" ht="18" customHeight="1">
      <c r="A406" s="103" t="s">
        <v>236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237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6" t="s">
        <v>232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233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6" t="s">
        <v>235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/>
    </row>
    <row r="433" spans="1:15" ht="18" customHeight="1">
      <c r="A433" s="103" t="s">
        <v>236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237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6" t="s">
        <v>232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233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6" t="s">
        <v>235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233</v>
      </c>
      <c r="O459" s="39"/>
    </row>
    <row r="460" spans="1:15" ht="18" customHeight="1">
      <c r="A460" s="103" t="s">
        <v>236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237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6" t="s">
        <v>232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6" t="s">
        <v>235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/>
    </row>
    <row r="487" spans="1:15" ht="18" customHeight="1">
      <c r="A487" s="103" t="s">
        <v>236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237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6" t="s">
        <v>232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233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6" t="s">
        <v>235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/>
    </row>
    <row r="514" spans="1:15" ht="18" customHeight="1">
      <c r="A514" s="103" t="s">
        <v>236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237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6" t="s">
        <v>232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233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6" t="s">
        <v>235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233</v>
      </c>
      <c r="O540" s="39"/>
    </row>
    <row r="541" spans="1:15" ht="18" customHeight="1">
      <c r="A541" s="103" t="s">
        <v>236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237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6" t="s">
        <v>232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233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6" t="s">
        <v>235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233</v>
      </c>
      <c r="O567" s="39"/>
    </row>
    <row r="568" spans="1:15" ht="18" customHeight="1">
      <c r="A568" s="103" t="s">
        <v>236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237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6" t="s">
        <v>232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233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6" t="s">
        <v>235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233</v>
      </c>
      <c r="O594" s="39"/>
    </row>
    <row r="595" spans="1:15" ht="18" customHeight="1">
      <c r="A595" s="103" t="s">
        <v>236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237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6" t="s">
        <v>232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233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6" t="s">
        <v>235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233</v>
      </c>
      <c r="O621" s="39"/>
    </row>
    <row r="622" spans="1:15" ht="18" customHeight="1">
      <c r="A622" s="103" t="s">
        <v>236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237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6" t="s">
        <v>232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6" t="s">
        <v>235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3" t="s">
        <v>236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237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6" t="s">
        <v>232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6" t="s">
        <v>235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3" t="s">
        <v>236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237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6" t="s">
        <v>232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6" t="s">
        <v>235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3" t="s">
        <v>236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237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6" t="s">
        <v>232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6" t="s">
        <v>235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3" t="s">
        <v>236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237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6" t="s">
        <v>232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6" t="s">
        <v>235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3" t="s">
        <v>236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6" t="s">
        <v>232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6" t="s">
        <v>235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3" t="s">
        <v>236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6" t="s">
        <v>232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6" t="s">
        <v>235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3" t="s">
        <v>236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6" t="s">
        <v>232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233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6" t="s">
        <v>235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233</v>
      </c>
      <c r="O837" s="39"/>
    </row>
    <row r="838" spans="1:15" ht="18" customHeight="1">
      <c r="A838" s="103" t="s">
        <v>236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237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128" activePane="bottomLeft" state="frozen"/>
      <selection pane="bottomLeft" activeCell="F152" sqref="F152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245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245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245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245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245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245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245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245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245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245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245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6" t="s">
        <v>232</v>
      </c>
      <c r="B14" s="107"/>
      <c r="C14" s="107"/>
      <c r="D14" s="107"/>
      <c r="E14" s="108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233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245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245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275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245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252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245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129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266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245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129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276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245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245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245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160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277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245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245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245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245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6" t="s">
        <v>235</v>
      </c>
      <c r="B27" s="107"/>
      <c r="C27" s="107"/>
      <c r="D27" s="107"/>
      <c r="E27" s="108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233</v>
      </c>
      <c r="O27" s="39">
        <v>491520</v>
      </c>
    </row>
    <row r="28" spans="1:15" ht="18" customHeight="1">
      <c r="A28" s="103" t="s">
        <v>236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237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245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245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245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245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245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245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245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245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245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245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245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6" t="s">
        <v>232</v>
      </c>
      <c r="B41" s="107"/>
      <c r="C41" s="107"/>
      <c r="D41" s="107"/>
      <c r="E41" s="108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233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245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245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245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245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278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245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245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245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245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245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245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245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6" t="s">
        <v>235</v>
      </c>
      <c r="B54" s="107"/>
      <c r="C54" s="107"/>
      <c r="D54" s="107"/>
      <c r="E54" s="108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233</v>
      </c>
      <c r="O54" s="39">
        <v>352430</v>
      </c>
    </row>
    <row r="55" spans="1:15" ht="18" customHeight="1">
      <c r="A55" s="103" t="s">
        <v>236</v>
      </c>
      <c r="B55" s="104"/>
      <c r="C55" s="104"/>
      <c r="D55" s="104"/>
      <c r="E55" s="105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237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245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245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245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205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245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279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245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129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280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245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245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245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245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245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245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245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6" t="s">
        <v>232</v>
      </c>
      <c r="B68" s="107"/>
      <c r="C68" s="107"/>
      <c r="D68" s="107"/>
      <c r="E68" s="108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233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245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215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281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245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245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245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129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266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245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245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205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245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245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245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245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245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6" t="s">
        <v>235</v>
      </c>
      <c r="B81" s="107"/>
      <c r="C81" s="107"/>
      <c r="D81" s="107"/>
      <c r="E81" s="108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233</v>
      </c>
      <c r="O81" s="39">
        <v>612410</v>
      </c>
    </row>
    <row r="82" spans="1:15" ht="18" customHeight="1">
      <c r="A82" s="103" t="s">
        <v>236</v>
      </c>
      <c r="B82" s="104"/>
      <c r="C82" s="104"/>
      <c r="D82" s="104"/>
      <c r="E82" s="105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237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245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161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245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245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245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245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245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245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245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245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245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245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245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6" t="s">
        <v>232</v>
      </c>
      <c r="B95" s="107"/>
      <c r="C95" s="107"/>
      <c r="D95" s="107"/>
      <c r="E95" s="108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233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245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161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245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129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266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245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245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245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245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245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245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245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245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245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245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6" t="s">
        <v>235</v>
      </c>
      <c r="B108" s="107"/>
      <c r="C108" s="107"/>
      <c r="D108" s="107"/>
      <c r="E108" s="108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233</v>
      </c>
      <c r="O108" s="39">
        <v>956070</v>
      </c>
    </row>
    <row r="109" spans="1:15" ht="18" customHeight="1">
      <c r="A109" s="103" t="s">
        <v>236</v>
      </c>
      <c r="B109" s="104"/>
      <c r="C109" s="104"/>
      <c r="D109" s="104"/>
      <c r="E109" s="105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237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245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161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245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215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245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220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245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220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245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161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282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245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245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245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245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245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245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245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6" t="s">
        <v>232</v>
      </c>
      <c r="B122" s="107"/>
      <c r="C122" s="107"/>
      <c r="D122" s="107"/>
      <c r="E122" s="108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233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245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205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245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283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245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245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245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255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245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245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129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266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245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245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245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245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245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6" t="s">
        <v>235</v>
      </c>
      <c r="B135" s="107"/>
      <c r="C135" s="107"/>
      <c r="D135" s="107"/>
      <c r="E135" s="108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233</v>
      </c>
      <c r="O135" s="39">
        <v>912240</v>
      </c>
    </row>
    <row r="136" spans="1:18" ht="18" customHeight="1">
      <c r="A136" s="103" t="s">
        <v>236</v>
      </c>
      <c r="B136" s="104"/>
      <c r="C136" s="104"/>
      <c r="D136" s="104"/>
      <c r="E136" s="105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237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245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245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161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284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245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285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245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245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140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245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245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161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245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245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245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264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245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245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232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233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245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245</v>
      </c>
      <c r="F151" s="27">
        <v>11</v>
      </c>
      <c r="G151" s="34">
        <f t="shared" si="33"/>
        <v>46.2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245</v>
      </c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245</v>
      </c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245</v>
      </c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245</v>
      </c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245</v>
      </c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245</v>
      </c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245</v>
      </c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245</v>
      </c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245</v>
      </c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245</v>
      </c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235</v>
      </c>
      <c r="B162" s="107"/>
      <c r="C162" s="107"/>
      <c r="D162" s="107"/>
      <c r="E162" s="108">
        <f>SUM(E150:E161)</f>
        <v>0</v>
      </c>
      <c r="F162" s="36">
        <f>SUM(F150:F161)</f>
        <v>21</v>
      </c>
      <c r="G162" s="36">
        <f>SUM(G150:G161)</f>
        <v>88.2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233</v>
      </c>
      <c r="O162" s="39"/>
    </row>
    <row r="163" spans="1:15" ht="18" customHeight="1">
      <c r="A163" s="103" t="s">
        <v>236</v>
      </c>
      <c r="B163" s="104"/>
      <c r="C163" s="104"/>
      <c r="D163" s="104"/>
      <c r="E163" s="105">
        <f>E149+E162</f>
        <v>0</v>
      </c>
      <c r="F163" s="40">
        <f>F149+F162</f>
        <v>203</v>
      </c>
      <c r="G163" s="40">
        <f>G149+G162</f>
        <v>852.60000000000014</v>
      </c>
      <c r="H163" s="41"/>
      <c r="I163" s="41"/>
      <c r="J163" s="41"/>
      <c r="K163" s="63"/>
      <c r="L163" s="63"/>
      <c r="M163" s="42">
        <f ca="1">IFERROR(M149+M162,"")</f>
        <v>9.4444444444444386E-2</v>
      </c>
      <c r="N163" s="40" t="s">
        <v>237</v>
      </c>
      <c r="O163" s="43">
        <f>IFERROR(O149+O162,"")</f>
        <v>797860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232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233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235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233</v>
      </c>
      <c r="O189" s="39"/>
    </row>
    <row r="190" spans="1:15" ht="18" customHeight="1">
      <c r="A190" s="103" t="s">
        <v>236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237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232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233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6" t="s">
        <v>235</v>
      </c>
      <c r="B216" s="107"/>
      <c r="C216" s="107"/>
      <c r="D216" s="107"/>
      <c r="E216" s="10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233</v>
      </c>
      <c r="O216" s="45"/>
    </row>
    <row r="217" spans="1:15" ht="18" customHeight="1">
      <c r="A217" s="103" t="s">
        <v>236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237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6" t="s">
        <v>232</v>
      </c>
      <c r="B230" s="107"/>
      <c r="C230" s="107"/>
      <c r="D230" s="107"/>
      <c r="E230" s="10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233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6" t="s">
        <v>235</v>
      </c>
      <c r="B243" s="107"/>
      <c r="C243" s="107"/>
      <c r="D243" s="107"/>
      <c r="E243" s="10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233</v>
      </c>
      <c r="O243" s="39"/>
    </row>
    <row r="244" spans="1:15" ht="18" customHeight="1">
      <c r="A244" s="103" t="s">
        <v>236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237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6" t="s">
        <v>232</v>
      </c>
      <c r="B257" s="107"/>
      <c r="C257" s="107"/>
      <c r="D257" s="107"/>
      <c r="E257" s="10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233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6" t="s">
        <v>235</v>
      </c>
      <c r="B270" s="107"/>
      <c r="C270" s="107"/>
      <c r="D270" s="107"/>
      <c r="E270" s="10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233</v>
      </c>
      <c r="O270" s="39"/>
    </row>
    <row r="271" spans="1:15" ht="18" customHeight="1">
      <c r="A271" s="103" t="s">
        <v>236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237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6" t="s">
        <v>232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233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6" t="s">
        <v>235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233</v>
      </c>
      <c r="O297" s="39"/>
    </row>
    <row r="298" spans="1:15" ht="18" customHeight="1">
      <c r="A298" s="103" t="s">
        <v>236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237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6" t="s">
        <v>232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233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6" t="s">
        <v>235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233</v>
      </c>
      <c r="O324" s="39"/>
    </row>
    <row r="325" spans="1:15" ht="18" customHeight="1">
      <c r="A325" s="103" t="s">
        <v>236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237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6" t="s">
        <v>232</v>
      </c>
      <c r="B338" s="107"/>
      <c r="C338" s="107"/>
      <c r="D338" s="107"/>
      <c r="E338" s="108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233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6" t="s">
        <v>235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233</v>
      </c>
      <c r="O351" s="39"/>
    </row>
    <row r="352" spans="1:15" ht="18" customHeight="1">
      <c r="A352" s="103" t="s">
        <v>236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237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232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233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6" t="s">
        <v>235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233</v>
      </c>
      <c r="O378" s="39"/>
    </row>
    <row r="379" spans="1:15" ht="18" customHeight="1">
      <c r="A379" s="103" t="s">
        <v>236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237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6" t="s">
        <v>232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233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6" t="s">
        <v>235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233</v>
      </c>
      <c r="O405" s="39"/>
    </row>
    <row r="406" spans="1:15" ht="18" customHeight="1">
      <c r="A406" s="103" t="s">
        <v>236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237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6" t="s">
        <v>232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233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6" t="s">
        <v>235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233</v>
      </c>
      <c r="O432" s="39"/>
    </row>
    <row r="433" spans="1:17" ht="18" customHeight="1">
      <c r="A433" s="103" t="s">
        <v>236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237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6" t="s">
        <v>232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233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6" t="s">
        <v>235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233</v>
      </c>
      <c r="O459" s="39"/>
    </row>
    <row r="460" spans="1:15" ht="18" customHeight="1">
      <c r="A460" s="103" t="s">
        <v>236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237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6" t="s">
        <v>232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233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6" t="s">
        <v>235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233</v>
      </c>
      <c r="O486" s="39"/>
    </row>
    <row r="487" spans="1:15" ht="18" customHeight="1">
      <c r="A487" s="103" t="s">
        <v>236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237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6" t="s">
        <v>232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233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6" t="s">
        <v>235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233</v>
      </c>
      <c r="O513" s="39"/>
    </row>
    <row r="514" spans="1:15" ht="18" customHeight="1">
      <c r="A514" s="103" t="s">
        <v>236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237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6" t="s">
        <v>232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233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6" t="s">
        <v>235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233</v>
      </c>
      <c r="O540" s="39"/>
    </row>
    <row r="541" spans="1:15" ht="18" customHeight="1">
      <c r="A541" s="103" t="s">
        <v>236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237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6" t="s">
        <v>232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233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6" t="s">
        <v>235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233</v>
      </c>
      <c r="O567" s="39"/>
    </row>
    <row r="568" spans="1:15" ht="18" customHeight="1">
      <c r="A568" s="103" t="s">
        <v>236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237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6" t="s">
        <v>232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233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6" t="s">
        <v>235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233</v>
      </c>
      <c r="O594" s="39"/>
    </row>
    <row r="595" spans="1:15" ht="18" customHeight="1">
      <c r="A595" s="103" t="s">
        <v>236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237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6" t="s">
        <v>232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233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6" t="s">
        <v>235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233</v>
      </c>
      <c r="O621" s="39"/>
    </row>
    <row r="622" spans="1:15" ht="18" customHeight="1">
      <c r="A622" s="103" t="s">
        <v>236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237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6" t="s">
        <v>232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6" t="s">
        <v>235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3" t="s">
        <v>236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237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6" t="s">
        <v>232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6" t="s">
        <v>235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3" t="s">
        <v>236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237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6" t="s">
        <v>232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6" t="s">
        <v>235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3" t="s">
        <v>236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237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6" t="s">
        <v>232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6" t="s">
        <v>235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3" t="s">
        <v>236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237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6" t="s">
        <v>232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6" t="s">
        <v>235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3" t="s">
        <v>236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6" t="s">
        <v>232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6" t="s">
        <v>235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3" t="s">
        <v>236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6" t="s">
        <v>232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6" t="s">
        <v>235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3" t="s">
        <v>236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237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6" t="s">
        <v>232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233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6" t="s">
        <v>235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233</v>
      </c>
      <c r="O837" s="39"/>
    </row>
    <row r="838" spans="1:15" ht="18" customHeight="1">
      <c r="A838" s="103" t="s">
        <v>236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237</v>
      </c>
      <c r="O838" s="48">
        <f>IFERROR(O824+O837,"")</f>
        <v>0</v>
      </c>
    </row>
  </sheetData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2026-08-07T01:41:40Z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