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38" documentId="8_{C51EB6CB-002B-4D6B-B68F-DDEBDB4460C0}" xr6:coauthVersionLast="47" xr6:coauthVersionMax="47" xr10:uidLastSave="{A9B422F7-387D-4661-9AFE-BEDFA5F0867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<sst xmlns="http://schemas.openxmlformats.org/spreadsheetml/2006/main" count="4444" uniqueCount="305">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</sst>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19" sqref="F2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30</v>
      </c>
      <c r="G218" s="28">
        <f t="shared" ref="G218:G229" si="48">IF(F218="","",IF(E218="PC 17",F218*4.2,IF(E218="PC 19",F218*5,IF(E218="CB",F218*35,""))))</f>
        <v>150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</v>
      </c>
      <c r="G230" s="36">
        <f>SUM(G218:G229)</f>
        <v>150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</v>
      </c>
      <c r="G244" s="40">
        <f>G230+G243</f>
        <v>150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E224" sqref="E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0.24912199073878583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0.38801087962767472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0.47273310184989703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/>
      <c r="G219" s="34" t="str">
        <f t="shared" si="48"/>
        <v/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18</v>
      </c>
      <c r="G230" s="36">
        <f>SUM(G218:G229)</f>
        <v>75.600000000000009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</v>
      </c>
      <c r="G244" s="40">
        <f>G230+G243</f>
        <v>75.600000000000009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G227" sqref="G2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E223" sqref="E2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15</v>
      </c>
      <c r="G230" s="36">
        <f>SUM(G218:G229)</f>
        <v>63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</v>
      </c>
      <c r="G244" s="40">
        <f>G230+G243</f>
        <v>63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2026-08-09T12:53:48Z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