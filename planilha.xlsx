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45" documentId="8_{AF585B22-221D-4780-BB9C-493D365A6A02}" xr6:coauthVersionLast="47" xr6:coauthVersionMax="47" xr10:uidLastSave="{18ADE016-C015-4CAD-9D10-938E89E5BA1B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3" i="4" l="1"/>
  <c r="M44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<sst xmlns="http://schemas.openxmlformats.org/spreadsheetml/2006/main" count="1678" uniqueCount="210">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</sst>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108620</v>
      </c>
      <c r="D5" s="11">
        <f>IFERROR('Linha 1'!O55,"")</f>
        <v>351740</v>
      </c>
      <c r="E5" s="11">
        <f>IFERROR('Linha 2'!O55,"")</f>
        <v>205590</v>
      </c>
      <c r="F5" s="11">
        <f>IFERROR('Linha 3'!O55,"")</f>
        <v>304990</v>
      </c>
      <c r="G5" s="12">
        <f t="shared" si="0"/>
        <v>862320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2781100</v>
      </c>
      <c r="D35" s="13">
        <f>IFERROR(SUM(D4:D34),"")</f>
        <v>1372200</v>
      </c>
      <c r="E35" s="13">
        <f>IFERROR(SUM(E4:E34),"")</f>
        <v>806620</v>
      </c>
      <c r="F35" s="13">
        <f>IFERROR(SUM(F4:F34),"")</f>
        <v>834290</v>
      </c>
      <c r="G35" s="13">
        <f>IFERROR(SUM(G4:G34),"")</f>
        <v>3013110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43" activePane="bottomLeft" state="frozen"/>
      <selection pane="bottomLeft" activeCell="F50" sqref="F5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29</v>
      </c>
      <c r="G49" s="28">
        <f t="shared" si="9"/>
        <v>145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126</v>
      </c>
      <c r="G54" s="36">
        <f>SUM(G42:G53)</f>
        <v>630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147</v>
      </c>
      <c r="G55" s="40">
        <f>G41+G54</f>
        <v>735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108620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6" activePane="bottomLeft" state="frozen"/>
      <selection pane="bottomLeft" activeCell="F50" sqref="F5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200</v>
      </c>
      <c r="M29" s="35" t="str">
        <f t="shared" ref="M29:M40" ca="1" si="7">IFERROR(IF(K29="","",IF(L29="",MOD(NOW()-K29,1),IF(L29&gt;=K29,L29-K29,L29+1-K29))),"")</f>
        <v/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54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0.97083333333333333</v>
      </c>
      <c r="M42" s="30">
        <f ca="1">IFERROR(IF(K42="","",IF(L42="",MOD(NOW()-K42,1),IF(L42&gt;=K42,L42-K42,L42+1-K42))),"")</f>
        <v>4.3749999999999956E-2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4.1666666666666664E-2</v>
      </c>
      <c r="M43" s="30">
        <f t="shared" ref="M43:M53" ca="1" si="11">IFERROR(IF(K43="","",IF(L43="",MOD(NOW()-K43,1),IF(L43&gt;=K43,L43-K43,L43+1-K43))),"")</f>
        <v>1.0416666666666664E-2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/>
      <c r="I44" s="26"/>
      <c r="J44" s="26"/>
      <c r="K44" s="29"/>
      <c r="L44" s="29"/>
      <c r="M44" s="30" t="str">
        <f t="shared" ca="1" si="11"/>
        <v/>
      </c>
      <c r="N44" s="46"/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51</v>
      </c>
      <c r="G54" s="36">
        <f>SUM(G42:G53)</f>
        <v>214.19999999999996</v>
      </c>
      <c r="H54" s="37"/>
      <c r="I54" s="37"/>
      <c r="J54" s="37"/>
      <c r="K54" s="37"/>
      <c r="L54" s="37"/>
      <c r="M54" s="38">
        <f ca="1">IFERROR(SUM(M42:M53),"")</f>
        <v>5.416666666666662E-2</v>
      </c>
      <c r="N54" s="36" t="s">
        <v>194</v>
      </c>
      <c r="O54" s="54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139</v>
      </c>
      <c r="G55" s="40">
        <f>G41+G54</f>
        <v>583.79999999999995</v>
      </c>
      <c r="H55" s="41"/>
      <c r="I55" s="41"/>
      <c r="J55" s="41"/>
      <c r="K55" s="41"/>
      <c r="L55" s="41"/>
      <c r="M55" s="42">
        <f ca="1">IFERROR(M41+M54,"")</f>
        <v>0.13402777777777772</v>
      </c>
      <c r="N55" s="40" t="s">
        <v>197</v>
      </c>
      <c r="O55" s="43">
        <f>IFERROR(O41+O54,"")</f>
        <v>351740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29" activePane="bottomLeft" state="frozen"/>
      <selection pane="bottomLeft" activeCell="L44" sqref="L4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22</v>
      </c>
      <c r="G54" s="36">
        <f>SUM(G42:G53)</f>
        <v>92.4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93</v>
      </c>
      <c r="G55" s="40">
        <f>G41+G54</f>
        <v>390.6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205590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0" activePane="bottomLeft" state="frozen"/>
      <selection pane="bottomLeft" activeCell="F51" sqref="F5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207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120</v>
      </c>
      <c r="G54" s="36">
        <f>SUM(G42:G53)</f>
        <v>504.00000000000011</v>
      </c>
      <c r="H54" s="37"/>
      <c r="I54" s="37"/>
      <c r="J54" s="37"/>
      <c r="K54" s="61"/>
      <c r="L54" s="61"/>
      <c r="M54" s="38">
        <f ca="1">IFERROR(SUM(M42:M53),"")</f>
        <v>5.208333333333337E-2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205</v>
      </c>
      <c r="G55" s="40">
        <f>G41+G54</f>
        <v>861.00000000000011</v>
      </c>
      <c r="H55" s="41"/>
      <c r="I55" s="41"/>
      <c r="J55" s="41"/>
      <c r="K55" s="63"/>
      <c r="L55" s="63"/>
      <c r="M55" s="42">
        <f ca="1">IFERROR(M41+M54,"")</f>
        <v>0.27638888888888902</v>
      </c>
      <c r="N55" s="40" t="s">
        <v>197</v>
      </c>
      <c r="O55" s="48">
        <f>IFERROR(O41+O54,"")</f>
        <v>304990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2026-07-03T08:04:41Z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