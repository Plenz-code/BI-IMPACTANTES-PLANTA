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3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1328" documentId="13_ncr:1_{A6DBCFB4-28D9-4249-9038-216934055CA6}" xr6:coauthVersionLast="47" xr6:coauthVersionMax="47" xr10:uidLastSave="{9C906A79-8ECC-4DEF-845A-65CD2420834C}"/>
  <bookViews>
    <workbookView xWindow="-110" yWindow="-110" windowWidth="25820" windowHeight="15500" tabRatio="500" firstSheet="4" activeTab="6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515" i="5" l="1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Q824" i="6" s="1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Q810" i="6" s="1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Q729" i="6" s="1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Q716" i="6" s="1"/>
  <c r="Q730" i="6" s="1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I656" i="6"/>
  <c r="H656" i="6"/>
  <c r="J656" i="6" s="1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J650" i="6" s="1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H629" i="6"/>
  <c r="J629" i="6" s="1"/>
  <c r="F629" i="6"/>
  <c r="Q628" i="6"/>
  <c r="K628" i="6"/>
  <c r="I628" i="6"/>
  <c r="H628" i="6"/>
  <c r="J628" i="6" s="1"/>
  <c r="F628" i="6"/>
  <c r="Q627" i="6"/>
  <c r="K627" i="6"/>
  <c r="I627" i="6"/>
  <c r="H627" i="6"/>
  <c r="J627" i="6" s="1"/>
  <c r="F627" i="6"/>
  <c r="Q626" i="6"/>
  <c r="K626" i="6"/>
  <c r="I626" i="6"/>
  <c r="H626" i="6"/>
  <c r="J626" i="6" s="1"/>
  <c r="F626" i="6"/>
  <c r="Q625" i="6"/>
  <c r="K625" i="6"/>
  <c r="I625" i="6"/>
  <c r="H625" i="6"/>
  <c r="J625" i="6" s="1"/>
  <c r="F625" i="6"/>
  <c r="Q624" i="6"/>
  <c r="K624" i="6"/>
  <c r="I624" i="6"/>
  <c r="H624" i="6"/>
  <c r="J624" i="6" s="1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S622" i="6"/>
  <c r="G621" i="6"/>
  <c r="Q620" i="6"/>
  <c r="K620" i="6"/>
  <c r="I620" i="6"/>
  <c r="H620" i="6"/>
  <c r="J620" i="6" s="1"/>
  <c r="F620" i="6"/>
  <c r="Q619" i="6"/>
  <c r="K619" i="6"/>
  <c r="I619" i="6"/>
  <c r="H619" i="6"/>
  <c r="J619" i="6" s="1"/>
  <c r="F619" i="6"/>
  <c r="Q618" i="6"/>
  <c r="K618" i="6"/>
  <c r="I618" i="6"/>
  <c r="H618" i="6"/>
  <c r="J618" i="6" s="1"/>
  <c r="F618" i="6"/>
  <c r="Q617" i="6"/>
  <c r="K617" i="6"/>
  <c r="I617" i="6"/>
  <c r="H617" i="6"/>
  <c r="J617" i="6" s="1"/>
  <c r="F617" i="6"/>
  <c r="Q616" i="6"/>
  <c r="K616" i="6"/>
  <c r="I616" i="6"/>
  <c r="H616" i="6"/>
  <c r="J616" i="6" s="1"/>
  <c r="F616" i="6"/>
  <c r="Q615" i="6"/>
  <c r="I615" i="6"/>
  <c r="H615" i="6"/>
  <c r="J615" i="6" s="1"/>
  <c r="F615" i="6"/>
  <c r="Q614" i="6"/>
  <c r="K614" i="6"/>
  <c r="I614" i="6"/>
  <c r="H614" i="6"/>
  <c r="J614" i="6" s="1"/>
  <c r="F614" i="6"/>
  <c r="Q613" i="6"/>
  <c r="K613" i="6"/>
  <c r="I613" i="6"/>
  <c r="H613" i="6"/>
  <c r="J613" i="6" s="1"/>
  <c r="F613" i="6"/>
  <c r="Q612" i="6"/>
  <c r="K612" i="6"/>
  <c r="I612" i="6"/>
  <c r="H612" i="6"/>
  <c r="J612" i="6" s="1"/>
  <c r="F612" i="6"/>
  <c r="Q611" i="6"/>
  <c r="K611" i="6"/>
  <c r="I611" i="6"/>
  <c r="H611" i="6"/>
  <c r="J611" i="6" s="1"/>
  <c r="F611" i="6"/>
  <c r="Q610" i="6"/>
  <c r="K610" i="6"/>
  <c r="I610" i="6"/>
  <c r="H610" i="6"/>
  <c r="J610" i="6" s="1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Q621" i="6" s="1"/>
  <c r="K609" i="6"/>
  <c r="K621" i="6" s="1"/>
  <c r="I609" i="6"/>
  <c r="H609" i="6"/>
  <c r="F609" i="6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J600" i="6" s="1"/>
  <c r="F600" i="6"/>
  <c r="Q599" i="6"/>
  <c r="K599" i="6"/>
  <c r="I599" i="6"/>
  <c r="H599" i="6"/>
  <c r="J599" i="6" s="1"/>
  <c r="F599" i="6"/>
  <c r="Q598" i="6"/>
  <c r="K598" i="6"/>
  <c r="I598" i="6"/>
  <c r="H598" i="6"/>
  <c r="J598" i="6" s="1"/>
  <c r="F598" i="6"/>
  <c r="Q597" i="6"/>
  <c r="K597" i="6"/>
  <c r="I597" i="6"/>
  <c r="H597" i="6"/>
  <c r="J597" i="6" s="1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Q608" i="6" s="1"/>
  <c r="K596" i="6"/>
  <c r="K608" i="6" s="1"/>
  <c r="K622" i="6" s="1"/>
  <c r="I596" i="6"/>
  <c r="H596" i="6"/>
  <c r="F596" i="6"/>
  <c r="S595" i="6"/>
  <c r="G594" i="6"/>
  <c r="Q593" i="6"/>
  <c r="K593" i="6"/>
  <c r="I593" i="6"/>
  <c r="H593" i="6"/>
  <c r="J593" i="6" s="1"/>
  <c r="F593" i="6"/>
  <c r="Q592" i="6"/>
  <c r="K592" i="6"/>
  <c r="I592" i="6"/>
  <c r="H592" i="6"/>
  <c r="J592" i="6" s="1"/>
  <c r="F592" i="6"/>
  <c r="Q591" i="6"/>
  <c r="K591" i="6"/>
  <c r="I591" i="6"/>
  <c r="H591" i="6"/>
  <c r="J591" i="6" s="1"/>
  <c r="F591" i="6"/>
  <c r="Q590" i="6"/>
  <c r="K590" i="6"/>
  <c r="I590" i="6"/>
  <c r="H590" i="6"/>
  <c r="J590" i="6" s="1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H587" i="6"/>
  <c r="J587" i="6" s="1"/>
  <c r="F587" i="6"/>
  <c r="Q586" i="6"/>
  <c r="K586" i="6"/>
  <c r="I586" i="6"/>
  <c r="H586" i="6"/>
  <c r="J586" i="6" s="1"/>
  <c r="F586" i="6"/>
  <c r="Q585" i="6"/>
  <c r="K585" i="6"/>
  <c r="I585" i="6"/>
  <c r="H585" i="6"/>
  <c r="J585" i="6" s="1"/>
  <c r="F585" i="6"/>
  <c r="Q584" i="6"/>
  <c r="K584" i="6"/>
  <c r="I584" i="6"/>
  <c r="H584" i="6"/>
  <c r="J584" i="6" s="1"/>
  <c r="F584" i="6"/>
  <c r="Q583" i="6"/>
  <c r="K583" i="6"/>
  <c r="I583" i="6"/>
  <c r="H583" i="6"/>
  <c r="J583" i="6" s="1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J580" i="6" s="1"/>
  <c r="F580" i="6"/>
  <c r="Q579" i="6"/>
  <c r="K579" i="6"/>
  <c r="I579" i="6"/>
  <c r="H579" i="6"/>
  <c r="J579" i="6" s="1"/>
  <c r="F579" i="6"/>
  <c r="Q578" i="6"/>
  <c r="K578" i="6"/>
  <c r="I578" i="6"/>
  <c r="H578" i="6"/>
  <c r="J578" i="6" s="1"/>
  <c r="F578" i="6"/>
  <c r="Q577" i="6"/>
  <c r="K577" i="6"/>
  <c r="I577" i="6"/>
  <c r="H577" i="6"/>
  <c r="J577" i="6" s="1"/>
  <c r="F577" i="6"/>
  <c r="Q576" i="6"/>
  <c r="K576" i="6"/>
  <c r="I576" i="6"/>
  <c r="H576" i="6"/>
  <c r="J576" i="6" s="1"/>
  <c r="F576" i="6"/>
  <c r="K575" i="6"/>
  <c r="I575" i="6"/>
  <c r="H575" i="6"/>
  <c r="J575" i="6" s="1"/>
  <c r="F575" i="6"/>
  <c r="Q574" i="6"/>
  <c r="K574" i="6"/>
  <c r="I574" i="6"/>
  <c r="H574" i="6"/>
  <c r="J574" i="6" s="1"/>
  <c r="F574" i="6"/>
  <c r="Q573" i="6"/>
  <c r="K573" i="6"/>
  <c r="I573" i="6"/>
  <c r="H573" i="6"/>
  <c r="J573" i="6" s="1"/>
  <c r="F573" i="6"/>
  <c r="Q572" i="6"/>
  <c r="K572" i="6"/>
  <c r="I572" i="6"/>
  <c r="H572" i="6"/>
  <c r="J572" i="6" s="1"/>
  <c r="F572" i="6"/>
  <c r="Q571" i="6"/>
  <c r="K571" i="6"/>
  <c r="I571" i="6"/>
  <c r="H571" i="6"/>
  <c r="J571" i="6" s="1"/>
  <c r="F571" i="6"/>
  <c r="Q570" i="6"/>
  <c r="K570" i="6"/>
  <c r="I570" i="6"/>
  <c r="H570" i="6"/>
  <c r="J570" i="6" s="1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Q581" i="6" s="1"/>
  <c r="K569" i="6"/>
  <c r="K581" i="6" s="1"/>
  <c r="K595" i="6" s="1"/>
  <c r="I569" i="6"/>
  <c r="H569" i="6"/>
  <c r="F569" i="6"/>
  <c r="S568" i="6"/>
  <c r="G567" i="6"/>
  <c r="Q566" i="6"/>
  <c r="K566" i="6"/>
  <c r="I566" i="6"/>
  <c r="H566" i="6"/>
  <c r="J566" i="6" s="1"/>
  <c r="F566" i="6"/>
  <c r="Q565" i="6"/>
  <c r="K565" i="6"/>
  <c r="I565" i="6"/>
  <c r="H565" i="6"/>
  <c r="J565" i="6" s="1"/>
  <c r="F565" i="6"/>
  <c r="Q564" i="6"/>
  <c r="K564" i="6"/>
  <c r="I564" i="6"/>
  <c r="H564" i="6"/>
  <c r="J564" i="6" s="1"/>
  <c r="F564" i="6"/>
  <c r="Q563" i="6"/>
  <c r="K563" i="6"/>
  <c r="I563" i="6"/>
  <c r="H563" i="6"/>
  <c r="J563" i="6" s="1"/>
  <c r="F563" i="6"/>
  <c r="Q562" i="6"/>
  <c r="K562" i="6"/>
  <c r="I562" i="6"/>
  <c r="H562" i="6"/>
  <c r="J562" i="6" s="1"/>
  <c r="F562" i="6"/>
  <c r="Q561" i="6"/>
  <c r="K561" i="6"/>
  <c r="I561" i="6"/>
  <c r="H561" i="6"/>
  <c r="J561" i="6" s="1"/>
  <c r="F561" i="6"/>
  <c r="Q560" i="6"/>
  <c r="K560" i="6"/>
  <c r="I560" i="6"/>
  <c r="H560" i="6"/>
  <c r="J560" i="6" s="1"/>
  <c r="F560" i="6"/>
  <c r="Q559" i="6"/>
  <c r="K559" i="6"/>
  <c r="I559" i="6"/>
  <c r="H559" i="6"/>
  <c r="J559" i="6" s="1"/>
  <c r="F559" i="6"/>
  <c r="Q558" i="6"/>
  <c r="K558" i="6"/>
  <c r="I558" i="6"/>
  <c r="H558" i="6"/>
  <c r="J558" i="6" s="1"/>
  <c r="F558" i="6"/>
  <c r="Q557" i="6"/>
  <c r="K557" i="6"/>
  <c r="I557" i="6"/>
  <c r="H557" i="6"/>
  <c r="J557" i="6" s="1"/>
  <c r="F557" i="6"/>
  <c r="Q556" i="6"/>
  <c r="Q567" i="6" s="1"/>
  <c r="K556" i="6"/>
  <c r="I556" i="6"/>
  <c r="H556" i="6"/>
  <c r="J556" i="6" s="1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J553" i="6" s="1"/>
  <c r="F553" i="6"/>
  <c r="Q552" i="6"/>
  <c r="K552" i="6"/>
  <c r="I552" i="6"/>
  <c r="H552" i="6"/>
  <c r="J552" i="6" s="1"/>
  <c r="F552" i="6"/>
  <c r="Q551" i="6"/>
  <c r="K551" i="6"/>
  <c r="I551" i="6"/>
  <c r="H551" i="6"/>
  <c r="J551" i="6" s="1"/>
  <c r="F551" i="6"/>
  <c r="Q550" i="6"/>
  <c r="K550" i="6"/>
  <c r="I550" i="6"/>
  <c r="H550" i="6"/>
  <c r="J550" i="6" s="1"/>
  <c r="F550" i="6"/>
  <c r="Q549" i="6"/>
  <c r="K549" i="6"/>
  <c r="I549" i="6"/>
  <c r="H549" i="6"/>
  <c r="J549" i="6" s="1"/>
  <c r="F549" i="6"/>
  <c r="Q548" i="6"/>
  <c r="K548" i="6"/>
  <c r="I548" i="6"/>
  <c r="H548" i="6"/>
  <c r="J548" i="6" s="1"/>
  <c r="F548" i="6"/>
  <c r="Q547" i="6"/>
  <c r="K547" i="6"/>
  <c r="I547" i="6"/>
  <c r="H547" i="6"/>
  <c r="J547" i="6" s="1"/>
  <c r="F547" i="6"/>
  <c r="Q546" i="6"/>
  <c r="K546" i="6"/>
  <c r="I546" i="6"/>
  <c r="H546" i="6"/>
  <c r="F546" i="6"/>
  <c r="Q545" i="6"/>
  <c r="K545" i="6"/>
  <c r="I545" i="6"/>
  <c r="H545" i="6"/>
  <c r="J545" i="6" s="1"/>
  <c r="F545" i="6"/>
  <c r="Q544" i="6"/>
  <c r="K544" i="6"/>
  <c r="I544" i="6"/>
  <c r="H544" i="6"/>
  <c r="J544" i="6" s="1"/>
  <c r="F544" i="6"/>
  <c r="Q543" i="6"/>
  <c r="K543" i="6"/>
  <c r="I543" i="6"/>
  <c r="H543" i="6"/>
  <c r="J543" i="6" s="1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J542" i="6" s="1"/>
  <c r="F542" i="6"/>
  <c r="S541" i="6"/>
  <c r="G540" i="6"/>
  <c r="Q539" i="6"/>
  <c r="K539" i="6"/>
  <c r="I539" i="6"/>
  <c r="H539" i="6"/>
  <c r="J539" i="6" s="1"/>
  <c r="F539" i="6"/>
  <c r="Q538" i="6"/>
  <c r="K538" i="6"/>
  <c r="I538" i="6"/>
  <c r="H538" i="6"/>
  <c r="J538" i="6" s="1"/>
  <c r="F538" i="6"/>
  <c r="Q537" i="6"/>
  <c r="K537" i="6"/>
  <c r="I537" i="6"/>
  <c r="H537" i="6"/>
  <c r="J537" i="6" s="1"/>
  <c r="F537" i="6"/>
  <c r="Q536" i="6"/>
  <c r="K536" i="6"/>
  <c r="I536" i="6"/>
  <c r="H536" i="6"/>
  <c r="J536" i="6" s="1"/>
  <c r="F536" i="6"/>
  <c r="Q535" i="6"/>
  <c r="K535" i="6"/>
  <c r="I535" i="6"/>
  <c r="H535" i="6"/>
  <c r="J535" i="6" s="1"/>
  <c r="F535" i="6"/>
  <c r="Q534" i="6"/>
  <c r="K534" i="6"/>
  <c r="I534" i="6"/>
  <c r="H534" i="6"/>
  <c r="J534" i="6" s="1"/>
  <c r="F534" i="6"/>
  <c r="Q533" i="6"/>
  <c r="K533" i="6"/>
  <c r="I533" i="6"/>
  <c r="H533" i="6"/>
  <c r="J533" i="6" s="1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J530" i="6" s="1"/>
  <c r="F530" i="6"/>
  <c r="Q529" i="6"/>
  <c r="K529" i="6"/>
  <c r="I529" i="6"/>
  <c r="H529" i="6"/>
  <c r="J529" i="6" s="1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J526" i="6" s="1"/>
  <c r="F526" i="6"/>
  <c r="Q525" i="6"/>
  <c r="K525" i="6"/>
  <c r="I525" i="6"/>
  <c r="H525" i="6"/>
  <c r="J525" i="6" s="1"/>
  <c r="F525" i="6"/>
  <c r="Q524" i="6"/>
  <c r="K524" i="6"/>
  <c r="I524" i="6"/>
  <c r="H524" i="6"/>
  <c r="J524" i="6" s="1"/>
  <c r="F524" i="6"/>
  <c r="Q523" i="6"/>
  <c r="K523" i="6"/>
  <c r="I523" i="6"/>
  <c r="H523" i="6"/>
  <c r="J523" i="6" s="1"/>
  <c r="F523" i="6"/>
  <c r="Q522" i="6"/>
  <c r="K522" i="6"/>
  <c r="I522" i="6"/>
  <c r="H522" i="6"/>
  <c r="J522" i="6" s="1"/>
  <c r="F522" i="6"/>
  <c r="Q521" i="6"/>
  <c r="K521" i="6"/>
  <c r="I521" i="6"/>
  <c r="H521" i="6"/>
  <c r="J521" i="6" s="1"/>
  <c r="F521" i="6"/>
  <c r="Q520" i="6"/>
  <c r="K520" i="6"/>
  <c r="I520" i="6"/>
  <c r="H520" i="6"/>
  <c r="J520" i="6" s="1"/>
  <c r="F520" i="6"/>
  <c r="Q519" i="6"/>
  <c r="K519" i="6"/>
  <c r="I519" i="6"/>
  <c r="H519" i="6"/>
  <c r="J519" i="6" s="1"/>
  <c r="F519" i="6"/>
  <c r="Q518" i="6"/>
  <c r="K518" i="6"/>
  <c r="I518" i="6"/>
  <c r="H518" i="6"/>
  <c r="J518" i="6" s="1"/>
  <c r="F518" i="6"/>
  <c r="Q517" i="6"/>
  <c r="K517" i="6"/>
  <c r="I517" i="6"/>
  <c r="H517" i="6"/>
  <c r="J517" i="6" s="1"/>
  <c r="F517" i="6"/>
  <c r="Q516" i="6"/>
  <c r="K516" i="6"/>
  <c r="I516" i="6"/>
  <c r="H516" i="6"/>
  <c r="J516" i="6" s="1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Q527" i="6" s="1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J512" i="6" s="1"/>
  <c r="F512" i="6"/>
  <c r="Q511" i="6"/>
  <c r="K511" i="6"/>
  <c r="I511" i="6"/>
  <c r="H511" i="6"/>
  <c r="F511" i="6"/>
  <c r="Q510" i="6"/>
  <c r="K510" i="6"/>
  <c r="I510" i="6"/>
  <c r="H510" i="6"/>
  <c r="J510" i="6" s="1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Q513" i="6" s="1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Q500" i="6" s="1"/>
  <c r="Q514" i="6" s="1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Q486" i="6" s="1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Q473" i="6" s="1"/>
  <c r="Q487" i="6" s="1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Q459" i="6" s="1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Q446" i="6" s="1"/>
  <c r="Q460" i="6" s="1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Q432" i="6" s="1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Q405" i="6" s="1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Q324" i="6" s="1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Q284" i="6" s="1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Q257" i="6" s="1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Q230" i="6" s="1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Q203" i="6" s="1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Q189" i="6" s="1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Q162" i="6" s="1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Q149" i="6" s="1"/>
  <c r="Q163" i="6" s="1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Q135" i="6" s="1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Q122" i="6" s="1"/>
  <c r="Q136" i="6" s="1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Q108" i="6" s="1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Q81" i="6" s="1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Q68" i="6" s="1"/>
  <c r="Q82" i="6" s="1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Q41" i="6" s="1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Q27" i="6" s="1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Q14" i="6" s="1"/>
  <c r="Q28" i="6" s="1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Q837" i="5" s="1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Q797" i="5" s="1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Q783" i="5" s="1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Q770" i="5" s="1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Q716" i="5" s="1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Q702" i="5" s="1"/>
  <c r="K690" i="5"/>
  <c r="K702" i="5" s="1"/>
  <c r="I690" i="5"/>
  <c r="H690" i="5"/>
  <c r="F690" i="5"/>
  <c r="G689" i="5"/>
  <c r="G703" i="5" s="1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Q689" i="5" s="1"/>
  <c r="Q703" i="5" s="1"/>
  <c r="K677" i="5"/>
  <c r="K689" i="5" s="1"/>
  <c r="K703" i="5" s="1"/>
  <c r="I677" i="5"/>
  <c r="H677" i="5"/>
  <c r="F677" i="5"/>
  <c r="S676" i="5"/>
  <c r="G675" i="5"/>
  <c r="Q674" i="5"/>
  <c r="K674" i="5"/>
  <c r="I674" i="5"/>
  <c r="H674" i="5"/>
  <c r="J674" i="5" s="1"/>
  <c r="F674" i="5"/>
  <c r="Q673" i="5"/>
  <c r="K673" i="5"/>
  <c r="I673" i="5"/>
  <c r="H673" i="5"/>
  <c r="J673" i="5" s="1"/>
  <c r="F673" i="5"/>
  <c r="Q672" i="5"/>
  <c r="K672" i="5"/>
  <c r="I672" i="5"/>
  <c r="H672" i="5"/>
  <c r="J672" i="5" s="1"/>
  <c r="F672" i="5"/>
  <c r="Q671" i="5"/>
  <c r="K671" i="5"/>
  <c r="I671" i="5"/>
  <c r="H671" i="5"/>
  <c r="J671" i="5" s="1"/>
  <c r="F671" i="5"/>
  <c r="Q670" i="5"/>
  <c r="K670" i="5"/>
  <c r="I670" i="5"/>
  <c r="H670" i="5"/>
  <c r="J670" i="5" s="1"/>
  <c r="F670" i="5"/>
  <c r="Q669" i="5"/>
  <c r="K669" i="5"/>
  <c r="I669" i="5"/>
  <c r="H669" i="5"/>
  <c r="J669" i="5" s="1"/>
  <c r="F669" i="5"/>
  <c r="Q668" i="5"/>
  <c r="K668" i="5"/>
  <c r="I668" i="5"/>
  <c r="H668" i="5"/>
  <c r="J668" i="5" s="1"/>
  <c r="F668" i="5"/>
  <c r="Q667" i="5"/>
  <c r="K667" i="5"/>
  <c r="I667" i="5"/>
  <c r="H667" i="5"/>
  <c r="J667" i="5" s="1"/>
  <c r="F667" i="5"/>
  <c r="Q666" i="5"/>
  <c r="K666" i="5"/>
  <c r="I666" i="5"/>
  <c r="H666" i="5"/>
  <c r="J666" i="5" s="1"/>
  <c r="F666" i="5"/>
  <c r="Q665" i="5"/>
  <c r="K665" i="5"/>
  <c r="I665" i="5"/>
  <c r="H665" i="5"/>
  <c r="J665" i="5" s="1"/>
  <c r="F665" i="5"/>
  <c r="Q664" i="5"/>
  <c r="K664" i="5"/>
  <c r="I664" i="5"/>
  <c r="H664" i="5"/>
  <c r="J664" i="5" s="1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J661" i="5" s="1"/>
  <c r="F661" i="5"/>
  <c r="Q660" i="5"/>
  <c r="K660" i="5"/>
  <c r="I660" i="5"/>
  <c r="H660" i="5"/>
  <c r="J660" i="5" s="1"/>
  <c r="F660" i="5"/>
  <c r="Q659" i="5"/>
  <c r="K659" i="5"/>
  <c r="I659" i="5"/>
  <c r="H659" i="5"/>
  <c r="J659" i="5" s="1"/>
  <c r="F659" i="5"/>
  <c r="Q658" i="5"/>
  <c r="K658" i="5"/>
  <c r="I658" i="5"/>
  <c r="H658" i="5"/>
  <c r="J658" i="5" s="1"/>
  <c r="F658" i="5"/>
  <c r="Q657" i="5"/>
  <c r="K657" i="5"/>
  <c r="I657" i="5"/>
  <c r="H657" i="5"/>
  <c r="J657" i="5" s="1"/>
  <c r="F657" i="5"/>
  <c r="Q656" i="5"/>
  <c r="K656" i="5"/>
  <c r="I656" i="5"/>
  <c r="H656" i="5"/>
  <c r="J656" i="5" s="1"/>
  <c r="F656" i="5"/>
  <c r="Q655" i="5"/>
  <c r="K655" i="5"/>
  <c r="I655" i="5"/>
  <c r="H655" i="5"/>
  <c r="J655" i="5" s="1"/>
  <c r="F655" i="5"/>
  <c r="Q654" i="5"/>
  <c r="K654" i="5"/>
  <c r="I654" i="5"/>
  <c r="H654" i="5"/>
  <c r="J654" i="5" s="1"/>
  <c r="F654" i="5"/>
  <c r="Q653" i="5"/>
  <c r="K653" i="5"/>
  <c r="I653" i="5"/>
  <c r="H653" i="5"/>
  <c r="J653" i="5" s="1"/>
  <c r="F653" i="5"/>
  <c r="Q652" i="5"/>
  <c r="K652" i="5"/>
  <c r="I652" i="5"/>
  <c r="H652" i="5"/>
  <c r="J652" i="5" s="1"/>
  <c r="F652" i="5"/>
  <c r="Q651" i="5"/>
  <c r="K651" i="5"/>
  <c r="I651" i="5"/>
  <c r="H651" i="5"/>
  <c r="J651" i="5" s="1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J647" i="5" s="1"/>
  <c r="F647" i="5"/>
  <c r="Q646" i="5"/>
  <c r="K646" i="5"/>
  <c r="I646" i="5"/>
  <c r="H646" i="5"/>
  <c r="J646" i="5" s="1"/>
  <c r="F646" i="5"/>
  <c r="Q645" i="5"/>
  <c r="K645" i="5"/>
  <c r="I645" i="5"/>
  <c r="H645" i="5"/>
  <c r="J645" i="5" s="1"/>
  <c r="F645" i="5"/>
  <c r="Q644" i="5"/>
  <c r="K644" i="5"/>
  <c r="I644" i="5"/>
  <c r="H644" i="5"/>
  <c r="J644" i="5" s="1"/>
  <c r="F644" i="5"/>
  <c r="Q643" i="5"/>
  <c r="K643" i="5"/>
  <c r="I643" i="5"/>
  <c r="H643" i="5"/>
  <c r="J643" i="5" s="1"/>
  <c r="F643" i="5"/>
  <c r="Q642" i="5"/>
  <c r="K642" i="5"/>
  <c r="I642" i="5"/>
  <c r="H642" i="5"/>
  <c r="J642" i="5" s="1"/>
  <c r="F642" i="5"/>
  <c r="Q641" i="5"/>
  <c r="K641" i="5"/>
  <c r="I641" i="5"/>
  <c r="H641" i="5"/>
  <c r="J641" i="5" s="1"/>
  <c r="F641" i="5"/>
  <c r="Q640" i="5"/>
  <c r="K640" i="5"/>
  <c r="I640" i="5"/>
  <c r="H640" i="5"/>
  <c r="J640" i="5" s="1"/>
  <c r="F640" i="5"/>
  <c r="Q639" i="5"/>
  <c r="K639" i="5"/>
  <c r="I639" i="5"/>
  <c r="H639" i="5"/>
  <c r="J639" i="5" s="1"/>
  <c r="F639" i="5"/>
  <c r="Q638" i="5"/>
  <c r="K638" i="5"/>
  <c r="I638" i="5"/>
  <c r="H638" i="5"/>
  <c r="J638" i="5" s="1"/>
  <c r="F638" i="5"/>
  <c r="Q637" i="5"/>
  <c r="K637" i="5"/>
  <c r="I637" i="5"/>
  <c r="H637" i="5"/>
  <c r="J637" i="5" s="1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J634" i="5" s="1"/>
  <c r="F634" i="5"/>
  <c r="Q633" i="5"/>
  <c r="K633" i="5"/>
  <c r="I633" i="5"/>
  <c r="H633" i="5"/>
  <c r="J633" i="5" s="1"/>
  <c r="F633" i="5"/>
  <c r="Q632" i="5"/>
  <c r="K632" i="5"/>
  <c r="I632" i="5"/>
  <c r="H632" i="5"/>
  <c r="J632" i="5" s="1"/>
  <c r="F632" i="5"/>
  <c r="Q631" i="5"/>
  <c r="K631" i="5"/>
  <c r="I631" i="5"/>
  <c r="H631" i="5"/>
  <c r="J631" i="5" s="1"/>
  <c r="F631" i="5"/>
  <c r="Q630" i="5"/>
  <c r="K630" i="5"/>
  <c r="I630" i="5"/>
  <c r="H630" i="5"/>
  <c r="J630" i="5" s="1"/>
  <c r="F630" i="5"/>
  <c r="Q629" i="5"/>
  <c r="K629" i="5"/>
  <c r="I629" i="5"/>
  <c r="H629" i="5"/>
  <c r="J629" i="5" s="1"/>
  <c r="F629" i="5"/>
  <c r="Q628" i="5"/>
  <c r="K628" i="5"/>
  <c r="I628" i="5"/>
  <c r="H628" i="5"/>
  <c r="J628" i="5" s="1"/>
  <c r="F628" i="5"/>
  <c r="Q627" i="5"/>
  <c r="K627" i="5"/>
  <c r="I627" i="5"/>
  <c r="H627" i="5"/>
  <c r="J627" i="5" s="1"/>
  <c r="F627" i="5"/>
  <c r="Q626" i="5"/>
  <c r="K626" i="5"/>
  <c r="I626" i="5"/>
  <c r="H626" i="5"/>
  <c r="J626" i="5" s="1"/>
  <c r="F626" i="5"/>
  <c r="Q625" i="5"/>
  <c r="K625" i="5"/>
  <c r="I625" i="5"/>
  <c r="H625" i="5"/>
  <c r="J625" i="5" s="1"/>
  <c r="F625" i="5"/>
  <c r="Q624" i="5"/>
  <c r="K624" i="5"/>
  <c r="I624" i="5"/>
  <c r="H624" i="5"/>
  <c r="J624" i="5" s="1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S622" i="5"/>
  <c r="G621" i="5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H617" i="5"/>
  <c r="J617" i="5" s="1"/>
  <c r="F617" i="5"/>
  <c r="Q616" i="5"/>
  <c r="K616" i="5"/>
  <c r="I616" i="5"/>
  <c r="H616" i="5"/>
  <c r="J616" i="5" s="1"/>
  <c r="F616" i="5"/>
  <c r="Q615" i="5"/>
  <c r="I615" i="5"/>
  <c r="H615" i="5"/>
  <c r="J615" i="5" s="1"/>
  <c r="F615" i="5"/>
  <c r="Q614" i="5"/>
  <c r="K614" i="5"/>
  <c r="I614" i="5"/>
  <c r="H614" i="5"/>
  <c r="J614" i="5" s="1"/>
  <c r="F614" i="5"/>
  <c r="Q613" i="5"/>
  <c r="K613" i="5"/>
  <c r="I613" i="5"/>
  <c r="H613" i="5"/>
  <c r="J613" i="5" s="1"/>
  <c r="F613" i="5"/>
  <c r="Q612" i="5"/>
  <c r="K612" i="5"/>
  <c r="I612" i="5"/>
  <c r="H612" i="5"/>
  <c r="J612" i="5" s="1"/>
  <c r="F612" i="5"/>
  <c r="Q611" i="5"/>
  <c r="K611" i="5"/>
  <c r="I611" i="5"/>
  <c r="H611" i="5"/>
  <c r="J611" i="5" s="1"/>
  <c r="F611" i="5"/>
  <c r="Q610" i="5"/>
  <c r="K610" i="5"/>
  <c r="I610" i="5"/>
  <c r="H610" i="5"/>
  <c r="J610" i="5" s="1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H599" i="5"/>
  <c r="J599" i="5" s="1"/>
  <c r="F599" i="5"/>
  <c r="Q598" i="5"/>
  <c r="K598" i="5"/>
  <c r="I598" i="5"/>
  <c r="H598" i="5"/>
  <c r="J598" i="5" s="1"/>
  <c r="F598" i="5"/>
  <c r="Q597" i="5"/>
  <c r="K597" i="5"/>
  <c r="I597" i="5"/>
  <c r="H597" i="5"/>
  <c r="J597" i="5" s="1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J593" i="5" s="1"/>
  <c r="F593" i="5"/>
  <c r="Q592" i="5"/>
  <c r="K592" i="5"/>
  <c r="I592" i="5"/>
  <c r="H592" i="5"/>
  <c r="J592" i="5" s="1"/>
  <c r="F592" i="5"/>
  <c r="Q591" i="5"/>
  <c r="K591" i="5"/>
  <c r="I591" i="5"/>
  <c r="H591" i="5"/>
  <c r="J591" i="5" s="1"/>
  <c r="F591" i="5"/>
  <c r="Q590" i="5"/>
  <c r="K590" i="5"/>
  <c r="I590" i="5"/>
  <c r="H590" i="5"/>
  <c r="J590" i="5" s="1"/>
  <c r="F590" i="5"/>
  <c r="Q589" i="5"/>
  <c r="K589" i="5"/>
  <c r="I589" i="5"/>
  <c r="H589" i="5"/>
  <c r="J589" i="5" s="1"/>
  <c r="F589" i="5"/>
  <c r="Q588" i="5"/>
  <c r="K588" i="5"/>
  <c r="I588" i="5"/>
  <c r="H588" i="5"/>
  <c r="J588" i="5" s="1"/>
  <c r="F588" i="5"/>
  <c r="Q587" i="5"/>
  <c r="K587" i="5"/>
  <c r="I587" i="5"/>
  <c r="H587" i="5"/>
  <c r="J587" i="5" s="1"/>
  <c r="F587" i="5"/>
  <c r="Q586" i="5"/>
  <c r="K586" i="5"/>
  <c r="I586" i="5"/>
  <c r="H586" i="5"/>
  <c r="J586" i="5" s="1"/>
  <c r="F586" i="5"/>
  <c r="Q585" i="5"/>
  <c r="K585" i="5"/>
  <c r="I585" i="5"/>
  <c r="H585" i="5"/>
  <c r="J585" i="5" s="1"/>
  <c r="F585" i="5"/>
  <c r="Q584" i="5"/>
  <c r="K584" i="5"/>
  <c r="I584" i="5"/>
  <c r="H584" i="5"/>
  <c r="J584" i="5" s="1"/>
  <c r="F584" i="5"/>
  <c r="Q583" i="5"/>
  <c r="K583" i="5"/>
  <c r="I583" i="5"/>
  <c r="H583" i="5"/>
  <c r="J583" i="5" s="1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J580" i="5" s="1"/>
  <c r="F580" i="5"/>
  <c r="Q579" i="5"/>
  <c r="K579" i="5"/>
  <c r="I579" i="5"/>
  <c r="H579" i="5"/>
  <c r="J579" i="5" s="1"/>
  <c r="F579" i="5"/>
  <c r="Q578" i="5"/>
  <c r="K578" i="5"/>
  <c r="I578" i="5"/>
  <c r="H578" i="5"/>
  <c r="J578" i="5" s="1"/>
  <c r="F578" i="5"/>
  <c r="Q577" i="5"/>
  <c r="K577" i="5"/>
  <c r="I577" i="5"/>
  <c r="H577" i="5"/>
  <c r="J577" i="5" s="1"/>
  <c r="F577" i="5"/>
  <c r="Q576" i="5"/>
  <c r="K576" i="5"/>
  <c r="I576" i="5"/>
  <c r="H576" i="5"/>
  <c r="J576" i="5" s="1"/>
  <c r="F576" i="5"/>
  <c r="Q575" i="5"/>
  <c r="K575" i="5"/>
  <c r="I575" i="5"/>
  <c r="H575" i="5"/>
  <c r="J575" i="5" s="1"/>
  <c r="F575" i="5"/>
  <c r="Q574" i="5"/>
  <c r="K574" i="5"/>
  <c r="I574" i="5"/>
  <c r="H574" i="5"/>
  <c r="J574" i="5" s="1"/>
  <c r="F574" i="5"/>
  <c r="Q573" i="5"/>
  <c r="K573" i="5"/>
  <c r="I573" i="5"/>
  <c r="H573" i="5"/>
  <c r="J573" i="5" s="1"/>
  <c r="F573" i="5"/>
  <c r="Q572" i="5"/>
  <c r="K572" i="5"/>
  <c r="I572" i="5"/>
  <c r="H572" i="5"/>
  <c r="J572" i="5" s="1"/>
  <c r="F572" i="5"/>
  <c r="Q571" i="5"/>
  <c r="K571" i="5"/>
  <c r="I571" i="5"/>
  <c r="H571" i="5"/>
  <c r="J571" i="5" s="1"/>
  <c r="F571" i="5"/>
  <c r="Q570" i="5"/>
  <c r="K570" i="5"/>
  <c r="I570" i="5"/>
  <c r="H570" i="5"/>
  <c r="J570" i="5" s="1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Q567" i="5" s="1"/>
  <c r="K555" i="5"/>
  <c r="K567" i="5" s="1"/>
  <c r="I555" i="5"/>
  <c r="H555" i="5"/>
  <c r="F555" i="5"/>
  <c r="G554" i="5"/>
  <c r="G568" i="5" s="1"/>
  <c r="Q553" i="5"/>
  <c r="K553" i="5"/>
  <c r="I553" i="5"/>
  <c r="H553" i="5"/>
  <c r="J553" i="5" s="1"/>
  <c r="F553" i="5"/>
  <c r="Q552" i="5"/>
  <c r="K552" i="5"/>
  <c r="I552" i="5"/>
  <c r="H552" i="5"/>
  <c r="J552" i="5" s="1"/>
  <c r="F552" i="5"/>
  <c r="Q551" i="5"/>
  <c r="K551" i="5"/>
  <c r="I551" i="5"/>
  <c r="H551" i="5"/>
  <c r="J551" i="5" s="1"/>
  <c r="F551" i="5"/>
  <c r="Q550" i="5"/>
  <c r="K550" i="5"/>
  <c r="I550" i="5"/>
  <c r="H550" i="5"/>
  <c r="J550" i="5" s="1"/>
  <c r="F550" i="5"/>
  <c r="Q549" i="5"/>
  <c r="K549" i="5"/>
  <c r="I549" i="5"/>
  <c r="H549" i="5"/>
  <c r="J549" i="5" s="1"/>
  <c r="F549" i="5"/>
  <c r="Q548" i="5"/>
  <c r="K548" i="5"/>
  <c r="I548" i="5"/>
  <c r="H548" i="5"/>
  <c r="J548" i="5" s="1"/>
  <c r="F548" i="5"/>
  <c r="Q547" i="5"/>
  <c r="K547" i="5"/>
  <c r="I547" i="5"/>
  <c r="H547" i="5"/>
  <c r="J547" i="5" s="1"/>
  <c r="F547" i="5"/>
  <c r="Q546" i="5"/>
  <c r="K546" i="5"/>
  <c r="I546" i="5"/>
  <c r="H546" i="5"/>
  <c r="J546" i="5" s="1"/>
  <c r="F546" i="5"/>
  <c r="Q545" i="5"/>
  <c r="K545" i="5"/>
  <c r="I545" i="5"/>
  <c r="H545" i="5"/>
  <c r="J545" i="5" s="1"/>
  <c r="F545" i="5"/>
  <c r="Q544" i="5"/>
  <c r="K544" i="5"/>
  <c r="I544" i="5"/>
  <c r="H544" i="5"/>
  <c r="J544" i="5" s="1"/>
  <c r="F544" i="5"/>
  <c r="Q543" i="5"/>
  <c r="K543" i="5"/>
  <c r="I543" i="5"/>
  <c r="H543" i="5"/>
  <c r="J543" i="5" s="1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J539" i="5" s="1"/>
  <c r="F539" i="5"/>
  <c r="Q538" i="5"/>
  <c r="K538" i="5"/>
  <c r="I538" i="5"/>
  <c r="H538" i="5"/>
  <c r="J538" i="5" s="1"/>
  <c r="F538" i="5"/>
  <c r="Q537" i="5"/>
  <c r="K537" i="5"/>
  <c r="I537" i="5"/>
  <c r="H537" i="5"/>
  <c r="J537" i="5" s="1"/>
  <c r="F537" i="5"/>
  <c r="Q536" i="5"/>
  <c r="K536" i="5"/>
  <c r="I536" i="5"/>
  <c r="H536" i="5"/>
  <c r="J536" i="5" s="1"/>
  <c r="F536" i="5"/>
  <c r="Q535" i="5"/>
  <c r="K535" i="5"/>
  <c r="I535" i="5"/>
  <c r="H535" i="5"/>
  <c r="J535" i="5" s="1"/>
  <c r="F535" i="5"/>
  <c r="Q534" i="5"/>
  <c r="K534" i="5"/>
  <c r="I534" i="5"/>
  <c r="H534" i="5"/>
  <c r="J534" i="5" s="1"/>
  <c r="F534" i="5"/>
  <c r="Q533" i="5"/>
  <c r="K533" i="5"/>
  <c r="I533" i="5"/>
  <c r="H533" i="5"/>
  <c r="J533" i="5" s="1"/>
  <c r="F533" i="5"/>
  <c r="Q532" i="5"/>
  <c r="K532" i="5"/>
  <c r="I532" i="5"/>
  <c r="H532" i="5"/>
  <c r="J532" i="5" s="1"/>
  <c r="F532" i="5"/>
  <c r="Q531" i="5"/>
  <c r="K531" i="5"/>
  <c r="I531" i="5"/>
  <c r="H531" i="5"/>
  <c r="J531" i="5" s="1"/>
  <c r="F531" i="5"/>
  <c r="Q530" i="5"/>
  <c r="K530" i="5"/>
  <c r="I530" i="5"/>
  <c r="H530" i="5"/>
  <c r="J530" i="5" s="1"/>
  <c r="F530" i="5"/>
  <c r="Q529" i="5"/>
  <c r="K529" i="5"/>
  <c r="I529" i="5"/>
  <c r="H529" i="5"/>
  <c r="J529" i="5" s="1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J526" i="5" s="1"/>
  <c r="F526" i="5"/>
  <c r="Q525" i="5"/>
  <c r="K525" i="5"/>
  <c r="I525" i="5"/>
  <c r="H525" i="5"/>
  <c r="J525" i="5" s="1"/>
  <c r="F525" i="5"/>
  <c r="Q524" i="5"/>
  <c r="K524" i="5"/>
  <c r="I524" i="5"/>
  <c r="H524" i="5"/>
  <c r="J524" i="5" s="1"/>
  <c r="F524" i="5"/>
  <c r="Q523" i="5"/>
  <c r="K523" i="5"/>
  <c r="I523" i="5"/>
  <c r="H523" i="5"/>
  <c r="J523" i="5" s="1"/>
  <c r="F523" i="5"/>
  <c r="Q522" i="5"/>
  <c r="K522" i="5"/>
  <c r="I522" i="5"/>
  <c r="H522" i="5"/>
  <c r="J522" i="5" s="1"/>
  <c r="F522" i="5"/>
  <c r="Q521" i="5"/>
  <c r="K521" i="5"/>
  <c r="I521" i="5"/>
  <c r="H521" i="5"/>
  <c r="J521" i="5" s="1"/>
  <c r="F521" i="5"/>
  <c r="Q520" i="5"/>
  <c r="K520" i="5"/>
  <c r="I520" i="5"/>
  <c r="H520" i="5"/>
  <c r="J520" i="5" s="1"/>
  <c r="F520" i="5"/>
  <c r="Q519" i="5"/>
  <c r="K519" i="5"/>
  <c r="I519" i="5"/>
  <c r="H519" i="5"/>
  <c r="J519" i="5" s="1"/>
  <c r="F519" i="5"/>
  <c r="Q518" i="5"/>
  <c r="K518" i="5"/>
  <c r="I518" i="5"/>
  <c r="H518" i="5"/>
  <c r="J518" i="5" s="1"/>
  <c r="F518" i="5"/>
  <c r="Q517" i="5"/>
  <c r="K517" i="5"/>
  <c r="I517" i="5"/>
  <c r="H517" i="5"/>
  <c r="J517" i="5" s="1"/>
  <c r="F517" i="5"/>
  <c r="Q516" i="5"/>
  <c r="K516" i="5"/>
  <c r="I516" i="5"/>
  <c r="H516" i="5"/>
  <c r="J516" i="5" s="1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Q527" i="5" s="1"/>
  <c r="K527" i="5"/>
  <c r="K541" i="5" s="1"/>
  <c r="I515" i="5"/>
  <c r="H515" i="5"/>
  <c r="F515" i="5"/>
  <c r="S514" i="5"/>
  <c r="G513" i="5"/>
  <c r="Q512" i="5"/>
  <c r="K512" i="5"/>
  <c r="I512" i="5"/>
  <c r="H512" i="5"/>
  <c r="J512" i="5" s="1"/>
  <c r="F512" i="5"/>
  <c r="Q511" i="5"/>
  <c r="K511" i="5"/>
  <c r="I511" i="5"/>
  <c r="H511" i="5"/>
  <c r="F511" i="5"/>
  <c r="Q510" i="5"/>
  <c r="K510" i="5"/>
  <c r="I510" i="5"/>
  <c r="H510" i="5"/>
  <c r="J510" i="5" s="1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Q473" i="5" s="1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H450" i="5"/>
  <c r="F450" i="5"/>
  <c r="Q449" i="5"/>
  <c r="K449" i="5"/>
  <c r="I449" i="5"/>
  <c r="H449" i="5"/>
  <c r="F449" i="5"/>
  <c r="Q448" i="5"/>
  <c r="K448" i="5"/>
  <c r="I448" i="5"/>
  <c r="H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K459" i="5" s="1"/>
  <c r="I447" i="5"/>
  <c r="H447" i="5"/>
  <c r="F447" i="5"/>
  <c r="G446" i="5"/>
  <c r="G460" i="5" s="1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Q446" i="5" s="1"/>
  <c r="K434" i="5"/>
  <c r="K446" i="5" s="1"/>
  <c r="K460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Q432" i="5" s="1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Q419" i="5" s="1"/>
  <c r="Q433" i="5" s="1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Q378" i="5" s="1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Q365" i="5" s="1"/>
  <c r="Q379" i="5" s="1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Q351" i="5" s="1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K324" i="5"/>
  <c r="G324" i="5"/>
  <c r="Q323" i="5"/>
  <c r="I323" i="5"/>
  <c r="H323" i="5"/>
  <c r="F323" i="5"/>
  <c r="Q322" i="5"/>
  <c r="I322" i="5"/>
  <c r="H322" i="5"/>
  <c r="F322" i="5"/>
  <c r="Q321" i="5"/>
  <c r="I321" i="5"/>
  <c r="H321" i="5"/>
  <c r="F321" i="5"/>
  <c r="Q320" i="5"/>
  <c r="I320" i="5"/>
  <c r="H320" i="5"/>
  <c r="F320" i="5"/>
  <c r="Q319" i="5"/>
  <c r="I319" i="5"/>
  <c r="H319" i="5"/>
  <c r="F319" i="5"/>
  <c r="Q318" i="5"/>
  <c r="I318" i="5"/>
  <c r="H318" i="5"/>
  <c r="F318" i="5"/>
  <c r="Q317" i="5"/>
  <c r="I317" i="5"/>
  <c r="H317" i="5"/>
  <c r="F317" i="5"/>
  <c r="Q316" i="5"/>
  <c r="I316" i="5"/>
  <c r="H316" i="5"/>
  <c r="F316" i="5"/>
  <c r="Q315" i="5"/>
  <c r="I315" i="5"/>
  <c r="H315" i="5"/>
  <c r="F315" i="5"/>
  <c r="Q314" i="5"/>
  <c r="I314" i="5"/>
  <c r="H314" i="5"/>
  <c r="F314" i="5"/>
  <c r="Q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Q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Q297" i="5" s="1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Q284" i="5" s="1"/>
  <c r="Q298" i="5" s="1"/>
  <c r="K272" i="5"/>
  <c r="K284" i="5" s="1"/>
  <c r="K298" i="5" s="1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T230" i="5"/>
  <c r="G230" i="5"/>
  <c r="G244" i="5" s="1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G217" i="5" s="1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Q203" i="5" s="1"/>
  <c r="K191" i="5"/>
  <c r="K203" i="5" s="1"/>
  <c r="K217" i="5" s="1"/>
  <c r="T190" i="5"/>
  <c r="S190" i="5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Q189" i="5" s="1"/>
  <c r="K177" i="5"/>
  <c r="K189" i="5" s="1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T149" i="5"/>
  <c r="G149" i="5"/>
  <c r="G163" i="5" s="1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G136" i="5" s="1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T109" i="5"/>
  <c r="S109" i="5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Q108" i="5" s="1"/>
  <c r="K96" i="5"/>
  <c r="K108" i="5" s="1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T68" i="5"/>
  <c r="G68" i="5"/>
  <c r="G82" i="5" s="1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G55" i="5" s="1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T28" i="5"/>
  <c r="S28" i="5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M824" i="3" s="1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M756" i="3" s="1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G689" i="3" s="1"/>
  <c r="G703" i="3" s="1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F676" i="3" s="1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G662" i="3" s="1"/>
  <c r="G676" i="3" s="1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G648" i="3" s="1"/>
  <c r="F635" i="3"/>
  <c r="F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G635" i="3" s="1"/>
  <c r="G649" i="3" s="1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G621" i="3" s="1"/>
  <c r="F608" i="3"/>
  <c r="F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G608" i="3" s="1"/>
  <c r="G622" i="3" s="1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G594" i="3" s="1"/>
  <c r="F581" i="3"/>
  <c r="F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M581" i="3" s="1"/>
  <c r="G569" i="3"/>
  <c r="G581" i="3" s="1"/>
  <c r="G595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M554" i="3" s="1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M500" i="3" s="1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M459" i="3" s="1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M446" i="3" s="1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M419" i="3" s="1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M405" i="3" s="1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M378" i="3" s="1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M351" i="3" s="1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M257" i="3" s="1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M203" i="3" s="1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M176" i="3" s="1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M108" i="3" s="1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M41" i="3" s="1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F28" i="1"/>
  <c r="E28" i="1"/>
  <c r="C28" i="1"/>
  <c r="F27" i="1"/>
  <c r="E27" i="1"/>
  <c r="C27" i="1"/>
  <c r="F26" i="1"/>
  <c r="E26" i="1"/>
  <c r="C26" i="1"/>
  <c r="F25" i="1"/>
  <c r="E25" i="1"/>
  <c r="C25" i="1"/>
  <c r="F24" i="1"/>
  <c r="E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E18" i="1"/>
  <c r="C18" i="1"/>
  <c r="F17" i="1"/>
  <c r="E17" i="1"/>
  <c r="C17" i="1"/>
  <c r="F16" i="1"/>
  <c r="E16" i="1"/>
  <c r="C16" i="1"/>
  <c r="F15" i="1"/>
  <c r="E15" i="1"/>
  <c r="C15" i="1"/>
  <c r="J14" i="1"/>
  <c r="F14" i="1"/>
  <c r="E14" i="1"/>
  <c r="C14" i="1"/>
  <c r="J13" i="1"/>
  <c r="F13" i="1"/>
  <c r="E13" i="1"/>
  <c r="C13" i="1"/>
  <c r="J12" i="1"/>
  <c r="F12" i="1"/>
  <c r="E12" i="1"/>
  <c r="C12" i="1"/>
  <c r="J11" i="1"/>
  <c r="F11" i="1"/>
  <c r="E11" i="1"/>
  <c r="C11" i="1"/>
  <c r="J10" i="1"/>
  <c r="F10" i="1"/>
  <c r="E10" i="1"/>
  <c r="C10" i="1"/>
  <c r="J9" i="1"/>
  <c r="F9" i="1"/>
  <c r="E9" i="1"/>
  <c r="C9" i="1"/>
  <c r="J8" i="1"/>
  <c r="F8" i="1"/>
  <c r="E8" i="1"/>
  <c r="C8" i="1"/>
  <c r="J7" i="1"/>
  <c r="F7" i="1"/>
  <c r="E7" i="1"/>
  <c r="C7" i="1"/>
  <c r="J6" i="1"/>
  <c r="F6" i="1"/>
  <c r="E6" i="1"/>
  <c r="C6" i="1"/>
  <c r="J5" i="1"/>
  <c r="F5" i="1"/>
  <c r="E5" i="1"/>
  <c r="C5" i="1"/>
  <c r="J4" i="1"/>
  <c r="F4" i="1"/>
  <c r="F35" i="1" s="1"/>
  <c r="E4" i="1"/>
  <c r="E35" i="1" s="1"/>
  <c r="C4" i="1"/>
  <c r="C35" i="1" s="1"/>
  <c r="S838" i="4"/>
  <c r="D34" i="1" s="1"/>
  <c r="G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Q824" i="4" s="1"/>
  <c r="K812" i="4"/>
  <c r="K824" i="4" s="1"/>
  <c r="K838" i="4" s="1"/>
  <c r="I812" i="4"/>
  <c r="H812" i="4"/>
  <c r="F812" i="4"/>
  <c r="S811" i="4"/>
  <c r="D33" i="1" s="1"/>
  <c r="G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Q743" i="4" s="1"/>
  <c r="K731" i="4"/>
  <c r="K743" i="4" s="1"/>
  <c r="K757" i="4" s="1"/>
  <c r="I731" i="4"/>
  <c r="H731" i="4"/>
  <c r="F731" i="4"/>
  <c r="S730" i="4"/>
  <c r="D30" i="1" s="1"/>
  <c r="G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Q729" i="4" s="1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H683" i="4"/>
  <c r="J683" i="4" s="1"/>
  <c r="F683" i="4"/>
  <c r="Q682" i="4"/>
  <c r="K682" i="4"/>
  <c r="I682" i="4"/>
  <c r="H682" i="4"/>
  <c r="J682" i="4" s="1"/>
  <c r="F682" i="4"/>
  <c r="Q681" i="4"/>
  <c r="K681" i="4"/>
  <c r="I681" i="4"/>
  <c r="H681" i="4"/>
  <c r="J681" i="4" s="1"/>
  <c r="F681" i="4"/>
  <c r="Q680" i="4"/>
  <c r="K680" i="4"/>
  <c r="I680" i="4"/>
  <c r="H680" i="4"/>
  <c r="J680" i="4" s="1"/>
  <c r="F680" i="4"/>
  <c r="Q679" i="4"/>
  <c r="K679" i="4"/>
  <c r="I679" i="4"/>
  <c r="H679" i="4"/>
  <c r="J679" i="4" s="1"/>
  <c r="F679" i="4"/>
  <c r="Q678" i="4"/>
  <c r="K678" i="4"/>
  <c r="I678" i="4"/>
  <c r="H678" i="4"/>
  <c r="J678" i="4" s="1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Q689" i="4" s="1"/>
  <c r="K677" i="4"/>
  <c r="K689" i="4" s="1"/>
  <c r="K703" i="4" s="1"/>
  <c r="I677" i="4"/>
  <c r="H677" i="4"/>
  <c r="F677" i="4"/>
  <c r="S676" i="4"/>
  <c r="D28" i="1" s="1"/>
  <c r="G28" i="1" s="1"/>
  <c r="G675" i="4"/>
  <c r="Q674" i="4"/>
  <c r="K674" i="4"/>
  <c r="I674" i="4"/>
  <c r="H674" i="4"/>
  <c r="J674" i="4" s="1"/>
  <c r="F674" i="4"/>
  <c r="Q673" i="4"/>
  <c r="K673" i="4"/>
  <c r="I673" i="4"/>
  <c r="H673" i="4"/>
  <c r="J673" i="4" s="1"/>
  <c r="F673" i="4"/>
  <c r="Q672" i="4"/>
  <c r="K672" i="4"/>
  <c r="I672" i="4"/>
  <c r="H672" i="4"/>
  <c r="J672" i="4" s="1"/>
  <c r="F672" i="4"/>
  <c r="Q671" i="4"/>
  <c r="K671" i="4"/>
  <c r="I671" i="4"/>
  <c r="H671" i="4"/>
  <c r="J671" i="4" s="1"/>
  <c r="F671" i="4"/>
  <c r="Q670" i="4"/>
  <c r="K670" i="4"/>
  <c r="I670" i="4"/>
  <c r="H670" i="4"/>
  <c r="J670" i="4" s="1"/>
  <c r="F670" i="4"/>
  <c r="Q669" i="4"/>
  <c r="K669" i="4"/>
  <c r="I669" i="4"/>
  <c r="H669" i="4"/>
  <c r="J669" i="4" s="1"/>
  <c r="F669" i="4"/>
  <c r="Q668" i="4"/>
  <c r="K668" i="4"/>
  <c r="I668" i="4"/>
  <c r="H668" i="4"/>
  <c r="J668" i="4" s="1"/>
  <c r="F668" i="4"/>
  <c r="Q667" i="4"/>
  <c r="K667" i="4"/>
  <c r="I667" i="4"/>
  <c r="H667" i="4"/>
  <c r="J667" i="4" s="1"/>
  <c r="F667" i="4"/>
  <c r="Q666" i="4"/>
  <c r="K666" i="4"/>
  <c r="I666" i="4"/>
  <c r="H666" i="4"/>
  <c r="J666" i="4" s="1"/>
  <c r="F666" i="4"/>
  <c r="Q665" i="4"/>
  <c r="K665" i="4"/>
  <c r="I665" i="4"/>
  <c r="H665" i="4"/>
  <c r="J665" i="4" s="1"/>
  <c r="F665" i="4"/>
  <c r="Q664" i="4"/>
  <c r="K664" i="4"/>
  <c r="I664" i="4"/>
  <c r="H664" i="4"/>
  <c r="J664" i="4" s="1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K675" i="4" s="1"/>
  <c r="I663" i="4"/>
  <c r="H663" i="4"/>
  <c r="F663" i="4"/>
  <c r="G662" i="4"/>
  <c r="G676" i="4" s="1"/>
  <c r="Q661" i="4"/>
  <c r="K661" i="4"/>
  <c r="I661" i="4"/>
  <c r="H661" i="4"/>
  <c r="J661" i="4" s="1"/>
  <c r="F661" i="4"/>
  <c r="Q660" i="4"/>
  <c r="K660" i="4"/>
  <c r="I660" i="4"/>
  <c r="H660" i="4"/>
  <c r="J660" i="4" s="1"/>
  <c r="F660" i="4"/>
  <c r="Q659" i="4"/>
  <c r="K659" i="4"/>
  <c r="I659" i="4"/>
  <c r="H659" i="4"/>
  <c r="J659" i="4" s="1"/>
  <c r="F659" i="4"/>
  <c r="Q658" i="4"/>
  <c r="K658" i="4"/>
  <c r="I658" i="4"/>
  <c r="H658" i="4"/>
  <c r="J658" i="4" s="1"/>
  <c r="F658" i="4"/>
  <c r="Q657" i="4"/>
  <c r="K657" i="4"/>
  <c r="I657" i="4"/>
  <c r="H657" i="4"/>
  <c r="J657" i="4" s="1"/>
  <c r="F657" i="4"/>
  <c r="Q656" i="4"/>
  <c r="K656" i="4"/>
  <c r="I656" i="4"/>
  <c r="H656" i="4"/>
  <c r="J656" i="4" s="1"/>
  <c r="F656" i="4"/>
  <c r="Q655" i="4"/>
  <c r="K655" i="4"/>
  <c r="I655" i="4"/>
  <c r="H655" i="4"/>
  <c r="J655" i="4" s="1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H652" i="4"/>
  <c r="J652" i="4" s="1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K662" i="4" s="1"/>
  <c r="K676" i="4" s="1"/>
  <c r="I650" i="4"/>
  <c r="H650" i="4"/>
  <c r="F650" i="4"/>
  <c r="S649" i="4"/>
  <c r="D27" i="1" s="1"/>
  <c r="G27" i="1" s="1"/>
  <c r="G648" i="4"/>
  <c r="Q647" i="4"/>
  <c r="K647" i="4"/>
  <c r="I647" i="4"/>
  <c r="H647" i="4"/>
  <c r="J647" i="4" s="1"/>
  <c r="F647" i="4"/>
  <c r="Q646" i="4"/>
  <c r="K646" i="4"/>
  <c r="I646" i="4"/>
  <c r="H646" i="4"/>
  <c r="J646" i="4" s="1"/>
  <c r="F646" i="4"/>
  <c r="Q645" i="4"/>
  <c r="K645" i="4"/>
  <c r="I645" i="4"/>
  <c r="H645" i="4"/>
  <c r="J645" i="4" s="1"/>
  <c r="F645" i="4"/>
  <c r="Q644" i="4"/>
  <c r="K644" i="4"/>
  <c r="I644" i="4"/>
  <c r="H644" i="4"/>
  <c r="J644" i="4" s="1"/>
  <c r="F644" i="4"/>
  <c r="Q643" i="4"/>
  <c r="K643" i="4"/>
  <c r="I643" i="4"/>
  <c r="H643" i="4"/>
  <c r="J643" i="4" s="1"/>
  <c r="F643" i="4"/>
  <c r="Q642" i="4"/>
  <c r="K642" i="4"/>
  <c r="I642" i="4"/>
  <c r="H642" i="4"/>
  <c r="J642" i="4" s="1"/>
  <c r="F642" i="4"/>
  <c r="Q641" i="4"/>
  <c r="K641" i="4"/>
  <c r="I641" i="4"/>
  <c r="H641" i="4"/>
  <c r="J641" i="4" s="1"/>
  <c r="F641" i="4"/>
  <c r="Q640" i="4"/>
  <c r="K640" i="4"/>
  <c r="I640" i="4"/>
  <c r="H640" i="4"/>
  <c r="J640" i="4" s="1"/>
  <c r="F640" i="4"/>
  <c r="Q639" i="4"/>
  <c r="K639" i="4"/>
  <c r="I639" i="4"/>
  <c r="H639" i="4"/>
  <c r="J639" i="4" s="1"/>
  <c r="F639" i="4"/>
  <c r="Q638" i="4"/>
  <c r="K638" i="4"/>
  <c r="I638" i="4"/>
  <c r="H638" i="4"/>
  <c r="J638" i="4" s="1"/>
  <c r="F638" i="4"/>
  <c r="Q637" i="4"/>
  <c r="K637" i="4"/>
  <c r="I637" i="4"/>
  <c r="H637" i="4"/>
  <c r="J637" i="4" s="1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Q648" i="4" s="1"/>
  <c r="K636" i="4"/>
  <c r="K648" i="4" s="1"/>
  <c r="I636" i="4"/>
  <c r="H636" i="4"/>
  <c r="F636" i="4"/>
  <c r="G635" i="4"/>
  <c r="G649" i="4" s="1"/>
  <c r="Q634" i="4"/>
  <c r="K634" i="4"/>
  <c r="I634" i="4"/>
  <c r="H634" i="4"/>
  <c r="J634" i="4" s="1"/>
  <c r="F634" i="4"/>
  <c r="Q633" i="4"/>
  <c r="K633" i="4"/>
  <c r="I633" i="4"/>
  <c r="H633" i="4"/>
  <c r="J633" i="4" s="1"/>
  <c r="F633" i="4"/>
  <c r="Q632" i="4"/>
  <c r="K632" i="4"/>
  <c r="I632" i="4"/>
  <c r="H632" i="4"/>
  <c r="J632" i="4" s="1"/>
  <c r="F632" i="4"/>
  <c r="Q631" i="4"/>
  <c r="K631" i="4"/>
  <c r="I631" i="4"/>
  <c r="H631" i="4"/>
  <c r="J631" i="4" s="1"/>
  <c r="F631" i="4"/>
  <c r="Q630" i="4"/>
  <c r="K630" i="4"/>
  <c r="I630" i="4"/>
  <c r="H630" i="4"/>
  <c r="J630" i="4" s="1"/>
  <c r="F630" i="4"/>
  <c r="Q629" i="4"/>
  <c r="K629" i="4"/>
  <c r="I629" i="4"/>
  <c r="H629" i="4"/>
  <c r="J629" i="4" s="1"/>
  <c r="F629" i="4"/>
  <c r="Q628" i="4"/>
  <c r="K628" i="4"/>
  <c r="I628" i="4"/>
  <c r="H628" i="4"/>
  <c r="J628" i="4" s="1"/>
  <c r="F628" i="4"/>
  <c r="Q627" i="4"/>
  <c r="K627" i="4"/>
  <c r="I627" i="4"/>
  <c r="H627" i="4"/>
  <c r="J627" i="4" s="1"/>
  <c r="F627" i="4"/>
  <c r="Q626" i="4"/>
  <c r="K626" i="4"/>
  <c r="I626" i="4"/>
  <c r="H626" i="4"/>
  <c r="J626" i="4" s="1"/>
  <c r="F626" i="4"/>
  <c r="Q625" i="4"/>
  <c r="K625" i="4"/>
  <c r="I625" i="4"/>
  <c r="H625" i="4"/>
  <c r="J625" i="4" s="1"/>
  <c r="F625" i="4"/>
  <c r="Q624" i="4"/>
  <c r="K624" i="4"/>
  <c r="I624" i="4"/>
  <c r="H624" i="4"/>
  <c r="J624" i="4" s="1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K635" i="4" s="1"/>
  <c r="K649" i="4" s="1"/>
  <c r="I623" i="4"/>
  <c r="H623" i="4"/>
  <c r="F623" i="4"/>
  <c r="S622" i="4"/>
  <c r="D26" i="1" s="1"/>
  <c r="G26" i="1" s="1"/>
  <c r="G621" i="4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H618" i="4"/>
  <c r="J618" i="4" s="1"/>
  <c r="F618" i="4"/>
  <c r="Q617" i="4"/>
  <c r="K617" i="4"/>
  <c r="I617" i="4"/>
  <c r="H617" i="4"/>
  <c r="J617" i="4" s="1"/>
  <c r="F617" i="4"/>
  <c r="Q616" i="4"/>
  <c r="K616" i="4"/>
  <c r="I616" i="4"/>
  <c r="H616" i="4"/>
  <c r="J616" i="4" s="1"/>
  <c r="F616" i="4"/>
  <c r="Q615" i="4"/>
  <c r="I615" i="4"/>
  <c r="H615" i="4"/>
  <c r="J615" i="4" s="1"/>
  <c r="F615" i="4"/>
  <c r="Q614" i="4"/>
  <c r="K614" i="4"/>
  <c r="I614" i="4"/>
  <c r="H614" i="4"/>
  <c r="J614" i="4" s="1"/>
  <c r="F614" i="4"/>
  <c r="Q613" i="4"/>
  <c r="K613" i="4"/>
  <c r="I613" i="4"/>
  <c r="H613" i="4"/>
  <c r="J613" i="4" s="1"/>
  <c r="F613" i="4"/>
  <c r="Q612" i="4"/>
  <c r="K612" i="4"/>
  <c r="I612" i="4"/>
  <c r="H612" i="4"/>
  <c r="J612" i="4" s="1"/>
  <c r="F612" i="4"/>
  <c r="Q611" i="4"/>
  <c r="K611" i="4"/>
  <c r="I611" i="4"/>
  <c r="H611" i="4"/>
  <c r="J611" i="4" s="1"/>
  <c r="F611" i="4"/>
  <c r="Q610" i="4"/>
  <c r="K610" i="4"/>
  <c r="I610" i="4"/>
  <c r="H610" i="4"/>
  <c r="J610" i="4" s="1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K621" i="4" s="1"/>
  <c r="I609" i="4"/>
  <c r="H609" i="4"/>
  <c r="F609" i="4"/>
  <c r="G608" i="4"/>
  <c r="G622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H600" i="4"/>
  <c r="J600" i="4" s="1"/>
  <c r="F600" i="4"/>
  <c r="Q599" i="4"/>
  <c r="K599" i="4"/>
  <c r="I599" i="4"/>
  <c r="H599" i="4"/>
  <c r="J599" i="4" s="1"/>
  <c r="F599" i="4"/>
  <c r="Q598" i="4"/>
  <c r="K598" i="4"/>
  <c r="I598" i="4"/>
  <c r="H598" i="4"/>
  <c r="J598" i="4" s="1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K608" i="4" s="1"/>
  <c r="K622" i="4" s="1"/>
  <c r="I596" i="4"/>
  <c r="H596" i="4"/>
  <c r="F596" i="4"/>
  <c r="S595" i="4"/>
  <c r="D25" i="1" s="1"/>
  <c r="G25" i="1" s="1"/>
  <c r="G594" i="4"/>
  <c r="Q593" i="4"/>
  <c r="K593" i="4"/>
  <c r="I593" i="4"/>
  <c r="H593" i="4"/>
  <c r="J593" i="4" s="1"/>
  <c r="F593" i="4"/>
  <c r="Q592" i="4"/>
  <c r="K592" i="4"/>
  <c r="I592" i="4"/>
  <c r="H592" i="4"/>
  <c r="J592" i="4" s="1"/>
  <c r="F592" i="4"/>
  <c r="Q591" i="4"/>
  <c r="K591" i="4"/>
  <c r="I591" i="4"/>
  <c r="H591" i="4"/>
  <c r="J591" i="4" s="1"/>
  <c r="F591" i="4"/>
  <c r="Q590" i="4"/>
  <c r="K590" i="4"/>
  <c r="I590" i="4"/>
  <c r="H590" i="4"/>
  <c r="J590" i="4" s="1"/>
  <c r="F590" i="4"/>
  <c r="Q589" i="4"/>
  <c r="K589" i="4"/>
  <c r="I589" i="4"/>
  <c r="H589" i="4"/>
  <c r="J589" i="4" s="1"/>
  <c r="F589" i="4"/>
  <c r="Q588" i="4"/>
  <c r="K588" i="4"/>
  <c r="I588" i="4"/>
  <c r="H588" i="4"/>
  <c r="J588" i="4" s="1"/>
  <c r="F588" i="4"/>
  <c r="Q587" i="4"/>
  <c r="K587" i="4"/>
  <c r="I587" i="4"/>
  <c r="H587" i="4"/>
  <c r="J587" i="4" s="1"/>
  <c r="F587" i="4"/>
  <c r="Q586" i="4"/>
  <c r="K586" i="4"/>
  <c r="I586" i="4"/>
  <c r="H586" i="4"/>
  <c r="J586" i="4" s="1"/>
  <c r="F586" i="4"/>
  <c r="Q585" i="4"/>
  <c r="K585" i="4"/>
  <c r="I585" i="4"/>
  <c r="H585" i="4"/>
  <c r="J585" i="4" s="1"/>
  <c r="F585" i="4"/>
  <c r="Q584" i="4"/>
  <c r="K584" i="4"/>
  <c r="I584" i="4"/>
  <c r="H584" i="4"/>
  <c r="J584" i="4" s="1"/>
  <c r="F584" i="4"/>
  <c r="Q583" i="4"/>
  <c r="K583" i="4"/>
  <c r="I583" i="4"/>
  <c r="H583" i="4"/>
  <c r="J583" i="4" s="1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K594" i="4" s="1"/>
  <c r="I582" i="4"/>
  <c r="H582" i="4"/>
  <c r="F582" i="4"/>
  <c r="G581" i="4"/>
  <c r="G595" i="4" s="1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J577" i="4" s="1"/>
  <c r="F577" i="4"/>
  <c r="Q576" i="4"/>
  <c r="K576" i="4"/>
  <c r="I576" i="4"/>
  <c r="H576" i="4"/>
  <c r="J576" i="4" s="1"/>
  <c r="F576" i="4"/>
  <c r="Q575" i="4"/>
  <c r="K575" i="4"/>
  <c r="I575" i="4"/>
  <c r="H575" i="4"/>
  <c r="J575" i="4" s="1"/>
  <c r="F575" i="4"/>
  <c r="Q574" i="4"/>
  <c r="K574" i="4"/>
  <c r="I574" i="4"/>
  <c r="H574" i="4"/>
  <c r="J574" i="4" s="1"/>
  <c r="F574" i="4"/>
  <c r="Q573" i="4"/>
  <c r="K573" i="4"/>
  <c r="I573" i="4"/>
  <c r="H573" i="4"/>
  <c r="J573" i="4" s="1"/>
  <c r="F573" i="4"/>
  <c r="Q572" i="4"/>
  <c r="K572" i="4"/>
  <c r="I572" i="4"/>
  <c r="H572" i="4"/>
  <c r="J572" i="4" s="1"/>
  <c r="F572" i="4"/>
  <c r="Q571" i="4"/>
  <c r="K571" i="4"/>
  <c r="I571" i="4"/>
  <c r="H571" i="4"/>
  <c r="J571" i="4" s="1"/>
  <c r="F571" i="4"/>
  <c r="Q570" i="4"/>
  <c r="K570" i="4"/>
  <c r="I570" i="4"/>
  <c r="H570" i="4"/>
  <c r="J570" i="4" s="1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K595" i="4" s="1"/>
  <c r="I569" i="4"/>
  <c r="H569" i="4"/>
  <c r="F569" i="4"/>
  <c r="S568" i="4"/>
  <c r="D24" i="1" s="1"/>
  <c r="G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J560" i="4" s="1"/>
  <c r="F560" i="4"/>
  <c r="Q559" i="4"/>
  <c r="K559" i="4"/>
  <c r="I559" i="4"/>
  <c r="H559" i="4"/>
  <c r="J559" i="4" s="1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J553" i="4" s="1"/>
  <c r="F553" i="4"/>
  <c r="Q552" i="4"/>
  <c r="K552" i="4"/>
  <c r="I552" i="4"/>
  <c r="H552" i="4"/>
  <c r="J552" i="4" s="1"/>
  <c r="F552" i="4"/>
  <c r="Q551" i="4"/>
  <c r="K551" i="4"/>
  <c r="I551" i="4"/>
  <c r="H551" i="4"/>
  <c r="J551" i="4" s="1"/>
  <c r="F551" i="4"/>
  <c r="Q550" i="4"/>
  <c r="K550" i="4"/>
  <c r="I550" i="4"/>
  <c r="H550" i="4"/>
  <c r="J550" i="4" s="1"/>
  <c r="F550" i="4"/>
  <c r="Q549" i="4"/>
  <c r="K549" i="4"/>
  <c r="I549" i="4"/>
  <c r="H549" i="4"/>
  <c r="J549" i="4" s="1"/>
  <c r="F549" i="4"/>
  <c r="Q548" i="4"/>
  <c r="K548" i="4"/>
  <c r="I548" i="4"/>
  <c r="H548" i="4"/>
  <c r="J548" i="4" s="1"/>
  <c r="F548" i="4"/>
  <c r="Q547" i="4"/>
  <c r="K547" i="4"/>
  <c r="I547" i="4"/>
  <c r="H547" i="4"/>
  <c r="J547" i="4" s="1"/>
  <c r="F547" i="4"/>
  <c r="Q546" i="4"/>
  <c r="K546" i="4"/>
  <c r="I546" i="4"/>
  <c r="H546" i="4"/>
  <c r="J546" i="4" s="1"/>
  <c r="F546" i="4"/>
  <c r="Q545" i="4"/>
  <c r="K545" i="4"/>
  <c r="I545" i="4"/>
  <c r="H545" i="4"/>
  <c r="J545" i="4" s="1"/>
  <c r="F545" i="4"/>
  <c r="Q544" i="4"/>
  <c r="K544" i="4"/>
  <c r="I544" i="4"/>
  <c r="H544" i="4"/>
  <c r="J544" i="4" s="1"/>
  <c r="F544" i="4"/>
  <c r="Q543" i="4"/>
  <c r="K543" i="4"/>
  <c r="I543" i="4"/>
  <c r="H543" i="4"/>
  <c r="J543" i="4" s="1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23" i="1" s="1"/>
  <c r="G540" i="4"/>
  <c r="Q539" i="4"/>
  <c r="K539" i="4"/>
  <c r="I539" i="4"/>
  <c r="H539" i="4"/>
  <c r="J539" i="4" s="1"/>
  <c r="F539" i="4"/>
  <c r="Q538" i="4"/>
  <c r="K538" i="4"/>
  <c r="I538" i="4"/>
  <c r="H538" i="4"/>
  <c r="J538" i="4" s="1"/>
  <c r="F538" i="4"/>
  <c r="Q537" i="4"/>
  <c r="K537" i="4"/>
  <c r="I537" i="4"/>
  <c r="H537" i="4"/>
  <c r="F537" i="4"/>
  <c r="Q536" i="4"/>
  <c r="K536" i="4"/>
  <c r="I536" i="4"/>
  <c r="H536" i="4"/>
  <c r="F536" i="4"/>
  <c r="Q535" i="4"/>
  <c r="K535" i="4"/>
  <c r="I535" i="4"/>
  <c r="H535" i="4"/>
  <c r="F535" i="4"/>
  <c r="Q534" i="4"/>
  <c r="K534" i="4"/>
  <c r="I534" i="4"/>
  <c r="H534" i="4"/>
  <c r="F534" i="4"/>
  <c r="Q533" i="4"/>
  <c r="K533" i="4"/>
  <c r="I533" i="4"/>
  <c r="H533" i="4"/>
  <c r="F533" i="4"/>
  <c r="Q532" i="4"/>
  <c r="K532" i="4"/>
  <c r="I532" i="4"/>
  <c r="H532" i="4"/>
  <c r="F532" i="4"/>
  <c r="Q531" i="4"/>
  <c r="K531" i="4"/>
  <c r="I531" i="4"/>
  <c r="H531" i="4"/>
  <c r="F531" i="4"/>
  <c r="Q530" i="4"/>
  <c r="K530" i="4"/>
  <c r="I530" i="4"/>
  <c r="H530" i="4"/>
  <c r="F530" i="4"/>
  <c r="Q529" i="4"/>
  <c r="K529" i="4"/>
  <c r="I529" i="4"/>
  <c r="H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F526" i="4"/>
  <c r="Q525" i="4"/>
  <c r="K525" i="4"/>
  <c r="I525" i="4"/>
  <c r="H525" i="4"/>
  <c r="F525" i="4"/>
  <c r="Q524" i="4"/>
  <c r="K524" i="4"/>
  <c r="I524" i="4"/>
  <c r="H524" i="4"/>
  <c r="F524" i="4"/>
  <c r="Q523" i="4"/>
  <c r="K523" i="4"/>
  <c r="I523" i="4"/>
  <c r="H523" i="4"/>
  <c r="F523" i="4"/>
  <c r="Q522" i="4"/>
  <c r="K522" i="4"/>
  <c r="I522" i="4"/>
  <c r="H522" i="4"/>
  <c r="F522" i="4"/>
  <c r="Q521" i="4"/>
  <c r="K521" i="4"/>
  <c r="I521" i="4"/>
  <c r="H521" i="4"/>
  <c r="F521" i="4"/>
  <c r="Q520" i="4"/>
  <c r="K520" i="4"/>
  <c r="I520" i="4"/>
  <c r="H520" i="4"/>
  <c r="F520" i="4"/>
  <c r="Q519" i="4"/>
  <c r="K519" i="4"/>
  <c r="I519" i="4"/>
  <c r="H519" i="4"/>
  <c r="F519" i="4"/>
  <c r="Q518" i="4"/>
  <c r="K518" i="4"/>
  <c r="I518" i="4"/>
  <c r="H518" i="4"/>
  <c r="F518" i="4"/>
  <c r="Q517" i="4"/>
  <c r="K517" i="4"/>
  <c r="I517" i="4"/>
  <c r="H517" i="4"/>
  <c r="F517" i="4"/>
  <c r="Q516" i="4"/>
  <c r="K516" i="4"/>
  <c r="I516" i="4"/>
  <c r="H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Q527" i="4" s="1"/>
  <c r="K515" i="4"/>
  <c r="K527" i="4" s="1"/>
  <c r="K541" i="4" s="1"/>
  <c r="I515" i="4"/>
  <c r="H515" i="4"/>
  <c r="F515" i="4"/>
  <c r="S514" i="4"/>
  <c r="D22" i="1" s="1"/>
  <c r="G22" i="1" s="1"/>
  <c r="G513" i="4"/>
  <c r="Q512" i="4"/>
  <c r="K512" i="4"/>
  <c r="I512" i="4"/>
  <c r="H512" i="4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Q500" i="4" s="1"/>
  <c r="K488" i="4"/>
  <c r="K500" i="4" s="1"/>
  <c r="K514" i="4" s="1"/>
  <c r="I488" i="4"/>
  <c r="H488" i="4"/>
  <c r="F488" i="4"/>
  <c r="S487" i="4"/>
  <c r="D21" i="1" s="1"/>
  <c r="G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Q473" i="4" s="1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Q459" i="4" s="1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Q419" i="4" s="1"/>
  <c r="K407" i="4"/>
  <c r="K419" i="4" s="1"/>
  <c r="K433" i="4" s="1"/>
  <c r="I407" i="4"/>
  <c r="H407" i="4"/>
  <c r="F407" i="4"/>
  <c r="S406" i="4"/>
  <c r="D18" i="1" s="1"/>
  <c r="G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Q405" i="4" s="1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Q392" i="4" s="1"/>
  <c r="Q406" i="4" s="1"/>
  <c r="K380" i="4"/>
  <c r="K392" i="4" s="1"/>
  <c r="K406" i="4" s="1"/>
  <c r="I380" i="4"/>
  <c r="H380" i="4"/>
  <c r="F380" i="4"/>
  <c r="S379" i="4"/>
  <c r="D17" i="1" s="1"/>
  <c r="G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Q338" i="4" s="1"/>
  <c r="K326" i="4"/>
  <c r="K338" i="4" s="1"/>
  <c r="K352" i="4" s="1"/>
  <c r="I326" i="4"/>
  <c r="H326" i="4"/>
  <c r="F326" i="4"/>
  <c r="S325" i="4"/>
  <c r="D15" i="1" s="1"/>
  <c r="G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Q311" i="4" s="1"/>
  <c r="K299" i="4"/>
  <c r="K311" i="4" s="1"/>
  <c r="K325" i="4" s="1"/>
  <c r="I299" i="4"/>
  <c r="H299" i="4"/>
  <c r="F299" i="4"/>
  <c r="S298" i="4"/>
  <c r="D14" i="1" s="1"/>
  <c r="G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Q297" i="4" s="1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Q284" i="4" s="1"/>
  <c r="Q298" i="4" s="1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G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Q243" i="4" s="1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Q230" i="4" s="1"/>
  <c r="K218" i="4"/>
  <c r="K230" i="4" s="1"/>
  <c r="K244" i="4" s="1"/>
  <c r="S217" i="4"/>
  <c r="D11" i="1" s="1"/>
  <c r="G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Q216" i="4" s="1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Q203" i="4" s="1"/>
  <c r="Q217" i="4" s="1"/>
  <c r="K191" i="4"/>
  <c r="K203" i="4" s="1"/>
  <c r="K217" i="4" s="1"/>
  <c r="S190" i="4"/>
  <c r="D10" i="1" s="1"/>
  <c r="G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Q176" i="4" s="1"/>
  <c r="K164" i="4"/>
  <c r="K176" i="4" s="1"/>
  <c r="K190" i="4" s="1"/>
  <c r="S163" i="4"/>
  <c r="D9" i="1" s="1"/>
  <c r="G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Q162" i="4" s="1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G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G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Q108" i="4" s="1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G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Q81" i="4" s="1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Q68" i="4" s="1"/>
  <c r="Q82" i="4" s="1"/>
  <c r="K56" i="4"/>
  <c r="K68" i="4" s="1"/>
  <c r="K82" i="4" s="1"/>
  <c r="S55" i="4"/>
  <c r="D5" i="1" s="1"/>
  <c r="G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Q27" i="4" s="1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J512" i="4" l="1"/>
  <c r="J516" i="4"/>
  <c r="J517" i="4"/>
  <c r="J518" i="4"/>
  <c r="J519" i="4"/>
  <c r="J520" i="4"/>
  <c r="J521" i="4"/>
  <c r="J522" i="4"/>
  <c r="J523" i="4"/>
  <c r="J524" i="4"/>
  <c r="J525" i="4"/>
  <c r="J526" i="4"/>
  <c r="J529" i="4"/>
  <c r="J530" i="4"/>
  <c r="J531" i="4"/>
  <c r="J532" i="4"/>
  <c r="J533" i="4"/>
  <c r="J534" i="4"/>
  <c r="J535" i="4"/>
  <c r="J536" i="4"/>
  <c r="J537" i="4"/>
  <c r="J532" i="6"/>
  <c r="J531" i="6"/>
  <c r="J507" i="5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676" i="6" s="1"/>
  <c r="K770" i="6"/>
  <c r="J506" i="5"/>
  <c r="J506" i="4"/>
  <c r="J505" i="5"/>
  <c r="J505" i="4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6" i="5"/>
  <c r="J497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541" i="4" s="1"/>
  <c r="Q770" i="4"/>
  <c r="Q581" i="5"/>
  <c r="Q311" i="5"/>
  <c r="M149" i="3"/>
  <c r="Q567" i="4"/>
  <c r="Q95" i="4"/>
  <c r="Q14" i="4"/>
  <c r="Q28" i="4" s="1"/>
  <c r="Q635" i="5"/>
  <c r="Q257" i="5"/>
  <c r="Q176" i="5"/>
  <c r="Q190" i="5" s="1"/>
  <c r="M621" i="3"/>
  <c r="M81" i="3"/>
  <c r="Q622" i="6"/>
  <c r="Q784" i="5"/>
  <c r="Q325" i="5"/>
  <c r="M486" i="3"/>
  <c r="M716" i="3"/>
  <c r="M460" i="3"/>
  <c r="Q716" i="4"/>
  <c r="Q608" i="4"/>
  <c r="Q244" i="4"/>
  <c r="Q176" i="6"/>
  <c r="Q190" i="6" s="1"/>
  <c r="Q702" i="4"/>
  <c r="Q703" i="4" s="1"/>
  <c r="Q243" i="5"/>
  <c r="Q486" i="4"/>
  <c r="Q487" i="4" s="1"/>
  <c r="Q122" i="4"/>
  <c r="Q122" i="5"/>
  <c r="M608" i="3"/>
  <c r="M473" i="3"/>
  <c r="Q675" i="4"/>
  <c r="M54" i="3"/>
  <c r="M55" i="3" s="1"/>
  <c r="M527" i="3"/>
  <c r="Q675" i="6"/>
  <c r="Q540" i="5"/>
  <c r="Q541" i="5" s="1"/>
  <c r="M270" i="3"/>
  <c r="M271" i="3" s="1"/>
  <c r="K500" i="6"/>
  <c r="K514" i="6" s="1"/>
  <c r="Q149" i="4"/>
  <c r="Q163" i="4" s="1"/>
  <c r="Q797" i="4"/>
  <c r="Q581" i="4"/>
  <c r="Q324" i="4"/>
  <c r="Q325" i="4" s="1"/>
  <c r="Q810" i="4"/>
  <c r="M365" i="3"/>
  <c r="M379" i="3" s="1"/>
  <c r="M216" i="3"/>
  <c r="M217" i="3" s="1"/>
  <c r="M68" i="3"/>
  <c r="Q635" i="4"/>
  <c r="Q649" i="4" s="1"/>
  <c r="Q594" i="6"/>
  <c r="Q595" i="6" s="1"/>
  <c r="Q378" i="4"/>
  <c r="Q405" i="5"/>
  <c r="Q338" i="5"/>
  <c r="Q352" i="5" s="1"/>
  <c r="M135" i="3"/>
  <c r="Q756" i="6"/>
  <c r="Q243" i="6"/>
  <c r="Q244" i="6" s="1"/>
  <c r="M810" i="3"/>
  <c r="M14" i="3"/>
  <c r="Q594" i="4"/>
  <c r="Q595" i="4" s="1"/>
  <c r="M662" i="3"/>
  <c r="M162" i="3"/>
  <c r="M163" i="3" s="1"/>
  <c r="Q635" i="6"/>
  <c r="M311" i="3"/>
  <c r="Q689" i="6"/>
  <c r="Q703" i="6" s="1"/>
  <c r="Q594" i="5"/>
  <c r="Q595" i="5" s="1"/>
  <c r="Q365" i="4"/>
  <c r="Q379" i="4" s="1"/>
  <c r="M540" i="3"/>
  <c r="M541" i="3" s="1"/>
  <c r="Q783" i="6"/>
  <c r="Q797" i="6"/>
  <c r="Q811" i="6" s="1"/>
  <c r="Q95" i="5"/>
  <c r="Q109" i="5" s="1"/>
  <c r="M284" i="3"/>
  <c r="M298" i="3" s="1"/>
  <c r="Q41" i="5"/>
  <c r="Q392" i="5"/>
  <c r="Q406" i="5" s="1"/>
  <c r="Q648" i="6"/>
  <c r="Q649" i="6" s="1"/>
  <c r="Q729" i="5"/>
  <c r="Q730" i="5" s="1"/>
  <c r="Q486" i="5"/>
  <c r="Q487" i="5" s="1"/>
  <c r="Q459" i="5"/>
  <c r="Q460" i="5" s="1"/>
  <c r="Q27" i="5"/>
  <c r="M837" i="3"/>
  <c r="M838" i="3" s="1"/>
  <c r="M324" i="3"/>
  <c r="M325" i="3" s="1"/>
  <c r="Q662" i="4"/>
  <c r="Q676" i="4" s="1"/>
  <c r="Q513" i="5"/>
  <c r="Q149" i="5"/>
  <c r="Q135" i="5"/>
  <c r="Q136" i="5" s="1"/>
  <c r="M770" i="3"/>
  <c r="Q270" i="4"/>
  <c r="Q446" i="4"/>
  <c r="Q460" i="4" s="1"/>
  <c r="Q743" i="6"/>
  <c r="Q757" i="6" s="1"/>
  <c r="Q270" i="6"/>
  <c r="Q271" i="6" s="1"/>
  <c r="M729" i="3"/>
  <c r="M730" i="3" s="1"/>
  <c r="M513" i="3"/>
  <c r="M514" i="3" s="1"/>
  <c r="M95" i="3"/>
  <c r="M109" i="3" s="1"/>
  <c r="Q554" i="4"/>
  <c r="Q568" i="4" s="1"/>
  <c r="M392" i="3"/>
  <c r="M406" i="3" s="1"/>
  <c r="M122" i="3"/>
  <c r="M136" i="3" s="1"/>
  <c r="Q351" i="4"/>
  <c r="Q352" i="4" s="1"/>
  <c r="Q189" i="4"/>
  <c r="Q190" i="4" s="1"/>
  <c r="M797" i="3"/>
  <c r="M811" i="3" s="1"/>
  <c r="M594" i="3"/>
  <c r="M595" i="3" s="1"/>
  <c r="Q621" i="5"/>
  <c r="Q270" i="5"/>
  <c r="Q271" i="5" s="1"/>
  <c r="Q216" i="5"/>
  <c r="Q217" i="5" s="1"/>
  <c r="Q68" i="5"/>
  <c r="M783" i="3"/>
  <c r="M784" i="3" s="1"/>
  <c r="M338" i="3"/>
  <c r="M352" i="3" s="1"/>
  <c r="M243" i="3"/>
  <c r="M230" i="3"/>
  <c r="M244" i="3" s="1"/>
  <c r="M27" i="3"/>
  <c r="Q135" i="4"/>
  <c r="Q648" i="5"/>
  <c r="Q649" i="5" s="1"/>
  <c r="Q54" i="5"/>
  <c r="Q257" i="4"/>
  <c r="M648" i="3"/>
  <c r="Q756" i="4"/>
  <c r="Q757" i="4" s="1"/>
  <c r="Q730" i="4"/>
  <c r="Q432" i="4"/>
  <c r="Q433" i="4" s="1"/>
  <c r="Q81" i="5"/>
  <c r="M743" i="3"/>
  <c r="M757" i="3" s="1"/>
  <c r="M689" i="3"/>
  <c r="Q41" i="4"/>
  <c r="Q392" i="6"/>
  <c r="Q406" i="6" s="1"/>
  <c r="Q378" i="6"/>
  <c r="Q365" i="6"/>
  <c r="Q379" i="6" s="1"/>
  <c r="Q554" i="5"/>
  <c r="Q568" i="5" s="1"/>
  <c r="M675" i="3"/>
  <c r="M189" i="3"/>
  <c r="M190" i="3" s="1"/>
  <c r="Q783" i="4"/>
  <c r="Q784" i="4" s="1"/>
  <c r="Q54" i="6"/>
  <c r="Q55" i="6" s="1"/>
  <c r="Q824" i="5"/>
  <c r="Q838" i="5" s="1"/>
  <c r="Q513" i="4"/>
  <c r="Q514" i="4" s="1"/>
  <c r="Q621" i="4"/>
  <c r="Q622" i="4" s="1"/>
  <c r="Q297" i="6"/>
  <c r="Q298" i="6" s="1"/>
  <c r="Q608" i="5"/>
  <c r="Q837" i="6"/>
  <c r="Q838" i="6" s="1"/>
  <c r="Q837" i="4"/>
  <c r="Q838" i="4" s="1"/>
  <c r="Q230" i="5"/>
  <c r="Q162" i="5"/>
  <c r="Q109" i="4"/>
  <c r="Q54" i="4"/>
  <c r="Q770" i="6"/>
  <c r="Q662" i="6"/>
  <c r="Q554" i="6"/>
  <c r="Q568" i="6" s="1"/>
  <c r="Q540" i="6"/>
  <c r="Q541" i="6" s="1"/>
  <c r="Q419" i="6"/>
  <c r="Q433" i="6" s="1"/>
  <c r="Q351" i="6"/>
  <c r="Q338" i="6"/>
  <c r="Q311" i="6"/>
  <c r="Q325" i="6" s="1"/>
  <c r="Q216" i="6"/>
  <c r="Q217" i="6" s="1"/>
  <c r="Q95" i="6"/>
  <c r="Q109" i="6" s="1"/>
  <c r="Q810" i="5"/>
  <c r="Q811" i="5" s="1"/>
  <c r="Q756" i="5"/>
  <c r="Q743" i="5"/>
  <c r="Q757" i="5" s="1"/>
  <c r="Q675" i="5"/>
  <c r="Q662" i="5"/>
  <c r="Q500" i="5"/>
  <c r="Q14" i="5"/>
  <c r="M702" i="3"/>
  <c r="M635" i="3"/>
  <c r="M567" i="3"/>
  <c r="M568" i="3" s="1"/>
  <c r="M432" i="3"/>
  <c r="M433" i="3" s="1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77" i="6"/>
  <c r="J689" i="6" s="1"/>
  <c r="H689" i="6"/>
  <c r="H703" i="6" s="1"/>
  <c r="J663" i="6"/>
  <c r="J675" i="6" s="1"/>
  <c r="T675" i="6" s="1"/>
  <c r="H675" i="6"/>
  <c r="J657" i="6"/>
  <c r="J662" i="6" s="1"/>
  <c r="T662" i="6" s="1"/>
  <c r="H662" i="6"/>
  <c r="H676" i="6" s="1"/>
  <c r="J676" i="6"/>
  <c r="T676" i="6" s="1"/>
  <c r="H648" i="6"/>
  <c r="J636" i="6"/>
  <c r="J648" i="6" s="1"/>
  <c r="T648" i="6" s="1"/>
  <c r="H635" i="6"/>
  <c r="J623" i="6"/>
  <c r="J635" i="6" s="1"/>
  <c r="J609" i="6"/>
  <c r="J621" i="6" s="1"/>
  <c r="T621" i="6" s="1"/>
  <c r="H621" i="6"/>
  <c r="H608" i="6"/>
  <c r="H622" i="6" s="1"/>
  <c r="J596" i="6"/>
  <c r="J608" i="6" s="1"/>
  <c r="J582" i="6"/>
  <c r="J594" i="6" s="1"/>
  <c r="T594" i="6" s="1"/>
  <c r="H594" i="6"/>
  <c r="J569" i="6"/>
  <c r="J581" i="6" s="1"/>
  <c r="H581" i="6"/>
  <c r="H595" i="6" s="1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H784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H689" i="5"/>
  <c r="H703" i="5" s="1"/>
  <c r="J677" i="5"/>
  <c r="J689" i="5" s="1"/>
  <c r="H675" i="5"/>
  <c r="J663" i="5"/>
  <c r="J675" i="5" s="1"/>
  <c r="T675" i="5" s="1"/>
  <c r="H662" i="5"/>
  <c r="H676" i="5" s="1"/>
  <c r="J650" i="5"/>
  <c r="J662" i="5" s="1"/>
  <c r="H648" i="5"/>
  <c r="J636" i="5"/>
  <c r="J648" i="5" s="1"/>
  <c r="T648" i="5" s="1"/>
  <c r="H635" i="5"/>
  <c r="H649" i="5" s="1"/>
  <c r="J623" i="5"/>
  <c r="J635" i="5" s="1"/>
  <c r="J609" i="5"/>
  <c r="J621" i="5" s="1"/>
  <c r="T621" i="5" s="1"/>
  <c r="H621" i="5"/>
  <c r="H608" i="5"/>
  <c r="H622" i="5" s="1"/>
  <c r="J596" i="5"/>
  <c r="J608" i="5" s="1"/>
  <c r="J582" i="5"/>
  <c r="J594" i="5" s="1"/>
  <c r="T594" i="5" s="1"/>
  <c r="H594" i="5"/>
  <c r="H581" i="5"/>
  <c r="H595" i="5" s="1"/>
  <c r="J569" i="5"/>
  <c r="J581" i="5" s="1"/>
  <c r="J555" i="5"/>
  <c r="J567" i="5" s="1"/>
  <c r="T567" i="5" s="1"/>
  <c r="H567" i="5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H500" i="5"/>
  <c r="H514" i="5" s="1"/>
  <c r="J488" i="5"/>
  <c r="J500" i="5" s="1"/>
  <c r="J474" i="5"/>
  <c r="J486" i="5" s="1"/>
  <c r="T486" i="5" s="1"/>
  <c r="H486" i="5"/>
  <c r="H473" i="5"/>
  <c r="H487" i="5" s="1"/>
  <c r="J461" i="5"/>
  <c r="J473" i="5" s="1"/>
  <c r="H459" i="5"/>
  <c r="J447" i="5"/>
  <c r="J459" i="5" s="1"/>
  <c r="T459" i="5" s="1"/>
  <c r="H446" i="5"/>
  <c r="H460" i="5" s="1"/>
  <c r="J434" i="5"/>
  <c r="J446" i="5" s="1"/>
  <c r="H432" i="5"/>
  <c r="J420" i="5"/>
  <c r="J432" i="5" s="1"/>
  <c r="T432" i="5" s="1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J339" i="5"/>
  <c r="J351" i="5" s="1"/>
  <c r="T351" i="5" s="1"/>
  <c r="H351" i="5"/>
  <c r="H338" i="5"/>
  <c r="H352" i="5" s="1"/>
  <c r="J326" i="5"/>
  <c r="J338" i="5" s="1"/>
  <c r="H324" i="5"/>
  <c r="J312" i="5"/>
  <c r="J324" i="5" s="1"/>
  <c r="T324" i="5" s="1"/>
  <c r="J299" i="5"/>
  <c r="J311" i="5" s="1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H689" i="4"/>
  <c r="H703" i="4" s="1"/>
  <c r="J677" i="4"/>
  <c r="J689" i="4" s="1"/>
  <c r="H675" i="4"/>
  <c r="J663" i="4"/>
  <c r="J675" i="4" s="1"/>
  <c r="T675" i="4" s="1"/>
  <c r="J650" i="4"/>
  <c r="J662" i="4" s="1"/>
  <c r="H662" i="4"/>
  <c r="H676" i="4" s="1"/>
  <c r="H648" i="4"/>
  <c r="J636" i="4"/>
  <c r="J648" i="4" s="1"/>
  <c r="T648" i="4" s="1"/>
  <c r="H635" i="4"/>
  <c r="H649" i="4" s="1"/>
  <c r="J623" i="4"/>
  <c r="J635" i="4" s="1"/>
  <c r="J609" i="4"/>
  <c r="J621" i="4" s="1"/>
  <c r="T621" i="4" s="1"/>
  <c r="H621" i="4"/>
  <c r="J596" i="4"/>
  <c r="J608" i="4" s="1"/>
  <c r="H608" i="4"/>
  <c r="H622" i="4" s="1"/>
  <c r="J582" i="4"/>
  <c r="J594" i="4" s="1"/>
  <c r="T594" i="4" s="1"/>
  <c r="H594" i="4"/>
  <c r="J569" i="4"/>
  <c r="J581" i="4" s="1"/>
  <c r="H581" i="4"/>
  <c r="H595" i="4" s="1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G35" i="1" s="1"/>
  <c r="K784" i="6"/>
  <c r="M622" i="3" l="1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J703" i="6"/>
  <c r="T703" i="6" s="1"/>
  <c r="T689" i="6"/>
  <c r="T635" i="6"/>
  <c r="J649" i="6"/>
  <c r="T649" i="6" s="1"/>
  <c r="T608" i="6"/>
  <c r="J622" i="6"/>
  <c r="T622" i="6" s="1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T662" i="5"/>
  <c r="J676" i="5"/>
  <c r="T676" i="5" s="1"/>
  <c r="T635" i="5"/>
  <c r="J649" i="5"/>
  <c r="T649" i="5" s="1"/>
  <c r="J622" i="5"/>
  <c r="T622" i="5" s="1"/>
  <c r="T608" i="5"/>
  <c r="J595" i="5"/>
  <c r="T595" i="5" s="1"/>
  <c r="T581" i="5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J406" i="5"/>
  <c r="T406" i="5" s="1"/>
  <c r="T365" i="5"/>
  <c r="J379" i="5"/>
  <c r="T379" i="5" s="1"/>
  <c r="T338" i="5"/>
  <c r="J352" i="5"/>
  <c r="T352" i="5" s="1"/>
  <c r="J325" i="5"/>
  <c r="T325" i="5" s="1"/>
  <c r="T311" i="5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J676" i="4"/>
  <c r="T676" i="4" s="1"/>
  <c r="H28" i="1" s="1"/>
  <c r="J28" i="1" s="1"/>
  <c r="T635" i="4"/>
  <c r="J649" i="4"/>
  <c r="T649" i="4" s="1"/>
  <c r="T608" i="4"/>
  <c r="J622" i="4"/>
  <c r="T622" i="4" s="1"/>
  <c r="J595" i="4"/>
  <c r="T595" i="4" s="1"/>
  <c r="T581" i="4"/>
  <c r="J568" i="4"/>
  <c r="T568" i="4" s="1"/>
  <c r="H24" i="1" s="1"/>
  <c r="J24" i="1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649" i="6"/>
  <c r="H352" i="4"/>
  <c r="H811" i="6"/>
  <c r="T783" i="6"/>
  <c r="J784" i="6"/>
  <c r="T784" i="6" s="1"/>
  <c r="H33" i="1" l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9" i="1"/>
  <c r="J29" i="1" s="1"/>
  <c r="H27" i="1"/>
  <c r="J27" i="1" s="1"/>
  <c r="H26" i="1"/>
  <c r="J26" i="1" s="1"/>
  <c r="H21" i="1"/>
  <c r="J21" i="1" s="1"/>
  <c r="H19" i="1"/>
  <c r="J19" i="1" s="1"/>
  <c r="H17" i="1"/>
  <c r="J17" i="1" s="1"/>
  <c r="H15" i="1"/>
  <c r="J15" i="1" l="1"/>
  <c r="H35" i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<sst xmlns="http://schemas.openxmlformats.org/spreadsheetml/2006/main" count="9226" uniqueCount="404">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</sst>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</fonts>
  <fills count="18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67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0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4" activePane="bottomLeft" state="frozen"/>
      <selection pane="bottomLeft" activeCell="P18" sqref="P18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4" width="8.5703125" customWidth="1"/>
  </cols>
  <sheetData>
    <row r="1" spans="1:12" ht="31.5" customHeight="1">
      <c r="A1" s="158" t="s">
        <v>0</v>
      </c>
      <c r="B1" s="158"/>
      <c r="C1" s="158"/>
      <c r="D1" s="158"/>
      <c r="E1" s="158"/>
      <c r="F1" s="158"/>
      <c r="G1" s="158"/>
      <c r="H1" s="158"/>
      <c r="I1" s="158"/>
      <c r="J1" s="158"/>
      <c r="K1" s="158"/>
      <c r="L1" s="158"/>
    </row>
    <row r="2" spans="1:12" ht="30" customHeight="1">
      <c r="A2" s="159"/>
      <c r="B2" s="159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IF(H4=0,"-",1-ABS(I4-H4)/H4)</f>
        <v>-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>-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>-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>-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>-</v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>-</v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>-</v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>-</v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>-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>-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>-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0.9721290621448434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0.93095329909835545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0.82232197134469875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0.9861051535637545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0.61007189067459633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21"/>
      <c r="J23" s="22">
        <f t="shared" si="1"/>
        <v>0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21"/>
      <c r="J24" s="22" t="str">
        <f t="shared" si="1"/>
        <v>-</v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46256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21"/>
      <c r="J25" s="22" t="str">
        <f t="shared" si="1"/>
        <v>-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21"/>
      <c r="J26" s="22" t="str">
        <f t="shared" si="1"/>
        <v>-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21"/>
      <c r="J27" s="22" t="str">
        <f t="shared" si="1"/>
        <v>-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>-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>-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>-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>-</v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>-</v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>-</v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>-</v>
      </c>
      <c r="K34" s="22"/>
      <c r="L34" s="23">
        <f>IFERROR(INDEX('Britador Móvel'!$F:$F,3*A34+1),"")</f>
        <v>0</v>
      </c>
    </row>
    <row r="35" spans="1:12" ht="14.25" customHeight="1">
      <c r="A35" s="160" t="s">
        <v>16</v>
      </c>
      <c r="B35" s="160"/>
      <c r="C35" s="30">
        <f t="shared" ref="C35:I35" si="2">IFERROR(SUM(C4:C34),"")</f>
        <v>74069910</v>
      </c>
      <c r="D35" s="30">
        <f t="shared" si="2"/>
        <v>24442520</v>
      </c>
      <c r="E35" s="30">
        <f t="shared" si="2"/>
        <v>12931650</v>
      </c>
      <c r="F35" s="30">
        <f t="shared" si="2"/>
        <v>31416610</v>
      </c>
      <c r="G35" s="30">
        <f t="shared" si="2"/>
        <v>68790780</v>
      </c>
      <c r="H35" s="31">
        <f t="shared" si="2"/>
        <v>6165.6854726915117</v>
      </c>
      <c r="I35" s="31">
        <f t="shared" si="2"/>
        <v>4967.05</v>
      </c>
      <c r="J35" s="32">
        <f>I35/H35</f>
        <v>0.80559574795042699</v>
      </c>
      <c r="K35" s="33">
        <f>SUM(K4:K34)</f>
        <v>450.78</v>
      </c>
      <c r="L35" s="34">
        <f>IFERROR(SUM(L4:L34),"")</f>
        <v>6042.6</v>
      </c>
    </row>
    <row r="36" spans="1:12" ht="15" customHeight="1">
      <c r="J36" s="35"/>
    </row>
  </sheetData>
  <sheetProtection algorithmName="SHA-512" hashValue="4Q2InTcYHlVyRxlOViGh9f3//ZOVrsrWM4aR/gIemFW833GtZ9nboTQnPIKpSdonHy63i+BMJFl1HlbgcAH+pg==" saltValue="/LE3g3rIKk9Vaiq6LMKdB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38" zoomScale="85" zoomScaleNormal="85" workbookViewId="0">
      <selection activeCell="R60" sqref="R60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1" t="s">
        <v>17</v>
      </c>
      <c r="B1" s="161"/>
      <c r="C1" s="161"/>
      <c r="D1" s="161"/>
      <c r="E1" s="161"/>
      <c r="F1" s="161"/>
      <c r="G1" s="161"/>
      <c r="H1" s="161"/>
      <c r="I1" s="161"/>
      <c r="J1" s="161"/>
      <c r="K1" s="161"/>
      <c r="L1" s="161"/>
      <c r="M1" s="162"/>
      <c r="N1" s="163" t="s">
        <v>18</v>
      </c>
      <c r="O1" s="163"/>
      <c r="P1" s="163"/>
      <c r="Q1" s="163"/>
      <c r="R1" s="163"/>
    </row>
    <row r="2" spans="1:18" ht="4.5" customHeight="1">
      <c r="M2" s="162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62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0.35</v>
      </c>
      <c r="G4" s="39">
        <v>0.6</v>
      </c>
      <c r="J4" s="37" t="s">
        <v>25</v>
      </c>
      <c r="L4" s="37" t="s">
        <v>32</v>
      </c>
      <c r="M4" s="162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62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62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62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37"/>
      <c r="D8" s="43"/>
      <c r="E8" s="44"/>
      <c r="F8" s="43"/>
      <c r="G8" s="45"/>
      <c r="H8" s="43"/>
      <c r="J8" s="40" t="s">
        <v>29</v>
      </c>
      <c r="L8" s="37" t="s">
        <v>61</v>
      </c>
      <c r="M8" s="162"/>
      <c r="N8" s="37" t="s">
        <v>62</v>
      </c>
      <c r="O8" s="37" t="s">
        <v>63</v>
      </c>
      <c r="P8" s="37" t="s">
        <v>51</v>
      </c>
      <c r="Q8" s="37" t="s">
        <v>64</v>
      </c>
      <c r="R8" s="37" t="s">
        <v>65</v>
      </c>
    </row>
    <row r="9" spans="1:18" ht="15.75" customHeight="1">
      <c r="A9" s="40"/>
      <c r="C9" s="40"/>
      <c r="D9" s="43"/>
      <c r="E9" s="46"/>
      <c r="F9" s="43"/>
      <c r="G9" s="47"/>
      <c r="H9" s="43"/>
      <c r="J9" s="40"/>
      <c r="L9" s="40" t="s">
        <v>66</v>
      </c>
      <c r="M9" s="162"/>
      <c r="N9" s="40" t="s">
        <v>67</v>
      </c>
      <c r="O9" s="40" t="s">
        <v>68</v>
      </c>
      <c r="P9" s="40" t="s">
        <v>69</v>
      </c>
      <c r="Q9" s="40" t="s">
        <v>70</v>
      </c>
      <c r="R9" s="40" t="s">
        <v>71</v>
      </c>
    </row>
    <row r="10" spans="1:18" ht="15.75" customHeight="1">
      <c r="A10" s="37"/>
      <c r="C10" s="37"/>
      <c r="D10" s="43"/>
      <c r="E10" s="44"/>
      <c r="F10" s="43"/>
      <c r="G10" s="45"/>
      <c r="H10" s="43"/>
      <c r="J10" s="37"/>
      <c r="L10" s="37" t="s">
        <v>72</v>
      </c>
      <c r="M10" s="162"/>
      <c r="N10" s="37" t="s">
        <v>73</v>
      </c>
      <c r="O10" s="37" t="s">
        <v>74</v>
      </c>
      <c r="P10" s="37" t="s">
        <v>75</v>
      </c>
      <c r="Q10" s="37" t="s">
        <v>76</v>
      </c>
      <c r="R10" s="37" t="s">
        <v>77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78</v>
      </c>
      <c r="M11" s="162"/>
      <c r="N11" s="40" t="s">
        <v>79</v>
      </c>
      <c r="O11" s="40" t="s">
        <v>80</v>
      </c>
      <c r="P11" s="40" t="s">
        <v>81</v>
      </c>
      <c r="Q11" s="40" t="s">
        <v>82</v>
      </c>
      <c r="R11" s="40" t="s">
        <v>83</v>
      </c>
    </row>
    <row r="12" spans="1:18" ht="15.75" customHeight="1">
      <c r="A12" s="37"/>
      <c r="C12" s="37"/>
      <c r="J12" s="37"/>
      <c r="L12" s="37" t="s">
        <v>84</v>
      </c>
      <c r="M12" s="162"/>
      <c r="N12" s="37" t="s">
        <v>85</v>
      </c>
      <c r="O12" s="37" t="s">
        <v>86</v>
      </c>
      <c r="P12" s="37" t="s">
        <v>70</v>
      </c>
      <c r="Q12" s="37" t="s">
        <v>87</v>
      </c>
      <c r="R12" s="37" t="s">
        <v>88</v>
      </c>
    </row>
    <row r="13" spans="1:18" ht="15.75" customHeight="1">
      <c r="A13" s="40"/>
      <c r="C13" s="40"/>
      <c r="J13" s="40"/>
      <c r="L13" s="40" t="s">
        <v>89</v>
      </c>
      <c r="M13" s="162"/>
      <c r="N13" s="40"/>
      <c r="O13" s="40" t="s">
        <v>90</v>
      </c>
      <c r="P13" s="40" t="s">
        <v>91</v>
      </c>
      <c r="Q13" s="40" t="s">
        <v>92</v>
      </c>
      <c r="R13" s="40" t="s">
        <v>93</v>
      </c>
    </row>
    <row r="14" spans="1:18" ht="15.75" customHeight="1">
      <c r="A14" s="37"/>
      <c r="C14" s="37"/>
      <c r="J14" s="37"/>
      <c r="L14" s="37" t="s">
        <v>94</v>
      </c>
      <c r="M14" s="162"/>
      <c r="N14" s="37" t="s">
        <v>95</v>
      </c>
      <c r="O14" s="37" t="s">
        <v>96</v>
      </c>
      <c r="P14" s="37" t="s">
        <v>97</v>
      </c>
      <c r="Q14" s="37" t="s">
        <v>98</v>
      </c>
      <c r="R14" s="37" t="s">
        <v>99</v>
      </c>
    </row>
    <row r="15" spans="1:18" ht="15.75" customHeight="1">
      <c r="A15" s="40"/>
      <c r="C15" s="40"/>
      <c r="J15" s="40"/>
      <c r="L15" s="40" t="s">
        <v>100</v>
      </c>
      <c r="M15" s="162"/>
      <c r="N15" s="40" t="s">
        <v>101</v>
      </c>
      <c r="O15" s="40" t="s">
        <v>102</v>
      </c>
      <c r="P15" s="40" t="s">
        <v>103</v>
      </c>
      <c r="Q15" s="40" t="s">
        <v>104</v>
      </c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162"/>
      <c r="N16" s="37" t="s">
        <v>107</v>
      </c>
      <c r="O16" s="37" t="s">
        <v>108</v>
      </c>
      <c r="P16" s="37" t="s">
        <v>109</v>
      </c>
      <c r="Q16" s="37" t="s">
        <v>110</v>
      </c>
      <c r="R16" s="37" t="s">
        <v>111</v>
      </c>
    </row>
    <row r="17" spans="1:18" ht="15.75" customHeight="1">
      <c r="A17" s="40"/>
      <c r="C17" s="40"/>
      <c r="J17" s="40"/>
      <c r="L17" s="40" t="s">
        <v>112</v>
      </c>
      <c r="M17" s="162"/>
      <c r="N17" s="40" t="s">
        <v>113</v>
      </c>
      <c r="O17" s="40" t="s">
        <v>114</v>
      </c>
      <c r="P17" s="40" t="s">
        <v>115</v>
      </c>
      <c r="Q17" s="40" t="s">
        <v>116</v>
      </c>
      <c r="R17" s="40" t="s">
        <v>117</v>
      </c>
    </row>
    <row r="18" spans="1:18" ht="15.75" customHeight="1">
      <c r="A18" s="37"/>
      <c r="C18" s="37"/>
      <c r="J18" s="37"/>
      <c r="L18" s="37" t="s">
        <v>118</v>
      </c>
      <c r="M18" s="162"/>
      <c r="N18" s="37" t="s">
        <v>119</v>
      </c>
      <c r="O18" s="37" t="s">
        <v>120</v>
      </c>
      <c r="P18" s="37" t="s">
        <v>121</v>
      </c>
      <c r="Q18" s="37" t="s">
        <v>122</v>
      </c>
      <c r="R18" s="37" t="s">
        <v>123</v>
      </c>
    </row>
    <row r="19" spans="1:18" ht="15.75" customHeight="1">
      <c r="A19" s="40"/>
      <c r="C19" s="40"/>
      <c r="J19" s="40"/>
      <c r="L19" s="40" t="s">
        <v>124</v>
      </c>
      <c r="M19" s="162"/>
      <c r="N19" s="40" t="s">
        <v>125</v>
      </c>
      <c r="O19" s="40" t="s">
        <v>126</v>
      </c>
      <c r="P19" s="40" t="s">
        <v>127</v>
      </c>
      <c r="Q19" s="40"/>
      <c r="R19" s="40" t="s">
        <v>128</v>
      </c>
    </row>
    <row r="20" spans="1:18" ht="15.75" customHeight="1">
      <c r="A20" s="37"/>
      <c r="C20" s="37"/>
      <c r="J20" s="37"/>
      <c r="L20" s="37" t="s">
        <v>129</v>
      </c>
      <c r="M20" s="162"/>
      <c r="N20" s="37"/>
      <c r="O20" s="37" t="s">
        <v>130</v>
      </c>
      <c r="P20" s="37" t="s">
        <v>131</v>
      </c>
      <c r="Q20" s="37"/>
      <c r="R20" s="37" t="s">
        <v>132</v>
      </c>
    </row>
    <row r="21" spans="1:18" ht="15.75" customHeight="1">
      <c r="A21" s="40"/>
      <c r="C21" s="40"/>
      <c r="J21" s="40"/>
      <c r="L21" s="40" t="s">
        <v>133</v>
      </c>
      <c r="M21" s="162"/>
      <c r="N21" s="40"/>
      <c r="O21" s="40"/>
      <c r="P21" s="40" t="s">
        <v>134</v>
      </c>
      <c r="Q21" s="40"/>
      <c r="R21" s="40" t="s">
        <v>135</v>
      </c>
    </row>
    <row r="22" spans="1:18" ht="15.75" customHeight="1">
      <c r="A22" s="37"/>
      <c r="C22" s="37"/>
      <c r="J22" s="37"/>
      <c r="L22" s="37" t="s">
        <v>136</v>
      </c>
      <c r="M22" s="162"/>
      <c r="N22" s="37"/>
      <c r="O22" s="37"/>
      <c r="P22" s="37" t="s">
        <v>137</v>
      </c>
      <c r="Q22" s="37"/>
      <c r="R22" s="37" t="s">
        <v>138</v>
      </c>
    </row>
    <row r="23" spans="1:18" ht="15.75" customHeight="1">
      <c r="A23" s="40"/>
      <c r="C23" s="40"/>
      <c r="J23" s="40"/>
      <c r="L23" s="40" t="s">
        <v>139</v>
      </c>
      <c r="M23" s="162"/>
      <c r="N23" s="40"/>
      <c r="O23" s="40"/>
      <c r="P23" s="40" t="s">
        <v>140</v>
      </c>
      <c r="Q23" s="40"/>
      <c r="R23" s="40" t="s">
        <v>141</v>
      </c>
    </row>
    <row r="24" spans="1:18" ht="15.75" customHeight="1">
      <c r="A24" s="37"/>
      <c r="C24" s="37"/>
      <c r="J24" s="37"/>
      <c r="L24" s="37" t="s">
        <v>142</v>
      </c>
      <c r="M24" s="162"/>
      <c r="N24" s="37"/>
      <c r="O24" s="37"/>
      <c r="P24" s="37" t="s">
        <v>143</v>
      </c>
      <c r="Q24" s="37"/>
      <c r="R24" s="37" t="s">
        <v>144</v>
      </c>
    </row>
    <row r="25" spans="1:18" ht="15.75" customHeight="1">
      <c r="A25" s="40"/>
      <c r="C25" s="40"/>
      <c r="J25" s="40"/>
      <c r="L25" s="40" t="s">
        <v>145</v>
      </c>
      <c r="M25" s="162"/>
      <c r="N25" s="40"/>
      <c r="O25" s="40"/>
      <c r="P25" s="40" t="s">
        <v>146</v>
      </c>
      <c r="Q25" s="40"/>
      <c r="R25" s="40" t="s">
        <v>147</v>
      </c>
    </row>
    <row r="26" spans="1:18" ht="15.75" customHeight="1">
      <c r="A26" s="37"/>
      <c r="C26" s="37"/>
      <c r="J26" s="37"/>
      <c r="L26" s="37" t="s">
        <v>148</v>
      </c>
      <c r="M26" s="162"/>
      <c r="N26" s="37"/>
      <c r="O26" s="37"/>
      <c r="P26" s="37" t="s">
        <v>149</v>
      </c>
      <c r="Q26" s="37"/>
      <c r="R26" s="37"/>
    </row>
    <row r="27" spans="1:18" ht="15.75" customHeight="1">
      <c r="A27" s="40"/>
      <c r="C27" s="40"/>
      <c r="J27" s="40"/>
      <c r="L27" s="40" t="s">
        <v>150</v>
      </c>
      <c r="M27" s="162"/>
      <c r="N27" s="40"/>
      <c r="O27" s="40"/>
      <c r="P27" s="40" t="s">
        <v>141</v>
      </c>
      <c r="Q27" s="40"/>
      <c r="R27" s="40" t="s">
        <v>71</v>
      </c>
    </row>
    <row r="28" spans="1:18" ht="15.75" customHeight="1">
      <c r="A28" s="37"/>
      <c r="C28" s="37"/>
      <c r="J28" s="37"/>
      <c r="L28" s="37" t="s">
        <v>151</v>
      </c>
      <c r="M28" s="162"/>
      <c r="N28" s="37"/>
      <c r="O28" s="37"/>
      <c r="P28" s="37" t="s">
        <v>144</v>
      </c>
      <c r="Q28" s="37"/>
      <c r="R28" s="37" t="s">
        <v>152</v>
      </c>
    </row>
    <row r="29" spans="1:18" ht="15.75" customHeight="1">
      <c r="A29" s="40"/>
      <c r="C29" s="40"/>
      <c r="J29" s="40"/>
      <c r="L29" s="40" t="s">
        <v>153</v>
      </c>
      <c r="M29" s="162"/>
      <c r="N29" s="40"/>
      <c r="O29" s="40"/>
      <c r="P29" s="40" t="s">
        <v>154</v>
      </c>
      <c r="Q29" s="40"/>
      <c r="R29" s="40" t="s">
        <v>155</v>
      </c>
    </row>
    <row r="30" spans="1:18" ht="15.75" customHeight="1">
      <c r="A30" s="37"/>
      <c r="C30" s="37"/>
      <c r="J30" s="37"/>
      <c r="L30" s="37" t="s">
        <v>156</v>
      </c>
      <c r="M30" s="162"/>
      <c r="N30" s="37"/>
      <c r="O30" s="37"/>
      <c r="P30" s="37" t="s">
        <v>157</v>
      </c>
      <c r="Q30" s="37"/>
      <c r="R30" s="37" t="s">
        <v>158</v>
      </c>
    </row>
    <row r="31" spans="1:18" ht="15.75" customHeight="1">
      <c r="A31" s="40"/>
      <c r="C31" s="40"/>
      <c r="J31" s="40"/>
      <c r="L31" s="40" t="s">
        <v>159</v>
      </c>
      <c r="M31" s="162"/>
      <c r="N31" s="40"/>
      <c r="O31" s="40"/>
      <c r="P31" s="40" t="s">
        <v>160</v>
      </c>
      <c r="Q31" s="40"/>
      <c r="R31" s="40" t="s">
        <v>161</v>
      </c>
    </row>
    <row r="32" spans="1:18" ht="15.75" customHeight="1">
      <c r="A32" s="37"/>
      <c r="C32" s="37"/>
      <c r="J32" s="37"/>
      <c r="L32" s="37" t="s">
        <v>162</v>
      </c>
      <c r="M32" s="162"/>
      <c r="N32" s="37"/>
      <c r="O32" s="37"/>
      <c r="P32" s="37" t="s">
        <v>163</v>
      </c>
      <c r="Q32" s="37"/>
      <c r="R32" t="s">
        <v>164</v>
      </c>
    </row>
    <row r="33" spans="1:18" ht="15.75" customHeight="1">
      <c r="A33" s="40"/>
      <c r="C33" s="50" t="s">
        <v>165</v>
      </c>
      <c r="E33" s="51">
        <v>1000</v>
      </c>
      <c r="J33" s="40"/>
      <c r="L33" s="40" t="s">
        <v>166</v>
      </c>
      <c r="M33" s="162"/>
      <c r="N33" s="40"/>
      <c r="O33" s="40"/>
      <c r="P33" s="40" t="s">
        <v>167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168</v>
      </c>
      <c r="M34" s="162"/>
      <c r="N34" s="37"/>
      <c r="O34" s="37"/>
      <c r="P34" s="37" t="s">
        <v>88</v>
      </c>
      <c r="Q34" s="37"/>
      <c r="R34" s="37" t="s">
        <v>169</v>
      </c>
    </row>
    <row r="35" spans="1:18" ht="15.75" customHeight="1">
      <c r="A35" s="40"/>
      <c r="C35" s="40"/>
      <c r="J35" s="40"/>
      <c r="L35" s="40" t="s">
        <v>170</v>
      </c>
      <c r="M35" s="162"/>
      <c r="N35" s="40"/>
      <c r="O35" s="40"/>
      <c r="P35" s="40" t="s">
        <v>171</v>
      </c>
      <c r="Q35" s="40"/>
      <c r="R35" s="40" t="s">
        <v>172</v>
      </c>
    </row>
    <row r="36" spans="1:18" ht="15.75" customHeight="1">
      <c r="A36" s="37"/>
      <c r="C36" s="37"/>
      <c r="J36" s="37"/>
      <c r="L36" s="37" t="s">
        <v>173</v>
      </c>
      <c r="M36" s="162"/>
      <c r="N36" s="37"/>
      <c r="O36" s="37"/>
      <c r="P36" s="37" t="s">
        <v>174</v>
      </c>
      <c r="Q36" s="37"/>
      <c r="R36" s="37" t="s">
        <v>175</v>
      </c>
    </row>
    <row r="37" spans="1:18" ht="15.75" customHeight="1">
      <c r="A37" s="40"/>
      <c r="C37" s="40"/>
      <c r="J37" s="40"/>
      <c r="L37" s="40" t="s">
        <v>176</v>
      </c>
      <c r="M37" s="162"/>
      <c r="N37" s="40"/>
      <c r="O37" s="40"/>
      <c r="P37" s="40" t="s">
        <v>177</v>
      </c>
      <c r="Q37" s="40"/>
      <c r="R37" s="40" t="s">
        <v>178</v>
      </c>
    </row>
    <row r="38" spans="1:18" ht="15.75" customHeight="1">
      <c r="A38" s="37"/>
      <c r="C38" s="37"/>
      <c r="J38" s="37"/>
      <c r="L38" s="37" t="s">
        <v>179</v>
      </c>
      <c r="M38" s="162"/>
      <c r="N38" s="37"/>
      <c r="O38" s="37"/>
      <c r="P38" s="37" t="s">
        <v>180</v>
      </c>
      <c r="Q38" s="37"/>
      <c r="R38" s="37" t="s">
        <v>181</v>
      </c>
    </row>
    <row r="39" spans="1:18" ht="15.75" customHeight="1">
      <c r="A39" s="40"/>
      <c r="C39" s="40"/>
      <c r="J39" s="40"/>
      <c r="L39" s="40"/>
      <c r="M39" s="162"/>
      <c r="N39" s="40"/>
      <c r="O39" s="40"/>
      <c r="P39" s="40" t="s">
        <v>182</v>
      </c>
      <c r="Q39" s="40"/>
      <c r="R39" s="40" t="s">
        <v>183</v>
      </c>
    </row>
    <row r="40" spans="1:18" ht="15.75" customHeight="1">
      <c r="A40" s="37"/>
      <c r="C40" s="37"/>
      <c r="J40" s="37"/>
      <c r="L40" s="37"/>
      <c r="M40" s="162"/>
      <c r="N40" s="37"/>
      <c r="O40" s="37"/>
      <c r="P40" s="37" t="s">
        <v>184</v>
      </c>
      <c r="Q40" s="37"/>
      <c r="R40" s="37" t="s">
        <v>185</v>
      </c>
    </row>
    <row r="41" spans="1:18" ht="15.75" customHeight="1">
      <c r="A41" s="40"/>
      <c r="C41" s="40"/>
      <c r="J41" s="40"/>
      <c r="L41" s="40"/>
      <c r="M41" s="162"/>
      <c r="N41" s="40"/>
      <c r="O41" s="40"/>
      <c r="P41" s="40" t="s">
        <v>186</v>
      </c>
      <c r="Q41" s="40"/>
      <c r="R41" s="40" t="s">
        <v>187</v>
      </c>
    </row>
    <row r="42" spans="1:18" ht="15.75" customHeight="1">
      <c r="A42" s="37"/>
      <c r="C42" s="37"/>
      <c r="J42" s="37"/>
      <c r="L42" s="37"/>
      <c r="M42" s="162"/>
      <c r="N42" s="37"/>
      <c r="O42" s="37"/>
      <c r="P42" s="37" t="s">
        <v>188</v>
      </c>
      <c r="Q42" s="37"/>
      <c r="R42" s="37" t="s">
        <v>189</v>
      </c>
    </row>
    <row r="43" spans="1:18" ht="15.75" customHeight="1">
      <c r="A43" s="40"/>
      <c r="C43" s="40"/>
      <c r="J43" s="40"/>
      <c r="L43" s="40"/>
      <c r="M43" s="162"/>
      <c r="N43" s="40"/>
      <c r="O43" s="40"/>
      <c r="P43" s="40" t="s">
        <v>190</v>
      </c>
      <c r="Q43" s="40"/>
      <c r="R43" s="40" t="s">
        <v>191</v>
      </c>
    </row>
    <row r="44" spans="1:18" ht="15.75" customHeight="1">
      <c r="A44" s="37"/>
      <c r="C44" s="37"/>
      <c r="J44" s="37"/>
      <c r="L44" s="37"/>
      <c r="M44" s="162"/>
      <c r="N44" s="37"/>
      <c r="O44" s="37"/>
      <c r="P44" s="37" t="s">
        <v>192</v>
      </c>
      <c r="Q44" s="37"/>
      <c r="R44" s="37" t="s">
        <v>193</v>
      </c>
    </row>
    <row r="45" spans="1:18" ht="15.75" customHeight="1">
      <c r="A45" s="40"/>
      <c r="C45" s="40"/>
      <c r="J45" s="40"/>
      <c r="L45" s="40"/>
      <c r="M45" s="162"/>
      <c r="N45" s="40"/>
      <c r="O45" s="40"/>
      <c r="P45" s="40" t="s">
        <v>194</v>
      </c>
      <c r="Q45" s="40"/>
      <c r="R45" s="40" t="s">
        <v>195</v>
      </c>
    </row>
    <row r="46" spans="1:18" ht="15.75" customHeight="1">
      <c r="A46" s="37"/>
      <c r="C46" s="37"/>
      <c r="J46" s="37"/>
      <c r="L46" s="37"/>
      <c r="M46" s="162"/>
      <c r="N46" s="37"/>
      <c r="O46" s="37"/>
      <c r="P46" s="37" t="s">
        <v>196</v>
      </c>
      <c r="Q46" s="37"/>
      <c r="R46" s="37" t="s">
        <v>197</v>
      </c>
    </row>
    <row r="47" spans="1:18" ht="15.75" customHeight="1">
      <c r="A47" s="40"/>
      <c r="C47" s="40"/>
      <c r="J47" s="40"/>
      <c r="L47" s="40"/>
      <c r="M47" s="162"/>
      <c r="N47" s="40"/>
      <c r="O47" s="40"/>
      <c r="P47" s="40" t="s">
        <v>198</v>
      </c>
      <c r="Q47" s="40"/>
      <c r="R47" s="40" t="s">
        <v>199</v>
      </c>
    </row>
    <row r="48" spans="1:18" ht="15.75" customHeight="1">
      <c r="A48" s="37"/>
      <c r="C48" s="37"/>
      <c r="J48" s="37"/>
      <c r="L48" s="37"/>
      <c r="M48" s="162"/>
      <c r="N48" s="37"/>
      <c r="O48" s="37"/>
      <c r="P48" s="37" t="s">
        <v>200</v>
      </c>
      <c r="Q48" s="37"/>
      <c r="R48" s="37" t="s">
        <v>201</v>
      </c>
    </row>
    <row r="49" spans="1:18" ht="18" customHeight="1">
      <c r="M49" s="162"/>
      <c r="N49" s="40"/>
      <c r="O49" s="40"/>
      <c r="P49" s="40" t="s">
        <v>202</v>
      </c>
      <c r="Q49" s="40"/>
      <c r="R49" s="40" t="s">
        <v>203</v>
      </c>
    </row>
    <row r="50" spans="1:18" ht="21" customHeight="1">
      <c r="A50" s="52" t="s">
        <v>204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62"/>
      <c r="N50" s="37"/>
      <c r="O50" s="37"/>
      <c r="P50" s="37" t="s">
        <v>205</v>
      </c>
      <c r="Q50" s="37"/>
      <c r="R50" s="37" t="s">
        <v>206</v>
      </c>
    </row>
    <row r="51" spans="1:18" ht="24" customHeight="1">
      <c r="M51" s="162"/>
      <c r="N51" s="40"/>
      <c r="O51" s="40"/>
      <c r="P51" s="40" t="s">
        <v>207</v>
      </c>
      <c r="Q51" s="40"/>
      <c r="R51" s="40" t="s">
        <v>208</v>
      </c>
    </row>
    <row r="52" spans="1:18" ht="24" customHeight="1">
      <c r="M52" s="162"/>
      <c r="N52" s="37"/>
      <c r="O52" s="37"/>
      <c r="P52" s="37" t="s">
        <v>209</v>
      </c>
      <c r="Q52" s="37"/>
      <c r="R52" s="37" t="s">
        <v>210</v>
      </c>
    </row>
    <row r="53" spans="1:18" ht="36" customHeight="1">
      <c r="M53" s="162"/>
      <c r="N53" s="40"/>
      <c r="O53" s="40"/>
      <c r="P53" s="40" t="s">
        <v>211</v>
      </c>
      <c r="Q53" s="40"/>
      <c r="R53" s="40" t="s">
        <v>212</v>
      </c>
    </row>
    <row r="54" spans="1:18" ht="15" customHeight="1">
      <c r="M54" s="162"/>
      <c r="N54" s="37"/>
      <c r="O54" s="37"/>
      <c r="P54" s="37" t="s">
        <v>213</v>
      </c>
      <c r="Q54" s="37"/>
      <c r="R54" s="37" t="s">
        <v>214</v>
      </c>
    </row>
    <row r="55" spans="1:18" ht="15" customHeight="1">
      <c r="M55" s="162"/>
      <c r="N55" s="40"/>
      <c r="O55" s="40"/>
      <c r="P55" s="40" t="s">
        <v>215</v>
      </c>
      <c r="Q55" s="40"/>
      <c r="R55" s="40" t="s">
        <v>216</v>
      </c>
    </row>
    <row r="56" spans="1:18" ht="15" customHeight="1">
      <c r="M56" s="162"/>
      <c r="N56" s="37"/>
      <c r="O56" s="37"/>
      <c r="P56" s="37" t="s">
        <v>217</v>
      </c>
      <c r="Q56" s="37"/>
      <c r="R56" s="37" t="s">
        <v>218</v>
      </c>
    </row>
    <row r="57" spans="1:18" ht="15" customHeight="1">
      <c r="M57" s="162"/>
      <c r="N57" s="40"/>
      <c r="O57" s="40"/>
      <c r="P57" s="40" t="s">
        <v>59</v>
      </c>
      <c r="Q57" s="40"/>
      <c r="R57" s="40" t="s">
        <v>219</v>
      </c>
    </row>
    <row r="58" spans="1:18" ht="15" customHeight="1">
      <c r="M58" s="162"/>
      <c r="N58" s="37"/>
      <c r="O58" s="37"/>
      <c r="P58" s="37" t="s">
        <v>220</v>
      </c>
      <c r="Q58" s="37"/>
      <c r="R58" s="37" t="s">
        <v>221</v>
      </c>
    </row>
    <row r="59" spans="1:18" ht="15" customHeight="1">
      <c r="M59" s="162"/>
      <c r="N59" s="40"/>
      <c r="O59" s="40"/>
      <c r="P59" s="40" t="s">
        <v>222</v>
      </c>
      <c r="Q59" s="40"/>
      <c r="R59" s="40"/>
    </row>
    <row r="60" spans="1:18" ht="15" customHeight="1">
      <c r="M60" s="162"/>
      <c r="N60" s="37"/>
      <c r="O60" s="37"/>
      <c r="P60" s="53" t="s">
        <v>114</v>
      </c>
      <c r="Q60" s="37"/>
      <c r="R60" s="37"/>
    </row>
    <row r="61" spans="1:18" ht="15" customHeight="1">
      <c r="M61" s="162"/>
      <c r="N61" s="40"/>
      <c r="O61" s="40"/>
      <c r="P61" s="40" t="s">
        <v>223</v>
      </c>
      <c r="Q61" s="40"/>
      <c r="R61" s="40"/>
    </row>
    <row r="62" spans="1:18" ht="15" customHeight="1">
      <c r="M62" s="162"/>
      <c r="N62" s="37"/>
      <c r="O62" s="37"/>
      <c r="P62" s="37" t="s">
        <v>224</v>
      </c>
      <c r="Q62" s="37"/>
      <c r="R62" s="37"/>
    </row>
    <row r="63" spans="1:18" ht="15" customHeight="1">
      <c r="M63" s="162"/>
      <c r="N63" s="40"/>
      <c r="O63" s="40"/>
      <c r="P63" s="40" t="s">
        <v>225</v>
      </c>
      <c r="Q63" s="40"/>
      <c r="R63" s="40"/>
    </row>
    <row r="64" spans="1:18" ht="15" customHeight="1">
      <c r="M64" s="162"/>
      <c r="N64" s="37"/>
      <c r="O64" s="37"/>
      <c r="P64" s="37" t="s">
        <v>226</v>
      </c>
      <c r="Q64" s="37"/>
      <c r="R64" s="37"/>
    </row>
    <row r="65" spans="13:18" ht="15" customHeight="1">
      <c r="M65" s="162"/>
      <c r="N65" s="40"/>
      <c r="O65" s="40"/>
      <c r="P65" s="40" t="s">
        <v>227</v>
      </c>
      <c r="Q65" s="40"/>
      <c r="R65" s="40"/>
    </row>
    <row r="66" spans="13:18" ht="15" customHeight="1">
      <c r="M66" s="162"/>
      <c r="N66" s="37"/>
      <c r="O66" s="37"/>
      <c r="P66" s="37" t="s">
        <v>228</v>
      </c>
      <c r="Q66" s="37"/>
      <c r="R66" s="37"/>
    </row>
    <row r="67" spans="13:18" ht="15" customHeight="1">
      <c r="M67" s="162"/>
      <c r="N67" s="40"/>
      <c r="O67" s="40"/>
      <c r="P67" s="40" t="s">
        <v>229</v>
      </c>
      <c r="Q67" s="40"/>
      <c r="R67" s="40"/>
    </row>
    <row r="68" spans="13:18" ht="15" customHeight="1">
      <c r="M68" s="162"/>
      <c r="N68" s="37"/>
      <c r="O68" s="37"/>
      <c r="P68" s="37" t="s">
        <v>230</v>
      </c>
      <c r="Q68" s="37"/>
      <c r="R68" s="37"/>
    </row>
    <row r="69" spans="13:18" ht="15" customHeight="1">
      <c r="M69" s="162"/>
      <c r="N69" s="40"/>
      <c r="O69" s="40"/>
      <c r="P69" s="40" t="s">
        <v>231</v>
      </c>
      <c r="Q69" s="40"/>
      <c r="R69" s="40"/>
    </row>
    <row r="70" spans="13:18" ht="15" customHeight="1">
      <c r="M70" s="162"/>
      <c r="N70" s="37"/>
      <c r="O70" s="37"/>
      <c r="P70" s="37" t="s">
        <v>232</v>
      </c>
      <c r="Q70" s="37"/>
      <c r="R70" s="37"/>
    </row>
    <row r="71" spans="13:18" ht="15" customHeight="1">
      <c r="M71" s="162"/>
      <c r="N71" s="40"/>
      <c r="O71" s="40"/>
      <c r="P71" s="40" t="s">
        <v>233</v>
      </c>
      <c r="Q71" s="40"/>
      <c r="R71" s="40"/>
    </row>
    <row r="72" spans="13:18" ht="15" customHeight="1">
      <c r="M72" s="162"/>
      <c r="N72" s="37"/>
      <c r="O72" s="37"/>
      <c r="P72" s="37" t="s">
        <v>234</v>
      </c>
      <c r="Q72" s="37"/>
      <c r="R72" s="37"/>
    </row>
    <row r="73" spans="13:18" ht="15" customHeight="1">
      <c r="M73" s="162"/>
      <c r="N73" s="40"/>
      <c r="O73" s="40"/>
      <c r="P73" s="40" t="s">
        <v>235</v>
      </c>
      <c r="Q73" s="40"/>
      <c r="R73" s="40"/>
    </row>
    <row r="74" spans="13:18" ht="15" customHeight="1">
      <c r="M74" s="162"/>
      <c r="N74" s="37"/>
      <c r="O74" s="37"/>
      <c r="P74" s="37" t="s">
        <v>236</v>
      </c>
      <c r="Q74" s="37"/>
      <c r="R74" s="37"/>
    </row>
    <row r="75" spans="13:18" ht="15" customHeight="1">
      <c r="M75" s="162"/>
      <c r="N75" s="40"/>
      <c r="O75" s="40"/>
      <c r="P75" s="40" t="s">
        <v>237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G55" sqref="G55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8" t="s">
        <v>12</v>
      </c>
      <c r="B1" s="138" t="s">
        <v>238</v>
      </c>
      <c r="C1" s="138" t="s">
        <v>239</v>
      </c>
      <c r="D1" s="138" t="s">
        <v>19</v>
      </c>
      <c r="E1" s="138" t="s">
        <v>240</v>
      </c>
      <c r="F1" s="138" t="s">
        <v>241</v>
      </c>
      <c r="G1" s="138" t="s">
        <v>242</v>
      </c>
      <c r="H1" s="138" t="s">
        <v>243</v>
      </c>
      <c r="I1" s="138" t="s">
        <v>244</v>
      </c>
      <c r="J1" s="138" t="s">
        <v>245</v>
      </c>
      <c r="K1" s="138" t="s">
        <v>246</v>
      </c>
    </row>
    <row r="2" spans="1:11" ht="15.75" customHeight="1">
      <c r="A2" s="139">
        <v>46235</v>
      </c>
      <c r="B2" s="140" t="s">
        <v>247</v>
      </c>
      <c r="C2" s="141">
        <v>0.79166666666666696</v>
      </c>
      <c r="D2" s="140"/>
      <c r="E2" s="140"/>
      <c r="F2" s="142" t="str">
        <f>IF(E2="","",E2*1.5*1.8)</f>
        <v/>
      </c>
      <c r="G2" s="140"/>
      <c r="H2" s="140"/>
      <c r="I2" s="143" t="str">
        <f>IFERROR(IF(G2="","",F2/G2),"")</f>
        <v/>
      </c>
      <c r="J2" s="140"/>
      <c r="K2" s="140"/>
    </row>
    <row r="3" spans="1:11" ht="15.75" customHeight="1">
      <c r="A3" s="144">
        <v>46235</v>
      </c>
      <c r="B3" s="145" t="s">
        <v>248</v>
      </c>
      <c r="C3" s="146">
        <v>0.29166666666666702</v>
      </c>
      <c r="D3" s="145"/>
      <c r="E3" s="145"/>
      <c r="F3" s="147" t="str">
        <f>IF(E3="","",E3*1.5*1.8)</f>
        <v/>
      </c>
      <c r="G3" s="145"/>
      <c r="H3" s="145"/>
      <c r="I3" s="148" t="str">
        <f>IFERROR(IF(G3="","",F3/G3),"")</f>
        <v/>
      </c>
      <c r="J3" s="145"/>
      <c r="K3" s="145"/>
    </row>
    <row r="4" spans="1:11" ht="18" customHeight="1">
      <c r="A4" s="164" t="s">
        <v>249</v>
      </c>
      <c r="B4" s="164"/>
      <c r="C4" s="164"/>
      <c r="D4" s="164"/>
      <c r="E4" s="149">
        <f>SUM(E2:E3)</f>
        <v>0</v>
      </c>
      <c r="F4" s="150">
        <f>IFERROR(SUM(F2:F3),"")</f>
        <v>0</v>
      </c>
      <c r="G4" s="150">
        <f>SUM(G2:G3)</f>
        <v>0</v>
      </c>
      <c r="H4" s="150">
        <f>SUM(H2:H3)</f>
        <v>0</v>
      </c>
      <c r="I4" s="151" t="str">
        <f>IFERROR(IF(G4=0,"",F4/G4),"")</f>
        <v/>
      </c>
      <c r="J4" s="152"/>
      <c r="K4" s="152"/>
    </row>
    <row r="5" spans="1:11" ht="15.75" customHeight="1">
      <c r="A5" s="139">
        <v>46236</v>
      </c>
      <c r="B5" s="140" t="s">
        <v>247</v>
      </c>
      <c r="C5" s="141">
        <v>0.79166666666666696</v>
      </c>
      <c r="D5" s="140"/>
      <c r="E5" s="140"/>
      <c r="F5" s="142" t="str">
        <f>IF(E5="","",E5*1.5*1.8)</f>
        <v/>
      </c>
      <c r="G5" s="140"/>
      <c r="H5" s="140"/>
      <c r="I5" s="143" t="str">
        <f>IFERROR(IF(G5="","",F5/G5),"")</f>
        <v/>
      </c>
      <c r="J5" s="140"/>
      <c r="K5" s="140"/>
    </row>
    <row r="6" spans="1:11" ht="15.75" customHeight="1">
      <c r="A6" s="144">
        <v>46236</v>
      </c>
      <c r="B6" s="145" t="s">
        <v>248</v>
      </c>
      <c r="C6" s="146">
        <v>0.29166666666666702</v>
      </c>
      <c r="D6" s="145"/>
      <c r="E6" s="145"/>
      <c r="F6" s="147" t="str">
        <f>IF(E6="","",E6*1.5*1.8)</f>
        <v/>
      </c>
      <c r="G6" s="145"/>
      <c r="H6" s="145"/>
      <c r="I6" s="148" t="str">
        <f>IFERROR(IF(G6="","",F6/G6),"")</f>
        <v/>
      </c>
      <c r="J6" s="145"/>
      <c r="K6" s="145"/>
    </row>
    <row r="7" spans="1:11" ht="18" customHeight="1">
      <c r="A7" s="164" t="s">
        <v>249</v>
      </c>
      <c r="B7" s="164"/>
      <c r="C7" s="164"/>
      <c r="D7" s="164"/>
      <c r="E7" s="149">
        <f>SUM(E5:E6)</f>
        <v>0</v>
      </c>
      <c r="F7" s="150">
        <f>IFERROR(SUM(F5:F6),"")</f>
        <v>0</v>
      </c>
      <c r="G7" s="150">
        <f>SUM(G5:G6)</f>
        <v>0</v>
      </c>
      <c r="H7" s="150">
        <f>SUM(H5:H6)</f>
        <v>0</v>
      </c>
      <c r="I7" s="151" t="str">
        <f>IFERROR(IF(G7=0,"",F7/G7),"")</f>
        <v/>
      </c>
      <c r="J7" s="152"/>
      <c r="K7" s="152"/>
    </row>
    <row r="8" spans="1:11" ht="15.75" customHeight="1">
      <c r="A8" s="139">
        <v>46237</v>
      </c>
      <c r="B8" s="140" t="s">
        <v>247</v>
      </c>
      <c r="C8" s="141">
        <v>0.79166666666666696</v>
      </c>
      <c r="D8" s="140"/>
      <c r="E8" s="140"/>
      <c r="F8" s="142" t="str">
        <f>IF(E8="","",E8*1.5*1.8)</f>
        <v/>
      </c>
      <c r="G8" s="140"/>
      <c r="H8" s="140"/>
      <c r="I8" s="143" t="str">
        <f>IFERROR(IF(G8="","",F8/G8),"")</f>
        <v/>
      </c>
      <c r="J8" s="140"/>
      <c r="K8" s="140"/>
    </row>
    <row r="9" spans="1:11" ht="15.75" customHeight="1">
      <c r="A9" s="144">
        <v>46237</v>
      </c>
      <c r="B9" s="145" t="s">
        <v>248</v>
      </c>
      <c r="C9" s="146">
        <v>0.29166666666666702</v>
      </c>
      <c r="D9" s="145"/>
      <c r="E9" s="145"/>
      <c r="F9" s="147" t="str">
        <f>IF(E9="","",E9*1.5*1.8)</f>
        <v/>
      </c>
      <c r="G9" s="145"/>
      <c r="H9" s="145"/>
      <c r="I9" s="148" t="str">
        <f>IFERROR(IF(G9="","",F9/G9),"")</f>
        <v/>
      </c>
      <c r="J9" s="145"/>
      <c r="K9" s="145"/>
    </row>
    <row r="10" spans="1:11" ht="18" customHeight="1">
      <c r="A10" s="164" t="s">
        <v>249</v>
      </c>
      <c r="B10" s="164"/>
      <c r="C10" s="164"/>
      <c r="D10" s="164"/>
      <c r="E10" s="149">
        <f>SUM(E8:E9)</f>
        <v>0</v>
      </c>
      <c r="F10" s="150">
        <f>IFERROR(SUM(F8:F9),"")</f>
        <v>0</v>
      </c>
      <c r="G10" s="150">
        <f>SUM(G8:G9)</f>
        <v>0</v>
      </c>
      <c r="H10" s="150">
        <f>SUM(H8:H9)</f>
        <v>0</v>
      </c>
      <c r="I10" s="151" t="str">
        <f>IFERROR(IF(G10=0,"",F10/G10),"")</f>
        <v/>
      </c>
      <c r="J10" s="152"/>
      <c r="K10" s="152"/>
    </row>
    <row r="11" spans="1:11" ht="15.75" customHeight="1">
      <c r="A11" s="139">
        <v>46238</v>
      </c>
      <c r="B11" s="140" t="s">
        <v>247</v>
      </c>
      <c r="C11" s="141">
        <v>0.79166666666666696</v>
      </c>
      <c r="D11" s="140"/>
      <c r="E11" s="140"/>
      <c r="F11" s="142" t="str">
        <f>IF(E11="","",E11*1.5*1.8)</f>
        <v/>
      </c>
      <c r="G11" s="140"/>
      <c r="H11" s="140"/>
      <c r="I11" s="143" t="str">
        <f>IFERROR(IF(G11="","",F11/G11),"")</f>
        <v/>
      </c>
      <c r="J11" s="140"/>
      <c r="K11" s="140"/>
    </row>
    <row r="12" spans="1:11" ht="15.75" customHeight="1">
      <c r="A12" s="144">
        <v>46238</v>
      </c>
      <c r="B12" s="145" t="s">
        <v>248</v>
      </c>
      <c r="C12" s="146">
        <v>0.29166666666666702</v>
      </c>
      <c r="D12" s="145"/>
      <c r="E12" s="145"/>
      <c r="F12" s="147" t="str">
        <f>IF(E12="","",E12*1.5*1.8)</f>
        <v/>
      </c>
      <c r="G12" s="145"/>
      <c r="H12" s="145"/>
      <c r="I12" s="148" t="str">
        <f>IFERROR(IF(G12="","",F12/G12),"")</f>
        <v/>
      </c>
      <c r="J12" s="145"/>
      <c r="K12" s="145"/>
    </row>
    <row r="13" spans="1:11" ht="18" customHeight="1">
      <c r="A13" s="164" t="s">
        <v>249</v>
      </c>
      <c r="B13" s="164"/>
      <c r="C13" s="164"/>
      <c r="D13" s="164"/>
      <c r="E13" s="149">
        <f>SUM(E11:E12)</f>
        <v>0</v>
      </c>
      <c r="F13" s="150">
        <f>IFERROR(SUM(F11:F12),"")</f>
        <v>0</v>
      </c>
      <c r="G13" s="150">
        <f>SUM(G11:G12)</f>
        <v>0</v>
      </c>
      <c r="H13" s="150">
        <f>SUM(H11:H12)</f>
        <v>0</v>
      </c>
      <c r="I13" s="151" t="str">
        <f>IFERROR(IF(G13=0,"",F13/G13),"")</f>
        <v/>
      </c>
      <c r="J13" s="152"/>
      <c r="K13" s="152"/>
    </row>
    <row r="14" spans="1:11" ht="15.75" customHeight="1">
      <c r="A14" s="139">
        <v>46239</v>
      </c>
      <c r="B14" s="140" t="s">
        <v>247</v>
      </c>
      <c r="C14" s="141">
        <v>0.79166666666666696</v>
      </c>
      <c r="D14" s="140"/>
      <c r="E14" s="140"/>
      <c r="F14" s="142" t="str">
        <f>IF(E14="","",E14*1.5*1.8)</f>
        <v/>
      </c>
      <c r="G14" s="140"/>
      <c r="H14" s="140"/>
      <c r="I14" s="143" t="str">
        <f>IFERROR(IF(G14="","",F14/G14),"")</f>
        <v/>
      </c>
      <c r="J14" s="140"/>
      <c r="K14" s="140"/>
    </row>
    <row r="15" spans="1:11" ht="15.75" customHeight="1">
      <c r="A15" s="144">
        <v>46239</v>
      </c>
      <c r="B15" s="145" t="s">
        <v>248</v>
      </c>
      <c r="C15" s="146">
        <v>0.29166666666666702</v>
      </c>
      <c r="D15" s="145"/>
      <c r="E15" s="145"/>
      <c r="F15" s="147" t="str">
        <f>IF(E15="","",E15*1.5*1.8)</f>
        <v/>
      </c>
      <c r="G15" s="145"/>
      <c r="H15" s="145"/>
      <c r="I15" s="148" t="str">
        <f>IFERROR(IF(G15="","",F15/G15),"")</f>
        <v/>
      </c>
      <c r="J15" s="145"/>
      <c r="K15" s="145"/>
    </row>
    <row r="16" spans="1:11" ht="18" customHeight="1">
      <c r="A16" s="164" t="s">
        <v>249</v>
      </c>
      <c r="B16" s="164"/>
      <c r="C16" s="164"/>
      <c r="D16" s="164"/>
      <c r="E16" s="149">
        <f>SUM(E14:E15)</f>
        <v>0</v>
      </c>
      <c r="F16" s="150">
        <f>IFERROR(SUM(F14:F15),"")</f>
        <v>0</v>
      </c>
      <c r="G16" s="150">
        <f>SUM(G14:G15)</f>
        <v>0</v>
      </c>
      <c r="H16" s="150">
        <f>SUM(H14:H15)</f>
        <v>0</v>
      </c>
      <c r="I16" s="151" t="str">
        <f>IFERROR(IF(G16=0,"",F16/G16),"")</f>
        <v/>
      </c>
      <c r="J16" s="152"/>
      <c r="K16" s="152"/>
    </row>
    <row r="17" spans="1:11" ht="15.75" customHeight="1">
      <c r="A17" s="139">
        <v>46240</v>
      </c>
      <c r="B17" s="140" t="s">
        <v>247</v>
      </c>
      <c r="C17" s="141">
        <v>0.79166666666666696</v>
      </c>
      <c r="D17" s="140"/>
      <c r="E17" s="140"/>
      <c r="F17" s="142" t="str">
        <f>IF(E17="","",E17*1.5*1.8)</f>
        <v/>
      </c>
      <c r="G17" s="140"/>
      <c r="H17" s="140"/>
      <c r="I17" s="143" t="str">
        <f>IFERROR(IF(G17="","",F17/G17),"")</f>
        <v/>
      </c>
      <c r="J17" s="140"/>
      <c r="K17" s="140"/>
    </row>
    <row r="18" spans="1:11" ht="15.75" customHeight="1">
      <c r="A18" s="144">
        <v>46240</v>
      </c>
      <c r="B18" s="145" t="s">
        <v>248</v>
      </c>
      <c r="C18" s="146">
        <v>0.29166666666666702</v>
      </c>
      <c r="D18" s="145"/>
      <c r="E18" s="145"/>
      <c r="F18" s="147" t="str">
        <f>IF(E18="","",E18*1.5*1.8)</f>
        <v/>
      </c>
      <c r="G18" s="145"/>
      <c r="H18" s="145"/>
      <c r="I18" s="148" t="str">
        <f>IFERROR(IF(G18="","",F18/G18),"")</f>
        <v/>
      </c>
      <c r="J18" s="145"/>
      <c r="K18" s="145"/>
    </row>
    <row r="19" spans="1:11" ht="18" customHeight="1">
      <c r="A19" s="164" t="s">
        <v>249</v>
      </c>
      <c r="B19" s="164"/>
      <c r="C19" s="164"/>
      <c r="D19" s="164"/>
      <c r="E19" s="149">
        <f>SUM(E17:E18)</f>
        <v>0</v>
      </c>
      <c r="F19" s="150">
        <f>IFERROR(SUM(F17:F18),"")</f>
        <v>0</v>
      </c>
      <c r="G19" s="150">
        <f>SUM(G17:G18)</f>
        <v>0</v>
      </c>
      <c r="H19" s="150">
        <f>SUM(H17:H18)</f>
        <v>0</v>
      </c>
      <c r="I19" s="151" t="str">
        <f>IFERROR(IF(G19=0,"",F19/G19),"")</f>
        <v/>
      </c>
      <c r="J19" s="152"/>
      <c r="K19" s="152"/>
    </row>
    <row r="20" spans="1:11" ht="15.75" customHeight="1">
      <c r="A20" s="139">
        <v>46241</v>
      </c>
      <c r="B20" s="140" t="s">
        <v>247</v>
      </c>
      <c r="C20" s="141">
        <v>0.79166666666666696</v>
      </c>
      <c r="D20" s="140"/>
      <c r="E20" s="140"/>
      <c r="F20" s="142" t="str">
        <f>IF(E20="","",E20*1.5*1.8)</f>
        <v/>
      </c>
      <c r="G20" s="140"/>
      <c r="H20" s="140"/>
      <c r="I20" s="143" t="str">
        <f>IFERROR(IF(G20="","",F20/G20),"")</f>
        <v/>
      </c>
      <c r="J20" s="140"/>
      <c r="K20" s="140"/>
    </row>
    <row r="21" spans="1:11" ht="15.75" customHeight="1">
      <c r="A21" s="144">
        <v>46241</v>
      </c>
      <c r="B21" s="145" t="s">
        <v>248</v>
      </c>
      <c r="C21" s="146">
        <v>0.29166666666666702</v>
      </c>
      <c r="D21" s="145"/>
      <c r="E21" s="145"/>
      <c r="F21" s="147" t="str">
        <f>IF(E21="","",E21*1.5*1.8)</f>
        <v/>
      </c>
      <c r="G21" s="145"/>
      <c r="H21" s="145"/>
      <c r="I21" s="148" t="str">
        <f>IFERROR(IF(G21="","",F21/G21),"")</f>
        <v/>
      </c>
      <c r="J21" s="145"/>
      <c r="K21" s="145"/>
    </row>
    <row r="22" spans="1:11" ht="18" customHeight="1">
      <c r="A22" s="164" t="s">
        <v>249</v>
      </c>
      <c r="B22" s="164"/>
      <c r="C22" s="164"/>
      <c r="D22" s="164"/>
      <c r="E22" s="149">
        <f>SUM(E20:E21)</f>
        <v>0</v>
      </c>
      <c r="F22" s="150">
        <f>IFERROR(SUM(F20:F21),"")</f>
        <v>0</v>
      </c>
      <c r="G22" s="150">
        <f>SUM(G20:G21)</f>
        <v>0</v>
      </c>
      <c r="H22" s="150">
        <f>SUM(H20:H21)</f>
        <v>0</v>
      </c>
      <c r="I22" s="151" t="str">
        <f>IFERROR(IF(G22=0,"",F22/G22),"")</f>
        <v/>
      </c>
      <c r="J22" s="152"/>
      <c r="K22" s="152"/>
    </row>
    <row r="23" spans="1:11" ht="15.75" customHeight="1">
      <c r="A23" s="139">
        <v>46242</v>
      </c>
      <c r="B23" s="140" t="s">
        <v>247</v>
      </c>
      <c r="C23" s="141">
        <v>0.79166666666666696</v>
      </c>
      <c r="D23" s="140"/>
      <c r="E23" s="140"/>
      <c r="F23" s="142" t="str">
        <f>IF(E23="","",E23*1.5*1.8)</f>
        <v/>
      </c>
      <c r="G23" s="140"/>
      <c r="H23" s="140"/>
      <c r="I23" s="143" t="str">
        <f>IFERROR(IF(G23="","",F23/G23),"")</f>
        <v/>
      </c>
      <c r="J23" s="140"/>
      <c r="K23" s="140"/>
    </row>
    <row r="24" spans="1:11" ht="15.75" customHeight="1">
      <c r="A24" s="144">
        <v>46242</v>
      </c>
      <c r="B24" s="145" t="s">
        <v>248</v>
      </c>
      <c r="C24" s="146">
        <v>0.29166666666666702</v>
      </c>
      <c r="D24" s="145"/>
      <c r="E24" s="145"/>
      <c r="F24" s="147" t="str">
        <f>IF(E24="","",E24*1.5*1.8)</f>
        <v/>
      </c>
      <c r="G24" s="145"/>
      <c r="H24" s="145"/>
      <c r="I24" s="148" t="str">
        <f>IFERROR(IF(G24="","",F24/G24),"")</f>
        <v/>
      </c>
      <c r="J24" s="145"/>
      <c r="K24" s="145"/>
    </row>
    <row r="25" spans="1:11" ht="18" customHeight="1">
      <c r="A25" s="164" t="s">
        <v>249</v>
      </c>
      <c r="B25" s="164"/>
      <c r="C25" s="164"/>
      <c r="D25" s="164"/>
      <c r="E25" s="149">
        <f>SUM(E23:E24)</f>
        <v>0</v>
      </c>
      <c r="F25" s="150">
        <f>IFERROR(SUM(F23:F24),"")</f>
        <v>0</v>
      </c>
      <c r="G25" s="150">
        <f>SUM(G23:G24)</f>
        <v>0</v>
      </c>
      <c r="H25" s="150">
        <f>SUM(H23:H24)</f>
        <v>0</v>
      </c>
      <c r="I25" s="151" t="str">
        <f>IFERROR(IF(G25=0,"",F25/G25),"")</f>
        <v/>
      </c>
      <c r="J25" s="152"/>
      <c r="K25" s="152"/>
    </row>
    <row r="26" spans="1:11" ht="15.75" customHeight="1">
      <c r="A26" s="139">
        <v>46243</v>
      </c>
      <c r="B26" s="140" t="s">
        <v>247</v>
      </c>
      <c r="C26" s="141">
        <v>0.79166666666666696</v>
      </c>
      <c r="D26" s="140"/>
      <c r="E26" s="140"/>
      <c r="F26" s="142" t="str">
        <f>IF(E26="","",E26*1.5*1.8)</f>
        <v/>
      </c>
      <c r="G26" s="140"/>
      <c r="H26" s="140"/>
      <c r="I26" s="143" t="str">
        <f>IFERROR(IF(G26="","",F26/G26),"")</f>
        <v/>
      </c>
      <c r="J26" s="140"/>
      <c r="K26" s="140"/>
    </row>
    <row r="27" spans="1:11" ht="15.75" customHeight="1">
      <c r="A27" s="144">
        <v>46243</v>
      </c>
      <c r="B27" s="145" t="s">
        <v>248</v>
      </c>
      <c r="C27" s="146">
        <v>0.29166666666666702</v>
      </c>
      <c r="D27" s="145"/>
      <c r="E27" s="145"/>
      <c r="F27" s="147" t="str">
        <f>IF(E27="","",E27*1.5*1.8)</f>
        <v/>
      </c>
      <c r="G27" s="145"/>
      <c r="H27" s="145"/>
      <c r="I27" s="148" t="str">
        <f>IFERROR(IF(G27="","",F27/G27),"")</f>
        <v/>
      </c>
      <c r="J27" s="145"/>
      <c r="K27" s="145"/>
    </row>
    <row r="28" spans="1:11" ht="18" customHeight="1">
      <c r="A28" s="164" t="s">
        <v>249</v>
      </c>
      <c r="B28" s="164"/>
      <c r="C28" s="164"/>
      <c r="D28" s="164"/>
      <c r="E28" s="149">
        <f>SUM(E26:E27)</f>
        <v>0</v>
      </c>
      <c r="F28" s="150">
        <f>IFERROR(SUM(F26:F27),"")</f>
        <v>0</v>
      </c>
      <c r="G28" s="150">
        <f>SUM(G26:G27)</f>
        <v>0</v>
      </c>
      <c r="H28" s="150">
        <f>SUM(H26:H27)</f>
        <v>0</v>
      </c>
      <c r="I28" s="151" t="str">
        <f>IFERROR(IF(G28=0,"",F28/G28),"")</f>
        <v/>
      </c>
      <c r="J28" s="152"/>
      <c r="K28" s="152"/>
    </row>
    <row r="29" spans="1:11" ht="15.75" customHeight="1">
      <c r="A29" s="139">
        <v>46244</v>
      </c>
      <c r="B29" s="140" t="s">
        <v>247</v>
      </c>
      <c r="C29" s="141">
        <v>0.79166666666666696</v>
      </c>
      <c r="D29" s="140"/>
      <c r="E29" s="140"/>
      <c r="F29" s="142" t="str">
        <f>IF(E29="","",E29*1.5*1.8)</f>
        <v/>
      </c>
      <c r="G29" s="140"/>
      <c r="H29" s="140"/>
      <c r="I29" s="143" t="str">
        <f>IFERROR(IF(G29="","",F29/G29),"")</f>
        <v/>
      </c>
      <c r="J29" s="140"/>
      <c r="K29" s="140"/>
    </row>
    <row r="30" spans="1:11" ht="15.75" customHeight="1">
      <c r="A30" s="144">
        <v>46244</v>
      </c>
      <c r="B30" s="145" t="s">
        <v>248</v>
      </c>
      <c r="C30" s="146">
        <v>0.29166666666666702</v>
      </c>
      <c r="D30" s="145"/>
      <c r="E30" s="145"/>
      <c r="F30" s="147" t="str">
        <f>IF(E30="","",E30*1.5*1.8)</f>
        <v/>
      </c>
      <c r="G30" s="145"/>
      <c r="H30" s="145"/>
      <c r="I30" s="148" t="str">
        <f>IFERROR(IF(G30="","",F30/G30),"")</f>
        <v/>
      </c>
      <c r="J30" s="145"/>
      <c r="K30" s="145"/>
    </row>
    <row r="31" spans="1:11" ht="18" customHeight="1">
      <c r="A31" s="164" t="s">
        <v>249</v>
      </c>
      <c r="B31" s="164"/>
      <c r="C31" s="164"/>
      <c r="D31" s="164"/>
      <c r="E31" s="149">
        <f>SUM(E29:E30)</f>
        <v>0</v>
      </c>
      <c r="F31" s="150">
        <f>IFERROR(SUM(F29:F30),"")</f>
        <v>0</v>
      </c>
      <c r="G31" s="150">
        <f>SUM(G29:G30)</f>
        <v>0</v>
      </c>
      <c r="H31" s="150">
        <f>SUM(H29:H30)</f>
        <v>0</v>
      </c>
      <c r="I31" s="151" t="str">
        <f>IFERROR(IF(G31=0,"",F31/G31),"")</f>
        <v/>
      </c>
      <c r="J31" s="152"/>
      <c r="K31" s="152"/>
    </row>
    <row r="32" spans="1:11" ht="15.75" customHeight="1">
      <c r="A32" s="139">
        <v>46245</v>
      </c>
      <c r="B32" s="140" t="s">
        <v>247</v>
      </c>
      <c r="C32" s="141">
        <v>0.79166666666666696</v>
      </c>
      <c r="D32" s="140"/>
      <c r="E32" s="140"/>
      <c r="F32" s="142" t="str">
        <f>IF(E32="","",E32*1.5*1.8)</f>
        <v/>
      </c>
      <c r="G32" s="140"/>
      <c r="H32" s="140"/>
      <c r="I32" s="143" t="str">
        <f>IFERROR(IF(G32="","",F32/G32),"")</f>
        <v/>
      </c>
      <c r="J32" s="140"/>
      <c r="K32" s="140"/>
    </row>
    <row r="33" spans="1:11" ht="15.75" customHeight="1">
      <c r="A33" s="144">
        <v>46245</v>
      </c>
      <c r="B33" s="145" t="s">
        <v>248</v>
      </c>
      <c r="C33" s="146">
        <v>0.29166666666666702</v>
      </c>
      <c r="D33" s="145"/>
      <c r="E33" s="145"/>
      <c r="F33" s="147" t="str">
        <f>IF(E33="","",E33*1.5*1.8)</f>
        <v/>
      </c>
      <c r="G33" s="145"/>
      <c r="H33" s="145"/>
      <c r="I33" s="148" t="str">
        <f>IFERROR(IF(G33="","",F33/G33),"")</f>
        <v/>
      </c>
      <c r="J33" s="145"/>
      <c r="K33" s="145"/>
    </row>
    <row r="34" spans="1:11" ht="18" customHeight="1">
      <c r="A34" s="164" t="s">
        <v>249</v>
      </c>
      <c r="B34" s="164"/>
      <c r="C34" s="164"/>
      <c r="D34" s="164"/>
      <c r="E34" s="149">
        <f>SUM(E32:E33)</f>
        <v>0</v>
      </c>
      <c r="F34" s="150">
        <f>IFERROR(SUM(F32:F33),"")</f>
        <v>0</v>
      </c>
      <c r="G34" s="150">
        <f>SUM(G32:G33)</f>
        <v>0</v>
      </c>
      <c r="H34" s="150">
        <f>SUM(H32:H33)</f>
        <v>0</v>
      </c>
      <c r="I34" s="151" t="str">
        <f>IFERROR(IF(G34=0,"",F34/G34),"")</f>
        <v/>
      </c>
      <c r="J34" s="152"/>
      <c r="K34" s="152"/>
    </row>
    <row r="35" spans="1:11" ht="15.75" customHeight="1">
      <c r="A35" s="139">
        <v>46246</v>
      </c>
      <c r="B35" s="140" t="s">
        <v>247</v>
      </c>
      <c r="C35" s="141">
        <v>0.79166666666666696</v>
      </c>
      <c r="D35" s="140"/>
      <c r="E35" s="140"/>
      <c r="F35" s="142" t="str">
        <f>IF(E35="","",E35*1.5*1.8)</f>
        <v/>
      </c>
      <c r="G35" s="140"/>
      <c r="H35" s="140"/>
      <c r="I35" s="143" t="str">
        <f>IFERROR(IF(G35="","",F35/G35),"")</f>
        <v/>
      </c>
      <c r="J35" s="140"/>
      <c r="K35" s="140"/>
    </row>
    <row r="36" spans="1:11" ht="15.75" customHeight="1">
      <c r="A36" s="144">
        <v>46246</v>
      </c>
      <c r="B36" s="145" t="s">
        <v>248</v>
      </c>
      <c r="C36" s="146">
        <v>0.29166666666666702</v>
      </c>
      <c r="D36" s="145"/>
      <c r="E36" s="145"/>
      <c r="F36" s="147" t="str">
        <f>IF(E36="","",E36*1.5*1.8)</f>
        <v/>
      </c>
      <c r="G36" s="145"/>
      <c r="H36" s="145"/>
      <c r="I36" s="148" t="str">
        <f>IFERROR(IF(G36="","",F36/G36),"")</f>
        <v/>
      </c>
      <c r="J36" s="145"/>
      <c r="K36" s="145"/>
    </row>
    <row r="37" spans="1:11" ht="18" customHeight="1">
      <c r="A37" s="164" t="s">
        <v>249</v>
      </c>
      <c r="B37" s="164"/>
      <c r="C37" s="164"/>
      <c r="D37" s="164"/>
      <c r="E37" s="149">
        <f>SUM(E35:E36)</f>
        <v>0</v>
      </c>
      <c r="F37" s="150">
        <f>IFERROR(SUM(F35:F36),"")</f>
        <v>0</v>
      </c>
      <c r="G37" s="150">
        <f>SUM(G35:G36)</f>
        <v>0</v>
      </c>
      <c r="H37" s="150">
        <f>SUM(H35:H36)</f>
        <v>0</v>
      </c>
      <c r="I37" s="151" t="str">
        <f>IFERROR(IF(G37=0,"",F37/G37),"")</f>
        <v/>
      </c>
      <c r="J37" s="152"/>
      <c r="K37" s="152"/>
    </row>
    <row r="38" spans="1:11" ht="15.75" customHeight="1">
      <c r="A38" s="139">
        <v>46247</v>
      </c>
      <c r="B38" s="140" t="s">
        <v>247</v>
      </c>
      <c r="C38" s="141">
        <v>0.79166666666666696</v>
      </c>
      <c r="D38" s="140"/>
      <c r="E38" s="140"/>
      <c r="F38" s="142" t="str">
        <f>IF(E38="","",E38*1.5*1.8)</f>
        <v/>
      </c>
      <c r="G38" s="140"/>
      <c r="H38" s="140"/>
      <c r="I38" s="143" t="str">
        <f>IFERROR(IF(G38="","",F38/G38),"")</f>
        <v/>
      </c>
      <c r="J38" s="140"/>
      <c r="K38" s="140"/>
    </row>
    <row r="39" spans="1:11" ht="15.75" customHeight="1">
      <c r="A39" s="144">
        <v>46247</v>
      </c>
      <c r="B39" s="145" t="s">
        <v>248</v>
      </c>
      <c r="C39" s="146">
        <v>0.29166666666666702</v>
      </c>
      <c r="D39" s="145"/>
      <c r="E39" s="145"/>
      <c r="F39" s="147" t="str">
        <f>IF(E39="","",E39*1.5*1.8)</f>
        <v/>
      </c>
      <c r="G39" s="145"/>
      <c r="H39" s="145"/>
      <c r="I39" s="148" t="str">
        <f>IFERROR(IF(G39="","",F39/G39),"")</f>
        <v/>
      </c>
      <c r="J39" s="145"/>
      <c r="K39" s="145"/>
    </row>
    <row r="40" spans="1:11" ht="18" customHeight="1">
      <c r="A40" s="164" t="s">
        <v>249</v>
      </c>
      <c r="B40" s="164"/>
      <c r="C40" s="164"/>
      <c r="D40" s="164"/>
      <c r="E40" s="149">
        <f>SUM(E38:E39)</f>
        <v>0</v>
      </c>
      <c r="F40" s="150">
        <f>IFERROR(SUM(F38:F39),"")</f>
        <v>0</v>
      </c>
      <c r="G40" s="150">
        <f>SUM(G38:G39)</f>
        <v>0</v>
      </c>
      <c r="H40" s="150">
        <f>SUM(H38:H39)</f>
        <v>0</v>
      </c>
      <c r="I40" s="151" t="str">
        <f>IFERROR(IF(G40=0,"",F40/G40),"")</f>
        <v/>
      </c>
      <c r="J40" s="152"/>
      <c r="K40" s="152"/>
    </row>
    <row r="41" spans="1:11" ht="15.75" customHeight="1">
      <c r="A41" s="139">
        <v>46248</v>
      </c>
      <c r="B41" s="140" t="s">
        <v>247</v>
      </c>
      <c r="C41" s="141">
        <v>0.79166666666666696</v>
      </c>
      <c r="D41" s="140"/>
      <c r="E41" s="140"/>
      <c r="F41" s="142" t="str">
        <f>IF(E41="","",E41*1.5*1.8)</f>
        <v/>
      </c>
      <c r="G41" s="140"/>
      <c r="H41" s="140"/>
      <c r="I41" s="143" t="str">
        <f>IFERROR(IF(G41="","",F41/G41),"")</f>
        <v/>
      </c>
      <c r="J41" s="140"/>
      <c r="K41" s="140"/>
    </row>
    <row r="42" spans="1:11" ht="15.75" customHeight="1">
      <c r="A42" s="144">
        <v>46248</v>
      </c>
      <c r="B42" s="145" t="s">
        <v>248</v>
      </c>
      <c r="C42" s="146">
        <v>0.29166666666666702</v>
      </c>
      <c r="D42" s="145"/>
      <c r="E42" s="145"/>
      <c r="F42" s="147" t="str">
        <f>IF(E42="","",E42*1.5*1.8)</f>
        <v/>
      </c>
      <c r="G42" s="145"/>
      <c r="H42" s="145"/>
      <c r="I42" s="148" t="str">
        <f>IFERROR(IF(G42="","",F42/G42),"")</f>
        <v/>
      </c>
      <c r="J42" s="145"/>
      <c r="K42" s="145"/>
    </row>
    <row r="43" spans="1:11" ht="18" customHeight="1">
      <c r="A43" s="164" t="s">
        <v>249</v>
      </c>
      <c r="B43" s="164"/>
      <c r="C43" s="164"/>
      <c r="D43" s="164"/>
      <c r="E43" s="149">
        <f>SUM(E41:E42)</f>
        <v>0</v>
      </c>
      <c r="F43" s="150">
        <f>IFERROR(SUM(F41:F42),"")</f>
        <v>0</v>
      </c>
      <c r="G43" s="150">
        <f>SUM(G41:G42)</f>
        <v>0</v>
      </c>
      <c r="H43" s="150">
        <f>SUM(H41:H42)</f>
        <v>0</v>
      </c>
      <c r="I43" s="151" t="str">
        <f>IFERROR(IF(G43=0,"",F43/G43),"")</f>
        <v/>
      </c>
      <c r="J43" s="152"/>
      <c r="K43" s="152"/>
    </row>
    <row r="44" spans="1:11" ht="15.75" customHeight="1">
      <c r="A44" s="139">
        <v>46249</v>
      </c>
      <c r="B44" s="140" t="s">
        <v>247</v>
      </c>
      <c r="C44" s="141">
        <v>0.79166666666666696</v>
      </c>
      <c r="D44" s="140"/>
      <c r="E44" s="140"/>
      <c r="F44" s="142" t="str">
        <f>IF(E44="","",E44*1.5*1.8)</f>
        <v/>
      </c>
      <c r="G44" s="140"/>
      <c r="H44" s="140"/>
      <c r="I44" s="143" t="str">
        <f>IFERROR(IF(G44="","",F44/G44),"")</f>
        <v/>
      </c>
      <c r="J44" s="140"/>
      <c r="K44" s="140"/>
    </row>
    <row r="45" spans="1:11" ht="15.75" customHeight="1">
      <c r="A45" s="144">
        <v>46249</v>
      </c>
      <c r="B45" s="145" t="s">
        <v>248</v>
      </c>
      <c r="C45" s="146">
        <v>0.29166666666666702</v>
      </c>
      <c r="D45" s="145"/>
      <c r="E45" s="145"/>
      <c r="F45" s="147" t="str">
        <f>IF(E45="","",E45*1.5*1.8)</f>
        <v/>
      </c>
      <c r="G45" s="145"/>
      <c r="H45" s="145"/>
      <c r="I45" s="148" t="str">
        <f>IFERROR(IF(G45="","",F45/G45),"")</f>
        <v/>
      </c>
      <c r="J45" s="145"/>
      <c r="K45" s="145"/>
    </row>
    <row r="46" spans="1:11" ht="18" customHeight="1">
      <c r="A46" s="164" t="s">
        <v>249</v>
      </c>
      <c r="B46" s="164"/>
      <c r="C46" s="164"/>
      <c r="D46" s="164"/>
      <c r="E46" s="149">
        <f>SUM(E44:E45)</f>
        <v>0</v>
      </c>
      <c r="F46" s="150">
        <f>IFERROR(SUM(F44:F45),"")</f>
        <v>0</v>
      </c>
      <c r="G46" s="150">
        <f>SUM(G44:G45)</f>
        <v>0</v>
      </c>
      <c r="H46" s="150">
        <f>SUM(H44:H45)</f>
        <v>0</v>
      </c>
      <c r="I46" s="151" t="str">
        <f>IFERROR(IF(G46=0,"",F46/G46),"")</f>
        <v/>
      </c>
      <c r="J46" s="152"/>
      <c r="K46" s="152"/>
    </row>
    <row r="47" spans="1:11" ht="15.75" customHeight="1">
      <c r="A47" s="139">
        <v>46250</v>
      </c>
      <c r="B47" s="140" t="s">
        <v>247</v>
      </c>
      <c r="C47" s="141">
        <v>0.79166666666666696</v>
      </c>
      <c r="D47" s="140"/>
      <c r="E47" s="140"/>
      <c r="F47" s="142" t="str">
        <f>IF(E47="","",E47*1.5*1.8)</f>
        <v/>
      </c>
      <c r="G47" s="140"/>
      <c r="H47" s="140"/>
      <c r="I47" s="143" t="str">
        <f>IFERROR(IF(G47="","",F47/G47),"")</f>
        <v/>
      </c>
      <c r="J47" s="140"/>
      <c r="K47" s="140"/>
    </row>
    <row r="48" spans="1:11" ht="15.75" customHeight="1">
      <c r="A48" s="144">
        <v>46250</v>
      </c>
      <c r="B48" s="145" t="s">
        <v>248</v>
      </c>
      <c r="C48" s="146">
        <v>0.29166666666666702</v>
      </c>
      <c r="D48" s="145"/>
      <c r="E48" s="145"/>
      <c r="F48" s="147" t="str">
        <f>IF(E48="","",E48*1.5*1.8)</f>
        <v/>
      </c>
      <c r="G48" s="145"/>
      <c r="H48" s="145"/>
      <c r="I48" s="148" t="str">
        <f>IFERROR(IF(G48="","",F48/G48),"")</f>
        <v/>
      </c>
      <c r="J48" s="145"/>
      <c r="K48" s="145"/>
    </row>
    <row r="49" spans="1:11" ht="18" customHeight="1">
      <c r="A49" s="164" t="s">
        <v>249</v>
      </c>
      <c r="B49" s="164"/>
      <c r="C49" s="164"/>
      <c r="D49" s="164"/>
      <c r="E49" s="149">
        <f>SUM(E47:E48)</f>
        <v>0</v>
      </c>
      <c r="F49" s="150">
        <f>IFERROR(SUM(F47:F48),"")</f>
        <v>0</v>
      </c>
      <c r="G49" s="150">
        <f>SUM(G47:G48)</f>
        <v>0</v>
      </c>
      <c r="H49" s="150">
        <f>SUM(H47:H48)</f>
        <v>0</v>
      </c>
      <c r="I49" s="151" t="str">
        <f>IFERROR(IF(G49=0,"",F49/G49),"")</f>
        <v/>
      </c>
      <c r="J49" s="152"/>
      <c r="K49" s="152"/>
    </row>
    <row r="50" spans="1:11" ht="15.75" customHeight="1">
      <c r="A50" s="139">
        <v>46251</v>
      </c>
      <c r="B50" s="140" t="s">
        <v>247</v>
      </c>
      <c r="C50" s="141">
        <v>0.79166666666666696</v>
      </c>
      <c r="D50" s="140"/>
      <c r="E50" s="140"/>
      <c r="F50" s="142" t="str">
        <f>IF(E50="","",E50*1.5*1.8)</f>
        <v/>
      </c>
      <c r="G50" s="140"/>
      <c r="H50" s="140"/>
      <c r="I50" s="143" t="str">
        <f>IFERROR(IF(G50="","",F50/G50),"")</f>
        <v/>
      </c>
      <c r="J50" s="140"/>
      <c r="K50" s="140"/>
    </row>
    <row r="51" spans="1:11" ht="15.75" customHeight="1">
      <c r="A51" s="144">
        <v>46251</v>
      </c>
      <c r="B51" s="145" t="s">
        <v>248</v>
      </c>
      <c r="C51" s="146">
        <v>0.29166666666666702</v>
      </c>
      <c r="D51" s="145"/>
      <c r="E51" s="145"/>
      <c r="F51" s="147" t="str">
        <f>IF(E51="","",E51*1.5*1.8)</f>
        <v/>
      </c>
      <c r="G51" s="145"/>
      <c r="H51" s="145"/>
      <c r="I51" s="148" t="str">
        <f>IFERROR(IF(G51="","",F51/G51),"")</f>
        <v/>
      </c>
      <c r="J51" s="145"/>
      <c r="K51" s="145"/>
    </row>
    <row r="52" spans="1:11" ht="18" customHeight="1">
      <c r="A52" s="164" t="s">
        <v>249</v>
      </c>
      <c r="B52" s="164"/>
      <c r="C52" s="164"/>
      <c r="D52" s="164"/>
      <c r="E52" s="149">
        <f>SUM(E50:E51)</f>
        <v>0</v>
      </c>
      <c r="F52" s="150">
        <f>IFERROR(SUM(F50:F51),"")</f>
        <v>0</v>
      </c>
      <c r="G52" s="150">
        <f>SUM(G50:G51)</f>
        <v>0</v>
      </c>
      <c r="H52" s="150">
        <f>SUM(H50:H51)</f>
        <v>0</v>
      </c>
      <c r="I52" s="151" t="str">
        <f>IFERROR(IF(G52=0,"",F52/G52),"")</f>
        <v/>
      </c>
      <c r="J52" s="152"/>
      <c r="K52" s="152"/>
    </row>
    <row r="53" spans="1:11" ht="15.75" customHeight="1">
      <c r="A53" s="139">
        <v>46252</v>
      </c>
      <c r="B53" s="140" t="s">
        <v>247</v>
      </c>
      <c r="C53" s="141">
        <v>0.79166666666666696</v>
      </c>
      <c r="D53" s="140"/>
      <c r="E53" s="140">
        <v>500</v>
      </c>
      <c r="F53" s="142">
        <f>IF(E53="","",E53*1.5*1.8)</f>
        <v>1350</v>
      </c>
      <c r="G53" s="140">
        <v>9</v>
      </c>
      <c r="H53" s="140">
        <v>3</v>
      </c>
      <c r="I53" s="143">
        <f>IFERROR(IF(G53="","",F53/G53),"")</f>
        <v>150</v>
      </c>
      <c r="J53" s="140"/>
      <c r="K53" s="140"/>
    </row>
    <row r="54" spans="1:11" ht="15.75" customHeight="1">
      <c r="A54" s="144">
        <v>46252</v>
      </c>
      <c r="B54" s="145" t="s">
        <v>248</v>
      </c>
      <c r="C54" s="146">
        <v>0.29166666666666702</v>
      </c>
      <c r="D54" s="145"/>
      <c r="E54" s="145">
        <v>650</v>
      </c>
      <c r="F54" s="147">
        <f>IF(E54="","",E54*1.5*1.8)</f>
        <v>1755</v>
      </c>
      <c r="G54" s="145">
        <v>9</v>
      </c>
      <c r="H54" s="145">
        <v>3</v>
      </c>
      <c r="I54" s="148">
        <f>IFERROR(IF(G54="","",F54/G54),"")</f>
        <v>195</v>
      </c>
      <c r="J54" s="145"/>
      <c r="K54" s="145"/>
    </row>
    <row r="55" spans="1:11" ht="18" customHeight="1">
      <c r="A55" s="164" t="s">
        <v>249</v>
      </c>
      <c r="B55" s="164"/>
      <c r="C55" s="164"/>
      <c r="D55" s="164"/>
      <c r="E55" s="149">
        <f>SUM(E53:E54)</f>
        <v>1150</v>
      </c>
      <c r="F55" s="150">
        <f>IFERROR(SUM(F53:F54),"")</f>
        <v>3105</v>
      </c>
      <c r="G55" s="150">
        <f>SUM(G53:G54)</f>
        <v>18</v>
      </c>
      <c r="H55" s="150">
        <f>SUM(H53:H54)</f>
        <v>6</v>
      </c>
      <c r="I55" s="151">
        <f>IFERROR(IF(G55=0,"",F55/G55),"")</f>
        <v>172.5</v>
      </c>
      <c r="J55" s="152"/>
      <c r="K55" s="152"/>
    </row>
    <row r="56" spans="1:11" ht="15.75" customHeight="1">
      <c r="A56" s="139">
        <v>46253</v>
      </c>
      <c r="B56" s="140" t="s">
        <v>247</v>
      </c>
      <c r="C56" s="141">
        <v>0.79166666666666696</v>
      </c>
      <c r="D56" s="140"/>
      <c r="E56" s="140">
        <v>180</v>
      </c>
      <c r="F56" s="142">
        <f>IF(E56="","",E56*1.5*1.8)</f>
        <v>486</v>
      </c>
      <c r="G56" s="140">
        <v>5</v>
      </c>
      <c r="H56" s="140">
        <v>5</v>
      </c>
      <c r="I56" s="143">
        <f>IFERROR(IF(G56="","",F56/G56),"")</f>
        <v>97.2</v>
      </c>
      <c r="J56" s="140"/>
      <c r="K56" s="140"/>
    </row>
    <row r="57" spans="1:11" ht="15.75" customHeight="1">
      <c r="A57" s="144">
        <v>46253</v>
      </c>
      <c r="B57" s="145" t="s">
        <v>248</v>
      </c>
      <c r="C57" s="146">
        <v>0.29166666666666702</v>
      </c>
      <c r="D57" s="145"/>
      <c r="E57" s="145">
        <v>341</v>
      </c>
      <c r="F57" s="147">
        <f>IF(E57="","",E57*1.5*1.8)</f>
        <v>920.7</v>
      </c>
      <c r="G57" s="145">
        <v>5.5</v>
      </c>
      <c r="H57" s="145">
        <v>4.5</v>
      </c>
      <c r="I57" s="148">
        <f>IFERROR(IF(G57="","",F57/G57),"")</f>
        <v>167.4</v>
      </c>
      <c r="J57" s="145"/>
      <c r="K57" s="145"/>
    </row>
    <row r="58" spans="1:11" ht="18" customHeight="1">
      <c r="A58" s="164" t="s">
        <v>249</v>
      </c>
      <c r="B58" s="164"/>
      <c r="C58" s="164"/>
      <c r="D58" s="164"/>
      <c r="E58" s="149">
        <f>SUM(E56:E57)</f>
        <v>521</v>
      </c>
      <c r="F58" s="150">
        <f>IFERROR(SUM(F56:F57),"")</f>
        <v>1406.7</v>
      </c>
      <c r="G58" s="150">
        <f>SUM(G56:G57)</f>
        <v>10.5</v>
      </c>
      <c r="H58" s="150">
        <f>SUM(H56:H57)</f>
        <v>9.5</v>
      </c>
      <c r="I58" s="151">
        <f>IFERROR(IF(G58=0,"",F58/G58),"")</f>
        <v>133.97142857142859</v>
      </c>
      <c r="J58" s="152"/>
      <c r="K58" s="152"/>
    </row>
    <row r="59" spans="1:11" ht="15.75" customHeight="1">
      <c r="A59" s="139">
        <v>46254</v>
      </c>
      <c r="B59" s="140" t="s">
        <v>247</v>
      </c>
      <c r="C59" s="141">
        <v>0.79166666666666696</v>
      </c>
      <c r="D59" s="140"/>
      <c r="E59" s="140">
        <v>223</v>
      </c>
      <c r="F59" s="142">
        <f>IF(E59="","",E59*1.5*1.8)</f>
        <v>602.1</v>
      </c>
      <c r="G59" s="140">
        <v>7</v>
      </c>
      <c r="H59" s="140">
        <v>3</v>
      </c>
      <c r="I59" s="143">
        <f>IFERROR(IF(G59="","",F59/G59),"")</f>
        <v>86.01428571428572</v>
      </c>
      <c r="J59" s="140"/>
      <c r="K59" s="140"/>
    </row>
    <row r="60" spans="1:11" ht="15.75" customHeight="1">
      <c r="A60" s="144">
        <v>46254</v>
      </c>
      <c r="B60" s="145" t="s">
        <v>248</v>
      </c>
      <c r="C60" s="146">
        <v>0.29166666666666702</v>
      </c>
      <c r="D60" s="145"/>
      <c r="E60" s="145">
        <v>344</v>
      </c>
      <c r="F60" s="147">
        <f>IF(E60="","",E60*1.5*1.8)</f>
        <v>928.80000000000007</v>
      </c>
      <c r="G60" s="145">
        <v>8</v>
      </c>
      <c r="H60" s="145">
        <v>4</v>
      </c>
      <c r="I60" s="148">
        <f>IFERROR(IF(G60="","",F60/G60),"")</f>
        <v>116.10000000000001</v>
      </c>
      <c r="J60" s="145"/>
      <c r="K60" s="145"/>
    </row>
    <row r="61" spans="1:11" ht="18" customHeight="1">
      <c r="A61" s="164" t="s">
        <v>249</v>
      </c>
      <c r="B61" s="164"/>
      <c r="C61" s="164"/>
      <c r="D61" s="164"/>
      <c r="E61" s="149">
        <f>SUM(E59:E60)</f>
        <v>567</v>
      </c>
      <c r="F61" s="150">
        <f>IFERROR(SUM(F59:F60),"")</f>
        <v>1530.9</v>
      </c>
      <c r="G61" s="150">
        <f>SUM(G59:G60)</f>
        <v>15</v>
      </c>
      <c r="H61" s="150">
        <f>SUM(H59:H60)</f>
        <v>7</v>
      </c>
      <c r="I61" s="151">
        <f>IFERROR(IF(G61=0,"",F61/G61),"")</f>
        <v>102.06</v>
      </c>
      <c r="J61" s="152"/>
      <c r="K61" s="152"/>
    </row>
    <row r="62" spans="1:11" ht="15.75" customHeight="1">
      <c r="A62" s="139">
        <v>46255</v>
      </c>
      <c r="B62" s="140" t="s">
        <v>247</v>
      </c>
      <c r="C62" s="141">
        <v>0.79166666666666696</v>
      </c>
      <c r="D62" s="140"/>
      <c r="E62" s="140"/>
      <c r="F62" s="142" t="str">
        <f>IF(E62="","",E62*1.5*1.8)</f>
        <v/>
      </c>
      <c r="G62" s="140"/>
      <c r="H62" s="140"/>
      <c r="I62" s="143" t="str">
        <f>IFERROR(IF(G62="","",F62/G62),"")</f>
        <v/>
      </c>
      <c r="J62" s="140"/>
      <c r="K62" s="140"/>
    </row>
    <row r="63" spans="1:11" ht="15.75" customHeight="1">
      <c r="A63" s="144">
        <v>46255</v>
      </c>
      <c r="B63" s="145" t="s">
        <v>248</v>
      </c>
      <c r="C63" s="146">
        <v>0.29166666666666702</v>
      </c>
      <c r="D63" s="145"/>
      <c r="E63" s="145"/>
      <c r="F63" s="147" t="str">
        <f>IF(E63="","",E63*1.5*1.8)</f>
        <v/>
      </c>
      <c r="G63" s="145"/>
      <c r="H63" s="145"/>
      <c r="I63" s="148" t="str">
        <f>IFERROR(IF(G63="","",F63/G63),"")</f>
        <v/>
      </c>
      <c r="J63" s="145"/>
      <c r="K63" s="145"/>
    </row>
    <row r="64" spans="1:11" ht="18" customHeight="1">
      <c r="A64" s="164" t="s">
        <v>249</v>
      </c>
      <c r="B64" s="164"/>
      <c r="C64" s="164"/>
      <c r="D64" s="164"/>
      <c r="E64" s="149">
        <f>SUM(E62:E63)</f>
        <v>0</v>
      </c>
      <c r="F64" s="150">
        <f>IFERROR(SUM(F62:F63),"")</f>
        <v>0</v>
      </c>
      <c r="G64" s="150">
        <f>SUM(G62:G63)</f>
        <v>0</v>
      </c>
      <c r="H64" s="150">
        <f>SUM(H62:H63)</f>
        <v>0</v>
      </c>
      <c r="I64" s="151" t="str">
        <f>IFERROR(IF(G64=0,"",F64/G64),"")</f>
        <v/>
      </c>
      <c r="J64" s="152"/>
      <c r="K64" s="152"/>
    </row>
    <row r="65" spans="1:11" ht="15.75" customHeight="1">
      <c r="A65" s="139">
        <v>46256</v>
      </c>
      <c r="B65" s="140" t="s">
        <v>247</v>
      </c>
      <c r="C65" s="141">
        <v>0.79166666666666696</v>
      </c>
      <c r="D65" s="140"/>
      <c r="E65" s="140"/>
      <c r="F65" s="142" t="str">
        <f>IF(E65="","",E65*1.5*1.8)</f>
        <v/>
      </c>
      <c r="G65" s="140"/>
      <c r="H65" s="140"/>
      <c r="I65" s="143" t="str">
        <f>IFERROR(IF(G65="","",F65/G65),"")</f>
        <v/>
      </c>
      <c r="J65" s="140"/>
      <c r="K65" s="140"/>
    </row>
    <row r="66" spans="1:11" ht="15.75" customHeight="1">
      <c r="A66" s="144">
        <v>46256</v>
      </c>
      <c r="B66" s="145" t="s">
        <v>248</v>
      </c>
      <c r="C66" s="146">
        <v>0.29166666666666702</v>
      </c>
      <c r="D66" s="145"/>
      <c r="E66" s="145"/>
      <c r="F66" s="147" t="str">
        <f>IF(E66="","",E66*1.5*1.8)</f>
        <v/>
      </c>
      <c r="G66" s="145"/>
      <c r="H66" s="145"/>
      <c r="I66" s="148" t="str">
        <f>IFERROR(IF(G66="","",F66/G66),"")</f>
        <v/>
      </c>
      <c r="J66" s="145"/>
      <c r="K66" s="145"/>
    </row>
    <row r="67" spans="1:11" ht="18" customHeight="1">
      <c r="A67" s="164" t="s">
        <v>249</v>
      </c>
      <c r="B67" s="164"/>
      <c r="C67" s="164"/>
      <c r="D67" s="164"/>
      <c r="E67" s="149">
        <f>SUM(E65:E66)</f>
        <v>0</v>
      </c>
      <c r="F67" s="150">
        <f>IFERROR(SUM(F65:F66),"")</f>
        <v>0</v>
      </c>
      <c r="G67" s="150">
        <f>SUM(G65:G66)</f>
        <v>0</v>
      </c>
      <c r="H67" s="150">
        <f>SUM(H65:H66)</f>
        <v>0</v>
      </c>
      <c r="I67" s="151" t="str">
        <f>IFERROR(IF(G67=0,"",F67/G67),"")</f>
        <v/>
      </c>
      <c r="J67" s="152"/>
      <c r="K67" s="152"/>
    </row>
    <row r="68" spans="1:11" ht="15.75" customHeight="1">
      <c r="A68" s="139">
        <v>46257</v>
      </c>
      <c r="B68" s="140" t="s">
        <v>247</v>
      </c>
      <c r="C68" s="141">
        <v>0.79166666666666696</v>
      </c>
      <c r="D68" s="140"/>
      <c r="E68" s="140"/>
      <c r="F68" s="142" t="str">
        <f>IF(E68="","",E68*1.5*1.8)</f>
        <v/>
      </c>
      <c r="G68" s="140"/>
      <c r="H68" s="140"/>
      <c r="I68" s="143" t="str">
        <f>IFERROR(IF(G68="","",F68/G68),"")</f>
        <v/>
      </c>
      <c r="J68" s="140"/>
      <c r="K68" s="140"/>
    </row>
    <row r="69" spans="1:11" ht="15.75" customHeight="1">
      <c r="A69" s="144">
        <v>46257</v>
      </c>
      <c r="B69" s="145" t="s">
        <v>248</v>
      </c>
      <c r="C69" s="146">
        <v>0.29166666666666702</v>
      </c>
      <c r="D69" s="145"/>
      <c r="E69" s="145"/>
      <c r="F69" s="147" t="str">
        <f>IF(E69="","",E69*1.5*1.8)</f>
        <v/>
      </c>
      <c r="G69" s="145"/>
      <c r="H69" s="145"/>
      <c r="I69" s="148" t="str">
        <f>IFERROR(IF(G69="","",F69/G69),"")</f>
        <v/>
      </c>
      <c r="J69" s="145"/>
      <c r="K69" s="145"/>
    </row>
    <row r="70" spans="1:11" ht="18" customHeight="1">
      <c r="A70" s="164" t="s">
        <v>249</v>
      </c>
      <c r="B70" s="164"/>
      <c r="C70" s="164"/>
      <c r="D70" s="164"/>
      <c r="E70" s="149">
        <f>SUM(E68:E69)</f>
        <v>0</v>
      </c>
      <c r="F70" s="150">
        <f>IFERROR(SUM(F68:F69),"")</f>
        <v>0</v>
      </c>
      <c r="G70" s="150">
        <f>SUM(G68:G69)</f>
        <v>0</v>
      </c>
      <c r="H70" s="150">
        <f>SUM(H68:H69)</f>
        <v>0</v>
      </c>
      <c r="I70" s="151" t="str">
        <f>IFERROR(IF(G70=0,"",F70/G70),"")</f>
        <v/>
      </c>
      <c r="J70" s="152"/>
      <c r="K70" s="152"/>
    </row>
    <row r="71" spans="1:11" ht="15.75" customHeight="1">
      <c r="A71" s="139">
        <v>46258</v>
      </c>
      <c r="B71" s="140" t="s">
        <v>247</v>
      </c>
      <c r="C71" s="141">
        <v>0.79166666666666696</v>
      </c>
      <c r="D71" s="140"/>
      <c r="E71" s="140"/>
      <c r="F71" s="142" t="str">
        <f>IF(E71="","",E71*1.5*1.8)</f>
        <v/>
      </c>
      <c r="G71" s="140"/>
      <c r="H71" s="140"/>
      <c r="I71" s="143" t="str">
        <f>IFERROR(IF(G71="","",F71/G71),"")</f>
        <v/>
      </c>
      <c r="J71" s="140"/>
      <c r="K71" s="140"/>
    </row>
    <row r="72" spans="1:11" ht="15.75" customHeight="1">
      <c r="A72" s="144">
        <v>46258</v>
      </c>
      <c r="B72" s="145" t="s">
        <v>248</v>
      </c>
      <c r="C72" s="146">
        <v>0.29166666666666702</v>
      </c>
      <c r="D72" s="145"/>
      <c r="E72" s="145"/>
      <c r="F72" s="147" t="str">
        <f>IF(E72="","",E72*1.5*1.8)</f>
        <v/>
      </c>
      <c r="G72" s="145"/>
      <c r="H72" s="145"/>
      <c r="I72" s="148" t="str">
        <f>IFERROR(IF(G72="","",F72/G72),"")</f>
        <v/>
      </c>
      <c r="J72" s="145"/>
      <c r="K72" s="145"/>
    </row>
    <row r="73" spans="1:11" ht="18" customHeight="1">
      <c r="A73" s="164" t="s">
        <v>249</v>
      </c>
      <c r="B73" s="164"/>
      <c r="C73" s="164"/>
      <c r="D73" s="164"/>
      <c r="E73" s="149">
        <f>SUM(E71:E72)</f>
        <v>0</v>
      </c>
      <c r="F73" s="150">
        <f>IFERROR(SUM(F71:F72),"")</f>
        <v>0</v>
      </c>
      <c r="G73" s="150">
        <f>SUM(G71:G72)</f>
        <v>0</v>
      </c>
      <c r="H73" s="150">
        <f>SUM(H71:H72)</f>
        <v>0</v>
      </c>
      <c r="I73" s="151" t="str">
        <f>IFERROR(IF(G73=0,"",F73/G73),"")</f>
        <v/>
      </c>
      <c r="J73" s="152"/>
      <c r="K73" s="152"/>
    </row>
    <row r="74" spans="1:11" ht="15.75" customHeight="1">
      <c r="A74" s="139">
        <v>46259</v>
      </c>
      <c r="B74" s="140" t="s">
        <v>247</v>
      </c>
      <c r="C74" s="141">
        <v>0.79166666666666696</v>
      </c>
      <c r="D74" s="140"/>
      <c r="E74" s="140"/>
      <c r="F74" s="142" t="str">
        <f>IF(E74="","",E74*1.5*1.8)</f>
        <v/>
      </c>
      <c r="G74" s="140"/>
      <c r="H74" s="140"/>
      <c r="I74" s="143" t="str">
        <f>IFERROR(IF(G74="","",F74/G74),"")</f>
        <v/>
      </c>
      <c r="J74" s="140"/>
      <c r="K74" s="140"/>
    </row>
    <row r="75" spans="1:11" ht="15.75" customHeight="1">
      <c r="A75" s="144">
        <v>46259</v>
      </c>
      <c r="B75" s="145" t="s">
        <v>248</v>
      </c>
      <c r="C75" s="146">
        <v>0.29166666666666702</v>
      </c>
      <c r="D75" s="145"/>
      <c r="E75" s="145"/>
      <c r="F75" s="147" t="str">
        <f>IF(E75="","",E75*1.5*1.8)</f>
        <v/>
      </c>
      <c r="G75" s="145"/>
      <c r="H75" s="145"/>
      <c r="I75" s="148" t="str">
        <f>IFERROR(IF(G75="","",F75/G75),"")</f>
        <v/>
      </c>
      <c r="J75" s="145"/>
      <c r="K75" s="145"/>
    </row>
    <row r="76" spans="1:11" ht="18" customHeight="1">
      <c r="A76" s="164" t="s">
        <v>249</v>
      </c>
      <c r="B76" s="164"/>
      <c r="C76" s="164"/>
      <c r="D76" s="164"/>
      <c r="E76" s="149">
        <f>SUM(E74:E75)</f>
        <v>0</v>
      </c>
      <c r="F76" s="150">
        <f>IFERROR(SUM(F74:F75),"")</f>
        <v>0</v>
      </c>
      <c r="G76" s="150">
        <f>SUM(G74:G75)</f>
        <v>0</v>
      </c>
      <c r="H76" s="150">
        <f>SUM(H74:H75)</f>
        <v>0</v>
      </c>
      <c r="I76" s="151" t="str">
        <f>IFERROR(IF(G76=0,"",F76/G76),"")</f>
        <v/>
      </c>
      <c r="J76" s="152"/>
      <c r="K76" s="152"/>
    </row>
    <row r="77" spans="1:11" ht="15.75" customHeight="1">
      <c r="A77" s="139">
        <v>46260</v>
      </c>
      <c r="B77" s="140" t="s">
        <v>247</v>
      </c>
      <c r="C77" s="141">
        <v>0.79166666666666696</v>
      </c>
      <c r="D77" s="140"/>
      <c r="E77" s="140"/>
      <c r="F77" s="142" t="str">
        <f>IF(E77="","",E77*1.5*1.8)</f>
        <v/>
      </c>
      <c r="G77" s="140"/>
      <c r="H77" s="140"/>
      <c r="I77" s="143" t="str">
        <f>IFERROR(IF(G77="","",F77/G77),"")</f>
        <v/>
      </c>
      <c r="J77" s="140"/>
      <c r="K77" s="140"/>
    </row>
    <row r="78" spans="1:11" ht="15.75" customHeight="1">
      <c r="A78" s="144">
        <v>46260</v>
      </c>
      <c r="B78" s="145" t="s">
        <v>248</v>
      </c>
      <c r="C78" s="146">
        <v>0.29166666666666702</v>
      </c>
      <c r="D78" s="145"/>
      <c r="E78" s="145"/>
      <c r="F78" s="147" t="str">
        <f>IF(E78="","",E78*1.5*1.8)</f>
        <v/>
      </c>
      <c r="G78" s="145"/>
      <c r="H78" s="145"/>
      <c r="I78" s="148" t="str">
        <f>IFERROR(IF(G78="","",F78/G78),"")</f>
        <v/>
      </c>
      <c r="J78" s="145"/>
      <c r="K78" s="145"/>
    </row>
    <row r="79" spans="1:11" ht="18" customHeight="1">
      <c r="A79" s="164" t="s">
        <v>249</v>
      </c>
      <c r="B79" s="164"/>
      <c r="C79" s="164"/>
      <c r="D79" s="164"/>
      <c r="E79" s="149">
        <f>SUM(E77:E78)</f>
        <v>0</v>
      </c>
      <c r="F79" s="150">
        <f>IFERROR(SUM(F77:F78),"")</f>
        <v>0</v>
      </c>
      <c r="G79" s="150">
        <f>SUM(G77:G78)</f>
        <v>0</v>
      </c>
      <c r="H79" s="150">
        <f>SUM(H77:H78)</f>
        <v>0</v>
      </c>
      <c r="I79" s="151" t="str">
        <f>IFERROR(IF(G79=0,"",F79/G79),"")</f>
        <v/>
      </c>
      <c r="J79" s="152"/>
      <c r="K79" s="152"/>
    </row>
    <row r="80" spans="1:11" ht="15.75" customHeight="1">
      <c r="A80" s="139">
        <v>46261</v>
      </c>
      <c r="B80" s="140" t="s">
        <v>247</v>
      </c>
      <c r="C80" s="141">
        <v>0.79166666666666696</v>
      </c>
      <c r="D80" s="140"/>
      <c r="E80" s="140"/>
      <c r="F80" s="142" t="str">
        <f>IF(E80="","",E80*1.5*1.8)</f>
        <v/>
      </c>
      <c r="G80" s="140"/>
      <c r="H80" s="140"/>
      <c r="I80" s="143" t="str">
        <f>IFERROR(IF(G80="","",F80/G80),"")</f>
        <v/>
      </c>
      <c r="J80" s="140"/>
      <c r="K80" s="140"/>
    </row>
    <row r="81" spans="1:11" ht="15.75" customHeight="1">
      <c r="A81" s="144">
        <v>46261</v>
      </c>
      <c r="B81" s="145" t="s">
        <v>248</v>
      </c>
      <c r="C81" s="146">
        <v>0.29166666666666702</v>
      </c>
      <c r="D81" s="145"/>
      <c r="E81" s="145"/>
      <c r="F81" s="147" t="str">
        <f>IF(E81="","",E81*1.5*1.8)</f>
        <v/>
      </c>
      <c r="G81" s="145"/>
      <c r="H81" s="145"/>
      <c r="I81" s="148" t="str">
        <f>IFERROR(IF(G81="","",F81/G81),"")</f>
        <v/>
      </c>
      <c r="J81" s="145"/>
      <c r="K81" s="145"/>
    </row>
    <row r="82" spans="1:11" ht="18" customHeight="1">
      <c r="A82" s="164" t="s">
        <v>249</v>
      </c>
      <c r="B82" s="164"/>
      <c r="C82" s="164"/>
      <c r="D82" s="164"/>
      <c r="E82" s="149">
        <f>SUM(E80:E81)</f>
        <v>0</v>
      </c>
      <c r="F82" s="150">
        <f>IFERROR(SUM(F80:F81),"")</f>
        <v>0</v>
      </c>
      <c r="G82" s="150">
        <f>SUM(G80:G81)</f>
        <v>0</v>
      </c>
      <c r="H82" s="150">
        <f>SUM(H80:H81)</f>
        <v>0</v>
      </c>
      <c r="I82" s="151" t="str">
        <f>IFERROR(IF(G82=0,"",F82/G82),"")</f>
        <v/>
      </c>
      <c r="J82" s="152"/>
      <c r="K82" s="152"/>
    </row>
    <row r="83" spans="1:11" ht="15.75" customHeight="1">
      <c r="A83" s="139">
        <v>46262</v>
      </c>
      <c r="B83" s="140" t="s">
        <v>247</v>
      </c>
      <c r="C83" s="141">
        <v>0.79166666666666696</v>
      </c>
      <c r="D83" s="140"/>
      <c r="E83" s="140"/>
      <c r="F83" s="142" t="str">
        <f>IF(E83="","",E83*1.5*1.8)</f>
        <v/>
      </c>
      <c r="G83" s="140"/>
      <c r="H83" s="140"/>
      <c r="I83" s="143" t="str">
        <f>IFERROR(IF(G83="","",F83/G83),"")</f>
        <v/>
      </c>
      <c r="J83" s="140"/>
      <c r="K83" s="140"/>
    </row>
    <row r="84" spans="1:11" ht="15.75" customHeight="1">
      <c r="A84" s="144">
        <v>46262</v>
      </c>
      <c r="B84" s="145" t="s">
        <v>248</v>
      </c>
      <c r="C84" s="146">
        <v>0.29166666666666702</v>
      </c>
      <c r="D84" s="145"/>
      <c r="E84" s="145"/>
      <c r="F84" s="147" t="str">
        <f>IF(E84="","",E84*1.5*1.8)</f>
        <v/>
      </c>
      <c r="G84" s="145"/>
      <c r="H84" s="145"/>
      <c r="I84" s="148" t="str">
        <f>IFERROR(IF(G84="","",F84/G84),"")</f>
        <v/>
      </c>
      <c r="J84" s="145"/>
      <c r="K84" s="145"/>
    </row>
    <row r="85" spans="1:11" ht="18" customHeight="1">
      <c r="A85" s="164" t="s">
        <v>249</v>
      </c>
      <c r="B85" s="164"/>
      <c r="C85" s="164"/>
      <c r="D85" s="164"/>
      <c r="E85" s="149">
        <f>SUM(E83:E84)</f>
        <v>0</v>
      </c>
      <c r="F85" s="150">
        <f>IFERROR(SUM(F83:F84),"")</f>
        <v>0</v>
      </c>
      <c r="G85" s="150">
        <f>SUM(G83:G84)</f>
        <v>0</v>
      </c>
      <c r="H85" s="150">
        <f>SUM(H83:H84)</f>
        <v>0</v>
      </c>
      <c r="I85" s="151" t="str">
        <f>IFERROR(IF(G85=0,"",F85/G85),"")</f>
        <v/>
      </c>
      <c r="J85" s="152"/>
      <c r="K85" s="152"/>
    </row>
    <row r="86" spans="1:11" ht="15.75" customHeight="1">
      <c r="A86" s="139">
        <v>46263</v>
      </c>
      <c r="B86" s="140" t="s">
        <v>247</v>
      </c>
      <c r="C86" s="141">
        <v>0.79166666666666696</v>
      </c>
      <c r="D86" s="140"/>
      <c r="E86" s="140"/>
      <c r="F86" s="142" t="str">
        <f>IF(E86="","",E86*1.5*1.8)</f>
        <v/>
      </c>
      <c r="G86" s="140"/>
      <c r="H86" s="140"/>
      <c r="I86" s="143" t="str">
        <f>IFERROR(IF(G86="","",F86/G86),"")</f>
        <v/>
      </c>
      <c r="J86" s="140"/>
      <c r="K86" s="140"/>
    </row>
    <row r="87" spans="1:11" ht="15.75" customHeight="1">
      <c r="A87" s="144">
        <v>46263</v>
      </c>
      <c r="B87" s="145" t="s">
        <v>248</v>
      </c>
      <c r="C87" s="146">
        <v>0.29166666666666702</v>
      </c>
      <c r="D87" s="145"/>
      <c r="E87" s="145"/>
      <c r="F87" s="147" t="str">
        <f>IF(E87="","",E87*1.5*1.8)</f>
        <v/>
      </c>
      <c r="G87" s="145"/>
      <c r="H87" s="145"/>
      <c r="I87" s="148" t="str">
        <f>IFERROR(IF(G87="","",F87/G87),"")</f>
        <v/>
      </c>
      <c r="J87" s="145"/>
      <c r="K87" s="145"/>
    </row>
    <row r="88" spans="1:11" ht="18" customHeight="1">
      <c r="A88" s="164" t="s">
        <v>249</v>
      </c>
      <c r="B88" s="164"/>
      <c r="C88" s="164"/>
      <c r="D88" s="164"/>
      <c r="E88" s="149">
        <f>SUM(E86:E87)</f>
        <v>0</v>
      </c>
      <c r="F88" s="150">
        <f>IFERROR(SUM(F86:F87),"")</f>
        <v>0</v>
      </c>
      <c r="G88" s="150">
        <f>SUM(G86:G87)</f>
        <v>0</v>
      </c>
      <c r="H88" s="150">
        <f>SUM(H86:H87)</f>
        <v>0</v>
      </c>
      <c r="I88" s="151" t="str">
        <f>IFERROR(IF(G88=0,"",F88/G88),"")</f>
        <v/>
      </c>
      <c r="J88" s="152"/>
      <c r="K88" s="152"/>
    </row>
    <row r="89" spans="1:11" ht="15.75" customHeight="1">
      <c r="A89" s="139">
        <v>46264</v>
      </c>
      <c r="B89" s="140" t="s">
        <v>247</v>
      </c>
      <c r="C89" s="141">
        <v>0.79166666666666696</v>
      </c>
      <c r="D89" s="140"/>
      <c r="E89" s="140"/>
      <c r="F89" s="142" t="str">
        <f>IF(E89="","",E89*1.5*1.8)</f>
        <v/>
      </c>
      <c r="G89" s="140"/>
      <c r="H89" s="140"/>
      <c r="I89" s="143" t="str">
        <f>IFERROR(IF(G89="","",F89/G89),"")</f>
        <v/>
      </c>
      <c r="J89" s="140"/>
      <c r="K89" s="140"/>
    </row>
    <row r="90" spans="1:11" ht="15.75" customHeight="1">
      <c r="A90" s="144">
        <v>46264</v>
      </c>
      <c r="B90" s="145" t="s">
        <v>248</v>
      </c>
      <c r="C90" s="146">
        <v>0.29166666666666702</v>
      </c>
      <c r="D90" s="145"/>
      <c r="E90" s="145"/>
      <c r="F90" s="147" t="str">
        <f>IF(E90="","",E90*1.5*1.8)</f>
        <v/>
      </c>
      <c r="G90" s="145"/>
      <c r="H90" s="145"/>
      <c r="I90" s="148" t="str">
        <f>IFERROR(IF(G90="","",F90/G90),"")</f>
        <v/>
      </c>
      <c r="J90" s="145"/>
      <c r="K90" s="145"/>
    </row>
    <row r="91" spans="1:11" ht="18" customHeight="1">
      <c r="A91" s="164" t="s">
        <v>249</v>
      </c>
      <c r="B91" s="164"/>
      <c r="C91" s="164"/>
      <c r="D91" s="164"/>
      <c r="E91" s="149">
        <f>SUM(E89:E90)</f>
        <v>0</v>
      </c>
      <c r="F91" s="150">
        <f>IFERROR(SUM(F89:F90),"")</f>
        <v>0</v>
      </c>
      <c r="G91" s="150">
        <f>SUM(G89:G90)</f>
        <v>0</v>
      </c>
      <c r="H91" s="150">
        <f>SUM(H89:H90)</f>
        <v>0</v>
      </c>
      <c r="I91" s="151" t="str">
        <f>IFERROR(IF(G91=0,"",F91/G91),"")</f>
        <v/>
      </c>
      <c r="J91" s="152"/>
      <c r="K91" s="152"/>
    </row>
    <row r="92" spans="1:11" ht="15.75" customHeight="1">
      <c r="A92" s="139">
        <v>46265</v>
      </c>
      <c r="B92" s="140" t="s">
        <v>247</v>
      </c>
      <c r="C92" s="141">
        <v>0.79166666666666696</v>
      </c>
      <c r="D92" s="140"/>
      <c r="E92" s="140"/>
      <c r="F92" s="142" t="str">
        <f>IF(E92="","",E92*1.5*1.8)</f>
        <v/>
      </c>
      <c r="G92" s="140"/>
      <c r="H92" s="140"/>
      <c r="I92" s="143" t="str">
        <f>IFERROR(IF(G92="","",F92/G92),"")</f>
        <v/>
      </c>
      <c r="J92" s="140"/>
      <c r="K92" s="140"/>
    </row>
    <row r="93" spans="1:11" ht="15.75" customHeight="1">
      <c r="A93" s="144">
        <v>46265</v>
      </c>
      <c r="B93" s="145" t="s">
        <v>248</v>
      </c>
      <c r="C93" s="146">
        <v>0.29166666666666702</v>
      </c>
      <c r="D93" s="145"/>
      <c r="E93" s="145"/>
      <c r="F93" s="147" t="str">
        <f>IF(E93="","",E93*1.5*1.8)</f>
        <v/>
      </c>
      <c r="G93" s="145"/>
      <c r="H93" s="145"/>
      <c r="I93" s="148" t="str">
        <f>IFERROR(IF(G93="","",F93/G93),"")</f>
        <v/>
      </c>
      <c r="J93" s="145"/>
      <c r="K93" s="145"/>
    </row>
    <row r="94" spans="1:11" ht="18" customHeight="1">
      <c r="A94" s="164" t="s">
        <v>249</v>
      </c>
      <c r="B94" s="164"/>
      <c r="C94" s="164"/>
      <c r="D94" s="164"/>
      <c r="E94" s="149">
        <f>SUM(E92:E93)</f>
        <v>0</v>
      </c>
      <c r="F94" s="150">
        <f>IFERROR(SUM(F92:F93),"")</f>
        <v>0</v>
      </c>
      <c r="G94" s="150">
        <f>SUM(G92:G93)</f>
        <v>0</v>
      </c>
      <c r="H94" s="150">
        <f>SUM(H92:H93)</f>
        <v>0</v>
      </c>
      <c r="I94" s="151" t="str">
        <f>IFERROR(IF(G94=0,"",F94/G94),"")</f>
        <v/>
      </c>
      <c r="J94" s="152"/>
      <c r="K94" s="152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520" activePane="bottomLeft" state="frozen"/>
      <selection pane="bottomLeft" activeCell="J542" sqref="J542"/>
    </sheetView>
  </sheetViews>
  <sheetFormatPr defaultColWidth="8.5703125" defaultRowHeight="14.45"/>
  <cols>
    <col min="1" max="1" width="18.140625" style="3" customWidth="1"/>
    <col min="2" max="2" width="9" style="54" customWidth="1"/>
    <col min="3" max="3" width="14" style="54" customWidth="1"/>
    <col min="4" max="5" width="16" style="54" customWidth="1"/>
    <col min="6" max="6" width="13" style="54" customWidth="1"/>
    <col min="7" max="7" width="17.85546875" style="54" customWidth="1"/>
    <col min="8" max="8" width="33.140625" style="54" customWidth="1"/>
    <col min="9" max="9" width="23.42578125" style="54" customWidth="1"/>
    <col min="10" max="10" width="43.140625" style="54" customWidth="1"/>
    <col min="11" max="11" width="14" style="54" customWidth="1"/>
    <col min="12" max="12" width="13.140625" style="55" customWidth="1"/>
    <col min="13" max="13" width="14" style="54" customWidth="1"/>
    <col min="14" max="14" width="37.28515625" style="54" customWidth="1"/>
    <col min="15" max="15" width="19.85546875" customWidth="1"/>
  </cols>
  <sheetData>
    <row r="1" spans="1:15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57" t="s">
        <v>252</v>
      </c>
      <c r="G1" s="57" t="s">
        <v>253</v>
      </c>
      <c r="H1" s="57" t="s">
        <v>23</v>
      </c>
      <c r="I1" s="57" t="s">
        <v>24</v>
      </c>
      <c r="J1" s="57" t="s">
        <v>254</v>
      </c>
      <c r="K1" s="57" t="s">
        <v>255</v>
      </c>
      <c r="L1" s="57" t="s">
        <v>256</v>
      </c>
      <c r="M1" s="58" t="s">
        <v>257</v>
      </c>
      <c r="N1" s="57" t="s">
        <v>246</v>
      </c>
      <c r="O1" s="57" t="s">
        <v>258</v>
      </c>
    </row>
    <row r="2" spans="1:15" ht="15" customHeight="1">
      <c r="A2" s="59">
        <v>46235</v>
      </c>
      <c r="B2" s="60">
        <v>0.33333333333333298</v>
      </c>
      <c r="C2" s="61" t="s">
        <v>54</v>
      </c>
      <c r="D2" s="54" t="s">
        <v>47</v>
      </c>
      <c r="E2" s="62" t="s">
        <v>259</v>
      </c>
      <c r="F2" s="63">
        <v>0</v>
      </c>
      <c r="G2" s="64">
        <f t="shared" ref="G2:G13" si="0">IF(F2="","",IF(E2="PC 17",F2*4.2,IF(E2="PC 19",F2*5,IF(E2="CB",F2*35,""))))</f>
        <v>0</v>
      </c>
      <c r="H2" s="61" t="s">
        <v>28</v>
      </c>
      <c r="I2" s="61" t="s">
        <v>32</v>
      </c>
      <c r="J2" s="61" t="s">
        <v>76</v>
      </c>
      <c r="K2" s="65">
        <v>0.71041666666666703</v>
      </c>
      <c r="L2" s="65">
        <v>0.77638888888888902</v>
      </c>
      <c r="M2" s="66">
        <f t="shared" ref="M2:M13" ca="1" si="1">IFERROR(IF(K2="","",IF(L2="",MOD(NOW()-K2,1),IF(L2&gt;=K2,L2-K2,L2+1-K2))),"")</f>
        <v>6.5972222222221988E-2</v>
      </c>
      <c r="N2" s="63"/>
      <c r="O2" s="67"/>
    </row>
    <row r="3" spans="1:15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62" t="s">
        <v>259</v>
      </c>
      <c r="F3" s="63">
        <v>12</v>
      </c>
      <c r="G3" s="69">
        <f t="shared" si="0"/>
        <v>60</v>
      </c>
      <c r="H3" s="70"/>
      <c r="I3" s="70"/>
      <c r="J3" s="70"/>
      <c r="K3" s="65"/>
      <c r="L3" s="65"/>
      <c r="M3" s="71" t="str">
        <f t="shared" ca="1" si="1"/>
        <v/>
      </c>
      <c r="N3" s="63"/>
      <c r="O3" s="67"/>
    </row>
    <row r="4" spans="1:15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62" t="s">
        <v>259</v>
      </c>
      <c r="F4" s="63">
        <v>6</v>
      </c>
      <c r="G4" s="64">
        <f t="shared" si="0"/>
        <v>30</v>
      </c>
      <c r="H4" s="61"/>
      <c r="I4" s="61"/>
      <c r="J4" s="61"/>
      <c r="K4" s="65"/>
      <c r="L4" s="65"/>
      <c r="M4" s="66" t="str">
        <f t="shared" ca="1" si="1"/>
        <v/>
      </c>
      <c r="N4" s="63"/>
      <c r="O4" s="67"/>
    </row>
    <row r="5" spans="1:15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62" t="s">
        <v>259</v>
      </c>
      <c r="F5" s="63">
        <v>7</v>
      </c>
      <c r="G5" s="69">
        <f t="shared" si="0"/>
        <v>35</v>
      </c>
      <c r="H5" s="70"/>
      <c r="I5" s="70"/>
      <c r="J5" s="70"/>
      <c r="K5" s="65"/>
      <c r="L5" s="65"/>
      <c r="M5" s="71" t="str">
        <f t="shared" ca="1" si="1"/>
        <v/>
      </c>
      <c r="N5" s="63"/>
      <c r="O5" s="67"/>
    </row>
    <row r="6" spans="1:15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62" t="s">
        <v>259</v>
      </c>
      <c r="F6" s="63">
        <v>14</v>
      </c>
      <c r="G6" s="64">
        <f t="shared" si="0"/>
        <v>70</v>
      </c>
      <c r="H6" s="61"/>
      <c r="I6" s="61"/>
      <c r="J6" s="61"/>
      <c r="K6" s="65"/>
      <c r="L6" s="65"/>
      <c r="M6" s="66" t="str">
        <f t="shared" ca="1" si="1"/>
        <v/>
      </c>
      <c r="N6" s="63"/>
      <c r="O6" s="67"/>
    </row>
    <row r="7" spans="1:15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62" t="s">
        <v>259</v>
      </c>
      <c r="F7" s="63">
        <v>10</v>
      </c>
      <c r="G7" s="69">
        <f t="shared" si="0"/>
        <v>50</v>
      </c>
      <c r="H7" s="70"/>
      <c r="I7" s="70"/>
      <c r="J7" s="70"/>
      <c r="K7" s="65"/>
      <c r="L7" s="65"/>
      <c r="M7" s="71" t="str">
        <f t="shared" ca="1" si="1"/>
        <v/>
      </c>
      <c r="N7" s="63"/>
      <c r="O7" s="67"/>
    </row>
    <row r="8" spans="1:15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62" t="s">
        <v>259</v>
      </c>
      <c r="F8" s="63">
        <v>42</v>
      </c>
      <c r="G8" s="64">
        <f t="shared" si="0"/>
        <v>210</v>
      </c>
      <c r="H8" s="61"/>
      <c r="I8" s="61"/>
      <c r="J8" s="61"/>
      <c r="K8" s="65"/>
      <c r="L8" s="65"/>
      <c r="M8" s="66" t="str">
        <f t="shared" ca="1" si="1"/>
        <v/>
      </c>
      <c r="N8" s="63"/>
      <c r="O8" s="67"/>
    </row>
    <row r="9" spans="1:15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62" t="s">
        <v>259</v>
      </c>
      <c r="F9" s="63">
        <v>25</v>
      </c>
      <c r="G9" s="69">
        <f t="shared" si="0"/>
        <v>125</v>
      </c>
      <c r="H9" s="70"/>
      <c r="I9" s="70"/>
      <c r="J9" s="70"/>
      <c r="K9" s="65"/>
      <c r="L9" s="65"/>
      <c r="M9" s="71" t="str">
        <f t="shared" ca="1" si="1"/>
        <v/>
      </c>
      <c r="N9" s="63"/>
      <c r="O9" s="67"/>
    </row>
    <row r="10" spans="1:15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62" t="s">
        <v>259</v>
      </c>
      <c r="F10" s="63">
        <v>30</v>
      </c>
      <c r="G10" s="64">
        <f t="shared" si="0"/>
        <v>150</v>
      </c>
      <c r="H10" s="61"/>
      <c r="I10" s="61"/>
      <c r="J10" s="61"/>
      <c r="K10" s="65"/>
      <c r="L10" s="65"/>
      <c r="M10" s="66" t="str">
        <f t="shared" ca="1" si="1"/>
        <v/>
      </c>
      <c r="N10" s="63"/>
      <c r="O10" s="67"/>
    </row>
    <row r="11" spans="1:15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62" t="s">
        <v>259</v>
      </c>
      <c r="F11" s="63">
        <v>23</v>
      </c>
      <c r="G11" s="69">
        <f t="shared" si="0"/>
        <v>115</v>
      </c>
      <c r="H11" s="70"/>
      <c r="I11" s="70"/>
      <c r="J11" s="70"/>
      <c r="K11" s="65"/>
      <c r="L11" s="65"/>
      <c r="M11" s="71" t="str">
        <f t="shared" ca="1" si="1"/>
        <v/>
      </c>
      <c r="N11" s="63"/>
      <c r="O11" s="67"/>
    </row>
    <row r="12" spans="1:15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62" t="s">
        <v>259</v>
      </c>
      <c r="F12" s="63">
        <v>23</v>
      </c>
      <c r="G12" s="64">
        <f t="shared" si="0"/>
        <v>115</v>
      </c>
      <c r="H12" s="61"/>
      <c r="I12" s="61"/>
      <c r="J12" s="61"/>
      <c r="K12" s="65"/>
      <c r="L12" s="65"/>
      <c r="M12" s="66" t="str">
        <f t="shared" ca="1" si="1"/>
        <v/>
      </c>
      <c r="N12" s="63"/>
      <c r="O12" s="67"/>
    </row>
    <row r="13" spans="1:15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62" t="s">
        <v>259</v>
      </c>
      <c r="F13" s="63">
        <v>4</v>
      </c>
      <c r="G13" s="69">
        <f t="shared" si="0"/>
        <v>20</v>
      </c>
      <c r="H13" s="70"/>
      <c r="I13" s="70"/>
      <c r="J13" s="70"/>
      <c r="K13" s="65"/>
      <c r="L13" s="65"/>
      <c r="M13" s="71" t="str">
        <f t="shared" ca="1" si="1"/>
        <v/>
      </c>
      <c r="N13" s="63"/>
      <c r="O13" s="67"/>
    </row>
    <row r="14" spans="1:15" ht="15.75" customHeight="1">
      <c r="A14" s="165" t="s">
        <v>260</v>
      </c>
      <c r="B14" s="165"/>
      <c r="C14" s="165"/>
      <c r="D14" s="165"/>
      <c r="E14" s="165"/>
      <c r="F14" s="2">
        <f>SUM(F2:F13)</f>
        <v>196</v>
      </c>
      <c r="G14" s="2">
        <f>SUM(G2:G13)</f>
        <v>980</v>
      </c>
      <c r="H14" s="72"/>
      <c r="I14" s="72"/>
      <c r="J14" s="72"/>
      <c r="K14" s="72"/>
      <c r="L14" s="72"/>
      <c r="M14" s="73">
        <f ca="1">IFERROR(SUM(M2:M13),"")</f>
        <v>6.5972222222221988E-2</v>
      </c>
      <c r="N14" s="2" t="s">
        <v>261</v>
      </c>
      <c r="O14" s="74">
        <v>797765</v>
      </c>
    </row>
    <row r="15" spans="1:15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75" t="s">
        <v>259</v>
      </c>
      <c r="F15" s="63">
        <v>25</v>
      </c>
      <c r="G15" s="69">
        <f t="shared" ref="G15:G26" si="3">IF(F15="","",IF(E15="PC 17",F15*4.2,IF(E15="PC 19",F15*5,IF(E15="CB",F15*35,""))))</f>
        <v>125</v>
      </c>
      <c r="H15" s="70" t="s">
        <v>29</v>
      </c>
      <c r="I15" s="70" t="s">
        <v>32</v>
      </c>
      <c r="J15" s="70" t="s">
        <v>141</v>
      </c>
      <c r="K15" s="65">
        <v>7.0833333333333304E-2</v>
      </c>
      <c r="L15" s="65">
        <v>0.14652777777777801</v>
      </c>
      <c r="M15" s="71">
        <f t="shared" ref="M15:M26" ca="1" si="4">IFERROR(IF(K15="","",IF(L15="",MOD(NOW()-K15,1),IF(L15&gt;=K15,L15-K15,L15+1-K15))),"")</f>
        <v>7.5694444444444703E-2</v>
      </c>
      <c r="N15" s="63"/>
      <c r="O15" s="67"/>
    </row>
    <row r="16" spans="1:15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75" t="s">
        <v>259</v>
      </c>
      <c r="F16" s="63">
        <v>10</v>
      </c>
      <c r="G16" s="69">
        <f t="shared" si="3"/>
        <v>50</v>
      </c>
      <c r="H16" s="61" t="s">
        <v>29</v>
      </c>
      <c r="I16" s="61" t="s">
        <v>32</v>
      </c>
      <c r="J16" s="61" t="s">
        <v>53</v>
      </c>
      <c r="K16" s="65">
        <v>0.171527777777778</v>
      </c>
      <c r="L16" s="65">
        <v>0.20902777777777801</v>
      </c>
      <c r="M16" s="66">
        <f t="shared" ca="1" si="4"/>
        <v>3.7500000000000006E-2</v>
      </c>
      <c r="N16" s="63"/>
      <c r="O16" s="67"/>
    </row>
    <row r="17" spans="1:15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75" t="s">
        <v>259</v>
      </c>
      <c r="F17" s="63">
        <v>35</v>
      </c>
      <c r="G17" s="69">
        <f t="shared" si="3"/>
        <v>175</v>
      </c>
      <c r="H17" s="70" t="s">
        <v>27</v>
      </c>
      <c r="I17" s="70" t="s">
        <v>32</v>
      </c>
      <c r="J17" s="70" t="s">
        <v>59</v>
      </c>
      <c r="K17" s="65">
        <v>0.26388888888888901</v>
      </c>
      <c r="L17" s="65">
        <v>0.29166666666666702</v>
      </c>
      <c r="M17" s="71">
        <f t="shared" ca="1" si="4"/>
        <v>2.7777777777778012E-2</v>
      </c>
      <c r="N17" s="63" t="s">
        <v>262</v>
      </c>
      <c r="O17" s="67"/>
    </row>
    <row r="18" spans="1:15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75" t="s">
        <v>259</v>
      </c>
      <c r="F18" s="63">
        <v>16</v>
      </c>
      <c r="G18" s="69">
        <f t="shared" si="3"/>
        <v>80</v>
      </c>
      <c r="H18" s="61"/>
      <c r="I18" s="61"/>
      <c r="J18" s="61"/>
      <c r="K18" s="65"/>
      <c r="L18" s="65"/>
      <c r="M18" s="66" t="str">
        <f t="shared" ca="1" si="4"/>
        <v/>
      </c>
      <c r="N18" s="63"/>
      <c r="O18" s="67"/>
    </row>
    <row r="19" spans="1:15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75" t="s">
        <v>259</v>
      </c>
      <c r="F19" s="63">
        <v>18</v>
      </c>
      <c r="G19" s="69">
        <f t="shared" si="3"/>
        <v>90</v>
      </c>
      <c r="H19" s="70"/>
      <c r="I19" s="70"/>
      <c r="J19" s="70"/>
      <c r="K19" s="65"/>
      <c r="L19" s="65"/>
      <c r="M19" s="71" t="str">
        <f t="shared" ca="1" si="4"/>
        <v/>
      </c>
      <c r="N19" s="63"/>
      <c r="O19" s="67"/>
    </row>
    <row r="20" spans="1:15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75" t="s">
        <v>259</v>
      </c>
      <c r="F20" s="63">
        <v>30</v>
      </c>
      <c r="G20" s="69">
        <f t="shared" si="3"/>
        <v>150</v>
      </c>
      <c r="H20" s="61"/>
      <c r="I20" s="61"/>
      <c r="J20" s="61"/>
      <c r="K20" s="65"/>
      <c r="L20" s="65"/>
      <c r="M20" s="66" t="str">
        <f t="shared" ca="1" si="4"/>
        <v/>
      </c>
      <c r="N20" s="63"/>
      <c r="O20" s="67"/>
    </row>
    <row r="21" spans="1:15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75" t="s">
        <v>259</v>
      </c>
      <c r="F21" s="63">
        <v>0</v>
      </c>
      <c r="G21" s="69">
        <f t="shared" si="3"/>
        <v>0</v>
      </c>
      <c r="H21" s="70"/>
      <c r="I21" s="70"/>
      <c r="J21" s="70"/>
      <c r="K21" s="65"/>
      <c r="L21" s="65"/>
      <c r="M21" s="71" t="str">
        <f t="shared" ca="1" si="4"/>
        <v/>
      </c>
      <c r="N21" s="63"/>
      <c r="O21" s="67"/>
    </row>
    <row r="22" spans="1:15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75" t="s">
        <v>259</v>
      </c>
      <c r="F22" s="63">
        <v>0</v>
      </c>
      <c r="G22" s="69">
        <f t="shared" si="3"/>
        <v>0</v>
      </c>
      <c r="H22" s="61"/>
      <c r="I22" s="61"/>
      <c r="J22" s="61"/>
      <c r="K22" s="65"/>
      <c r="L22" s="65"/>
      <c r="M22" s="66" t="str">
        <f t="shared" ca="1" si="4"/>
        <v/>
      </c>
      <c r="N22" s="63"/>
      <c r="O22" s="67"/>
    </row>
    <row r="23" spans="1:15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75" t="s">
        <v>259</v>
      </c>
      <c r="F23" s="63">
        <v>14</v>
      </c>
      <c r="G23" s="69">
        <f t="shared" si="3"/>
        <v>70</v>
      </c>
      <c r="H23" s="70"/>
      <c r="I23" s="70"/>
      <c r="J23" s="70"/>
      <c r="K23" s="65"/>
      <c r="L23" s="65"/>
      <c r="M23" s="71" t="str">
        <f t="shared" ca="1" si="4"/>
        <v/>
      </c>
      <c r="N23" s="63"/>
      <c r="O23" s="67"/>
    </row>
    <row r="24" spans="1:15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75" t="s">
        <v>259</v>
      </c>
      <c r="F24" s="63">
        <v>10</v>
      </c>
      <c r="G24" s="69">
        <f t="shared" si="3"/>
        <v>50</v>
      </c>
      <c r="H24" s="61"/>
      <c r="I24" s="61"/>
      <c r="J24" s="61"/>
      <c r="K24" s="65"/>
      <c r="L24" s="65"/>
      <c r="M24" s="66" t="str">
        <f t="shared" ca="1" si="4"/>
        <v/>
      </c>
      <c r="N24" s="63"/>
      <c r="O24" s="67"/>
    </row>
    <row r="25" spans="1:15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75" t="s">
        <v>259</v>
      </c>
      <c r="F25" s="63">
        <v>20</v>
      </c>
      <c r="G25" s="69">
        <f t="shared" si="3"/>
        <v>100</v>
      </c>
      <c r="H25" s="70"/>
      <c r="I25" s="70"/>
      <c r="J25" s="70"/>
      <c r="K25" s="65"/>
      <c r="L25" s="65"/>
      <c r="M25" s="71" t="str">
        <f t="shared" ca="1" si="4"/>
        <v/>
      </c>
      <c r="N25" s="63"/>
      <c r="O25" s="67"/>
    </row>
    <row r="26" spans="1:15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75" t="s">
        <v>259</v>
      </c>
      <c r="F26" s="63">
        <v>5</v>
      </c>
      <c r="G26" s="69">
        <f t="shared" si="3"/>
        <v>25</v>
      </c>
      <c r="H26" s="61"/>
      <c r="I26" s="61"/>
      <c r="J26" s="61"/>
      <c r="K26" s="65"/>
      <c r="L26" s="65"/>
      <c r="M26" s="66" t="str">
        <f t="shared" ca="1" si="4"/>
        <v/>
      </c>
      <c r="N26" s="63"/>
      <c r="O26" s="67"/>
    </row>
    <row r="27" spans="1:15" ht="15.75" customHeight="1">
      <c r="A27" s="165" t="s">
        <v>263</v>
      </c>
      <c r="B27" s="165"/>
      <c r="C27" s="165"/>
      <c r="D27" s="165"/>
      <c r="E27" s="165"/>
      <c r="F27" s="2">
        <f>SUM(F15:F26)</f>
        <v>183</v>
      </c>
      <c r="G27" s="2">
        <f>SUM(G15:G26)</f>
        <v>915</v>
      </c>
      <c r="H27" s="72"/>
      <c r="I27" s="72"/>
      <c r="J27" s="72"/>
      <c r="K27" s="72"/>
      <c r="L27" s="72"/>
      <c r="M27" s="73">
        <f ca="1">IFERROR(SUM(M15:M26),"")</f>
        <v>0.14097222222222272</v>
      </c>
      <c r="N27" s="2" t="s">
        <v>261</v>
      </c>
      <c r="O27" s="74">
        <v>997910</v>
      </c>
    </row>
    <row r="28" spans="1:15" ht="18" customHeight="1">
      <c r="A28" s="166" t="s">
        <v>249</v>
      </c>
      <c r="B28" s="166"/>
      <c r="C28" s="166"/>
      <c r="D28" s="166"/>
      <c r="E28" s="166"/>
      <c r="F28" s="1">
        <f>F14+F27</f>
        <v>379</v>
      </c>
      <c r="G28" s="1">
        <f>G14+G27</f>
        <v>1895</v>
      </c>
      <c r="H28" s="76"/>
      <c r="I28" s="76"/>
      <c r="J28" s="76"/>
      <c r="K28" s="76"/>
      <c r="L28" s="76"/>
      <c r="M28" s="77">
        <f ca="1">IFERROR(M14+M27,"")</f>
        <v>0.20694444444444471</v>
      </c>
      <c r="N28" s="1" t="s">
        <v>264</v>
      </c>
      <c r="O28" s="30">
        <f>IFERROR(O14+O27,"")</f>
        <v>1795675</v>
      </c>
    </row>
    <row r="29" spans="1:15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62" t="s">
        <v>259</v>
      </c>
      <c r="F29" s="63">
        <v>10</v>
      </c>
      <c r="G29" s="64">
        <f t="shared" ref="G29:G40" si="6">IF(F29="","",IF(E29="PC 17",F29*4.2,IF(E29="PC 19",F29*5,IF(E29="CB",F29*35,""))))</f>
        <v>50</v>
      </c>
      <c r="H29" s="70" t="s">
        <v>27</v>
      </c>
      <c r="I29" s="70" t="s">
        <v>32</v>
      </c>
      <c r="J29" s="70" t="s">
        <v>167</v>
      </c>
      <c r="K29" s="65">
        <v>0.29166666666666702</v>
      </c>
      <c r="L29" s="65">
        <v>0.313194444444444</v>
      </c>
      <c r="M29" s="71">
        <f t="shared" ref="M29:M40" ca="1" si="7">IFERROR(IF(K29="","",IF(L29="",MOD(NOW()-K29,1),IF(L29&gt;=K29,L29-K29,L29+1-K29))),"")</f>
        <v>2.152777777777698E-2</v>
      </c>
      <c r="N29" s="63"/>
      <c r="O29" s="67"/>
    </row>
    <row r="30" spans="1:15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62" t="s">
        <v>259</v>
      </c>
      <c r="F30" s="63">
        <v>36</v>
      </c>
      <c r="G30" s="69">
        <f t="shared" si="6"/>
        <v>180</v>
      </c>
      <c r="H30" s="61" t="s">
        <v>27</v>
      </c>
      <c r="I30" s="61" t="s">
        <v>32</v>
      </c>
      <c r="J30" s="61" t="s">
        <v>140</v>
      </c>
      <c r="K30" s="65">
        <v>0.31458333333333299</v>
      </c>
      <c r="L30" s="65">
        <v>0.327083333333333</v>
      </c>
      <c r="M30" s="66">
        <f t="shared" ca="1" si="7"/>
        <v>1.2500000000000011E-2</v>
      </c>
      <c r="N30" s="63" t="s">
        <v>265</v>
      </c>
      <c r="O30" s="67"/>
    </row>
    <row r="31" spans="1:15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62" t="s">
        <v>259</v>
      </c>
      <c r="F31" s="63">
        <v>35</v>
      </c>
      <c r="G31" s="64">
        <f t="shared" si="6"/>
        <v>175</v>
      </c>
      <c r="H31" s="70" t="s">
        <v>27</v>
      </c>
      <c r="I31" s="70" t="s">
        <v>32</v>
      </c>
      <c r="J31" s="70" t="s">
        <v>59</v>
      </c>
      <c r="K31" s="65">
        <v>0.43402777777777801</v>
      </c>
      <c r="L31" s="65">
        <v>0.45972222222222198</v>
      </c>
      <c r="M31" s="71">
        <f t="shared" ca="1" si="7"/>
        <v>2.5694444444443965E-2</v>
      </c>
      <c r="N31" s="63" t="s">
        <v>262</v>
      </c>
      <c r="O31" s="67"/>
    </row>
    <row r="32" spans="1:15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62" t="s">
        <v>259</v>
      </c>
      <c r="F32" s="63">
        <v>13</v>
      </c>
      <c r="G32" s="69">
        <f t="shared" si="6"/>
        <v>65</v>
      </c>
      <c r="H32" s="61"/>
      <c r="I32" s="61"/>
      <c r="J32" s="61"/>
      <c r="K32" s="65"/>
      <c r="L32" s="65"/>
      <c r="M32" s="66" t="str">
        <f t="shared" ca="1" si="7"/>
        <v/>
      </c>
      <c r="N32" s="63"/>
      <c r="O32" s="67"/>
    </row>
    <row r="33" spans="1:15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62" t="s">
        <v>259</v>
      </c>
      <c r="F33" s="63">
        <v>19</v>
      </c>
      <c r="G33" s="64">
        <f t="shared" si="6"/>
        <v>95</v>
      </c>
      <c r="H33" s="70"/>
      <c r="I33" s="70"/>
      <c r="J33" s="70"/>
      <c r="K33" s="65"/>
      <c r="L33" s="65"/>
      <c r="M33" s="71" t="str">
        <f t="shared" ca="1" si="7"/>
        <v/>
      </c>
      <c r="N33" s="63"/>
      <c r="O33" s="67"/>
    </row>
    <row r="34" spans="1:15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62" t="s">
        <v>259</v>
      </c>
      <c r="F34" s="63">
        <v>26</v>
      </c>
      <c r="G34" s="69">
        <f t="shared" si="6"/>
        <v>130</v>
      </c>
      <c r="H34" s="61"/>
      <c r="I34" s="61"/>
      <c r="J34" s="61"/>
      <c r="K34" s="65"/>
      <c r="L34" s="65"/>
      <c r="M34" s="66" t="str">
        <f t="shared" ca="1" si="7"/>
        <v/>
      </c>
      <c r="N34" s="63"/>
      <c r="O34" s="67"/>
    </row>
    <row r="35" spans="1:15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62" t="s">
        <v>259</v>
      </c>
      <c r="F35" s="63">
        <v>55</v>
      </c>
      <c r="G35" s="64">
        <f t="shared" si="6"/>
        <v>275</v>
      </c>
      <c r="H35" s="70"/>
      <c r="I35" s="70"/>
      <c r="J35" s="70"/>
      <c r="K35" s="65"/>
      <c r="L35" s="65"/>
      <c r="M35" s="71" t="str">
        <f t="shared" ca="1" si="7"/>
        <v/>
      </c>
      <c r="N35" s="63"/>
      <c r="O35" s="67"/>
    </row>
    <row r="36" spans="1:15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62" t="s">
        <v>259</v>
      </c>
      <c r="F36" s="63">
        <v>38</v>
      </c>
      <c r="G36" s="69">
        <f t="shared" si="6"/>
        <v>190</v>
      </c>
      <c r="H36" s="61"/>
      <c r="I36" s="61"/>
      <c r="J36" s="61"/>
      <c r="K36" s="65"/>
      <c r="L36" s="65"/>
      <c r="M36" s="66" t="str">
        <f t="shared" ca="1" si="7"/>
        <v/>
      </c>
      <c r="N36" s="63"/>
      <c r="O36" s="67"/>
    </row>
    <row r="37" spans="1:15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62" t="s">
        <v>259</v>
      </c>
      <c r="F37" s="63">
        <v>21</v>
      </c>
      <c r="G37" s="64">
        <f t="shared" si="6"/>
        <v>105</v>
      </c>
      <c r="H37" s="70"/>
      <c r="I37" s="70"/>
      <c r="J37" s="70"/>
      <c r="K37" s="65"/>
      <c r="L37" s="65"/>
      <c r="M37" s="71" t="str">
        <f t="shared" ca="1" si="7"/>
        <v/>
      </c>
      <c r="N37" s="63"/>
      <c r="O37" s="67"/>
    </row>
    <row r="38" spans="1:15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62" t="s">
        <v>259</v>
      </c>
      <c r="F38" s="63">
        <v>0</v>
      </c>
      <c r="G38" s="69">
        <f t="shared" si="6"/>
        <v>0</v>
      </c>
      <c r="H38" s="61"/>
      <c r="I38" s="61"/>
      <c r="J38" s="61"/>
      <c r="K38" s="65"/>
      <c r="L38" s="65"/>
      <c r="M38" s="66" t="str">
        <f t="shared" ca="1" si="7"/>
        <v/>
      </c>
      <c r="N38" s="63"/>
      <c r="O38" s="67"/>
    </row>
    <row r="39" spans="1:15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62" t="s">
        <v>259</v>
      </c>
      <c r="F39" s="63">
        <v>0</v>
      </c>
      <c r="G39" s="64">
        <f t="shared" si="6"/>
        <v>0</v>
      </c>
      <c r="H39" s="70"/>
      <c r="I39" s="70"/>
      <c r="J39" s="70"/>
      <c r="K39" s="65"/>
      <c r="L39" s="65"/>
      <c r="M39" s="71" t="str">
        <f t="shared" ca="1" si="7"/>
        <v/>
      </c>
      <c r="N39" s="63"/>
      <c r="O39" s="67"/>
    </row>
    <row r="40" spans="1:15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62" t="s">
        <v>259</v>
      </c>
      <c r="F40" s="63">
        <v>0</v>
      </c>
      <c r="G40" s="69">
        <f t="shared" si="6"/>
        <v>0</v>
      </c>
      <c r="H40" s="61"/>
      <c r="I40" s="61"/>
      <c r="J40" s="61"/>
      <c r="K40" s="65"/>
      <c r="L40" s="65"/>
      <c r="M40" s="66" t="str">
        <f t="shared" ca="1" si="7"/>
        <v/>
      </c>
      <c r="N40" s="63"/>
      <c r="O40" s="67"/>
    </row>
    <row r="41" spans="1:15" ht="15.75" customHeight="1">
      <c r="A41" s="165" t="s">
        <v>260</v>
      </c>
      <c r="B41" s="165"/>
      <c r="C41" s="165"/>
      <c r="D41" s="165"/>
      <c r="E41" s="165"/>
      <c r="F41" s="2">
        <f>SUM(F29:F40)</f>
        <v>253</v>
      </c>
      <c r="G41" s="2">
        <f>SUM(G29:G40)</f>
        <v>1265</v>
      </c>
      <c r="H41" s="72"/>
      <c r="I41" s="72"/>
      <c r="J41" s="72"/>
      <c r="K41" s="72"/>
      <c r="L41" s="72"/>
      <c r="M41" s="73">
        <f ca="1">IFERROR(SUM(M29:M40),"")</f>
        <v>5.9722222222220955E-2</v>
      </c>
      <c r="N41" s="2" t="s">
        <v>261</v>
      </c>
      <c r="O41" s="74">
        <v>1351560</v>
      </c>
    </row>
    <row r="42" spans="1:15" ht="15" customHeight="1">
      <c r="A42" s="18">
        <v>46236</v>
      </c>
      <c r="B42" s="68">
        <v>0.83333333333333304</v>
      </c>
      <c r="C42" s="54" t="s">
        <v>38</v>
      </c>
      <c r="D42" s="75" t="s">
        <v>47</v>
      </c>
      <c r="E42" s="75" t="s">
        <v>259</v>
      </c>
      <c r="F42" s="63">
        <v>45</v>
      </c>
      <c r="G42" s="69">
        <f t="shared" ref="G42:G53" si="9">IF(F42="","",IF(E42="PC 17",F42*4.2,IF(E42="PC 19",F42*5,IF(E42="CB",F42*35,""))))</f>
        <v>225</v>
      </c>
      <c r="H42" s="61" t="s">
        <v>28</v>
      </c>
      <c r="I42" s="61" t="s">
        <v>32</v>
      </c>
      <c r="J42" s="61" t="s">
        <v>76</v>
      </c>
      <c r="K42" s="65">
        <v>0.84097222222222201</v>
      </c>
      <c r="L42" s="65">
        <v>0.97499999999999998</v>
      </c>
      <c r="M42" s="66">
        <f t="shared" ref="M42:M53" ca="1" si="10">IFERROR(IF(K42="","",IF(L42="",MOD(NOW()-K42,1),IF(L42&gt;=K42,L42-K42,L42+1-K42))),"")</f>
        <v>0.13402777777777797</v>
      </c>
      <c r="N42" s="63" t="s">
        <v>266</v>
      </c>
      <c r="O42" s="67"/>
    </row>
    <row r="43" spans="1:15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47</v>
      </c>
      <c r="E43" s="75" t="s">
        <v>259</v>
      </c>
      <c r="F43" s="63">
        <v>0</v>
      </c>
      <c r="G43" s="64">
        <f t="shared" si="9"/>
        <v>0</v>
      </c>
      <c r="H43" s="70" t="s">
        <v>29</v>
      </c>
      <c r="I43" s="70" t="s">
        <v>32</v>
      </c>
      <c r="J43" s="70" t="s">
        <v>53</v>
      </c>
      <c r="K43" s="65">
        <v>2.9861111111111099E-2</v>
      </c>
      <c r="L43" s="65">
        <v>4.0277777777777801E-2</v>
      </c>
      <c r="M43" s="71">
        <f t="shared" ca="1" si="10"/>
        <v>1.0416666666666703E-2</v>
      </c>
      <c r="N43" s="63"/>
      <c r="O43" s="67"/>
    </row>
    <row r="44" spans="1:15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47</v>
      </c>
      <c r="E44" s="75" t="s">
        <v>259</v>
      </c>
      <c r="F44" s="63">
        <v>0</v>
      </c>
      <c r="G44" s="69">
        <f t="shared" si="9"/>
        <v>0</v>
      </c>
      <c r="H44" s="61" t="s">
        <v>29</v>
      </c>
      <c r="I44" s="61" t="s">
        <v>32</v>
      </c>
      <c r="J44" s="61" t="s">
        <v>53</v>
      </c>
      <c r="K44" s="65">
        <v>9.9305555555555605E-2</v>
      </c>
      <c r="L44" s="65">
        <v>0.147222222222222</v>
      </c>
      <c r="M44" s="66">
        <f t="shared" ca="1" si="10"/>
        <v>4.7916666666666399E-2</v>
      </c>
      <c r="N44" s="63"/>
      <c r="O44" s="67"/>
    </row>
    <row r="45" spans="1:15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47</v>
      </c>
      <c r="E45" s="75" t="s">
        <v>259</v>
      </c>
      <c r="F45" s="63">
        <v>0</v>
      </c>
      <c r="G45" s="64">
        <f t="shared" si="9"/>
        <v>0</v>
      </c>
      <c r="H45" s="70" t="s">
        <v>28</v>
      </c>
      <c r="I45" s="70" t="s">
        <v>32</v>
      </c>
      <c r="J45" s="70" t="s">
        <v>59</v>
      </c>
      <c r="K45" s="65">
        <v>0.163194444444444</v>
      </c>
      <c r="L45" s="65">
        <v>0.21388888888888899</v>
      </c>
      <c r="M45" s="71">
        <f t="shared" ca="1" si="10"/>
        <v>5.0694444444444986E-2</v>
      </c>
      <c r="N45" s="63"/>
      <c r="O45" s="67"/>
    </row>
    <row r="46" spans="1:15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47</v>
      </c>
      <c r="E46" s="75" t="s">
        <v>259</v>
      </c>
      <c r="F46" s="63">
        <v>27</v>
      </c>
      <c r="G46" s="69">
        <f t="shared" si="9"/>
        <v>135</v>
      </c>
      <c r="H46" s="61" t="s">
        <v>29</v>
      </c>
      <c r="I46" s="61" t="s">
        <v>32</v>
      </c>
      <c r="J46" s="61" t="s">
        <v>53</v>
      </c>
      <c r="K46" s="65">
        <v>0.26041666666666702</v>
      </c>
      <c r="L46" s="65">
        <v>0.27430555555555602</v>
      </c>
      <c r="M46" s="66">
        <f t="shared" ca="1" si="10"/>
        <v>1.3888888888889006E-2</v>
      </c>
      <c r="N46" s="63"/>
      <c r="O46" s="67"/>
    </row>
    <row r="47" spans="1:15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47</v>
      </c>
      <c r="E47" s="75" t="s">
        <v>259</v>
      </c>
      <c r="F47" s="63">
        <v>17</v>
      </c>
      <c r="G47" s="64">
        <f t="shared" si="9"/>
        <v>85</v>
      </c>
      <c r="H47" s="70" t="s">
        <v>29</v>
      </c>
      <c r="I47" s="70" t="s">
        <v>32</v>
      </c>
      <c r="J47" s="70" t="s">
        <v>53</v>
      </c>
      <c r="K47" s="65">
        <v>0.27291666666666697</v>
      </c>
      <c r="L47" s="65">
        <v>0.28125</v>
      </c>
      <c r="M47" s="71">
        <f t="shared" ca="1" si="10"/>
        <v>8.3333333333330262E-3</v>
      </c>
      <c r="N47" s="63"/>
      <c r="O47" s="67"/>
    </row>
    <row r="48" spans="1:15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47</v>
      </c>
      <c r="E48" s="75" t="s">
        <v>259</v>
      </c>
      <c r="F48" s="63">
        <v>37</v>
      </c>
      <c r="G48" s="69">
        <f t="shared" si="9"/>
        <v>185</v>
      </c>
      <c r="H48" s="61"/>
      <c r="I48" s="61"/>
      <c r="J48" s="61"/>
      <c r="K48" s="65"/>
      <c r="L48" s="65"/>
      <c r="M48" s="66" t="str">
        <f t="shared" ca="1" si="10"/>
        <v/>
      </c>
      <c r="N48" s="63"/>
      <c r="O48" s="67"/>
    </row>
    <row r="49" spans="1:15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47</v>
      </c>
      <c r="E49" s="75" t="s">
        <v>259</v>
      </c>
      <c r="F49" s="63">
        <v>0</v>
      </c>
      <c r="G49" s="64">
        <f t="shared" si="9"/>
        <v>0</v>
      </c>
      <c r="H49" s="70"/>
      <c r="I49" s="70"/>
      <c r="J49" s="70"/>
      <c r="K49" s="65"/>
      <c r="L49" s="65"/>
      <c r="M49" s="71" t="str">
        <f t="shared" ca="1" si="10"/>
        <v/>
      </c>
      <c r="N49" s="63"/>
      <c r="O49" s="67"/>
    </row>
    <row r="50" spans="1:15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47</v>
      </c>
      <c r="E50" s="75" t="s">
        <v>259</v>
      </c>
      <c r="F50" s="63">
        <v>0</v>
      </c>
      <c r="G50" s="69">
        <f t="shared" si="9"/>
        <v>0</v>
      </c>
      <c r="H50" s="61"/>
      <c r="I50" s="61"/>
      <c r="J50" s="61"/>
      <c r="K50" s="65"/>
      <c r="L50" s="65"/>
      <c r="M50" s="66" t="str">
        <f t="shared" ca="1" si="10"/>
        <v/>
      </c>
      <c r="N50" s="63"/>
      <c r="O50" s="67"/>
    </row>
    <row r="51" spans="1:15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47</v>
      </c>
      <c r="E51" s="75" t="s">
        <v>259</v>
      </c>
      <c r="F51" s="63">
        <v>0</v>
      </c>
      <c r="G51" s="64">
        <f t="shared" si="9"/>
        <v>0</v>
      </c>
      <c r="H51" s="70"/>
      <c r="I51" s="70"/>
      <c r="J51" s="70"/>
      <c r="K51" s="65"/>
      <c r="L51" s="65"/>
      <c r="M51" s="71" t="str">
        <f t="shared" ca="1" si="10"/>
        <v/>
      </c>
      <c r="N51" s="63"/>
      <c r="O51" s="67"/>
    </row>
    <row r="52" spans="1:15" ht="15" customHeight="1">
      <c r="A52" s="18">
        <v>46236</v>
      </c>
      <c r="B52" s="68">
        <f t="shared" si="11"/>
        <v>1.25</v>
      </c>
      <c r="C52" s="70" t="s">
        <v>38</v>
      </c>
      <c r="D52" s="75" t="s">
        <v>47</v>
      </c>
      <c r="E52" s="75" t="s">
        <v>259</v>
      </c>
      <c r="F52" s="63">
        <v>46</v>
      </c>
      <c r="G52" s="69">
        <f t="shared" si="9"/>
        <v>230</v>
      </c>
      <c r="H52" s="61"/>
      <c r="I52" s="61"/>
      <c r="J52" s="61"/>
      <c r="K52" s="65"/>
      <c r="L52" s="65"/>
      <c r="M52" s="66" t="str">
        <f t="shared" ca="1" si="10"/>
        <v/>
      </c>
      <c r="N52" s="63"/>
      <c r="O52" s="67"/>
    </row>
    <row r="53" spans="1:15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47</v>
      </c>
      <c r="E53" s="75"/>
      <c r="F53" s="63">
        <v>0</v>
      </c>
      <c r="G53" s="64" t="str">
        <f t="shared" si="9"/>
        <v/>
      </c>
      <c r="H53" s="70"/>
      <c r="I53" s="70"/>
      <c r="J53" s="70"/>
      <c r="K53" s="65"/>
      <c r="L53" s="65"/>
      <c r="M53" s="71" t="str">
        <f t="shared" ca="1" si="10"/>
        <v/>
      </c>
      <c r="N53" s="63"/>
      <c r="O53" s="67"/>
    </row>
    <row r="54" spans="1:15" ht="15.75" customHeight="1">
      <c r="A54" s="165" t="s">
        <v>263</v>
      </c>
      <c r="B54" s="165"/>
      <c r="C54" s="165"/>
      <c r="D54" s="165"/>
      <c r="E54" s="165"/>
      <c r="F54" s="2">
        <f>SUM(F42:F53)</f>
        <v>172</v>
      </c>
      <c r="G54" s="2">
        <f>SUM(G42:G53)</f>
        <v>860</v>
      </c>
      <c r="H54" s="72"/>
      <c r="I54" s="72"/>
      <c r="J54" s="72"/>
      <c r="K54" s="72"/>
      <c r="L54" s="72"/>
      <c r="M54" s="73">
        <f ca="1">IFERROR(SUM(M42:M53),"")</f>
        <v>0.26527777777777811</v>
      </c>
      <c r="N54" s="2" t="s">
        <v>261</v>
      </c>
      <c r="O54" s="74">
        <v>981310</v>
      </c>
    </row>
    <row r="55" spans="1:15" ht="18" customHeight="1">
      <c r="A55" s="166" t="s">
        <v>249</v>
      </c>
      <c r="B55" s="166"/>
      <c r="C55" s="166"/>
      <c r="D55" s="166"/>
      <c r="E55" s="166"/>
      <c r="F55" s="1">
        <f>F41+F54</f>
        <v>425</v>
      </c>
      <c r="G55" s="1">
        <f>G41+G54</f>
        <v>2125</v>
      </c>
      <c r="H55" s="76"/>
      <c r="I55" s="76"/>
      <c r="J55" s="76"/>
      <c r="K55" s="76"/>
      <c r="L55" s="76"/>
      <c r="M55" s="77">
        <f ca="1">IFERROR(M41+M54,"")</f>
        <v>0.32499999999999907</v>
      </c>
      <c r="N55" s="1" t="s">
        <v>264</v>
      </c>
      <c r="O55" s="30">
        <f>IFERROR(O41+O54,"")</f>
        <v>2332870</v>
      </c>
    </row>
    <row r="56" spans="1:15" ht="15" customHeight="1">
      <c r="A56" s="59">
        <v>46237</v>
      </c>
      <c r="B56" s="60">
        <v>0.33333333333333298</v>
      </c>
      <c r="C56" s="61" t="s">
        <v>54</v>
      </c>
      <c r="D56" s="54" t="s">
        <v>47</v>
      </c>
      <c r="E56" s="62" t="s">
        <v>259</v>
      </c>
      <c r="F56" s="63">
        <v>30</v>
      </c>
      <c r="G56" s="64">
        <f t="shared" ref="G56:G67" si="12">IF(F56="","",IF(E56="PC 17",F56*4.2,IF(E56="PC 19",F56*5,IF(E56="CB",F56*35,""))))</f>
        <v>150</v>
      </c>
      <c r="H56" s="61" t="s">
        <v>27</v>
      </c>
      <c r="I56" s="61" t="s">
        <v>32</v>
      </c>
      <c r="J56" s="61" t="s">
        <v>167</v>
      </c>
      <c r="K56" s="65">
        <v>0.36458333333333298</v>
      </c>
      <c r="L56" s="65">
        <v>0.39236111111111099</v>
      </c>
      <c r="M56" s="66">
        <f t="shared" ref="M56:M67" ca="1" si="13">IFERROR(IF(K56="","",IF(L56="",MOD(NOW()-K56,1),IF(L56&gt;=K56,L56-K56,L56+1-K56))),"")</f>
        <v>2.7777777777778012E-2</v>
      </c>
      <c r="N56" s="63"/>
      <c r="O56" s="67"/>
    </row>
    <row r="57" spans="1:15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62" t="s">
        <v>259</v>
      </c>
      <c r="F57" s="63">
        <v>16</v>
      </c>
      <c r="G57" s="69">
        <f t="shared" si="12"/>
        <v>80</v>
      </c>
      <c r="H57" s="70" t="s">
        <v>29</v>
      </c>
      <c r="I57" s="70" t="s">
        <v>32</v>
      </c>
      <c r="J57" s="70" t="s">
        <v>144</v>
      </c>
      <c r="K57" s="65">
        <v>0.63680555555555596</v>
      </c>
      <c r="L57" s="65">
        <v>0.64166666666666705</v>
      </c>
      <c r="M57" s="71">
        <f t="shared" ca="1" si="13"/>
        <v>4.8611111111110938E-3</v>
      </c>
      <c r="N57" s="63"/>
      <c r="O57" s="67"/>
    </row>
    <row r="58" spans="1:15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47</v>
      </c>
      <c r="E58" s="62" t="s">
        <v>259</v>
      </c>
      <c r="F58" s="63">
        <v>35</v>
      </c>
      <c r="G58" s="64">
        <f t="shared" si="12"/>
        <v>175</v>
      </c>
      <c r="H58" s="61"/>
      <c r="I58" s="61"/>
      <c r="J58" s="61"/>
      <c r="K58" s="65"/>
      <c r="L58" s="65"/>
      <c r="M58" s="66" t="str">
        <f t="shared" ca="1" si="13"/>
        <v/>
      </c>
      <c r="N58" s="63"/>
      <c r="O58" s="67"/>
    </row>
    <row r="59" spans="1:15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62" t="s">
        <v>259</v>
      </c>
      <c r="F59" s="63">
        <v>35</v>
      </c>
      <c r="G59" s="69">
        <f t="shared" si="12"/>
        <v>175</v>
      </c>
      <c r="H59" s="70"/>
      <c r="I59" s="70"/>
      <c r="J59" s="70"/>
      <c r="K59" s="65"/>
      <c r="L59" s="65"/>
      <c r="M59" s="71" t="str">
        <f t="shared" ca="1" si="13"/>
        <v/>
      </c>
      <c r="N59" s="63"/>
      <c r="O59" s="67"/>
    </row>
    <row r="60" spans="1:15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62" t="s">
        <v>259</v>
      </c>
      <c r="F60" s="63">
        <v>40</v>
      </c>
      <c r="G60" s="64">
        <f t="shared" si="12"/>
        <v>200</v>
      </c>
      <c r="H60" s="61"/>
      <c r="I60" s="61"/>
      <c r="J60" s="61"/>
      <c r="K60" s="65"/>
      <c r="L60" s="65"/>
      <c r="M60" s="66" t="str">
        <f t="shared" ca="1" si="13"/>
        <v/>
      </c>
      <c r="N60" s="63"/>
      <c r="O60" s="67"/>
    </row>
    <row r="61" spans="1:15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62" t="s">
        <v>259</v>
      </c>
      <c r="F61" s="63">
        <v>40</v>
      </c>
      <c r="G61" s="69">
        <f t="shared" si="12"/>
        <v>200</v>
      </c>
      <c r="H61" s="70"/>
      <c r="I61" s="70"/>
      <c r="J61" s="70"/>
      <c r="K61" s="65"/>
      <c r="L61" s="65"/>
      <c r="M61" s="71" t="str">
        <f t="shared" ca="1" si="13"/>
        <v/>
      </c>
      <c r="N61" s="63"/>
      <c r="O61" s="67"/>
    </row>
    <row r="62" spans="1:15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62" t="s">
        <v>259</v>
      </c>
      <c r="F62" s="63">
        <v>35</v>
      </c>
      <c r="G62" s="64">
        <f t="shared" si="12"/>
        <v>175</v>
      </c>
      <c r="H62" s="61"/>
      <c r="I62" s="61"/>
      <c r="J62" s="61"/>
      <c r="K62" s="65"/>
      <c r="L62" s="65"/>
      <c r="M62" s="66" t="str">
        <f t="shared" ca="1" si="13"/>
        <v/>
      </c>
      <c r="N62" s="63"/>
      <c r="O62" s="67"/>
    </row>
    <row r="63" spans="1:15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62" t="s">
        <v>259</v>
      </c>
      <c r="F63" s="63">
        <v>40</v>
      </c>
      <c r="G63" s="69">
        <f t="shared" si="12"/>
        <v>200</v>
      </c>
      <c r="H63" s="70"/>
      <c r="I63" s="70"/>
      <c r="J63" s="70"/>
      <c r="K63" s="65"/>
      <c r="L63" s="65"/>
      <c r="M63" s="71" t="str">
        <f t="shared" ca="1" si="13"/>
        <v/>
      </c>
      <c r="N63" s="63"/>
      <c r="O63" s="67"/>
    </row>
    <row r="64" spans="1:15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62" t="s">
        <v>259</v>
      </c>
      <c r="F64" s="63">
        <v>20</v>
      </c>
      <c r="G64" s="64">
        <f t="shared" si="12"/>
        <v>100</v>
      </c>
      <c r="H64" s="61"/>
      <c r="I64" s="61"/>
      <c r="J64" s="61"/>
      <c r="K64" s="65"/>
      <c r="L64" s="65"/>
      <c r="M64" s="66" t="str">
        <f t="shared" ca="1" si="13"/>
        <v/>
      </c>
      <c r="N64" s="63"/>
      <c r="O64" s="67"/>
    </row>
    <row r="65" spans="1:15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62" t="s">
        <v>259</v>
      </c>
      <c r="F65" s="63">
        <v>30</v>
      </c>
      <c r="G65" s="69">
        <f t="shared" si="12"/>
        <v>150</v>
      </c>
      <c r="H65" s="70"/>
      <c r="I65" s="70"/>
      <c r="J65" s="70"/>
      <c r="K65" s="65"/>
      <c r="L65" s="65"/>
      <c r="M65" s="71" t="str">
        <f t="shared" ca="1" si="13"/>
        <v/>
      </c>
      <c r="N65" s="63"/>
      <c r="O65" s="67"/>
    </row>
    <row r="66" spans="1:15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62" t="s">
        <v>259</v>
      </c>
      <c r="F66" s="63">
        <v>44</v>
      </c>
      <c r="G66" s="64">
        <f t="shared" si="12"/>
        <v>220</v>
      </c>
      <c r="H66" s="61"/>
      <c r="I66" s="61"/>
      <c r="J66" s="61"/>
      <c r="K66" s="65"/>
      <c r="L66" s="65"/>
      <c r="M66" s="66" t="str">
        <f t="shared" ca="1" si="13"/>
        <v/>
      </c>
      <c r="N66" s="63"/>
      <c r="O66" s="67"/>
    </row>
    <row r="67" spans="1:15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62" t="s">
        <v>259</v>
      </c>
      <c r="F67" s="63">
        <v>10</v>
      </c>
      <c r="G67" s="69">
        <f t="shared" si="12"/>
        <v>50</v>
      </c>
      <c r="H67" s="70"/>
      <c r="I67" s="70"/>
      <c r="J67" s="70"/>
      <c r="K67" s="65"/>
      <c r="L67" s="65"/>
      <c r="M67" s="71" t="str">
        <f t="shared" ca="1" si="13"/>
        <v/>
      </c>
      <c r="N67" s="63"/>
      <c r="O67" s="67"/>
    </row>
    <row r="68" spans="1:15" ht="15.75" customHeight="1">
      <c r="A68" s="165" t="s">
        <v>260</v>
      </c>
      <c r="B68" s="165"/>
      <c r="C68" s="165"/>
      <c r="D68" s="165"/>
      <c r="E68" s="165"/>
      <c r="F68" s="2">
        <f>SUM(F56:F67)</f>
        <v>375</v>
      </c>
      <c r="G68" s="2">
        <f>SUM(G56:G67)</f>
        <v>1875</v>
      </c>
      <c r="H68" s="72"/>
      <c r="I68" s="72"/>
      <c r="J68" s="72"/>
      <c r="K68" s="72"/>
      <c r="L68" s="72"/>
      <c r="M68" s="73">
        <f ca="1">IFERROR(SUM(M56:M67),"")</f>
        <v>3.2638888888889106E-2</v>
      </c>
      <c r="N68" s="2" t="s">
        <v>261</v>
      </c>
      <c r="O68" s="74">
        <v>2102950</v>
      </c>
    </row>
    <row r="69" spans="1:15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75" t="s">
        <v>259</v>
      </c>
      <c r="F69" s="63">
        <v>14</v>
      </c>
      <c r="G69" s="69">
        <f t="shared" ref="G69:G80" si="15">IF(F69="","",IF(E69="PC 17",F69*4.2,IF(E69="PC 19",F69*5,IF(E69="CB",F69*35,""))))</f>
        <v>70</v>
      </c>
      <c r="H69" s="70" t="s">
        <v>29</v>
      </c>
      <c r="I69" s="70" t="s">
        <v>32</v>
      </c>
      <c r="J69" s="70" t="s">
        <v>53</v>
      </c>
      <c r="K69" s="65">
        <v>0.81458333333333299</v>
      </c>
      <c r="L69" s="65">
        <v>0.83125000000000004</v>
      </c>
      <c r="M69" s="71">
        <f t="shared" ref="M69:M80" ca="1" si="16">IFERROR(IF(K69="","",IF(L69="",MOD(NOW()-K69,1),IF(L69&gt;=K69,L69-K69,L69+1-K69))),"")</f>
        <v>1.6666666666667052E-2</v>
      </c>
      <c r="N69" s="63"/>
      <c r="O69" s="67"/>
    </row>
    <row r="70" spans="1:15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75" t="s">
        <v>259</v>
      </c>
      <c r="F70" s="63">
        <v>14</v>
      </c>
      <c r="G70" s="64">
        <f t="shared" si="15"/>
        <v>70</v>
      </c>
      <c r="H70" s="61" t="s">
        <v>28</v>
      </c>
      <c r="I70" s="61" t="s">
        <v>32</v>
      </c>
      <c r="J70" s="61" t="s">
        <v>76</v>
      </c>
      <c r="K70" s="65">
        <v>0.936805555555556</v>
      </c>
      <c r="L70" s="65">
        <v>4.72222222222222E-2</v>
      </c>
      <c r="M70" s="66">
        <f t="shared" ca="1" si="16"/>
        <v>0.11041666666666627</v>
      </c>
      <c r="N70" s="63" t="s">
        <v>267</v>
      </c>
      <c r="O70" s="67"/>
    </row>
    <row r="71" spans="1:15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75" t="s">
        <v>259</v>
      </c>
      <c r="F71" s="63">
        <v>27</v>
      </c>
      <c r="G71" s="69">
        <f t="shared" si="15"/>
        <v>135</v>
      </c>
      <c r="H71" s="70"/>
      <c r="I71" s="70"/>
      <c r="J71" s="70"/>
      <c r="K71" s="65"/>
      <c r="L71" s="65"/>
      <c r="M71" s="71" t="str">
        <f t="shared" ca="1" si="16"/>
        <v/>
      </c>
      <c r="N71" s="63"/>
      <c r="O71" s="67"/>
    </row>
    <row r="72" spans="1:15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75" t="s">
        <v>259</v>
      </c>
      <c r="F72" s="63">
        <v>15</v>
      </c>
      <c r="G72" s="64">
        <f t="shared" si="15"/>
        <v>75</v>
      </c>
      <c r="H72" s="61"/>
      <c r="I72" s="61"/>
      <c r="J72" s="61"/>
      <c r="K72" s="65"/>
      <c r="L72" s="65"/>
      <c r="M72" s="66" t="str">
        <f t="shared" ca="1" si="16"/>
        <v/>
      </c>
      <c r="N72" s="63"/>
      <c r="O72" s="67"/>
    </row>
    <row r="73" spans="1:15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75" t="s">
        <v>259</v>
      </c>
      <c r="F73" s="63">
        <v>0</v>
      </c>
      <c r="G73" s="69">
        <f t="shared" si="15"/>
        <v>0</v>
      </c>
      <c r="H73" s="70"/>
      <c r="I73" s="70"/>
      <c r="J73" s="70"/>
      <c r="K73" s="65"/>
      <c r="L73" s="65"/>
      <c r="M73" s="71" t="str">
        <f t="shared" ca="1" si="16"/>
        <v/>
      </c>
      <c r="N73" s="63"/>
      <c r="O73" s="67"/>
    </row>
    <row r="74" spans="1:15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75" t="s">
        <v>259</v>
      </c>
      <c r="F74" s="63">
        <v>0</v>
      </c>
      <c r="G74" s="64">
        <f t="shared" si="15"/>
        <v>0</v>
      </c>
      <c r="H74" s="61"/>
      <c r="I74" s="61"/>
      <c r="J74" s="61"/>
      <c r="K74" s="65"/>
      <c r="L74" s="65"/>
      <c r="M74" s="66" t="str">
        <f t="shared" ca="1" si="16"/>
        <v/>
      </c>
      <c r="N74" s="63"/>
      <c r="O74" s="67"/>
    </row>
    <row r="75" spans="1:15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75" t="s">
        <v>259</v>
      </c>
      <c r="F75" s="63">
        <v>25</v>
      </c>
      <c r="G75" s="69">
        <f t="shared" si="15"/>
        <v>125</v>
      </c>
      <c r="H75" s="70"/>
      <c r="I75" s="70"/>
      <c r="J75" s="70"/>
      <c r="K75" s="65"/>
      <c r="L75" s="65"/>
      <c r="M75" s="71" t="str">
        <f t="shared" ca="1" si="16"/>
        <v/>
      </c>
      <c r="N75" s="63"/>
      <c r="O75" s="67"/>
    </row>
    <row r="76" spans="1:15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75" t="s">
        <v>259</v>
      </c>
      <c r="F76" s="63">
        <v>26</v>
      </c>
      <c r="G76" s="64">
        <f t="shared" si="15"/>
        <v>130</v>
      </c>
      <c r="H76" s="61"/>
      <c r="I76" s="61"/>
      <c r="J76" s="61"/>
      <c r="K76" s="65"/>
      <c r="L76" s="65"/>
      <c r="M76" s="66" t="str">
        <f t="shared" ca="1" si="16"/>
        <v/>
      </c>
      <c r="N76" s="63"/>
      <c r="O76" s="67"/>
    </row>
    <row r="77" spans="1:15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75" t="s">
        <v>259</v>
      </c>
      <c r="F77" s="63">
        <v>17</v>
      </c>
      <c r="G77" s="69">
        <f t="shared" si="15"/>
        <v>85</v>
      </c>
      <c r="H77" s="70"/>
      <c r="I77" s="70"/>
      <c r="J77" s="70"/>
      <c r="K77" s="65"/>
      <c r="L77" s="65"/>
      <c r="M77" s="71" t="str">
        <f t="shared" ca="1" si="16"/>
        <v/>
      </c>
      <c r="N77" s="63"/>
      <c r="O77" s="67"/>
    </row>
    <row r="78" spans="1:15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39</v>
      </c>
      <c r="E78" s="75" t="s">
        <v>259</v>
      </c>
      <c r="F78" s="63">
        <v>66</v>
      </c>
      <c r="G78" s="64">
        <f t="shared" si="15"/>
        <v>330</v>
      </c>
      <c r="H78" s="61"/>
      <c r="I78" s="61"/>
      <c r="J78" s="61"/>
      <c r="K78" s="65"/>
      <c r="L78" s="65"/>
      <c r="M78" s="66" t="str">
        <f t="shared" ca="1" si="16"/>
        <v/>
      </c>
      <c r="N78" s="63"/>
      <c r="O78" s="67"/>
    </row>
    <row r="79" spans="1:15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75" t="s">
        <v>259</v>
      </c>
      <c r="F79" s="63">
        <v>41</v>
      </c>
      <c r="G79" s="69">
        <f t="shared" si="15"/>
        <v>205</v>
      </c>
      <c r="H79" s="70"/>
      <c r="I79" s="70"/>
      <c r="J79" s="70"/>
      <c r="K79" s="65"/>
      <c r="L79" s="65"/>
      <c r="M79" s="71" t="str">
        <f t="shared" ca="1" si="16"/>
        <v/>
      </c>
      <c r="N79" s="63"/>
      <c r="O79" s="67"/>
    </row>
    <row r="80" spans="1:15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75" t="s">
        <v>259</v>
      </c>
      <c r="F80" s="63">
        <v>0</v>
      </c>
      <c r="G80" s="64">
        <f t="shared" si="15"/>
        <v>0</v>
      </c>
      <c r="H80" s="61"/>
      <c r="I80" s="61"/>
      <c r="J80" s="61"/>
      <c r="K80" s="65"/>
      <c r="L80" s="65"/>
      <c r="M80" s="66" t="str">
        <f t="shared" ca="1" si="16"/>
        <v/>
      </c>
      <c r="N80" s="63"/>
      <c r="O80" s="67"/>
    </row>
    <row r="81" spans="1:15" ht="15.75" customHeight="1">
      <c r="A81" s="165" t="s">
        <v>263</v>
      </c>
      <c r="B81" s="165"/>
      <c r="C81" s="165"/>
      <c r="D81" s="165"/>
      <c r="E81" s="165"/>
      <c r="F81" s="2">
        <f>SUM(F69:F80)</f>
        <v>245</v>
      </c>
      <c r="G81" s="2">
        <f>SUM(G69:G80)</f>
        <v>1225</v>
      </c>
      <c r="H81" s="72"/>
      <c r="I81" s="72"/>
      <c r="J81" s="72"/>
      <c r="K81" s="72"/>
      <c r="L81" s="72"/>
      <c r="M81" s="73">
        <f ca="1">IFERROR(SUM(M69:M80),"")</f>
        <v>0.12708333333333333</v>
      </c>
      <c r="N81" s="2" t="s">
        <v>261</v>
      </c>
      <c r="O81" s="74">
        <v>1547910</v>
      </c>
    </row>
    <row r="82" spans="1:15" ht="18" customHeight="1">
      <c r="A82" s="166" t="s">
        <v>249</v>
      </c>
      <c r="B82" s="166"/>
      <c r="C82" s="166"/>
      <c r="D82" s="166"/>
      <c r="E82" s="166"/>
      <c r="F82" s="1">
        <f>F68+F81</f>
        <v>620</v>
      </c>
      <c r="G82" s="1">
        <f>G68+G81</f>
        <v>3100</v>
      </c>
      <c r="H82" s="76"/>
      <c r="I82" s="76"/>
      <c r="J82" s="76"/>
      <c r="K82" s="76"/>
      <c r="L82" s="76"/>
      <c r="M82" s="77">
        <f ca="1">IFERROR(M68+M81,"")</f>
        <v>0.15972222222222243</v>
      </c>
      <c r="N82" s="1" t="s">
        <v>264</v>
      </c>
      <c r="O82" s="30">
        <f>IFERROR(O68+O81,"")</f>
        <v>3650860</v>
      </c>
    </row>
    <row r="83" spans="1:15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62" t="s">
        <v>259</v>
      </c>
      <c r="F83" s="63">
        <v>35</v>
      </c>
      <c r="G83" s="64">
        <f t="shared" ref="G83:G94" si="18">IF(F83="","",IF(E83="PC 17",F83*4.2,IF(E83="PC 19",F83*5,IF(E83="CB",F83*35,""))))</f>
        <v>175</v>
      </c>
      <c r="H83" s="70" t="s">
        <v>25</v>
      </c>
      <c r="I83" s="70" t="s">
        <v>32</v>
      </c>
      <c r="J83" s="70" t="s">
        <v>67</v>
      </c>
      <c r="K83" s="65">
        <v>0.42361111111111099</v>
      </c>
      <c r="L83" s="65">
        <v>0.45069444444444501</v>
      </c>
      <c r="M83" s="71">
        <f t="shared" ref="M83:M94" ca="1" si="19">IFERROR(IF(K83="","",IF(L83="",MOD(NOW()-K83,1),IF(L83&gt;=K83,L83-K83,L83+1-K83))),"")</f>
        <v>2.7083333333334014E-2</v>
      </c>
      <c r="N83" s="63"/>
      <c r="O83" s="67"/>
    </row>
    <row r="84" spans="1:15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62" t="s">
        <v>259</v>
      </c>
      <c r="F84" s="63">
        <v>30</v>
      </c>
      <c r="G84" s="69">
        <f t="shared" si="18"/>
        <v>150</v>
      </c>
      <c r="H84" s="61" t="s">
        <v>29</v>
      </c>
      <c r="I84" s="61" t="s">
        <v>32</v>
      </c>
      <c r="J84" s="61" t="s">
        <v>144</v>
      </c>
      <c r="K84" s="65">
        <v>0.61875000000000002</v>
      </c>
      <c r="L84" s="65">
        <v>0.66249999999999998</v>
      </c>
      <c r="M84" s="66">
        <f t="shared" ca="1" si="19"/>
        <v>4.3749999999999956E-2</v>
      </c>
      <c r="N84" s="63"/>
      <c r="O84" s="67"/>
    </row>
    <row r="85" spans="1:15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62" t="s">
        <v>259</v>
      </c>
      <c r="F85" s="63">
        <v>35</v>
      </c>
      <c r="G85" s="64">
        <f t="shared" si="18"/>
        <v>175</v>
      </c>
      <c r="H85" s="70" t="s">
        <v>29</v>
      </c>
      <c r="I85" s="70" t="s">
        <v>32</v>
      </c>
      <c r="J85" s="70" t="s">
        <v>155</v>
      </c>
      <c r="K85" s="65">
        <v>0.66666666666666696</v>
      </c>
      <c r="L85" s="65">
        <v>0.70347222222222205</v>
      </c>
      <c r="M85" s="71">
        <f t="shared" ca="1" si="19"/>
        <v>3.6805555555555092E-2</v>
      </c>
      <c r="N85" s="63" t="s">
        <v>268</v>
      </c>
      <c r="O85" s="67"/>
    </row>
    <row r="86" spans="1:15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62" t="s">
        <v>259</v>
      </c>
      <c r="F86" s="63">
        <v>15</v>
      </c>
      <c r="G86" s="69">
        <f t="shared" si="18"/>
        <v>75</v>
      </c>
      <c r="H86" s="61"/>
      <c r="I86" s="61"/>
      <c r="J86" s="61"/>
      <c r="K86" s="65"/>
      <c r="L86" s="65"/>
      <c r="M86" s="66" t="str">
        <f t="shared" ca="1" si="19"/>
        <v/>
      </c>
      <c r="N86" s="63"/>
      <c r="O86" s="67"/>
    </row>
    <row r="87" spans="1:15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62" t="s">
        <v>259</v>
      </c>
      <c r="F87" s="63">
        <v>34</v>
      </c>
      <c r="G87" s="64">
        <f t="shared" si="18"/>
        <v>170</v>
      </c>
      <c r="H87" s="70"/>
      <c r="I87" s="70"/>
      <c r="J87" s="70"/>
      <c r="K87" s="65"/>
      <c r="L87" s="65"/>
      <c r="M87" s="71" t="str">
        <f t="shared" ca="1" si="19"/>
        <v/>
      </c>
      <c r="N87" s="63"/>
      <c r="O87" s="67"/>
    </row>
    <row r="88" spans="1:15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62" t="s">
        <v>259</v>
      </c>
      <c r="F88" s="63">
        <v>31</v>
      </c>
      <c r="G88" s="69">
        <f t="shared" si="18"/>
        <v>155</v>
      </c>
      <c r="H88" s="61"/>
      <c r="I88" s="61"/>
      <c r="J88" s="61"/>
      <c r="K88" s="65"/>
      <c r="L88" s="65"/>
      <c r="M88" s="66" t="str">
        <f t="shared" ca="1" si="19"/>
        <v/>
      </c>
      <c r="N88" s="63"/>
      <c r="O88" s="67"/>
    </row>
    <row r="89" spans="1:15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62" t="s">
        <v>259</v>
      </c>
      <c r="F89" s="63">
        <v>40</v>
      </c>
      <c r="G89" s="64">
        <f t="shared" si="18"/>
        <v>200</v>
      </c>
      <c r="H89" s="70"/>
      <c r="I89" s="70"/>
      <c r="J89" s="70"/>
      <c r="K89" s="65"/>
      <c r="L89" s="65"/>
      <c r="M89" s="71" t="str">
        <f t="shared" ca="1" si="19"/>
        <v/>
      </c>
      <c r="N89" s="63"/>
      <c r="O89" s="67"/>
    </row>
    <row r="90" spans="1:15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62" t="s">
        <v>259</v>
      </c>
      <c r="F90" s="63">
        <v>36</v>
      </c>
      <c r="G90" s="69">
        <f t="shared" si="18"/>
        <v>180</v>
      </c>
      <c r="H90" s="61"/>
      <c r="I90" s="61"/>
      <c r="J90" s="61"/>
      <c r="K90" s="65"/>
      <c r="L90" s="65"/>
      <c r="M90" s="66" t="str">
        <f t="shared" ca="1" si="19"/>
        <v/>
      </c>
      <c r="N90" s="63"/>
      <c r="O90" s="67"/>
    </row>
    <row r="91" spans="1:15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62" t="s">
        <v>259</v>
      </c>
      <c r="F91" s="63">
        <v>0</v>
      </c>
      <c r="G91" s="64">
        <f t="shared" si="18"/>
        <v>0</v>
      </c>
      <c r="H91" s="70"/>
      <c r="I91" s="70"/>
      <c r="J91" s="70"/>
      <c r="K91" s="65"/>
      <c r="L91" s="65"/>
      <c r="M91" s="71" t="str">
        <f t="shared" ca="1" si="19"/>
        <v/>
      </c>
      <c r="N91" s="63"/>
      <c r="O91" s="67"/>
    </row>
    <row r="92" spans="1:15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62" t="s">
        <v>259</v>
      </c>
      <c r="F92" s="63">
        <v>0</v>
      </c>
      <c r="G92" s="69">
        <f t="shared" si="18"/>
        <v>0</v>
      </c>
      <c r="H92" s="61"/>
      <c r="I92" s="61"/>
      <c r="J92" s="61"/>
      <c r="K92" s="65"/>
      <c r="L92" s="65"/>
      <c r="M92" s="66" t="str">
        <f t="shared" ca="1" si="19"/>
        <v/>
      </c>
      <c r="N92" s="63"/>
      <c r="O92" s="67"/>
    </row>
    <row r="93" spans="1:15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62" t="s">
        <v>259</v>
      </c>
      <c r="F93" s="63">
        <v>38</v>
      </c>
      <c r="G93" s="64">
        <f t="shared" si="18"/>
        <v>190</v>
      </c>
      <c r="H93" s="70"/>
      <c r="I93" s="70"/>
      <c r="J93" s="70"/>
      <c r="K93" s="65"/>
      <c r="L93" s="65"/>
      <c r="M93" s="71" t="str">
        <f t="shared" ca="1" si="19"/>
        <v/>
      </c>
      <c r="N93" s="63"/>
      <c r="O93" s="67"/>
    </row>
    <row r="94" spans="1:15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62" t="s">
        <v>259</v>
      </c>
      <c r="F94" s="63">
        <v>15</v>
      </c>
      <c r="G94" s="69">
        <f t="shared" si="18"/>
        <v>75</v>
      </c>
      <c r="H94" s="61"/>
      <c r="I94" s="61"/>
      <c r="J94" s="61"/>
      <c r="K94" s="65"/>
      <c r="L94" s="65"/>
      <c r="M94" s="66" t="str">
        <f t="shared" ca="1" si="19"/>
        <v/>
      </c>
      <c r="N94" s="63"/>
      <c r="O94" s="67"/>
    </row>
    <row r="95" spans="1:15" ht="15.75" customHeight="1">
      <c r="A95" s="165" t="s">
        <v>260</v>
      </c>
      <c r="B95" s="165"/>
      <c r="C95" s="165"/>
      <c r="D95" s="165"/>
      <c r="E95" s="165"/>
      <c r="F95" s="2">
        <f>SUM(F83:F94)</f>
        <v>309</v>
      </c>
      <c r="G95" s="2">
        <f>SUM(G83:G94)</f>
        <v>1545</v>
      </c>
      <c r="H95" s="72"/>
      <c r="I95" s="72"/>
      <c r="J95" s="72"/>
      <c r="K95" s="72"/>
      <c r="L95" s="72"/>
      <c r="M95" s="73">
        <f ca="1">IFERROR(SUM(M83:M94),"")</f>
        <v>0.10763888888888906</v>
      </c>
      <c r="N95" s="2" t="s">
        <v>261</v>
      </c>
      <c r="O95" s="74">
        <v>2050000</v>
      </c>
    </row>
    <row r="96" spans="1:15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75" t="s">
        <v>259</v>
      </c>
      <c r="F96" s="63">
        <v>36</v>
      </c>
      <c r="G96" s="69">
        <f t="shared" ref="G96:G107" si="21">IF(F96="","",IF(E96="PC 17",F96*4.2,IF(E96="PC 19",F96*5,IF(E96="CB",F96*35,""))))</f>
        <v>180</v>
      </c>
      <c r="H96" s="61"/>
      <c r="I96" s="61"/>
      <c r="J96" s="61"/>
      <c r="K96" s="65"/>
      <c r="L96" s="65"/>
      <c r="M96" s="66" t="str">
        <f t="shared" ref="M96:M107" ca="1" si="22">IFERROR(IF(K96="","",IF(L96="",MOD(NOW()-K96,1),IF(L96&gt;=K96,L96-K96,L96+1-K96))),"")</f>
        <v/>
      </c>
      <c r="N96" s="63"/>
      <c r="O96" s="67"/>
    </row>
    <row r="97" spans="1:15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75" t="s">
        <v>259</v>
      </c>
      <c r="F97" s="63">
        <v>42</v>
      </c>
      <c r="G97" s="64">
        <f t="shared" si="21"/>
        <v>210</v>
      </c>
      <c r="H97" s="70"/>
      <c r="I97" s="70"/>
      <c r="J97" s="70"/>
      <c r="K97" s="65"/>
      <c r="L97" s="65"/>
      <c r="M97" s="71" t="str">
        <f t="shared" ca="1" si="22"/>
        <v/>
      </c>
      <c r="N97" s="63"/>
      <c r="O97" s="67"/>
    </row>
    <row r="98" spans="1:15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75" t="s">
        <v>259</v>
      </c>
      <c r="F98" s="63">
        <v>26</v>
      </c>
      <c r="G98" s="69">
        <f t="shared" si="21"/>
        <v>130</v>
      </c>
      <c r="H98" s="61"/>
      <c r="I98" s="61"/>
      <c r="J98" s="61"/>
      <c r="K98" s="65"/>
      <c r="L98" s="65"/>
      <c r="M98" s="66" t="str">
        <f t="shared" ca="1" si="22"/>
        <v/>
      </c>
      <c r="N98" s="63"/>
      <c r="O98" s="67"/>
    </row>
    <row r="99" spans="1:15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75" t="s">
        <v>259</v>
      </c>
      <c r="F99" s="63">
        <v>40</v>
      </c>
      <c r="G99" s="64">
        <f t="shared" si="21"/>
        <v>200</v>
      </c>
      <c r="H99" s="70"/>
      <c r="I99" s="70"/>
      <c r="J99" s="70"/>
      <c r="K99" s="65"/>
      <c r="L99" s="65"/>
      <c r="M99" s="71" t="str">
        <f t="shared" ca="1" si="22"/>
        <v/>
      </c>
      <c r="N99" s="63"/>
      <c r="O99" s="67"/>
    </row>
    <row r="100" spans="1:15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75" t="s">
        <v>259</v>
      </c>
      <c r="F100" s="63">
        <v>53</v>
      </c>
      <c r="G100" s="69">
        <f t="shared" si="21"/>
        <v>265</v>
      </c>
      <c r="H100" s="61"/>
      <c r="I100" s="61"/>
      <c r="J100" s="61"/>
      <c r="K100" s="65"/>
      <c r="L100" s="65"/>
      <c r="M100" s="66" t="str">
        <f t="shared" ca="1" si="22"/>
        <v/>
      </c>
      <c r="N100" s="63"/>
      <c r="O100" s="67"/>
    </row>
    <row r="101" spans="1:15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75" t="s">
        <v>259</v>
      </c>
      <c r="F101" s="63">
        <v>32</v>
      </c>
      <c r="G101" s="64">
        <f t="shared" si="21"/>
        <v>160</v>
      </c>
      <c r="H101" s="70"/>
      <c r="I101" s="70"/>
      <c r="J101" s="70"/>
      <c r="K101" s="65"/>
      <c r="L101" s="65"/>
      <c r="M101" s="71" t="str">
        <f t="shared" ca="1" si="22"/>
        <v/>
      </c>
      <c r="N101" s="63" t="s">
        <v>269</v>
      </c>
      <c r="O101" s="67"/>
    </row>
    <row r="102" spans="1:15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75" t="s">
        <v>259</v>
      </c>
      <c r="F102" s="63">
        <v>37</v>
      </c>
      <c r="G102" s="69">
        <f t="shared" si="21"/>
        <v>185</v>
      </c>
      <c r="H102" s="61"/>
      <c r="I102" s="61"/>
      <c r="J102" s="61"/>
      <c r="K102" s="65"/>
      <c r="L102" s="65"/>
      <c r="M102" s="66" t="str">
        <f t="shared" ca="1" si="22"/>
        <v/>
      </c>
      <c r="N102" s="63"/>
      <c r="O102" s="67"/>
    </row>
    <row r="103" spans="1:15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75" t="s">
        <v>259</v>
      </c>
      <c r="F103" s="63">
        <v>50</v>
      </c>
      <c r="G103" s="64">
        <f t="shared" si="21"/>
        <v>250</v>
      </c>
      <c r="H103" s="70"/>
      <c r="I103" s="70"/>
      <c r="J103" s="70"/>
      <c r="K103" s="65"/>
      <c r="L103" s="65"/>
      <c r="M103" s="71" t="str">
        <f t="shared" ca="1" si="22"/>
        <v/>
      </c>
      <c r="N103" s="63"/>
      <c r="O103" s="67"/>
    </row>
    <row r="104" spans="1:15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75" t="s">
        <v>259</v>
      </c>
      <c r="F104" s="63">
        <v>43</v>
      </c>
      <c r="G104" s="69">
        <f t="shared" si="21"/>
        <v>215</v>
      </c>
      <c r="H104" s="61"/>
      <c r="I104" s="61"/>
      <c r="J104" s="61"/>
      <c r="K104" s="65"/>
      <c r="L104" s="65"/>
      <c r="M104" s="66" t="str">
        <f t="shared" ca="1" si="22"/>
        <v/>
      </c>
      <c r="N104" s="63"/>
      <c r="O104" s="67"/>
    </row>
    <row r="105" spans="1:15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75" t="s">
        <v>259</v>
      </c>
      <c r="F105" s="63">
        <v>37</v>
      </c>
      <c r="G105" s="64">
        <f t="shared" si="21"/>
        <v>185</v>
      </c>
      <c r="H105" s="70"/>
      <c r="I105" s="70"/>
      <c r="J105" s="70"/>
      <c r="K105" s="65"/>
      <c r="L105" s="65"/>
      <c r="M105" s="71" t="str">
        <f t="shared" ca="1" si="22"/>
        <v/>
      </c>
      <c r="N105" s="63"/>
      <c r="O105" s="67"/>
    </row>
    <row r="106" spans="1:15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75" t="s">
        <v>259</v>
      </c>
      <c r="F106" s="63">
        <v>40</v>
      </c>
      <c r="G106" s="69">
        <f t="shared" si="21"/>
        <v>200</v>
      </c>
      <c r="H106" s="61"/>
      <c r="I106" s="61"/>
      <c r="J106" s="61"/>
      <c r="K106" s="65"/>
      <c r="L106" s="65"/>
      <c r="M106" s="66" t="str">
        <f t="shared" ca="1" si="22"/>
        <v/>
      </c>
      <c r="N106" s="63"/>
      <c r="O106" s="67"/>
    </row>
    <row r="107" spans="1:15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75" t="s">
        <v>259</v>
      </c>
      <c r="F107" s="63">
        <v>0</v>
      </c>
      <c r="G107" s="64">
        <f t="shared" si="21"/>
        <v>0</v>
      </c>
      <c r="H107" s="70"/>
      <c r="I107" s="70"/>
      <c r="J107" s="70"/>
      <c r="K107" s="65"/>
      <c r="L107" s="65"/>
      <c r="M107" s="71" t="str">
        <f t="shared" ca="1" si="22"/>
        <v/>
      </c>
      <c r="N107" s="63"/>
      <c r="O107" s="67"/>
    </row>
    <row r="108" spans="1:15" ht="15.75" customHeight="1">
      <c r="A108" s="165" t="s">
        <v>263</v>
      </c>
      <c r="B108" s="165"/>
      <c r="C108" s="165"/>
      <c r="D108" s="165"/>
      <c r="E108" s="165"/>
      <c r="F108" s="2">
        <f>SUM(F96:F107)</f>
        <v>436</v>
      </c>
      <c r="G108" s="2">
        <f>SUM(G96:G107)</f>
        <v>2180</v>
      </c>
      <c r="H108" s="72"/>
      <c r="I108" s="72"/>
      <c r="J108" s="72"/>
      <c r="K108" s="72"/>
      <c r="L108" s="72"/>
      <c r="M108" s="73">
        <f ca="1">IFERROR(SUM(M96:M107),"")</f>
        <v>0</v>
      </c>
      <c r="N108" s="2" t="s">
        <v>261</v>
      </c>
      <c r="O108" s="74">
        <v>3156240</v>
      </c>
    </row>
    <row r="109" spans="1:15" ht="18" customHeight="1">
      <c r="A109" s="166" t="s">
        <v>249</v>
      </c>
      <c r="B109" s="166"/>
      <c r="C109" s="166"/>
      <c r="D109" s="166"/>
      <c r="E109" s="166"/>
      <c r="F109" s="1">
        <f>F95+F108</f>
        <v>745</v>
      </c>
      <c r="G109" s="1">
        <f>G95+G108</f>
        <v>3725</v>
      </c>
      <c r="H109" s="76"/>
      <c r="I109" s="76"/>
      <c r="J109" s="76"/>
      <c r="K109" s="76"/>
      <c r="L109" s="76"/>
      <c r="M109" s="77">
        <f ca="1">IFERROR(M95+M108,"")</f>
        <v>0.10763888888888906</v>
      </c>
      <c r="N109" s="1" t="s">
        <v>264</v>
      </c>
      <c r="O109" s="30">
        <f>IFERROR(O95+O108,"")</f>
        <v>5206240</v>
      </c>
    </row>
    <row r="110" spans="1:15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62" t="s">
        <v>259</v>
      </c>
      <c r="F110" s="63">
        <v>25</v>
      </c>
      <c r="G110" s="64">
        <f t="shared" ref="G110:G121" si="24">IF(F110="","",IF(E110="PC 17",F110*4.2,IF(E110="PC 19",F110*5,IF(E110="CB",F110*35,""))))</f>
        <v>125</v>
      </c>
      <c r="H110" s="61" t="s">
        <v>27</v>
      </c>
      <c r="I110" s="61" t="s">
        <v>32</v>
      </c>
      <c r="J110" s="61" t="s">
        <v>43</v>
      </c>
      <c r="K110" s="65">
        <v>0.44166666666666698</v>
      </c>
      <c r="L110" s="65">
        <v>0.76249999999999996</v>
      </c>
      <c r="M110" s="66">
        <f t="shared" ref="M110:M121" ca="1" si="25">IFERROR(IF(K110="","",IF(L110="",MOD(NOW()-K110,1),IF(L110&gt;=K110,L110-K110,L110+1-K110))),"")</f>
        <v>0.32083333333333297</v>
      </c>
      <c r="N110" s="63"/>
      <c r="O110" s="67"/>
    </row>
    <row r="111" spans="1:15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62" t="s">
        <v>259</v>
      </c>
      <c r="F111" s="63">
        <v>45</v>
      </c>
      <c r="G111" s="69">
        <f t="shared" si="24"/>
        <v>225</v>
      </c>
      <c r="H111" s="70"/>
      <c r="I111" s="70"/>
      <c r="J111" s="70"/>
      <c r="K111" s="65"/>
      <c r="L111" s="65"/>
      <c r="M111" s="71" t="str">
        <f t="shared" ca="1" si="25"/>
        <v/>
      </c>
      <c r="N111" s="63"/>
      <c r="O111" s="67"/>
    </row>
    <row r="112" spans="1:15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62" t="s">
        <v>259</v>
      </c>
      <c r="F112" s="63">
        <v>25</v>
      </c>
      <c r="G112" s="64">
        <f t="shared" si="24"/>
        <v>125</v>
      </c>
      <c r="H112" s="61"/>
      <c r="I112" s="61"/>
      <c r="J112" s="61"/>
      <c r="K112" s="65"/>
      <c r="L112" s="65"/>
      <c r="M112" s="66" t="str">
        <f t="shared" ca="1" si="25"/>
        <v/>
      </c>
      <c r="N112" s="63"/>
      <c r="O112" s="67"/>
    </row>
    <row r="113" spans="1:15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62" t="s">
        <v>259</v>
      </c>
      <c r="F113" s="63">
        <v>15</v>
      </c>
      <c r="G113" s="69">
        <f t="shared" si="24"/>
        <v>75</v>
      </c>
      <c r="H113" s="70"/>
      <c r="I113" s="70"/>
      <c r="J113" s="70"/>
      <c r="K113" s="65"/>
      <c r="L113" s="65"/>
      <c r="M113" s="71" t="str">
        <f t="shared" ca="1" si="25"/>
        <v/>
      </c>
      <c r="N113" s="63"/>
      <c r="O113" s="67"/>
    </row>
    <row r="114" spans="1:15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62" t="s">
        <v>259</v>
      </c>
      <c r="F114" s="63">
        <v>0</v>
      </c>
      <c r="G114" s="64">
        <f t="shared" si="24"/>
        <v>0</v>
      </c>
      <c r="H114" s="61"/>
      <c r="I114" s="61"/>
      <c r="J114" s="61"/>
      <c r="K114" s="65"/>
      <c r="L114" s="65"/>
      <c r="M114" s="66" t="str">
        <f t="shared" ca="1" si="25"/>
        <v/>
      </c>
      <c r="N114" s="63"/>
      <c r="O114" s="67"/>
    </row>
    <row r="115" spans="1:15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62" t="s">
        <v>259</v>
      </c>
      <c r="F115" s="63">
        <v>0</v>
      </c>
      <c r="G115" s="69">
        <f t="shared" si="24"/>
        <v>0</v>
      </c>
      <c r="H115" s="70"/>
      <c r="I115" s="70"/>
      <c r="J115" s="70"/>
      <c r="K115" s="65"/>
      <c r="L115" s="65"/>
      <c r="M115" s="71" t="str">
        <f t="shared" ca="1" si="25"/>
        <v/>
      </c>
      <c r="N115" s="63"/>
      <c r="O115" s="67"/>
    </row>
    <row r="116" spans="1:15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62" t="s">
        <v>259</v>
      </c>
      <c r="F116" s="63">
        <v>0</v>
      </c>
      <c r="G116" s="64">
        <f t="shared" si="24"/>
        <v>0</v>
      </c>
      <c r="H116" s="61"/>
      <c r="I116" s="61"/>
      <c r="J116" s="61"/>
      <c r="K116" s="65"/>
      <c r="L116" s="65"/>
      <c r="M116" s="66" t="str">
        <f t="shared" ca="1" si="25"/>
        <v/>
      </c>
      <c r="N116" s="63"/>
      <c r="O116" s="67"/>
    </row>
    <row r="117" spans="1:15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62" t="s">
        <v>259</v>
      </c>
      <c r="F117" s="63">
        <v>0</v>
      </c>
      <c r="G117" s="69">
        <f t="shared" si="24"/>
        <v>0</v>
      </c>
      <c r="H117" s="70"/>
      <c r="I117" s="70"/>
      <c r="J117" s="70"/>
      <c r="K117" s="65"/>
      <c r="L117" s="65"/>
      <c r="M117" s="71" t="str">
        <f t="shared" ca="1" si="25"/>
        <v/>
      </c>
      <c r="N117" s="63"/>
      <c r="O117" s="67"/>
    </row>
    <row r="118" spans="1:15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62" t="s">
        <v>259</v>
      </c>
      <c r="F118" s="63">
        <v>0</v>
      </c>
      <c r="G118" s="64">
        <f t="shared" si="24"/>
        <v>0</v>
      </c>
      <c r="H118" s="61"/>
      <c r="I118" s="61"/>
      <c r="J118" s="61"/>
      <c r="K118" s="65"/>
      <c r="L118" s="65"/>
      <c r="M118" s="66" t="str">
        <f t="shared" ca="1" si="25"/>
        <v/>
      </c>
      <c r="N118" s="63"/>
      <c r="O118" s="67"/>
    </row>
    <row r="119" spans="1:15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62" t="s">
        <v>259</v>
      </c>
      <c r="F119" s="63">
        <v>0</v>
      </c>
      <c r="G119" s="69">
        <f t="shared" si="24"/>
        <v>0</v>
      </c>
      <c r="H119" s="70"/>
      <c r="I119" s="70"/>
      <c r="J119" s="70"/>
      <c r="K119" s="65"/>
      <c r="L119" s="65"/>
      <c r="M119" s="71" t="str">
        <f t="shared" ca="1" si="25"/>
        <v/>
      </c>
      <c r="N119" s="63"/>
      <c r="O119" s="67"/>
    </row>
    <row r="120" spans="1:15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62" t="s">
        <v>259</v>
      </c>
      <c r="F120" s="63">
        <v>0</v>
      </c>
      <c r="G120" s="64">
        <f t="shared" si="24"/>
        <v>0</v>
      </c>
      <c r="H120" s="61"/>
      <c r="I120" s="61"/>
      <c r="J120" s="61"/>
      <c r="K120" s="65"/>
      <c r="L120" s="65"/>
      <c r="M120" s="66" t="str">
        <f t="shared" ca="1" si="25"/>
        <v/>
      </c>
      <c r="N120" s="63"/>
      <c r="O120" s="67"/>
    </row>
    <row r="121" spans="1:15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62" t="s">
        <v>259</v>
      </c>
      <c r="F121" s="63">
        <v>12</v>
      </c>
      <c r="G121" s="69">
        <f t="shared" si="24"/>
        <v>60</v>
      </c>
      <c r="H121" s="70"/>
      <c r="I121" s="70"/>
      <c r="J121" s="70"/>
      <c r="K121" s="65"/>
      <c r="L121" s="65"/>
      <c r="M121" s="71" t="str">
        <f t="shared" ca="1" si="25"/>
        <v/>
      </c>
      <c r="N121" s="63"/>
      <c r="O121" s="67"/>
    </row>
    <row r="122" spans="1:15" ht="15.75" customHeight="1">
      <c r="A122" s="165" t="s">
        <v>260</v>
      </c>
      <c r="B122" s="165"/>
      <c r="C122" s="165"/>
      <c r="D122" s="165"/>
      <c r="E122" s="165"/>
      <c r="F122" s="2">
        <f>SUM(F110:F121)</f>
        <v>122</v>
      </c>
      <c r="G122" s="2">
        <f>SUM(G110:G121)</f>
        <v>610</v>
      </c>
      <c r="H122" s="72"/>
      <c r="I122" s="72"/>
      <c r="J122" s="72"/>
      <c r="K122" s="72"/>
      <c r="L122" s="72"/>
      <c r="M122" s="73">
        <f ca="1">IFERROR(SUM(M110:M121),"")</f>
        <v>0.32083333333333297</v>
      </c>
      <c r="N122" s="2" t="s">
        <v>261</v>
      </c>
      <c r="O122" s="74">
        <v>846660</v>
      </c>
    </row>
    <row r="123" spans="1:15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75" t="s">
        <v>259</v>
      </c>
      <c r="F123" s="63">
        <v>40</v>
      </c>
      <c r="G123" s="69">
        <f t="shared" ref="G123:G134" si="27">IF(F123="","",IF(E123="PC 17",F123*4.2,IF(E123="PC 19",F123*5,IF(E123="CB",F123*35,""))))</f>
        <v>200</v>
      </c>
      <c r="H123" s="70"/>
      <c r="I123" s="70"/>
      <c r="J123" s="70"/>
      <c r="K123" s="65"/>
      <c r="L123" s="65"/>
      <c r="M123" s="71" t="str">
        <f t="shared" ref="M123:M134" ca="1" si="28">IFERROR(IF(K123="","",IF(L123="",MOD(NOW()-K123,1),IF(L123&gt;=K123,L123-K123,L123+1-K123))),"")</f>
        <v/>
      </c>
      <c r="N123" s="63"/>
      <c r="O123" s="67"/>
    </row>
    <row r="124" spans="1:15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75" t="s">
        <v>259</v>
      </c>
      <c r="F124" s="63">
        <v>30</v>
      </c>
      <c r="G124" s="64">
        <f t="shared" si="27"/>
        <v>150</v>
      </c>
      <c r="H124" s="61"/>
      <c r="I124" s="61"/>
      <c r="J124" s="61"/>
      <c r="K124" s="65"/>
      <c r="L124" s="65"/>
      <c r="M124" s="66" t="str">
        <f t="shared" ca="1" si="28"/>
        <v/>
      </c>
      <c r="N124" s="63"/>
      <c r="O124" s="67"/>
    </row>
    <row r="125" spans="1:15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75" t="s">
        <v>259</v>
      </c>
      <c r="F125" s="63">
        <v>45</v>
      </c>
      <c r="G125" s="69">
        <f t="shared" si="27"/>
        <v>225</v>
      </c>
      <c r="H125" s="70"/>
      <c r="I125" s="70"/>
      <c r="J125" s="70"/>
      <c r="K125" s="65"/>
      <c r="L125" s="65"/>
      <c r="M125" s="71" t="str">
        <f t="shared" ca="1" si="28"/>
        <v/>
      </c>
      <c r="N125" s="63"/>
      <c r="O125" s="67"/>
    </row>
    <row r="126" spans="1:15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75" t="s">
        <v>259</v>
      </c>
      <c r="F126" s="63">
        <v>31</v>
      </c>
      <c r="G126" s="64">
        <f t="shared" si="27"/>
        <v>155</v>
      </c>
      <c r="H126" s="61"/>
      <c r="I126" s="61"/>
      <c r="J126" s="61"/>
      <c r="K126" s="65"/>
      <c r="L126" s="65"/>
      <c r="M126" s="66" t="str">
        <f t="shared" ca="1" si="28"/>
        <v/>
      </c>
      <c r="N126" s="63"/>
      <c r="O126" s="67"/>
    </row>
    <row r="127" spans="1:15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75" t="s">
        <v>259</v>
      </c>
      <c r="F127" s="63">
        <v>45</v>
      </c>
      <c r="G127" s="69">
        <f t="shared" si="27"/>
        <v>225</v>
      </c>
      <c r="H127" s="70"/>
      <c r="I127" s="70"/>
      <c r="J127" s="70"/>
      <c r="K127" s="65"/>
      <c r="L127" s="65"/>
      <c r="M127" s="71" t="str">
        <f t="shared" ca="1" si="28"/>
        <v/>
      </c>
      <c r="N127" s="63"/>
      <c r="O127" s="67"/>
    </row>
    <row r="128" spans="1:15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75" t="s">
        <v>259</v>
      </c>
      <c r="F128" s="63">
        <v>35</v>
      </c>
      <c r="G128" s="64">
        <f t="shared" si="27"/>
        <v>175</v>
      </c>
      <c r="H128" s="61"/>
      <c r="I128" s="61"/>
      <c r="J128" s="61"/>
      <c r="K128" s="65"/>
      <c r="L128" s="65"/>
      <c r="M128" s="66" t="str">
        <f t="shared" ca="1" si="28"/>
        <v/>
      </c>
      <c r="N128" s="63"/>
      <c r="O128" s="67"/>
    </row>
    <row r="129" spans="1:15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75" t="s">
        <v>259</v>
      </c>
      <c r="F129" s="63">
        <v>39</v>
      </c>
      <c r="G129" s="69">
        <f t="shared" si="27"/>
        <v>195</v>
      </c>
      <c r="H129" s="70"/>
      <c r="I129" s="70"/>
      <c r="J129" s="70"/>
      <c r="K129" s="65"/>
      <c r="L129" s="65"/>
      <c r="M129" s="71" t="str">
        <f t="shared" ca="1" si="28"/>
        <v/>
      </c>
      <c r="N129" s="63"/>
      <c r="O129" s="67"/>
    </row>
    <row r="130" spans="1:15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75" t="s">
        <v>259</v>
      </c>
      <c r="F130" s="63">
        <v>32</v>
      </c>
      <c r="G130" s="64">
        <f t="shared" si="27"/>
        <v>160</v>
      </c>
      <c r="H130" s="61"/>
      <c r="I130" s="61"/>
      <c r="J130" s="61"/>
      <c r="K130" s="65"/>
      <c r="L130" s="65"/>
      <c r="M130" s="66" t="str">
        <f t="shared" ca="1" si="28"/>
        <v/>
      </c>
      <c r="N130" s="63"/>
      <c r="O130" s="67"/>
    </row>
    <row r="131" spans="1:15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75" t="s">
        <v>259</v>
      </c>
      <c r="F131" s="63">
        <v>34</v>
      </c>
      <c r="G131" s="69">
        <f t="shared" si="27"/>
        <v>170</v>
      </c>
      <c r="H131" s="70"/>
      <c r="I131" s="70"/>
      <c r="J131" s="70"/>
      <c r="K131" s="65"/>
      <c r="L131" s="65"/>
      <c r="M131" s="71" t="str">
        <f t="shared" ca="1" si="28"/>
        <v/>
      </c>
      <c r="N131" s="63"/>
      <c r="O131" s="67"/>
    </row>
    <row r="132" spans="1:15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75" t="s">
        <v>259</v>
      </c>
      <c r="F132" s="63">
        <v>35</v>
      </c>
      <c r="G132" s="64">
        <f t="shared" si="27"/>
        <v>175</v>
      </c>
      <c r="H132" s="61"/>
      <c r="I132" s="61"/>
      <c r="J132" s="61"/>
      <c r="K132" s="65"/>
      <c r="L132" s="65"/>
      <c r="M132" s="66" t="str">
        <f t="shared" ca="1" si="28"/>
        <v/>
      </c>
      <c r="N132" s="63"/>
      <c r="O132" s="67"/>
    </row>
    <row r="133" spans="1:15" ht="15" customHeight="1">
      <c r="A133" s="18">
        <v>46239</v>
      </c>
      <c r="B133" s="68">
        <f t="shared" si="29"/>
        <v>1.25</v>
      </c>
      <c r="C133" s="70" t="s">
        <v>38</v>
      </c>
      <c r="D133" s="75" t="s">
        <v>47</v>
      </c>
      <c r="E133" s="75" t="s">
        <v>259</v>
      </c>
      <c r="F133" s="63">
        <v>71</v>
      </c>
      <c r="G133" s="69">
        <f t="shared" si="27"/>
        <v>355</v>
      </c>
      <c r="H133" s="70"/>
      <c r="I133" s="70"/>
      <c r="J133" s="70"/>
      <c r="K133" s="65"/>
      <c r="L133" s="65"/>
      <c r="M133" s="71" t="str">
        <f t="shared" ca="1" si="28"/>
        <v/>
      </c>
      <c r="N133" s="63"/>
      <c r="O133" s="67"/>
    </row>
    <row r="134" spans="1:15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47</v>
      </c>
      <c r="E134" s="75" t="s">
        <v>259</v>
      </c>
      <c r="F134" s="63">
        <v>0</v>
      </c>
      <c r="G134" s="64">
        <f t="shared" si="27"/>
        <v>0</v>
      </c>
      <c r="H134" s="61"/>
      <c r="I134" s="61"/>
      <c r="J134" s="61"/>
      <c r="K134" s="65"/>
      <c r="L134" s="65"/>
      <c r="M134" s="66" t="str">
        <f t="shared" ca="1" si="28"/>
        <v/>
      </c>
      <c r="N134" s="63"/>
      <c r="O134" s="67"/>
    </row>
    <row r="135" spans="1:15" ht="15.75" customHeight="1">
      <c r="A135" s="165" t="s">
        <v>263</v>
      </c>
      <c r="B135" s="165"/>
      <c r="C135" s="165"/>
      <c r="D135" s="165"/>
      <c r="E135" s="165"/>
      <c r="F135" s="2">
        <f>SUM(F123:F134)</f>
        <v>437</v>
      </c>
      <c r="G135" s="2">
        <f>SUM(G123:G134)</f>
        <v>2185</v>
      </c>
      <c r="H135" s="72"/>
      <c r="I135" s="72"/>
      <c r="J135" s="72"/>
      <c r="K135" s="72"/>
      <c r="L135" s="72"/>
      <c r="M135" s="73">
        <f ca="1">IFERROR(SUM(M123:M134),"")</f>
        <v>0</v>
      </c>
      <c r="N135" s="2" t="s">
        <v>261</v>
      </c>
      <c r="O135" s="74">
        <v>2875180</v>
      </c>
    </row>
    <row r="136" spans="1:15" ht="18" customHeight="1">
      <c r="A136" s="166" t="s">
        <v>249</v>
      </c>
      <c r="B136" s="166"/>
      <c r="C136" s="166"/>
      <c r="D136" s="166"/>
      <c r="E136" s="166"/>
      <c r="F136" s="1">
        <f>F122+F135</f>
        <v>559</v>
      </c>
      <c r="G136" s="1">
        <f>G122+G135</f>
        <v>2795</v>
      </c>
      <c r="H136" s="76"/>
      <c r="I136" s="76"/>
      <c r="J136" s="76"/>
      <c r="K136" s="76"/>
      <c r="L136" s="76"/>
      <c r="M136" s="77">
        <f ca="1">IFERROR(M122+M135,"")</f>
        <v>0.32083333333333297</v>
      </c>
      <c r="N136" s="1" t="s">
        <v>264</v>
      </c>
      <c r="O136" s="30">
        <f>IFERROR(O122+O135,"")</f>
        <v>3721840</v>
      </c>
    </row>
    <row r="137" spans="1:15" ht="15" customHeight="1">
      <c r="A137" s="18">
        <v>46240</v>
      </c>
      <c r="B137" s="68">
        <v>0.33333333333333298</v>
      </c>
      <c r="C137" s="70" t="s">
        <v>30</v>
      </c>
      <c r="D137" s="75" t="s">
        <v>47</v>
      </c>
      <c r="E137" s="75" t="s">
        <v>259</v>
      </c>
      <c r="F137" s="63">
        <v>15</v>
      </c>
      <c r="G137" s="69">
        <f t="shared" ref="G137:G148" si="30">IF(F137="","",IF(E137="PC 17",F137*4.2,IF(E137="PC 19",F137*5,IF(E137="CB",F137*35,""))))</f>
        <v>75</v>
      </c>
      <c r="H137" s="70" t="s">
        <v>26</v>
      </c>
      <c r="I137" s="70" t="s">
        <v>32</v>
      </c>
      <c r="J137" s="70" t="s">
        <v>34</v>
      </c>
      <c r="K137" s="65">
        <v>0.31944444444444398</v>
      </c>
      <c r="L137" s="65">
        <v>0.328472222222222</v>
      </c>
      <c r="M137" s="71">
        <f t="shared" ref="M137:M148" ca="1" si="31">IFERROR(IF(K137="","",IF(L137="",MOD(NOW()-K137,1),IF(L137&gt;=K137,L137-K137,L137+1-K137))),"")</f>
        <v>9.0277777777780233E-3</v>
      </c>
      <c r="N137" s="63" t="s">
        <v>270</v>
      </c>
      <c r="O137" s="67"/>
    </row>
    <row r="138" spans="1:15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47</v>
      </c>
      <c r="E138" s="75" t="s">
        <v>259</v>
      </c>
      <c r="F138" s="63">
        <v>35</v>
      </c>
      <c r="G138" s="64">
        <f t="shared" si="30"/>
        <v>175</v>
      </c>
      <c r="H138" s="61" t="s">
        <v>28</v>
      </c>
      <c r="I138" s="61" t="s">
        <v>32</v>
      </c>
      <c r="J138" s="61" t="s">
        <v>116</v>
      </c>
      <c r="K138" s="65">
        <v>0.53472222222222199</v>
      </c>
      <c r="L138" s="65">
        <v>0.55347222222222203</v>
      </c>
      <c r="M138" s="66">
        <f t="shared" ca="1" si="31"/>
        <v>1.8750000000000044E-2</v>
      </c>
      <c r="N138" s="63"/>
      <c r="O138" s="67"/>
    </row>
    <row r="139" spans="1:15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75" t="s">
        <v>259</v>
      </c>
      <c r="F139" s="63">
        <v>25</v>
      </c>
      <c r="G139" s="69">
        <f t="shared" si="30"/>
        <v>125</v>
      </c>
      <c r="H139" s="70" t="s">
        <v>29</v>
      </c>
      <c r="I139" s="70" t="s">
        <v>32</v>
      </c>
      <c r="J139" s="70" t="s">
        <v>45</v>
      </c>
      <c r="K139" s="65">
        <v>0.7</v>
      </c>
      <c r="L139" s="65">
        <v>0.72916666666666696</v>
      </c>
      <c r="M139" s="71">
        <f t="shared" ca="1" si="31"/>
        <v>2.9166666666667007E-2</v>
      </c>
      <c r="N139" s="63"/>
      <c r="O139" s="67"/>
    </row>
    <row r="140" spans="1:15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75" t="s">
        <v>259</v>
      </c>
      <c r="F140" s="63">
        <v>30</v>
      </c>
      <c r="G140" s="64">
        <f t="shared" si="30"/>
        <v>150</v>
      </c>
      <c r="H140" s="61" t="s">
        <v>25</v>
      </c>
      <c r="I140" s="61" t="s">
        <v>32</v>
      </c>
      <c r="J140" s="61" t="s">
        <v>125</v>
      </c>
      <c r="K140" s="65">
        <v>0.75</v>
      </c>
      <c r="L140" s="65">
        <v>0.79166666666666696</v>
      </c>
      <c r="M140" s="66">
        <f t="shared" ca="1" si="31"/>
        <v>4.1666666666666963E-2</v>
      </c>
      <c r="N140" s="63"/>
      <c r="O140" s="67"/>
    </row>
    <row r="141" spans="1:15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75" t="s">
        <v>259</v>
      </c>
      <c r="F141" s="63">
        <v>15</v>
      </c>
      <c r="G141" s="69">
        <f t="shared" si="30"/>
        <v>75</v>
      </c>
      <c r="H141" s="70"/>
      <c r="I141" s="70"/>
      <c r="J141" s="70"/>
      <c r="K141" s="65"/>
      <c r="L141" s="65"/>
      <c r="M141" s="71" t="str">
        <f t="shared" ca="1" si="31"/>
        <v/>
      </c>
      <c r="N141" s="63"/>
      <c r="O141" s="67"/>
    </row>
    <row r="142" spans="1:15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75" t="s">
        <v>259</v>
      </c>
      <c r="F142" s="63">
        <v>30</v>
      </c>
      <c r="G142" s="64">
        <f t="shared" si="30"/>
        <v>150</v>
      </c>
      <c r="H142" s="61"/>
      <c r="I142" s="61"/>
      <c r="J142" s="61"/>
      <c r="K142" s="65"/>
      <c r="L142" s="65"/>
      <c r="M142" s="66" t="str">
        <f t="shared" ca="1" si="31"/>
        <v/>
      </c>
      <c r="N142" s="63"/>
      <c r="O142" s="67"/>
    </row>
    <row r="143" spans="1:15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75" t="s">
        <v>259</v>
      </c>
      <c r="F143" s="63">
        <v>34</v>
      </c>
      <c r="G143" s="69">
        <f t="shared" si="30"/>
        <v>170</v>
      </c>
      <c r="H143" s="70"/>
      <c r="I143" s="70"/>
      <c r="J143" s="70"/>
      <c r="K143" s="65"/>
      <c r="L143" s="65"/>
      <c r="M143" s="71" t="str">
        <f t="shared" ca="1" si="31"/>
        <v/>
      </c>
      <c r="N143" s="63"/>
      <c r="O143" s="67"/>
    </row>
    <row r="144" spans="1:15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75" t="s">
        <v>259</v>
      </c>
      <c r="F144" s="63">
        <v>35</v>
      </c>
      <c r="G144" s="64">
        <f t="shared" si="30"/>
        <v>175</v>
      </c>
      <c r="H144" s="61"/>
      <c r="I144" s="61"/>
      <c r="J144" s="61"/>
      <c r="K144" s="65"/>
      <c r="L144" s="65"/>
      <c r="M144" s="66" t="str">
        <f t="shared" ca="1" si="31"/>
        <v/>
      </c>
      <c r="N144" s="63"/>
      <c r="O144" s="67"/>
    </row>
    <row r="145" spans="1:15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75" t="s">
        <v>259</v>
      </c>
      <c r="F145" s="63">
        <v>45</v>
      </c>
      <c r="G145" s="69">
        <f t="shared" si="30"/>
        <v>225</v>
      </c>
      <c r="H145" s="70"/>
      <c r="I145" s="70"/>
      <c r="J145" s="70"/>
      <c r="K145" s="65"/>
      <c r="L145" s="65"/>
      <c r="M145" s="71" t="str">
        <f t="shared" ca="1" si="31"/>
        <v/>
      </c>
      <c r="N145" s="63"/>
      <c r="O145" s="67"/>
    </row>
    <row r="146" spans="1:15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75" t="s">
        <v>259</v>
      </c>
      <c r="F146" s="63">
        <v>25</v>
      </c>
      <c r="G146" s="64">
        <f t="shared" si="30"/>
        <v>125</v>
      </c>
      <c r="H146" s="61"/>
      <c r="I146" s="61"/>
      <c r="J146" s="61"/>
      <c r="K146" s="65"/>
      <c r="L146" s="65"/>
      <c r="M146" s="66" t="str">
        <f t="shared" ca="1" si="31"/>
        <v/>
      </c>
      <c r="N146" s="63"/>
      <c r="O146" s="67"/>
    </row>
    <row r="147" spans="1:15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75" t="s">
        <v>259</v>
      </c>
      <c r="F147" s="63">
        <v>0</v>
      </c>
      <c r="G147" s="69">
        <f t="shared" si="30"/>
        <v>0</v>
      </c>
      <c r="H147" s="70"/>
      <c r="I147" s="70"/>
      <c r="J147" s="70"/>
      <c r="K147" s="65"/>
      <c r="L147" s="65"/>
      <c r="M147" s="71" t="str">
        <f t="shared" ca="1" si="31"/>
        <v/>
      </c>
      <c r="N147" s="63"/>
      <c r="O147" s="67"/>
    </row>
    <row r="148" spans="1:15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75" t="s">
        <v>259</v>
      </c>
      <c r="F148" s="63">
        <v>0</v>
      </c>
      <c r="G148" s="64">
        <f t="shared" si="30"/>
        <v>0</v>
      </c>
      <c r="H148" s="61"/>
      <c r="I148" s="61"/>
      <c r="J148" s="61"/>
      <c r="K148" s="65"/>
      <c r="L148" s="65"/>
      <c r="M148" s="66" t="str">
        <f t="shared" ca="1" si="31"/>
        <v/>
      </c>
      <c r="N148" s="63"/>
      <c r="O148" s="67"/>
    </row>
    <row r="149" spans="1:15" ht="15.75" customHeight="1">
      <c r="A149" s="165" t="s">
        <v>260</v>
      </c>
      <c r="B149" s="165"/>
      <c r="C149" s="165"/>
      <c r="D149" s="165"/>
      <c r="E149" s="165"/>
      <c r="F149" s="2">
        <f>SUM(F137:F148)</f>
        <v>289</v>
      </c>
      <c r="G149" s="2">
        <f>SUM(G137:G148)</f>
        <v>1445</v>
      </c>
      <c r="H149" s="72"/>
      <c r="I149" s="72"/>
      <c r="J149" s="72"/>
      <c r="K149" s="72"/>
      <c r="L149" s="72"/>
      <c r="M149" s="73">
        <f ca="1">IFERROR(SUM(M137:M148),"")</f>
        <v>9.8611111111112038E-2</v>
      </c>
      <c r="N149" s="2" t="s">
        <v>261</v>
      </c>
      <c r="O149" s="78">
        <v>1650350</v>
      </c>
    </row>
    <row r="150" spans="1:15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62" t="s">
        <v>259</v>
      </c>
      <c r="F150" s="63">
        <v>17</v>
      </c>
      <c r="G150" s="64">
        <f t="shared" ref="G150:G161" si="33">IF(F150="","",IF(E150="PC 17",F150*4.2,IF(E150="PC 19",F150*5,IF(E150="CB",F150*35,""))))</f>
        <v>85</v>
      </c>
      <c r="H150" s="61" t="s">
        <v>29</v>
      </c>
      <c r="I150" s="61" t="s">
        <v>32</v>
      </c>
      <c r="J150" s="61" t="s">
        <v>144</v>
      </c>
      <c r="K150" s="65">
        <v>0.81736111111111098</v>
      </c>
      <c r="L150" s="65">
        <v>0.85069444444444398</v>
      </c>
      <c r="M150" s="66">
        <f t="shared" ref="M150:M161" ca="1" si="34">IFERROR(IF(K150="","",IF(L150="",MOD(NOW()-K150,1),IF(L150&gt;=K150,L150-K150,L150+1-K150))),"")</f>
        <v>3.3333333333332993E-2</v>
      </c>
      <c r="N150" s="63"/>
      <c r="O150" s="67"/>
    </row>
    <row r="151" spans="1:15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62" t="s">
        <v>259</v>
      </c>
      <c r="F151" s="63">
        <v>0</v>
      </c>
      <c r="G151" s="69">
        <f t="shared" si="33"/>
        <v>0</v>
      </c>
      <c r="H151" s="70" t="s">
        <v>26</v>
      </c>
      <c r="I151" s="70" t="s">
        <v>32</v>
      </c>
      <c r="J151" s="70" t="s">
        <v>96</v>
      </c>
      <c r="K151" s="65">
        <v>0.87152777777777801</v>
      </c>
      <c r="L151" s="65">
        <v>0.90277777777777801</v>
      </c>
      <c r="M151" s="71">
        <f t="shared" ca="1" si="34"/>
        <v>3.125E-2</v>
      </c>
      <c r="N151" s="63" t="s">
        <v>271</v>
      </c>
      <c r="O151" s="67"/>
    </row>
    <row r="152" spans="1:15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62" t="s">
        <v>259</v>
      </c>
      <c r="F152" s="63">
        <v>14</v>
      </c>
      <c r="G152" s="64">
        <f t="shared" si="33"/>
        <v>70</v>
      </c>
      <c r="H152" s="61" t="s">
        <v>29</v>
      </c>
      <c r="I152" s="61" t="s">
        <v>32</v>
      </c>
      <c r="J152" s="61" t="s">
        <v>144</v>
      </c>
      <c r="K152" s="65">
        <v>0.93263888888888902</v>
      </c>
      <c r="L152" s="65">
        <v>0.95833333333333304</v>
      </c>
      <c r="M152" s="66">
        <f t="shared" ca="1" si="34"/>
        <v>2.569444444444402E-2</v>
      </c>
      <c r="N152" s="63"/>
      <c r="O152" s="67"/>
    </row>
    <row r="153" spans="1:15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62" t="s">
        <v>259</v>
      </c>
      <c r="F153" s="63">
        <v>0</v>
      </c>
      <c r="G153" s="69">
        <f t="shared" si="33"/>
        <v>0</v>
      </c>
      <c r="H153" s="70" t="s">
        <v>28</v>
      </c>
      <c r="I153" s="70" t="s">
        <v>32</v>
      </c>
      <c r="J153" s="70" t="s">
        <v>76</v>
      </c>
      <c r="K153" s="65">
        <v>0.99513888888888902</v>
      </c>
      <c r="L153" s="65">
        <v>4.1666666666666699E-2</v>
      </c>
      <c r="M153" s="71">
        <f t="shared" ca="1" si="34"/>
        <v>4.6527777777777724E-2</v>
      </c>
      <c r="N153" s="63"/>
      <c r="O153" s="67"/>
    </row>
    <row r="154" spans="1:15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62" t="s">
        <v>259</v>
      </c>
      <c r="F154" s="63">
        <v>10</v>
      </c>
      <c r="G154" s="64">
        <f t="shared" si="33"/>
        <v>50</v>
      </c>
      <c r="H154" s="61" t="s">
        <v>29</v>
      </c>
      <c r="I154" s="61" t="s">
        <v>32</v>
      </c>
      <c r="J154" s="61" t="s">
        <v>155</v>
      </c>
      <c r="K154" s="65">
        <v>0.211805555555556</v>
      </c>
      <c r="L154" s="65">
        <v>0.28263888888888899</v>
      </c>
      <c r="M154" s="66">
        <f t="shared" ca="1" si="34"/>
        <v>7.0833333333332998E-2</v>
      </c>
      <c r="N154" s="63"/>
      <c r="O154" s="67"/>
    </row>
    <row r="155" spans="1:15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62" t="s">
        <v>259</v>
      </c>
      <c r="F155" s="63">
        <v>0</v>
      </c>
      <c r="G155" s="69">
        <f t="shared" si="33"/>
        <v>0</v>
      </c>
      <c r="H155" s="70"/>
      <c r="I155" s="70"/>
      <c r="J155" s="70"/>
      <c r="K155" s="65"/>
      <c r="L155" s="65"/>
      <c r="M155" s="71" t="str">
        <f t="shared" ca="1" si="34"/>
        <v/>
      </c>
      <c r="N155" s="63"/>
      <c r="O155" s="67"/>
    </row>
    <row r="156" spans="1:15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62" t="s">
        <v>259</v>
      </c>
      <c r="F156" s="63">
        <v>20</v>
      </c>
      <c r="G156" s="64">
        <f t="shared" si="33"/>
        <v>100</v>
      </c>
      <c r="H156" s="61"/>
      <c r="I156" s="61"/>
      <c r="J156" s="61"/>
      <c r="K156" s="65"/>
      <c r="L156" s="65"/>
      <c r="M156" s="66" t="str">
        <f t="shared" ca="1" si="34"/>
        <v/>
      </c>
      <c r="N156" s="63"/>
      <c r="O156" s="67"/>
    </row>
    <row r="157" spans="1:15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62" t="s">
        <v>259</v>
      </c>
      <c r="F157" s="63">
        <v>35</v>
      </c>
      <c r="G157" s="69">
        <f t="shared" si="33"/>
        <v>175</v>
      </c>
      <c r="H157" s="70"/>
      <c r="I157" s="70"/>
      <c r="J157" s="70"/>
      <c r="K157" s="65"/>
      <c r="L157" s="65"/>
      <c r="M157" s="71" t="str">
        <f t="shared" ca="1" si="34"/>
        <v/>
      </c>
      <c r="N157" s="63"/>
      <c r="O157" s="67"/>
    </row>
    <row r="158" spans="1:15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62" t="s">
        <v>259</v>
      </c>
      <c r="F158" s="63">
        <v>29</v>
      </c>
      <c r="G158" s="64">
        <f t="shared" si="33"/>
        <v>145</v>
      </c>
      <c r="H158" s="61"/>
      <c r="I158" s="61"/>
      <c r="J158" s="61"/>
      <c r="K158" s="65"/>
      <c r="L158" s="65"/>
      <c r="M158" s="66" t="str">
        <f t="shared" ca="1" si="34"/>
        <v/>
      </c>
      <c r="N158" s="63"/>
      <c r="O158" s="67"/>
    </row>
    <row r="159" spans="1:15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62" t="s">
        <v>259</v>
      </c>
      <c r="F159" s="63">
        <v>43</v>
      </c>
      <c r="G159" s="69">
        <f t="shared" si="33"/>
        <v>215</v>
      </c>
      <c r="H159" s="70"/>
      <c r="I159" s="70"/>
      <c r="J159" s="70"/>
      <c r="K159" s="65"/>
      <c r="L159" s="65"/>
      <c r="M159" s="71" t="str">
        <f t="shared" ca="1" si="34"/>
        <v/>
      </c>
      <c r="N159" s="63"/>
      <c r="O159" s="67"/>
    </row>
    <row r="160" spans="1:15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62" t="s">
        <v>259</v>
      </c>
      <c r="F160" s="63">
        <v>0</v>
      </c>
      <c r="G160" s="64">
        <f t="shared" si="33"/>
        <v>0</v>
      </c>
      <c r="H160" s="61"/>
      <c r="I160" s="61"/>
      <c r="J160" s="61"/>
      <c r="K160" s="65"/>
      <c r="L160" s="65"/>
      <c r="M160" s="66" t="str">
        <f t="shared" ca="1" si="34"/>
        <v/>
      </c>
      <c r="N160" s="63"/>
      <c r="O160" s="67"/>
    </row>
    <row r="161" spans="1:15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62" t="s">
        <v>259</v>
      </c>
      <c r="F161" s="63">
        <v>0</v>
      </c>
      <c r="G161" s="69">
        <f t="shared" si="33"/>
        <v>0</v>
      </c>
      <c r="H161" s="70"/>
      <c r="I161" s="70"/>
      <c r="J161" s="70"/>
      <c r="K161" s="65"/>
      <c r="L161" s="65"/>
      <c r="M161" s="71" t="str">
        <f t="shared" ca="1" si="34"/>
        <v/>
      </c>
      <c r="N161" s="63"/>
      <c r="O161" s="67"/>
    </row>
    <row r="162" spans="1:15" ht="15.75" customHeight="1">
      <c r="A162" s="165" t="s">
        <v>263</v>
      </c>
      <c r="B162" s="165"/>
      <c r="C162" s="165"/>
      <c r="D162" s="165"/>
      <c r="E162" s="165"/>
      <c r="F162" s="2">
        <f>SUM(F150:F161)</f>
        <v>168</v>
      </c>
      <c r="G162" s="2">
        <f>SUM(G150:G161)</f>
        <v>840</v>
      </c>
      <c r="H162" s="72"/>
      <c r="I162" s="72"/>
      <c r="J162" s="72"/>
      <c r="K162" s="72"/>
      <c r="L162" s="72"/>
      <c r="M162" s="73">
        <f ca="1">IFERROR(SUM(M150:M161),"")</f>
        <v>0.20763888888888773</v>
      </c>
      <c r="N162" s="2" t="s">
        <v>261</v>
      </c>
      <c r="O162" s="79">
        <v>842000</v>
      </c>
    </row>
    <row r="163" spans="1:15" ht="18" customHeight="1">
      <c r="A163" s="166" t="s">
        <v>249</v>
      </c>
      <c r="B163" s="166"/>
      <c r="C163" s="166"/>
      <c r="D163" s="166"/>
      <c r="E163" s="166"/>
      <c r="F163" s="1">
        <f>F149+F162</f>
        <v>457</v>
      </c>
      <c r="G163" s="1">
        <f>G149+G162</f>
        <v>2285</v>
      </c>
      <c r="H163" s="76"/>
      <c r="I163" s="76"/>
      <c r="J163" s="76"/>
      <c r="K163" s="76"/>
      <c r="L163" s="76"/>
      <c r="M163" s="77">
        <f ca="1">IFERROR(M149+M162,"")</f>
        <v>0.3062499999999998</v>
      </c>
      <c r="N163" s="1" t="s">
        <v>264</v>
      </c>
      <c r="O163" s="30">
        <f>IFERROR(O149+O162,"")</f>
        <v>2492350</v>
      </c>
    </row>
    <row r="164" spans="1:15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62" t="s">
        <v>259</v>
      </c>
      <c r="F164" s="63">
        <v>49</v>
      </c>
      <c r="G164" s="64">
        <f t="shared" ref="G164:G175" si="36">IF(F164="","",IF(E164="PC 17",F164*4.2,IF(E164="PC 19",F164*5,IF(E164="CB",F164*35,""))))</f>
        <v>245</v>
      </c>
      <c r="H164" s="61" t="s">
        <v>27</v>
      </c>
      <c r="I164" s="61" t="s">
        <v>32</v>
      </c>
      <c r="J164" s="61" t="s">
        <v>236</v>
      </c>
      <c r="K164" s="65">
        <v>0.375</v>
      </c>
      <c r="L164" s="65">
        <v>0.420833333333333</v>
      </c>
      <c r="M164" s="66">
        <f t="shared" ref="M164:M175" ca="1" si="37">IFERROR(IF(K164="","",IF(L164="",MOD(NOW()-K164,1),IF(L164&gt;=K164,L164-K164,L164+1-K164))),"")</f>
        <v>4.5833333333333004E-2</v>
      </c>
      <c r="N164" s="63" t="s">
        <v>272</v>
      </c>
      <c r="O164" s="67"/>
    </row>
    <row r="165" spans="1:15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62" t="s">
        <v>259</v>
      </c>
      <c r="F165" s="63">
        <v>35</v>
      </c>
      <c r="G165" s="69">
        <f t="shared" si="36"/>
        <v>175</v>
      </c>
      <c r="H165" s="70" t="s">
        <v>25</v>
      </c>
      <c r="I165" s="70" t="s">
        <v>32</v>
      </c>
      <c r="J165" s="70" t="s">
        <v>125</v>
      </c>
      <c r="K165" s="65">
        <v>0.75694444444444398</v>
      </c>
      <c r="L165" s="65">
        <v>0.79166666666666696</v>
      </c>
      <c r="M165" s="71">
        <f t="shared" ca="1" si="37"/>
        <v>3.4722222222222987E-2</v>
      </c>
      <c r="N165" s="63"/>
      <c r="O165" s="67"/>
    </row>
    <row r="166" spans="1:15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62" t="s">
        <v>259</v>
      </c>
      <c r="F166" s="63">
        <v>15</v>
      </c>
      <c r="G166" s="64">
        <f t="shared" si="36"/>
        <v>75</v>
      </c>
      <c r="H166" s="61"/>
      <c r="I166" s="61"/>
      <c r="J166" s="61"/>
      <c r="K166" s="65"/>
      <c r="L166" s="65"/>
      <c r="M166" s="66" t="str">
        <f t="shared" ca="1" si="37"/>
        <v/>
      </c>
      <c r="N166" s="63"/>
      <c r="O166" s="67"/>
    </row>
    <row r="167" spans="1:15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62" t="s">
        <v>259</v>
      </c>
      <c r="F167" s="63">
        <v>25</v>
      </c>
      <c r="G167" s="69">
        <f t="shared" si="36"/>
        <v>125</v>
      </c>
      <c r="H167" s="70"/>
      <c r="I167" s="70"/>
      <c r="J167" s="70"/>
      <c r="K167" s="65"/>
      <c r="L167" s="65"/>
      <c r="M167" s="71" t="str">
        <f t="shared" ca="1" si="37"/>
        <v/>
      </c>
      <c r="N167" s="63"/>
      <c r="O167" s="67"/>
    </row>
    <row r="168" spans="1:15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62" t="s">
        <v>259</v>
      </c>
      <c r="F168" s="63">
        <v>40</v>
      </c>
      <c r="G168" s="64">
        <f t="shared" si="36"/>
        <v>200</v>
      </c>
      <c r="H168" s="61"/>
      <c r="I168" s="61"/>
      <c r="J168" s="61"/>
      <c r="K168" s="65"/>
      <c r="L168" s="65"/>
      <c r="M168" s="66" t="str">
        <f t="shared" ca="1" si="37"/>
        <v/>
      </c>
      <c r="N168" s="63"/>
      <c r="O168" s="67"/>
    </row>
    <row r="169" spans="1:15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62" t="s">
        <v>259</v>
      </c>
      <c r="F169" s="63">
        <v>25</v>
      </c>
      <c r="G169" s="69">
        <f t="shared" si="36"/>
        <v>125</v>
      </c>
      <c r="H169" s="70"/>
      <c r="I169" s="70"/>
      <c r="J169" s="70"/>
      <c r="K169" s="65"/>
      <c r="L169" s="65"/>
      <c r="M169" s="71" t="str">
        <f t="shared" ca="1" si="37"/>
        <v/>
      </c>
      <c r="N169" s="63"/>
      <c r="O169" s="67"/>
    </row>
    <row r="170" spans="1:15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62" t="s">
        <v>259</v>
      </c>
      <c r="F170" s="63">
        <v>60</v>
      </c>
      <c r="G170" s="64">
        <f t="shared" si="36"/>
        <v>300</v>
      </c>
      <c r="H170" s="61"/>
      <c r="I170" s="61"/>
      <c r="J170" s="61"/>
      <c r="K170" s="65"/>
      <c r="L170" s="65"/>
      <c r="M170" s="66" t="str">
        <f t="shared" ca="1" si="37"/>
        <v/>
      </c>
      <c r="N170" s="63"/>
      <c r="O170" s="67"/>
    </row>
    <row r="171" spans="1:15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62" t="s">
        <v>259</v>
      </c>
      <c r="F171" s="63">
        <v>40</v>
      </c>
      <c r="G171" s="69">
        <f t="shared" si="36"/>
        <v>200</v>
      </c>
      <c r="H171" s="70"/>
      <c r="I171" s="70"/>
      <c r="J171" s="70"/>
      <c r="K171" s="65"/>
      <c r="L171" s="65"/>
      <c r="M171" s="71" t="str">
        <f t="shared" ca="1" si="37"/>
        <v/>
      </c>
      <c r="N171" s="63"/>
      <c r="O171" s="67"/>
    </row>
    <row r="172" spans="1:15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62" t="s">
        <v>259</v>
      </c>
      <c r="F172" s="63">
        <v>40</v>
      </c>
      <c r="G172" s="64">
        <f t="shared" si="36"/>
        <v>200</v>
      </c>
      <c r="H172" s="61"/>
      <c r="I172" s="61"/>
      <c r="J172" s="61"/>
      <c r="K172" s="65"/>
      <c r="L172" s="65"/>
      <c r="M172" s="66" t="str">
        <f t="shared" ca="1" si="37"/>
        <v/>
      </c>
      <c r="N172" s="63"/>
      <c r="O172" s="67"/>
    </row>
    <row r="173" spans="1:15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62" t="s">
        <v>259</v>
      </c>
      <c r="F173" s="63">
        <v>35</v>
      </c>
      <c r="G173" s="69">
        <f t="shared" si="36"/>
        <v>175</v>
      </c>
      <c r="H173" s="70"/>
      <c r="I173" s="70"/>
      <c r="J173" s="70"/>
      <c r="K173" s="65"/>
      <c r="L173" s="65"/>
      <c r="M173" s="71" t="str">
        <f t="shared" ca="1" si="37"/>
        <v/>
      </c>
      <c r="N173" s="63"/>
      <c r="O173" s="67"/>
    </row>
    <row r="174" spans="1:15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62" t="s">
        <v>259</v>
      </c>
      <c r="F174" s="63">
        <v>25</v>
      </c>
      <c r="G174" s="64">
        <f t="shared" si="36"/>
        <v>125</v>
      </c>
      <c r="H174" s="61"/>
      <c r="I174" s="61"/>
      <c r="J174" s="61"/>
      <c r="K174" s="65"/>
      <c r="L174" s="65"/>
      <c r="M174" s="66" t="str">
        <f t="shared" ca="1" si="37"/>
        <v/>
      </c>
      <c r="N174" s="63"/>
      <c r="O174" s="67"/>
    </row>
    <row r="175" spans="1:15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62" t="s">
        <v>259</v>
      </c>
      <c r="F175" s="63">
        <v>13</v>
      </c>
      <c r="G175" s="69">
        <f t="shared" si="36"/>
        <v>65</v>
      </c>
      <c r="H175" s="70"/>
      <c r="I175" s="70"/>
      <c r="J175" s="70"/>
      <c r="K175" s="65"/>
      <c r="L175" s="65"/>
      <c r="M175" s="71" t="str">
        <f t="shared" ca="1" si="37"/>
        <v/>
      </c>
      <c r="N175" s="63"/>
      <c r="O175" s="67"/>
    </row>
    <row r="176" spans="1:15" ht="15.75" customHeight="1">
      <c r="A176" s="165" t="s">
        <v>260</v>
      </c>
      <c r="B176" s="165"/>
      <c r="C176" s="165"/>
      <c r="D176" s="165"/>
      <c r="E176" s="165"/>
      <c r="F176" s="2">
        <f>SUM(F164:F175)</f>
        <v>402</v>
      </c>
      <c r="G176" s="2">
        <f>SUM(G164:G175)</f>
        <v>2010</v>
      </c>
      <c r="H176" s="72"/>
      <c r="I176" s="72"/>
      <c r="J176" s="72"/>
      <c r="K176" s="72"/>
      <c r="L176" s="72"/>
      <c r="M176" s="73">
        <f ca="1">IFERROR(SUM(M164:M175),"")</f>
        <v>8.0555555555555991E-2</v>
      </c>
      <c r="N176" s="2" t="s">
        <v>261</v>
      </c>
      <c r="O176" s="74">
        <v>2934820</v>
      </c>
    </row>
    <row r="177" spans="1:15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75" t="s">
        <v>259</v>
      </c>
      <c r="F177" s="63">
        <v>57</v>
      </c>
      <c r="G177" s="69">
        <f t="shared" ref="G177:G188" si="39">IF(F177="","",IF(E177="PC 17",F177*4.2,IF(E177="PC 19",F177*5,IF(E177="CB",F177*35,""))))</f>
        <v>285</v>
      </c>
      <c r="H177" s="70" t="s">
        <v>26</v>
      </c>
      <c r="I177" s="70" t="s">
        <v>32</v>
      </c>
      <c r="J177" s="70" t="s">
        <v>96</v>
      </c>
      <c r="K177" s="65">
        <v>2.29166666666667E-2</v>
      </c>
      <c r="L177" s="65">
        <v>6.9444444444444503E-2</v>
      </c>
      <c r="M177" s="71">
        <f t="shared" ref="M177:M188" ca="1" si="40">IFERROR(IF(K177="","",IF(L177="",MOD(NOW()-K177,1),IF(L177&gt;=K177,L177-K177,L177+1-K177))),"")</f>
        <v>4.6527777777777807E-2</v>
      </c>
      <c r="N177" s="63" t="s">
        <v>273</v>
      </c>
      <c r="O177" s="67"/>
    </row>
    <row r="178" spans="1:15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75" t="s">
        <v>259</v>
      </c>
      <c r="F178" s="63">
        <v>33</v>
      </c>
      <c r="G178" s="64">
        <f t="shared" si="39"/>
        <v>165</v>
      </c>
      <c r="H178" s="61"/>
      <c r="I178" s="61"/>
      <c r="J178" s="61"/>
      <c r="K178" s="65"/>
      <c r="L178" s="65"/>
      <c r="M178" s="66" t="str">
        <f t="shared" ca="1" si="40"/>
        <v/>
      </c>
      <c r="N178" s="63"/>
      <c r="O178" s="67"/>
    </row>
    <row r="179" spans="1:15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75" t="s">
        <v>259</v>
      </c>
      <c r="F179" s="63">
        <v>20</v>
      </c>
      <c r="G179" s="69">
        <f t="shared" si="39"/>
        <v>100</v>
      </c>
      <c r="H179" s="70"/>
      <c r="I179" s="70"/>
      <c r="J179" s="70"/>
      <c r="K179" s="65"/>
      <c r="L179" s="65"/>
      <c r="M179" s="71" t="str">
        <f t="shared" ca="1" si="40"/>
        <v/>
      </c>
      <c r="N179" s="63"/>
      <c r="O179" s="67"/>
    </row>
    <row r="180" spans="1:15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75" t="s">
        <v>259</v>
      </c>
      <c r="F180" s="63">
        <v>32</v>
      </c>
      <c r="G180" s="64">
        <f t="shared" si="39"/>
        <v>160</v>
      </c>
      <c r="H180" s="61"/>
      <c r="I180" s="61"/>
      <c r="J180" s="61"/>
      <c r="K180" s="65"/>
      <c r="L180" s="65"/>
      <c r="M180" s="66" t="str">
        <f t="shared" ca="1" si="40"/>
        <v/>
      </c>
      <c r="N180" s="63"/>
      <c r="O180" s="67"/>
    </row>
    <row r="181" spans="1:15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75" t="s">
        <v>259</v>
      </c>
      <c r="F181" s="63">
        <v>40</v>
      </c>
      <c r="G181" s="69">
        <f t="shared" si="39"/>
        <v>200</v>
      </c>
      <c r="H181" s="70"/>
      <c r="I181" s="70"/>
      <c r="J181" s="70"/>
      <c r="K181" s="65"/>
      <c r="L181" s="65"/>
      <c r="M181" s="71" t="str">
        <f t="shared" ca="1" si="40"/>
        <v/>
      </c>
      <c r="N181" s="63"/>
      <c r="O181" s="67"/>
    </row>
    <row r="182" spans="1:15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75" t="s">
        <v>259</v>
      </c>
      <c r="F182" s="63">
        <v>18</v>
      </c>
      <c r="G182" s="64">
        <f t="shared" si="39"/>
        <v>90</v>
      </c>
      <c r="H182" s="61"/>
      <c r="I182" s="61"/>
      <c r="J182" s="61"/>
      <c r="K182" s="65"/>
      <c r="L182" s="65"/>
      <c r="M182" s="66" t="str">
        <f t="shared" ca="1" si="40"/>
        <v/>
      </c>
      <c r="N182" s="63"/>
      <c r="O182" s="67"/>
    </row>
    <row r="183" spans="1:15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75" t="s">
        <v>259</v>
      </c>
      <c r="F183" s="63">
        <v>15</v>
      </c>
      <c r="G183" s="69">
        <f t="shared" si="39"/>
        <v>75</v>
      </c>
      <c r="H183" s="70"/>
      <c r="I183" s="70"/>
      <c r="J183" s="70"/>
      <c r="K183" s="65"/>
      <c r="L183" s="65"/>
      <c r="M183" s="71" t="str">
        <f t="shared" ca="1" si="40"/>
        <v/>
      </c>
      <c r="N183" s="63"/>
      <c r="O183" s="67"/>
    </row>
    <row r="184" spans="1:15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75" t="s">
        <v>259</v>
      </c>
      <c r="F184" s="63">
        <v>53</v>
      </c>
      <c r="G184" s="64">
        <f t="shared" si="39"/>
        <v>265</v>
      </c>
      <c r="H184" s="61"/>
      <c r="I184" s="61"/>
      <c r="J184" s="61"/>
      <c r="K184" s="65"/>
      <c r="L184" s="65"/>
      <c r="M184" s="66" t="str">
        <f t="shared" ca="1" si="40"/>
        <v/>
      </c>
      <c r="N184" s="63"/>
      <c r="O184" s="67"/>
    </row>
    <row r="185" spans="1:15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75" t="s">
        <v>274</v>
      </c>
      <c r="F185" s="63">
        <v>47</v>
      </c>
      <c r="G185" s="69">
        <f t="shared" si="39"/>
        <v>197.4</v>
      </c>
      <c r="H185" s="70"/>
      <c r="I185" s="70"/>
      <c r="J185" s="70"/>
      <c r="K185" s="65"/>
      <c r="L185" s="65"/>
      <c r="M185" s="71" t="str">
        <f t="shared" ca="1" si="40"/>
        <v/>
      </c>
      <c r="N185" s="63"/>
      <c r="O185" s="67"/>
    </row>
    <row r="186" spans="1:15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75" t="s">
        <v>259</v>
      </c>
      <c r="F186" s="63">
        <v>29</v>
      </c>
      <c r="G186" s="64">
        <f t="shared" si="39"/>
        <v>145</v>
      </c>
      <c r="H186" s="61"/>
      <c r="I186" s="61"/>
      <c r="J186" s="61"/>
      <c r="K186" s="65"/>
      <c r="L186" s="65"/>
      <c r="M186" s="66" t="str">
        <f t="shared" ca="1" si="40"/>
        <v/>
      </c>
      <c r="N186" s="63"/>
      <c r="O186" s="67"/>
    </row>
    <row r="187" spans="1:15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75" t="s">
        <v>259</v>
      </c>
      <c r="F187" s="63">
        <v>36</v>
      </c>
      <c r="G187" s="69">
        <f t="shared" si="39"/>
        <v>180</v>
      </c>
      <c r="H187" s="70"/>
      <c r="I187" s="70"/>
      <c r="J187" s="70"/>
      <c r="K187" s="65"/>
      <c r="L187" s="65"/>
      <c r="M187" s="71" t="str">
        <f t="shared" ca="1" si="40"/>
        <v/>
      </c>
      <c r="N187" s="63"/>
      <c r="O187" s="67"/>
    </row>
    <row r="188" spans="1:15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75" t="s">
        <v>259</v>
      </c>
      <c r="F188" s="63">
        <v>20</v>
      </c>
      <c r="G188" s="64">
        <f t="shared" si="39"/>
        <v>100</v>
      </c>
      <c r="H188" s="61"/>
      <c r="I188" s="61"/>
      <c r="J188" s="61"/>
      <c r="K188" s="65"/>
      <c r="L188" s="65"/>
      <c r="M188" s="66" t="str">
        <f t="shared" ca="1" si="40"/>
        <v/>
      </c>
      <c r="N188" s="63"/>
      <c r="O188" s="67"/>
    </row>
    <row r="189" spans="1:15" ht="15.75" customHeight="1">
      <c r="A189" s="165" t="s">
        <v>263</v>
      </c>
      <c r="B189" s="165"/>
      <c r="C189" s="165"/>
      <c r="D189" s="165"/>
      <c r="E189" s="165"/>
      <c r="F189" s="2">
        <f>SUM(F177:F188)</f>
        <v>400</v>
      </c>
      <c r="G189" s="2">
        <f>SUM(G177:G188)</f>
        <v>1962.4</v>
      </c>
      <c r="H189" s="72"/>
      <c r="I189" s="72"/>
      <c r="J189" s="72"/>
      <c r="K189" s="72"/>
      <c r="L189" s="72"/>
      <c r="M189" s="73">
        <f ca="1">IFERROR(SUM(M177:M188),"")</f>
        <v>4.6527777777777807E-2</v>
      </c>
      <c r="N189" s="2" t="s">
        <v>261</v>
      </c>
      <c r="O189" s="74">
        <v>1901630</v>
      </c>
    </row>
    <row r="190" spans="1:15" ht="18" customHeight="1">
      <c r="A190" s="166" t="s">
        <v>249</v>
      </c>
      <c r="B190" s="166"/>
      <c r="C190" s="166"/>
      <c r="D190" s="166"/>
      <c r="E190" s="166"/>
      <c r="F190" s="1">
        <f>F176+F189</f>
        <v>802</v>
      </c>
      <c r="G190" s="1">
        <f>G176+G189</f>
        <v>3972.4</v>
      </c>
      <c r="H190" s="76"/>
      <c r="I190" s="76"/>
      <c r="J190" s="76"/>
      <c r="K190" s="76"/>
      <c r="L190" s="76"/>
      <c r="M190" s="77">
        <f ca="1">IFERROR(M176+M189,"")</f>
        <v>0.1270833333333338</v>
      </c>
      <c r="N190" s="1" t="s">
        <v>264</v>
      </c>
      <c r="O190" s="30">
        <f>IFERROR(O176+O189,"")</f>
        <v>4836450</v>
      </c>
    </row>
    <row r="191" spans="1:15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75" t="s">
        <v>259</v>
      </c>
      <c r="F191" s="63">
        <v>35</v>
      </c>
      <c r="G191" s="69">
        <f t="shared" ref="G191:G202" si="42">IF(F191="","",IF(E191="PC 17",F191*4.2,IF(E191="PC 19",F191*5,IF(E191="CB",F191*35,""))))</f>
        <v>175</v>
      </c>
      <c r="H191" s="70" t="s">
        <v>29</v>
      </c>
      <c r="I191" s="70" t="s">
        <v>32</v>
      </c>
      <c r="J191" s="70" t="s">
        <v>45</v>
      </c>
      <c r="K191" s="65">
        <v>0.34930555555555598</v>
      </c>
      <c r="L191" s="65">
        <v>0.375694444444444</v>
      </c>
      <c r="M191" s="71">
        <f t="shared" ref="M191:M202" ca="1" si="43">IFERROR(IF(K191="","",IF(L191="",MOD(NOW()-K191,1),IF(L191&gt;=K191,L191-K191,L191+1-K191))),"")</f>
        <v>2.6388888888888018E-2</v>
      </c>
      <c r="N191" s="63"/>
      <c r="O191" s="67"/>
    </row>
    <row r="192" spans="1:15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75" t="s">
        <v>259</v>
      </c>
      <c r="F192" s="63">
        <v>15</v>
      </c>
      <c r="G192" s="64">
        <f t="shared" si="42"/>
        <v>75</v>
      </c>
      <c r="H192" s="61" t="s">
        <v>29</v>
      </c>
      <c r="I192" s="61" t="s">
        <v>32</v>
      </c>
      <c r="J192" s="61" t="s">
        <v>45</v>
      </c>
      <c r="K192" s="65">
        <v>0.43333333333333302</v>
      </c>
      <c r="L192" s="65">
        <v>0.45833333333333298</v>
      </c>
      <c r="M192" s="66">
        <f t="shared" ca="1" si="43"/>
        <v>2.4999999999999967E-2</v>
      </c>
      <c r="N192" s="63"/>
      <c r="O192" s="67"/>
    </row>
    <row r="193" spans="1:15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75" t="s">
        <v>259</v>
      </c>
      <c r="F193" s="63">
        <v>20</v>
      </c>
      <c r="G193" s="69">
        <f t="shared" si="42"/>
        <v>100</v>
      </c>
      <c r="H193" s="70" t="s">
        <v>29</v>
      </c>
      <c r="I193" s="70" t="s">
        <v>32</v>
      </c>
      <c r="J193" s="70" t="s">
        <v>45</v>
      </c>
      <c r="K193" s="65">
        <v>0.60416666666666696</v>
      </c>
      <c r="L193" s="65">
        <v>0.68055555555555602</v>
      </c>
      <c r="M193" s="71">
        <f t="shared" ca="1" si="43"/>
        <v>7.6388888888889062E-2</v>
      </c>
      <c r="N193" s="63" t="s">
        <v>275</v>
      </c>
      <c r="O193" s="67"/>
    </row>
    <row r="194" spans="1:15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75" t="s">
        <v>259</v>
      </c>
      <c r="F194" s="63">
        <v>10</v>
      </c>
      <c r="G194" s="64">
        <f t="shared" si="42"/>
        <v>50</v>
      </c>
      <c r="H194" s="61"/>
      <c r="I194" s="61"/>
      <c r="J194" s="61"/>
      <c r="K194" s="65"/>
      <c r="L194" s="65"/>
      <c r="M194" s="66" t="str">
        <f t="shared" ca="1" si="43"/>
        <v/>
      </c>
      <c r="N194" s="63"/>
      <c r="O194" s="67"/>
    </row>
    <row r="195" spans="1:15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75" t="s">
        <v>259</v>
      </c>
      <c r="F195" s="63">
        <v>0</v>
      </c>
      <c r="G195" s="69">
        <f t="shared" si="42"/>
        <v>0</v>
      </c>
      <c r="H195" s="70"/>
      <c r="I195" s="70"/>
      <c r="J195" s="70"/>
      <c r="K195" s="65"/>
      <c r="L195" s="65"/>
      <c r="M195" s="71" t="str">
        <f t="shared" ca="1" si="43"/>
        <v/>
      </c>
      <c r="N195" s="63"/>
      <c r="O195" s="67"/>
    </row>
    <row r="196" spans="1:15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75" t="s">
        <v>259</v>
      </c>
      <c r="F196" s="63">
        <v>63</v>
      </c>
      <c r="G196" s="64">
        <f t="shared" si="42"/>
        <v>315</v>
      </c>
      <c r="H196" s="61"/>
      <c r="I196" s="61"/>
      <c r="J196" s="61"/>
      <c r="K196" s="65"/>
      <c r="L196" s="65"/>
      <c r="M196" s="66" t="str">
        <f t="shared" ca="1" si="43"/>
        <v/>
      </c>
      <c r="N196" s="63"/>
      <c r="O196" s="67"/>
    </row>
    <row r="197" spans="1:15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75" t="s">
        <v>259</v>
      </c>
      <c r="F197" s="63">
        <v>53</v>
      </c>
      <c r="G197" s="69">
        <f t="shared" si="42"/>
        <v>265</v>
      </c>
      <c r="H197" s="70"/>
      <c r="I197" s="70"/>
      <c r="J197" s="70"/>
      <c r="K197" s="65"/>
      <c r="L197" s="65"/>
      <c r="M197" s="71" t="str">
        <f t="shared" ca="1" si="43"/>
        <v/>
      </c>
      <c r="N197" s="63"/>
      <c r="O197" s="67"/>
    </row>
    <row r="198" spans="1:15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75" t="s">
        <v>259</v>
      </c>
      <c r="F198" s="63">
        <v>10</v>
      </c>
      <c r="G198" s="64">
        <f t="shared" si="42"/>
        <v>50</v>
      </c>
      <c r="H198" s="61"/>
      <c r="I198" s="61"/>
      <c r="J198" s="61"/>
      <c r="K198" s="65"/>
      <c r="L198" s="65"/>
      <c r="M198" s="66" t="str">
        <f t="shared" ca="1" si="43"/>
        <v/>
      </c>
      <c r="N198" s="63"/>
      <c r="O198" s="67"/>
    </row>
    <row r="199" spans="1:15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75" t="s">
        <v>259</v>
      </c>
      <c r="F199" s="63">
        <v>0</v>
      </c>
      <c r="G199" s="69">
        <f t="shared" si="42"/>
        <v>0</v>
      </c>
      <c r="H199" s="70"/>
      <c r="I199" s="70"/>
      <c r="J199" s="70"/>
      <c r="K199" s="65"/>
      <c r="L199" s="65"/>
      <c r="M199" s="71" t="str">
        <f t="shared" ca="1" si="43"/>
        <v/>
      </c>
      <c r="N199" s="63"/>
      <c r="O199" s="67"/>
    </row>
    <row r="200" spans="1:15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75" t="s">
        <v>259</v>
      </c>
      <c r="F200" s="63">
        <v>10</v>
      </c>
      <c r="G200" s="64">
        <f t="shared" si="42"/>
        <v>50</v>
      </c>
      <c r="H200" s="61"/>
      <c r="I200" s="61"/>
      <c r="J200" s="61"/>
      <c r="K200" s="65"/>
      <c r="L200" s="65"/>
      <c r="M200" s="66" t="str">
        <f t="shared" ca="1" si="43"/>
        <v/>
      </c>
      <c r="N200" s="63"/>
      <c r="O200" s="67"/>
    </row>
    <row r="201" spans="1:15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75" t="s">
        <v>259</v>
      </c>
      <c r="F201" s="63">
        <v>20</v>
      </c>
      <c r="G201" s="69">
        <f t="shared" si="42"/>
        <v>100</v>
      </c>
      <c r="H201" s="70"/>
      <c r="I201" s="70"/>
      <c r="J201" s="70"/>
      <c r="K201" s="65"/>
      <c r="L201" s="65"/>
      <c r="M201" s="71" t="str">
        <f t="shared" ca="1" si="43"/>
        <v/>
      </c>
      <c r="N201" s="63"/>
      <c r="O201" s="67"/>
    </row>
    <row r="202" spans="1:15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75" t="s">
        <v>259</v>
      </c>
      <c r="F202" s="63">
        <v>15</v>
      </c>
      <c r="G202" s="64">
        <f t="shared" si="42"/>
        <v>75</v>
      </c>
      <c r="H202" s="61"/>
      <c r="I202" s="61"/>
      <c r="J202" s="61"/>
      <c r="K202" s="65"/>
      <c r="L202" s="65"/>
      <c r="M202" s="66" t="str">
        <f t="shared" ca="1" si="43"/>
        <v/>
      </c>
      <c r="N202" s="63"/>
      <c r="O202" s="67"/>
    </row>
    <row r="203" spans="1:15" ht="15.75" customHeight="1">
      <c r="A203" s="165" t="s">
        <v>260</v>
      </c>
      <c r="B203" s="165"/>
      <c r="C203" s="165"/>
      <c r="D203" s="165"/>
      <c r="E203" s="165"/>
      <c r="F203" s="2">
        <f>SUM(F191:F202)</f>
        <v>251</v>
      </c>
      <c r="G203" s="2">
        <f>SUM(G191:G202)</f>
        <v>1255</v>
      </c>
      <c r="H203" s="72"/>
      <c r="I203" s="72"/>
      <c r="J203" s="72"/>
      <c r="K203" s="72"/>
      <c r="L203" s="72"/>
      <c r="M203" s="73">
        <f ca="1">IFERROR(SUM(M191:M202),"")</f>
        <v>0.12777777777777705</v>
      </c>
      <c r="N203" s="2" t="s">
        <v>261</v>
      </c>
      <c r="O203" s="74">
        <v>1392300</v>
      </c>
    </row>
    <row r="204" spans="1:15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62" t="s">
        <v>259</v>
      </c>
      <c r="F204" s="63">
        <v>37</v>
      </c>
      <c r="G204" s="64">
        <f t="shared" ref="G204:G215" si="45">IF(F204="","",IF(E204="PC 17",F204*4.2,IF(E204="PC 19",F204*5,IF(E204="CB",F204*35,""))))</f>
        <v>185</v>
      </c>
      <c r="H204" s="61"/>
      <c r="I204" s="61"/>
      <c r="J204" s="61"/>
      <c r="K204" s="65"/>
      <c r="L204" s="65"/>
      <c r="M204" s="66" t="str">
        <f t="shared" ref="M204:M215" ca="1" si="46">IFERROR(IF(K204="","",IF(L204="",MOD(NOW()-K204,1),IF(L204&gt;=K204,L204-K204,L204+1-K204))),"")</f>
        <v/>
      </c>
      <c r="N204" s="80"/>
      <c r="O204" s="81"/>
    </row>
    <row r="205" spans="1:15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62" t="s">
        <v>259</v>
      </c>
      <c r="F205" s="63">
        <v>21</v>
      </c>
      <c r="G205" s="69">
        <f t="shared" si="45"/>
        <v>105</v>
      </c>
      <c r="H205" s="70"/>
      <c r="I205" s="70"/>
      <c r="J205" s="70"/>
      <c r="K205" s="65"/>
      <c r="L205" s="65"/>
      <c r="M205" s="71" t="str">
        <f t="shared" ca="1" si="46"/>
        <v/>
      </c>
      <c r="N205" s="80"/>
      <c r="O205" s="81"/>
    </row>
    <row r="206" spans="1:15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62" t="s">
        <v>259</v>
      </c>
      <c r="F206" s="63">
        <v>51</v>
      </c>
      <c r="G206" s="64">
        <f t="shared" si="45"/>
        <v>255</v>
      </c>
      <c r="H206" s="61"/>
      <c r="I206" s="61"/>
      <c r="J206" s="61"/>
      <c r="K206" s="65"/>
      <c r="L206" s="65"/>
      <c r="M206" s="66" t="str">
        <f t="shared" ca="1" si="46"/>
        <v/>
      </c>
      <c r="N206" s="80"/>
      <c r="O206" s="81"/>
    </row>
    <row r="207" spans="1:15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62" t="s">
        <v>259</v>
      </c>
      <c r="F207" s="63">
        <v>15</v>
      </c>
      <c r="G207" s="69">
        <f t="shared" si="45"/>
        <v>75</v>
      </c>
      <c r="H207" s="70"/>
      <c r="I207" s="70"/>
      <c r="J207" s="70"/>
      <c r="K207" s="65"/>
      <c r="L207" s="65"/>
      <c r="M207" s="71" t="str">
        <f t="shared" ca="1" si="46"/>
        <v/>
      </c>
      <c r="N207" s="80"/>
      <c r="O207" s="81"/>
    </row>
    <row r="208" spans="1:15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62" t="s">
        <v>259</v>
      </c>
      <c r="F208" s="63">
        <v>34</v>
      </c>
      <c r="G208" s="64">
        <f t="shared" si="45"/>
        <v>170</v>
      </c>
      <c r="H208" s="61"/>
      <c r="I208" s="61"/>
      <c r="J208" s="61"/>
      <c r="K208" s="65"/>
      <c r="L208" s="65"/>
      <c r="M208" s="66" t="str">
        <f t="shared" ca="1" si="46"/>
        <v/>
      </c>
      <c r="N208" s="80"/>
      <c r="O208" s="81"/>
    </row>
    <row r="209" spans="1:15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62" t="s">
        <v>259</v>
      </c>
      <c r="F209" s="63">
        <v>31</v>
      </c>
      <c r="G209" s="69">
        <f t="shared" si="45"/>
        <v>155</v>
      </c>
      <c r="H209" s="70"/>
      <c r="I209" s="70"/>
      <c r="J209" s="70"/>
      <c r="K209" s="65"/>
      <c r="L209" s="65"/>
      <c r="M209" s="71" t="str">
        <f t="shared" ca="1" si="46"/>
        <v/>
      </c>
      <c r="N209" s="80"/>
      <c r="O209" s="81"/>
    </row>
    <row r="210" spans="1:15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62" t="s">
        <v>259</v>
      </c>
      <c r="F210" s="63">
        <v>36</v>
      </c>
      <c r="G210" s="64">
        <f t="shared" si="45"/>
        <v>180</v>
      </c>
      <c r="H210" s="61"/>
      <c r="I210" s="61"/>
      <c r="J210" s="61"/>
      <c r="K210" s="65"/>
      <c r="L210" s="65"/>
      <c r="M210" s="66" t="str">
        <f t="shared" ca="1" si="46"/>
        <v/>
      </c>
      <c r="N210" s="80"/>
      <c r="O210" s="81"/>
    </row>
    <row r="211" spans="1:15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62" t="s">
        <v>259</v>
      </c>
      <c r="F211" s="63">
        <v>30</v>
      </c>
      <c r="G211" s="69">
        <f t="shared" si="45"/>
        <v>150</v>
      </c>
      <c r="H211" s="70"/>
      <c r="I211" s="70"/>
      <c r="J211" s="70"/>
      <c r="K211" s="65"/>
      <c r="L211" s="65"/>
      <c r="M211" s="71" t="str">
        <f t="shared" ca="1" si="46"/>
        <v/>
      </c>
      <c r="N211" s="80"/>
      <c r="O211" s="81"/>
    </row>
    <row r="212" spans="1:15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62" t="s">
        <v>259</v>
      </c>
      <c r="F212" s="63">
        <v>35</v>
      </c>
      <c r="G212" s="64">
        <f t="shared" si="45"/>
        <v>175</v>
      </c>
      <c r="H212" s="61"/>
      <c r="I212" s="61"/>
      <c r="J212" s="61"/>
      <c r="K212" s="65"/>
      <c r="L212" s="65"/>
      <c r="M212" s="66" t="str">
        <f t="shared" ca="1" si="46"/>
        <v/>
      </c>
      <c r="N212" s="80"/>
      <c r="O212" s="81"/>
    </row>
    <row r="213" spans="1:15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62" t="s">
        <v>259</v>
      </c>
      <c r="F213" s="63">
        <v>45</v>
      </c>
      <c r="G213" s="69">
        <f t="shared" si="45"/>
        <v>225</v>
      </c>
      <c r="H213" s="70"/>
      <c r="I213" s="70"/>
      <c r="J213" s="70"/>
      <c r="K213" s="65"/>
      <c r="L213" s="65"/>
      <c r="M213" s="71" t="str">
        <f t="shared" ca="1" si="46"/>
        <v/>
      </c>
      <c r="N213" s="80"/>
      <c r="O213" s="81"/>
    </row>
    <row r="214" spans="1:15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62" t="s">
        <v>259</v>
      </c>
      <c r="F214" s="63">
        <v>45</v>
      </c>
      <c r="G214" s="64">
        <f t="shared" si="45"/>
        <v>225</v>
      </c>
      <c r="H214" s="61"/>
      <c r="I214" s="61"/>
      <c r="J214" s="61"/>
      <c r="K214" s="65"/>
      <c r="L214" s="65"/>
      <c r="M214" s="66" t="str">
        <f t="shared" ca="1" si="46"/>
        <v/>
      </c>
      <c r="N214" s="80"/>
      <c r="O214" s="81"/>
    </row>
    <row r="215" spans="1:15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62" t="s">
        <v>259</v>
      </c>
      <c r="F215" s="63">
        <v>5</v>
      </c>
      <c r="G215" s="69">
        <f t="shared" si="45"/>
        <v>25</v>
      </c>
      <c r="H215" s="70"/>
      <c r="I215" s="70"/>
      <c r="J215" s="70"/>
      <c r="K215" s="65"/>
      <c r="L215" s="65"/>
      <c r="M215" s="71" t="str">
        <f t="shared" ca="1" si="46"/>
        <v/>
      </c>
      <c r="N215" s="80"/>
      <c r="O215" s="81"/>
    </row>
    <row r="216" spans="1:15" ht="15.75" customHeight="1">
      <c r="A216" s="165" t="s">
        <v>263</v>
      </c>
      <c r="B216" s="165"/>
      <c r="C216" s="165"/>
      <c r="D216" s="165"/>
      <c r="E216" s="165"/>
      <c r="F216" s="2">
        <f>SUM(F204:F215)</f>
        <v>385</v>
      </c>
      <c r="G216" s="2">
        <f>SUM(G204:G215)</f>
        <v>1925</v>
      </c>
      <c r="H216" s="72"/>
      <c r="I216" s="72"/>
      <c r="J216" s="72"/>
      <c r="K216" s="72"/>
      <c r="L216" s="72"/>
      <c r="M216" s="73">
        <f ca="1">IFERROR(SUM(M204:M215),"")</f>
        <v>0</v>
      </c>
      <c r="N216" s="2" t="s">
        <v>261</v>
      </c>
      <c r="O216" s="74">
        <v>1852295</v>
      </c>
    </row>
    <row r="217" spans="1:15" ht="18" customHeight="1">
      <c r="A217" s="166" t="s">
        <v>249</v>
      </c>
      <c r="B217" s="166"/>
      <c r="C217" s="166"/>
      <c r="D217" s="166"/>
      <c r="E217" s="166"/>
      <c r="F217" s="1">
        <f>F203+F216</f>
        <v>636</v>
      </c>
      <c r="G217" s="1">
        <f>G203+G216</f>
        <v>3180</v>
      </c>
      <c r="H217" s="76"/>
      <c r="I217" s="76"/>
      <c r="J217" s="76"/>
      <c r="K217" s="76"/>
      <c r="L217" s="76"/>
      <c r="M217" s="77">
        <f ca="1">IFERROR(M203+M216,"")</f>
        <v>0.12777777777777705</v>
      </c>
      <c r="N217" s="1" t="s">
        <v>264</v>
      </c>
      <c r="O217" s="82">
        <f>IFERROR(O203+O216,"")</f>
        <v>3244595</v>
      </c>
    </row>
    <row r="218" spans="1:15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62" t="s">
        <v>259</v>
      </c>
      <c r="F218" s="63">
        <v>35</v>
      </c>
      <c r="G218" s="64">
        <f t="shared" ref="G218:G229" si="48">IF(F218="","",IF(E218="PC 17",F218*4.2,IF(E218="PC 19",F218*5,IF(E218="CB",F218*35,""))))</f>
        <v>175</v>
      </c>
      <c r="H218" s="61" t="s">
        <v>27</v>
      </c>
      <c r="I218" s="61" t="s">
        <v>32</v>
      </c>
      <c r="J218" s="61" t="s">
        <v>177</v>
      </c>
      <c r="K218" s="65">
        <v>0.42708333333333298</v>
      </c>
      <c r="L218" s="65">
        <v>0.4375</v>
      </c>
      <c r="M218" s="66">
        <f t="shared" ref="M218:M229" ca="1" si="49">IFERROR(IF(K218="","",IF(L218="",MOD(NOW()-K218,1),IF(L218&gt;=K218,L218-K218,L218+1-K218))),"")</f>
        <v>1.0416666666667018E-2</v>
      </c>
      <c r="N218" s="80"/>
      <c r="O218" s="81"/>
    </row>
    <row r="219" spans="1:15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62" t="s">
        <v>259</v>
      </c>
      <c r="F219" s="63">
        <v>45</v>
      </c>
      <c r="G219" s="69">
        <f t="shared" si="48"/>
        <v>225</v>
      </c>
      <c r="H219" s="70" t="s">
        <v>29</v>
      </c>
      <c r="I219" s="70" t="s">
        <v>32</v>
      </c>
      <c r="J219" s="70" t="s">
        <v>53</v>
      </c>
      <c r="K219" s="65">
        <v>0.61319444444444504</v>
      </c>
      <c r="L219" s="65">
        <v>0.63611111111111096</v>
      </c>
      <c r="M219" s="71">
        <f t="shared" ca="1" si="49"/>
        <v>2.2916666666665919E-2</v>
      </c>
      <c r="N219" s="80"/>
      <c r="O219" s="81"/>
    </row>
    <row r="220" spans="1:15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62" t="s">
        <v>259</v>
      </c>
      <c r="F220" s="63">
        <v>30</v>
      </c>
      <c r="G220" s="64">
        <f t="shared" si="48"/>
        <v>150</v>
      </c>
      <c r="H220" s="61" t="s">
        <v>29</v>
      </c>
      <c r="I220" s="61" t="s">
        <v>32</v>
      </c>
      <c r="J220" s="61" t="s">
        <v>214</v>
      </c>
      <c r="K220" s="65">
        <v>0.64791666666666703</v>
      </c>
      <c r="L220" s="65">
        <v>0.69374999999999998</v>
      </c>
      <c r="M220" s="66">
        <f t="shared" ca="1" si="49"/>
        <v>4.5833333333332948E-2</v>
      </c>
      <c r="N220" s="80" t="s">
        <v>276</v>
      </c>
      <c r="O220" s="81"/>
    </row>
    <row r="221" spans="1:15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62" t="s">
        <v>259</v>
      </c>
      <c r="F221" s="63">
        <v>25</v>
      </c>
      <c r="G221" s="69">
        <f t="shared" si="48"/>
        <v>125</v>
      </c>
      <c r="H221" s="70"/>
      <c r="I221" s="70"/>
      <c r="J221" s="70"/>
      <c r="K221" s="65"/>
      <c r="L221" s="65"/>
      <c r="M221" s="71" t="str">
        <f t="shared" ca="1" si="49"/>
        <v/>
      </c>
      <c r="N221" s="80"/>
      <c r="O221" s="81"/>
    </row>
    <row r="222" spans="1:15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62" t="s">
        <v>259</v>
      </c>
      <c r="F222" s="63">
        <v>40</v>
      </c>
      <c r="G222" s="64">
        <f t="shared" si="48"/>
        <v>200</v>
      </c>
      <c r="H222" s="61"/>
      <c r="I222" s="61"/>
      <c r="J222" s="61"/>
      <c r="K222" s="65"/>
      <c r="L222" s="65"/>
      <c r="M222" s="66" t="str">
        <f t="shared" ca="1" si="49"/>
        <v/>
      </c>
      <c r="N222" s="80"/>
      <c r="O222" s="81"/>
    </row>
    <row r="223" spans="1:15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62" t="s">
        <v>259</v>
      </c>
      <c r="F223" s="63">
        <v>31</v>
      </c>
      <c r="G223" s="69">
        <f t="shared" si="48"/>
        <v>155</v>
      </c>
      <c r="H223" s="70"/>
      <c r="I223" s="70"/>
      <c r="J223" s="70"/>
      <c r="K223" s="65"/>
      <c r="L223" s="65"/>
      <c r="M223" s="71" t="str">
        <f t="shared" ca="1" si="49"/>
        <v/>
      </c>
      <c r="N223" s="80"/>
      <c r="O223" s="81"/>
    </row>
    <row r="224" spans="1:15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62" t="s">
        <v>259</v>
      </c>
      <c r="F224" s="63">
        <v>33</v>
      </c>
      <c r="G224" s="64">
        <f t="shared" si="48"/>
        <v>165</v>
      </c>
      <c r="H224" s="61"/>
      <c r="I224" s="61"/>
      <c r="J224" s="61"/>
      <c r="K224" s="65"/>
      <c r="L224" s="65"/>
      <c r="M224" s="66" t="str">
        <f t="shared" ca="1" si="49"/>
        <v/>
      </c>
      <c r="N224" s="80"/>
      <c r="O224" s="81"/>
    </row>
    <row r="225" spans="1:21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62" t="s">
        <v>259</v>
      </c>
      <c r="F225" s="63">
        <v>0</v>
      </c>
      <c r="G225" s="69">
        <f t="shared" si="48"/>
        <v>0</v>
      </c>
      <c r="H225" s="70"/>
      <c r="I225" s="70"/>
      <c r="J225" s="70"/>
      <c r="K225" s="65"/>
      <c r="L225" s="65"/>
      <c r="M225" s="71" t="str">
        <f t="shared" ca="1" si="49"/>
        <v/>
      </c>
      <c r="N225" s="80"/>
      <c r="O225" s="81"/>
    </row>
    <row r="226" spans="1:21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62" t="s">
        <v>259</v>
      </c>
      <c r="F226" s="63">
        <v>0</v>
      </c>
      <c r="G226" s="64">
        <f t="shared" si="48"/>
        <v>0</v>
      </c>
      <c r="H226" s="61"/>
      <c r="I226" s="61"/>
      <c r="J226" s="61"/>
      <c r="K226" s="65"/>
      <c r="L226" s="65"/>
      <c r="M226" s="66" t="str">
        <f t="shared" ca="1" si="49"/>
        <v/>
      </c>
      <c r="N226" s="80"/>
      <c r="O226" s="81"/>
    </row>
    <row r="227" spans="1:21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62" t="s">
        <v>259</v>
      </c>
      <c r="F227" s="63">
        <v>30</v>
      </c>
      <c r="G227" s="69">
        <f t="shared" si="48"/>
        <v>150</v>
      </c>
      <c r="H227" s="70"/>
      <c r="I227" s="70"/>
      <c r="J227" s="70"/>
      <c r="K227" s="65"/>
      <c r="L227" s="65"/>
      <c r="M227" s="71" t="str">
        <f t="shared" ca="1" si="49"/>
        <v/>
      </c>
      <c r="N227" s="80"/>
      <c r="O227" s="81"/>
    </row>
    <row r="228" spans="1:21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62" t="s">
        <v>259</v>
      </c>
      <c r="F228" s="63">
        <v>40</v>
      </c>
      <c r="G228" s="64">
        <f t="shared" si="48"/>
        <v>200</v>
      </c>
      <c r="H228" s="61"/>
      <c r="I228" s="61"/>
      <c r="J228" s="61"/>
      <c r="K228" s="65"/>
      <c r="L228" s="65"/>
      <c r="M228" s="66" t="str">
        <f t="shared" ca="1" si="49"/>
        <v/>
      </c>
      <c r="N228" s="80"/>
      <c r="O228" s="81"/>
    </row>
    <row r="229" spans="1:21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62" t="s">
        <v>259</v>
      </c>
      <c r="F229" s="63">
        <v>0</v>
      </c>
      <c r="G229" s="69">
        <f t="shared" si="48"/>
        <v>0</v>
      </c>
      <c r="H229" s="70"/>
      <c r="I229" s="70"/>
      <c r="J229" s="70"/>
      <c r="K229" s="65"/>
      <c r="L229" s="65"/>
      <c r="M229" s="71" t="str">
        <f t="shared" ca="1" si="49"/>
        <v/>
      </c>
      <c r="N229" s="80"/>
      <c r="O229" s="81"/>
    </row>
    <row r="230" spans="1:21" ht="15.75" customHeight="1">
      <c r="A230" s="165" t="s">
        <v>260</v>
      </c>
      <c r="B230" s="165"/>
      <c r="C230" s="165"/>
      <c r="D230" s="165"/>
      <c r="E230" s="165"/>
      <c r="F230" s="2">
        <f>SUM(F218:F229)</f>
        <v>309</v>
      </c>
      <c r="G230" s="2">
        <f>SUM(G218:G229)</f>
        <v>1545</v>
      </c>
      <c r="H230" s="72"/>
      <c r="I230" s="72"/>
      <c r="J230" s="72"/>
      <c r="K230" s="72"/>
      <c r="L230" s="72"/>
      <c r="M230" s="73">
        <f ca="1">IFERROR(SUM(M218:M229),"")</f>
        <v>7.9166666666665886E-2</v>
      </c>
      <c r="N230" s="2" t="s">
        <v>261</v>
      </c>
      <c r="O230" s="74">
        <v>2165620</v>
      </c>
    </row>
    <row r="231" spans="1:21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75" t="s">
        <v>259</v>
      </c>
      <c r="F231" s="63">
        <v>12</v>
      </c>
      <c r="G231" s="69">
        <f t="shared" ref="G231:G242" si="51">IF(F231="","",IF(E231="PC 17",F231*4.2,IF(E231="PC 19",F231*5,IF(E231="CB",F231*35,""))))</f>
        <v>60</v>
      </c>
      <c r="H231" s="70" t="s">
        <v>29</v>
      </c>
      <c r="I231" s="70" t="s">
        <v>32</v>
      </c>
      <c r="J231" s="70" t="s">
        <v>214</v>
      </c>
      <c r="K231" s="65">
        <v>0.79583333333333295</v>
      </c>
      <c r="L231" s="65">
        <v>0.82638888888888895</v>
      </c>
      <c r="M231" s="71">
        <f t="shared" ref="M231:M242" ca="1" si="52">IFERROR(IF(K231="","",IF(L231="",MOD(NOW()-K231,1),IF(L231&gt;=K231,L231-K231,L231+1-K231))),"")</f>
        <v>3.0555555555556002E-2</v>
      </c>
      <c r="N231" s="80"/>
      <c r="O231" s="81"/>
    </row>
    <row r="232" spans="1:21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75" t="s">
        <v>259</v>
      </c>
      <c r="F232" s="63">
        <v>37</v>
      </c>
      <c r="G232" s="64">
        <f t="shared" si="51"/>
        <v>185</v>
      </c>
      <c r="H232" s="61" t="s">
        <v>29</v>
      </c>
      <c r="I232" s="61" t="s">
        <v>32</v>
      </c>
      <c r="J232" s="61" t="s">
        <v>155</v>
      </c>
      <c r="K232" s="65">
        <v>0.95833333333333304</v>
      </c>
      <c r="L232" s="65">
        <v>1.38888888888889E-2</v>
      </c>
      <c r="M232" s="66">
        <f t="shared" ca="1" si="52"/>
        <v>5.5555555555555802E-2</v>
      </c>
      <c r="N232" s="80"/>
      <c r="O232" s="81"/>
    </row>
    <row r="233" spans="1:21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75" t="s">
        <v>259</v>
      </c>
      <c r="F233" s="63">
        <v>16</v>
      </c>
      <c r="G233" s="69">
        <f t="shared" si="51"/>
        <v>80</v>
      </c>
      <c r="H233" s="70" t="s">
        <v>29</v>
      </c>
      <c r="I233" s="70" t="s">
        <v>32</v>
      </c>
      <c r="J233" s="70" t="s">
        <v>155</v>
      </c>
      <c r="K233" s="65">
        <v>0.15277777777777801</v>
      </c>
      <c r="L233" s="65">
        <v>0.23055555555555601</v>
      </c>
      <c r="M233" s="71">
        <f t="shared" ca="1" si="52"/>
        <v>7.7777777777778001E-2</v>
      </c>
      <c r="N233" s="80"/>
      <c r="O233" s="81"/>
    </row>
    <row r="234" spans="1:21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75" t="s">
        <v>277</v>
      </c>
      <c r="F234" s="63"/>
      <c r="G234" s="64" t="str">
        <f t="shared" si="51"/>
        <v/>
      </c>
      <c r="H234" s="61"/>
      <c r="I234" s="61"/>
      <c r="J234" s="61"/>
      <c r="K234" s="65"/>
      <c r="L234" s="65"/>
      <c r="M234" s="66" t="str">
        <f t="shared" ca="1" si="52"/>
        <v/>
      </c>
      <c r="N234" s="80"/>
      <c r="O234" s="81"/>
      <c r="U234">
        <v>4944</v>
      </c>
    </row>
    <row r="235" spans="1:21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75" t="s">
        <v>277</v>
      </c>
      <c r="F235" s="63"/>
      <c r="G235" s="69" t="str">
        <f t="shared" si="51"/>
        <v/>
      </c>
      <c r="H235" s="70"/>
      <c r="I235" s="70"/>
      <c r="J235" s="70"/>
      <c r="K235" s="65"/>
      <c r="L235" s="65"/>
      <c r="M235" s="71" t="str">
        <f t="shared" ca="1" si="52"/>
        <v/>
      </c>
      <c r="N235" s="80"/>
      <c r="O235" s="81"/>
    </row>
    <row r="236" spans="1:21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75" t="s">
        <v>277</v>
      </c>
      <c r="F236" s="63"/>
      <c r="G236" s="64" t="str">
        <f t="shared" si="51"/>
        <v/>
      </c>
      <c r="H236" s="61"/>
      <c r="I236" s="61"/>
      <c r="J236" s="61"/>
      <c r="K236" s="65"/>
      <c r="L236" s="65"/>
      <c r="M236" s="66" t="str">
        <f t="shared" ca="1" si="52"/>
        <v/>
      </c>
      <c r="N236" s="80"/>
      <c r="O236" s="81"/>
    </row>
    <row r="237" spans="1:21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75" t="s">
        <v>277</v>
      </c>
      <c r="F237" s="63"/>
      <c r="G237" s="69" t="str">
        <f t="shared" si="51"/>
        <v/>
      </c>
      <c r="H237" s="70"/>
      <c r="I237" s="70"/>
      <c r="J237" s="70"/>
      <c r="K237" s="65"/>
      <c r="L237" s="65"/>
      <c r="M237" s="71" t="str">
        <f t="shared" ca="1" si="52"/>
        <v/>
      </c>
      <c r="N237" s="80"/>
      <c r="O237" s="81"/>
    </row>
    <row r="238" spans="1:21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75" t="s">
        <v>277</v>
      </c>
      <c r="F238" s="63"/>
      <c r="G238" s="64" t="str">
        <f t="shared" si="51"/>
        <v/>
      </c>
      <c r="H238" s="61"/>
      <c r="I238" s="61"/>
      <c r="J238" s="61"/>
      <c r="K238" s="65"/>
      <c r="L238" s="65"/>
      <c r="M238" s="66" t="str">
        <f t="shared" ca="1" si="52"/>
        <v/>
      </c>
      <c r="N238" s="80"/>
      <c r="O238" s="81"/>
    </row>
    <row r="239" spans="1:21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75" t="s">
        <v>277</v>
      </c>
      <c r="F239" s="63"/>
      <c r="G239" s="69" t="str">
        <f t="shared" si="51"/>
        <v/>
      </c>
      <c r="H239" s="70"/>
      <c r="I239" s="70"/>
      <c r="J239" s="70"/>
      <c r="K239" s="65"/>
      <c r="L239" s="65"/>
      <c r="M239" s="71" t="str">
        <f t="shared" ca="1" si="52"/>
        <v/>
      </c>
      <c r="N239" s="80"/>
      <c r="O239" s="81"/>
    </row>
    <row r="240" spans="1:21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75" t="s">
        <v>277</v>
      </c>
      <c r="F240" s="63"/>
      <c r="G240" s="64" t="str">
        <f t="shared" si="51"/>
        <v/>
      </c>
      <c r="H240" s="61"/>
      <c r="I240" s="61"/>
      <c r="J240" s="61"/>
      <c r="K240" s="65"/>
      <c r="L240" s="65"/>
      <c r="M240" s="66" t="str">
        <f t="shared" ca="1" si="52"/>
        <v/>
      </c>
      <c r="N240" s="80"/>
      <c r="O240" s="81"/>
    </row>
    <row r="241" spans="1:15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75" t="s">
        <v>277</v>
      </c>
      <c r="F241" s="63"/>
      <c r="G241" s="69" t="str">
        <f t="shared" si="51"/>
        <v/>
      </c>
      <c r="H241" s="70"/>
      <c r="I241" s="70"/>
      <c r="J241" s="70"/>
      <c r="K241" s="65"/>
      <c r="L241" s="65"/>
      <c r="M241" s="71" t="str">
        <f t="shared" ca="1" si="52"/>
        <v/>
      </c>
      <c r="N241" s="80"/>
      <c r="O241" s="81"/>
    </row>
    <row r="242" spans="1:15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75" t="s">
        <v>277</v>
      </c>
      <c r="F242" s="63"/>
      <c r="G242" s="64" t="str">
        <f t="shared" si="51"/>
        <v/>
      </c>
      <c r="H242" s="61"/>
      <c r="I242" s="61"/>
      <c r="J242" s="61"/>
      <c r="K242" s="65"/>
      <c r="L242" s="65"/>
      <c r="M242" s="66" t="str">
        <f t="shared" ca="1" si="52"/>
        <v/>
      </c>
      <c r="N242" s="80"/>
      <c r="O242" s="81"/>
    </row>
    <row r="243" spans="1:15" ht="15.75" customHeight="1">
      <c r="A243" s="165" t="s">
        <v>263</v>
      </c>
      <c r="B243" s="165"/>
      <c r="C243" s="165"/>
      <c r="D243" s="165"/>
      <c r="E243" s="165"/>
      <c r="F243" s="2">
        <f>SUM(F231:F242)</f>
        <v>65</v>
      </c>
      <c r="G243" s="2">
        <f>SUM(G231:G242)</f>
        <v>325</v>
      </c>
      <c r="H243" s="72"/>
      <c r="I243" s="72"/>
      <c r="J243" s="72"/>
      <c r="K243" s="72"/>
      <c r="L243" s="72"/>
      <c r="M243" s="73">
        <f ca="1">IFERROR(SUM(M231:M242),"")</f>
        <v>0.16388888888888981</v>
      </c>
      <c r="N243" s="2" t="s">
        <v>261</v>
      </c>
      <c r="O243" s="74">
        <v>991010</v>
      </c>
    </row>
    <row r="244" spans="1:15" ht="18" customHeight="1">
      <c r="A244" s="166" t="s">
        <v>249</v>
      </c>
      <c r="B244" s="166"/>
      <c r="C244" s="166"/>
      <c r="D244" s="166"/>
      <c r="E244" s="166"/>
      <c r="F244" s="1">
        <f>F230+F243</f>
        <v>374</v>
      </c>
      <c r="G244" s="1">
        <f>G230+G243</f>
        <v>1870</v>
      </c>
      <c r="H244" s="76"/>
      <c r="I244" s="76"/>
      <c r="J244" s="76"/>
      <c r="K244" s="76"/>
      <c r="L244" s="76"/>
      <c r="M244" s="77">
        <f ca="1">IFERROR(M230+M243,"")</f>
        <v>0.24305555555555569</v>
      </c>
      <c r="N244" s="1" t="s">
        <v>264</v>
      </c>
      <c r="O244" s="82">
        <f>IFERROR(O230+O243,"")</f>
        <v>3156630</v>
      </c>
    </row>
    <row r="245" spans="1:15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62" t="s">
        <v>259</v>
      </c>
      <c r="F245" s="63">
        <v>1</v>
      </c>
      <c r="G245" s="64">
        <f t="shared" ref="G245:G251" si="54">IF(F245="","",IF(E245="PC 17",F245*4.2,IF(E245="PC 19",F245*5,IF(E245="CB",F245*35,""))))</f>
        <v>5</v>
      </c>
      <c r="H245" s="70" t="s">
        <v>29</v>
      </c>
      <c r="I245" s="70" t="s">
        <v>32</v>
      </c>
      <c r="J245" s="70" t="s">
        <v>219</v>
      </c>
      <c r="K245" s="65">
        <v>0.54722222222222205</v>
      </c>
      <c r="L245" s="65">
        <v>0.56388888888888899</v>
      </c>
      <c r="M245" s="71">
        <f t="shared" ref="M245:M256" ca="1" si="55">IFERROR(IF(K245="","",IF(L245="",MOD(NOW()-K245,1),IF(L245&gt;=K245,L245-K245,L245+1-K245))),"")</f>
        <v>1.6666666666666941E-2</v>
      </c>
      <c r="N245" s="80"/>
      <c r="O245" s="81"/>
    </row>
    <row r="246" spans="1:15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62" t="s">
        <v>259</v>
      </c>
      <c r="F246" s="63">
        <v>2</v>
      </c>
      <c r="G246" s="69">
        <f t="shared" si="54"/>
        <v>10</v>
      </c>
      <c r="H246" s="70" t="s">
        <v>29</v>
      </c>
      <c r="I246" s="61" t="s">
        <v>32</v>
      </c>
      <c r="J246" s="70" t="s">
        <v>77</v>
      </c>
      <c r="K246" s="65">
        <v>0.57499999999999996</v>
      </c>
      <c r="L246" s="65">
        <v>0.58055555555555605</v>
      </c>
      <c r="M246" s="66">
        <f t="shared" ca="1" si="55"/>
        <v>5.5555555555560909E-3</v>
      </c>
      <c r="N246" s="80"/>
      <c r="O246" s="81"/>
    </row>
    <row r="247" spans="1:15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62" t="s">
        <v>259</v>
      </c>
      <c r="F247" s="63">
        <v>3</v>
      </c>
      <c r="G247" s="64">
        <f t="shared" si="54"/>
        <v>15</v>
      </c>
      <c r="H247" s="70" t="s">
        <v>28</v>
      </c>
      <c r="I247" s="70" t="s">
        <v>32</v>
      </c>
      <c r="J247" s="70" t="s">
        <v>76</v>
      </c>
      <c r="K247" s="65">
        <v>0.75833333333333297</v>
      </c>
      <c r="L247" s="65">
        <v>0.79166666666666696</v>
      </c>
      <c r="M247" s="71">
        <f t="shared" ca="1" si="55"/>
        <v>3.3333333333333992E-2</v>
      </c>
      <c r="N247" s="80"/>
      <c r="O247" s="81"/>
    </row>
    <row r="248" spans="1:15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39</v>
      </c>
      <c r="E248" s="62" t="s">
        <v>259</v>
      </c>
      <c r="F248" s="63">
        <v>24</v>
      </c>
      <c r="G248" s="69">
        <f t="shared" si="54"/>
        <v>120</v>
      </c>
      <c r="H248" s="61"/>
      <c r="I248" s="61"/>
      <c r="J248" s="61"/>
      <c r="K248" s="65"/>
      <c r="L248" s="65"/>
      <c r="M248" s="66" t="str">
        <f t="shared" ca="1" si="55"/>
        <v/>
      </c>
      <c r="N248" s="80"/>
      <c r="O248" s="81"/>
    </row>
    <row r="249" spans="1:15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62" t="s">
        <v>259</v>
      </c>
      <c r="F249" s="63">
        <v>27</v>
      </c>
      <c r="G249" s="64">
        <f t="shared" si="54"/>
        <v>135</v>
      </c>
      <c r="H249" s="70"/>
      <c r="I249" s="70"/>
      <c r="J249" s="70"/>
      <c r="K249" s="65"/>
      <c r="L249" s="65"/>
      <c r="M249" s="71" t="str">
        <f t="shared" ca="1" si="55"/>
        <v/>
      </c>
      <c r="N249" s="80" t="s">
        <v>278</v>
      </c>
      <c r="O249" s="81"/>
    </row>
    <row r="250" spans="1:15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62" t="s">
        <v>259</v>
      </c>
      <c r="F250" s="63">
        <v>40</v>
      </c>
      <c r="G250" s="69">
        <f t="shared" si="54"/>
        <v>200</v>
      </c>
      <c r="H250" s="61"/>
      <c r="I250" s="61"/>
      <c r="J250" s="61"/>
      <c r="K250" s="65"/>
      <c r="L250" s="65"/>
      <c r="M250" s="66" t="str">
        <f t="shared" ca="1" si="55"/>
        <v/>
      </c>
      <c r="N250" s="80"/>
      <c r="O250" s="81"/>
    </row>
    <row r="251" spans="1:15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62" t="s">
        <v>259</v>
      </c>
      <c r="F251" s="63">
        <v>21</v>
      </c>
      <c r="G251" s="64">
        <f t="shared" si="54"/>
        <v>105</v>
      </c>
      <c r="H251" s="70"/>
      <c r="I251" s="70"/>
      <c r="J251" s="70"/>
      <c r="K251" s="65"/>
      <c r="L251" s="65"/>
      <c r="M251" s="71" t="str">
        <f t="shared" ca="1" si="55"/>
        <v/>
      </c>
      <c r="N251" s="80"/>
      <c r="O251" s="81"/>
    </row>
    <row r="252" spans="1:15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62" t="s">
        <v>259</v>
      </c>
      <c r="F252" s="63">
        <v>37</v>
      </c>
      <c r="G252" s="69">
        <v>185</v>
      </c>
      <c r="H252" s="61"/>
      <c r="I252" s="61"/>
      <c r="J252" s="61"/>
      <c r="K252" s="65"/>
      <c r="L252" s="65"/>
      <c r="M252" s="66" t="str">
        <f t="shared" ca="1" si="55"/>
        <v/>
      </c>
      <c r="N252" s="80"/>
      <c r="O252" s="81"/>
    </row>
    <row r="253" spans="1:15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62" t="s">
        <v>259</v>
      </c>
      <c r="F253" s="63">
        <v>40</v>
      </c>
      <c r="G253" s="64">
        <v>200</v>
      </c>
      <c r="H253" s="70"/>
      <c r="I253" s="70"/>
      <c r="J253" s="70"/>
      <c r="K253" s="65"/>
      <c r="L253" s="65"/>
      <c r="M253" s="71" t="str">
        <f t="shared" ca="1" si="55"/>
        <v/>
      </c>
      <c r="N253" s="80"/>
      <c r="O253" s="81"/>
    </row>
    <row r="254" spans="1:15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62" t="s">
        <v>259</v>
      </c>
      <c r="F254" s="63">
        <v>49</v>
      </c>
      <c r="G254" s="69">
        <v>245</v>
      </c>
      <c r="H254" s="61"/>
      <c r="I254" s="61"/>
      <c r="J254" s="61"/>
      <c r="K254" s="65"/>
      <c r="L254" s="65"/>
      <c r="M254" s="66" t="str">
        <f t="shared" ca="1" si="55"/>
        <v/>
      </c>
      <c r="N254" s="80"/>
      <c r="O254" s="81"/>
    </row>
    <row r="255" spans="1:15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62" t="s">
        <v>259</v>
      </c>
      <c r="F255" s="63">
        <v>40</v>
      </c>
      <c r="G255" s="64">
        <v>200</v>
      </c>
      <c r="H255" s="70"/>
      <c r="I255" s="70"/>
      <c r="J255" s="70"/>
      <c r="K255" s="65"/>
      <c r="L255" s="65"/>
      <c r="M255" s="71" t="str">
        <f t="shared" ca="1" si="55"/>
        <v/>
      </c>
      <c r="N255" s="80"/>
      <c r="O255" s="81"/>
    </row>
    <row r="256" spans="1:15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62" t="s">
        <v>259</v>
      </c>
      <c r="F256" s="63">
        <v>0</v>
      </c>
      <c r="G256" s="69">
        <v>0</v>
      </c>
      <c r="H256" s="61"/>
      <c r="I256" s="61"/>
      <c r="J256" s="61"/>
      <c r="K256" s="65"/>
      <c r="L256" s="65"/>
      <c r="M256" s="66" t="str">
        <f t="shared" ca="1" si="55"/>
        <v/>
      </c>
      <c r="N256" s="80"/>
      <c r="O256" s="81"/>
    </row>
    <row r="257" spans="1:15" ht="15.75" customHeight="1">
      <c r="A257" s="165" t="s">
        <v>260</v>
      </c>
      <c r="B257" s="165"/>
      <c r="C257" s="165"/>
      <c r="D257" s="165"/>
      <c r="E257" s="165"/>
      <c r="F257" s="2">
        <f>SUM(F245:F256)</f>
        <v>284</v>
      </c>
      <c r="G257" s="2">
        <f>SUM(G245:G256)</f>
        <v>1420</v>
      </c>
      <c r="H257" s="72"/>
      <c r="I257" s="72"/>
      <c r="J257" s="72"/>
      <c r="K257" s="72"/>
      <c r="L257" s="72"/>
      <c r="M257" s="73">
        <f ca="1">IFERROR(SUM(M245:M256),"")</f>
        <v>5.5555555555557024E-2</v>
      </c>
      <c r="N257" s="2" t="s">
        <v>261</v>
      </c>
      <c r="O257" s="74">
        <v>2149680</v>
      </c>
    </row>
    <row r="258" spans="1:15" ht="15" customHeight="1">
      <c r="A258" s="18">
        <v>46244</v>
      </c>
      <c r="B258" s="68">
        <v>0.83333333333333304</v>
      </c>
      <c r="C258" s="70" t="s">
        <v>54</v>
      </c>
      <c r="D258" s="75" t="s">
        <v>279</v>
      </c>
      <c r="E258" s="75" t="s">
        <v>259</v>
      </c>
      <c r="F258" s="63">
        <v>0</v>
      </c>
      <c r="G258" s="69">
        <v>0</v>
      </c>
      <c r="H258" s="61" t="s">
        <v>28</v>
      </c>
      <c r="I258" s="61" t="s">
        <v>32</v>
      </c>
      <c r="J258" s="61" t="s">
        <v>98</v>
      </c>
      <c r="K258" s="65">
        <v>0.79652777777777795</v>
      </c>
      <c r="L258" s="65">
        <v>0.84652777777777799</v>
      </c>
      <c r="M258" s="66">
        <f t="shared" ref="M258:M269" ca="1" si="57">IFERROR(IF(K258="","",IF(L258="",MOD(NOW()-K258,1),IF(L258&gt;=K258,L258-K258,L258+1-K258))),"")</f>
        <v>5.0000000000000044E-2</v>
      </c>
      <c r="N258" s="80"/>
      <c r="O258" s="81"/>
    </row>
    <row r="259" spans="1:15" ht="15" customHeight="1">
      <c r="A259" s="59">
        <v>46244</v>
      </c>
      <c r="B259" s="60">
        <f t="shared" ref="B259:B269" si="58">B258+TIME(0,60,0)</f>
        <v>0.87499999999999967</v>
      </c>
      <c r="C259" s="70" t="s">
        <v>54</v>
      </c>
      <c r="D259" s="75" t="s">
        <v>279</v>
      </c>
      <c r="E259" s="75" t="s">
        <v>259</v>
      </c>
      <c r="F259" s="63">
        <v>15</v>
      </c>
      <c r="G259" s="64">
        <v>75</v>
      </c>
      <c r="H259" s="61" t="s">
        <v>29</v>
      </c>
      <c r="I259" s="61" t="s">
        <v>32</v>
      </c>
      <c r="J259" s="61" t="s">
        <v>144</v>
      </c>
      <c r="K259" s="65">
        <v>0.204166666666667</v>
      </c>
      <c r="L259" s="65">
        <v>0.23958333333333301</v>
      </c>
      <c r="M259" s="71">
        <f t="shared" ca="1" si="57"/>
        <v>3.5416666666666013E-2</v>
      </c>
      <c r="N259" s="80"/>
      <c r="O259" s="81"/>
    </row>
    <row r="260" spans="1:15" ht="15" customHeight="1">
      <c r="A260" s="18">
        <v>46244</v>
      </c>
      <c r="B260" s="68">
        <f t="shared" si="58"/>
        <v>0.9166666666666663</v>
      </c>
      <c r="C260" s="70" t="s">
        <v>54</v>
      </c>
      <c r="D260" s="75" t="s">
        <v>279</v>
      </c>
      <c r="E260" s="75" t="s">
        <v>259</v>
      </c>
      <c r="F260" s="63">
        <v>10</v>
      </c>
      <c r="G260" s="69">
        <v>50</v>
      </c>
      <c r="H260" s="70"/>
      <c r="I260" s="61"/>
      <c r="J260" s="70"/>
      <c r="K260" s="65"/>
      <c r="L260" s="65"/>
      <c r="M260" s="66" t="str">
        <f t="shared" ca="1" si="57"/>
        <v/>
      </c>
      <c r="N260" s="63"/>
      <c r="O260" s="81"/>
    </row>
    <row r="261" spans="1:15" ht="15" customHeight="1">
      <c r="A261" s="59">
        <v>46244</v>
      </c>
      <c r="B261" s="60">
        <f t="shared" si="58"/>
        <v>0.95833333333333293</v>
      </c>
      <c r="C261" s="70" t="s">
        <v>54</v>
      </c>
      <c r="D261" s="75" t="s">
        <v>279</v>
      </c>
      <c r="E261" s="75" t="s">
        <v>259</v>
      </c>
      <c r="F261" s="63">
        <v>10</v>
      </c>
      <c r="G261" s="64">
        <v>50</v>
      </c>
      <c r="H261" s="70"/>
      <c r="I261" s="70"/>
      <c r="J261" s="70"/>
      <c r="K261" s="65"/>
      <c r="L261" s="65"/>
      <c r="M261" s="71" t="str">
        <f t="shared" ca="1" si="57"/>
        <v/>
      </c>
      <c r="N261" s="80"/>
      <c r="O261" s="81"/>
    </row>
    <row r="262" spans="1:15" ht="15" customHeight="1">
      <c r="A262" s="18">
        <v>46244</v>
      </c>
      <c r="B262" s="68">
        <f t="shared" si="58"/>
        <v>0.99999999999999956</v>
      </c>
      <c r="C262" s="70" t="s">
        <v>54</v>
      </c>
      <c r="D262" s="75" t="s">
        <v>279</v>
      </c>
      <c r="E262" s="75" t="s">
        <v>259</v>
      </c>
      <c r="F262" s="63">
        <v>20</v>
      </c>
      <c r="G262" s="69">
        <v>100</v>
      </c>
      <c r="H262" s="70"/>
      <c r="I262" s="61"/>
      <c r="J262" s="70"/>
      <c r="K262" s="65"/>
      <c r="L262" s="65"/>
      <c r="M262" s="66" t="str">
        <f t="shared" ca="1" si="57"/>
        <v/>
      </c>
      <c r="N262" s="63"/>
      <c r="O262" s="81"/>
    </row>
    <row r="263" spans="1:15" ht="15" customHeight="1">
      <c r="A263" s="59">
        <v>46244</v>
      </c>
      <c r="B263" s="60">
        <f t="shared" si="58"/>
        <v>1.0416666666666663</v>
      </c>
      <c r="C263" s="70" t="s">
        <v>54</v>
      </c>
      <c r="D263" s="75" t="s">
        <v>279</v>
      </c>
      <c r="E263" s="75" t="s">
        <v>259</v>
      </c>
      <c r="F263" s="63">
        <v>15</v>
      </c>
      <c r="G263" s="64">
        <v>75</v>
      </c>
      <c r="H263" s="70"/>
      <c r="I263" s="70"/>
      <c r="J263" s="70"/>
      <c r="K263" s="65"/>
      <c r="L263" s="65"/>
      <c r="M263" s="71" t="str">
        <f t="shared" ca="1" si="57"/>
        <v/>
      </c>
      <c r="N263" s="80"/>
      <c r="O263" s="81"/>
    </row>
    <row r="264" spans="1:15" ht="15" customHeight="1">
      <c r="A264" s="18">
        <v>46244</v>
      </c>
      <c r="B264" s="68">
        <f t="shared" si="58"/>
        <v>1.083333333333333</v>
      </c>
      <c r="C264" s="70" t="s">
        <v>54</v>
      </c>
      <c r="D264" s="75" t="s">
        <v>279</v>
      </c>
      <c r="E264" s="75" t="s">
        <v>259</v>
      </c>
      <c r="F264" s="63">
        <v>23</v>
      </c>
      <c r="G264" s="69">
        <v>115</v>
      </c>
      <c r="H264" s="70"/>
      <c r="I264" s="61"/>
      <c r="J264" s="70"/>
      <c r="K264" s="65"/>
      <c r="L264" s="65"/>
      <c r="M264" s="66" t="str">
        <f t="shared" ca="1" si="57"/>
        <v/>
      </c>
      <c r="N264" s="80"/>
      <c r="O264" s="81"/>
    </row>
    <row r="265" spans="1:15" ht="15" customHeight="1">
      <c r="A265" s="59">
        <v>46244</v>
      </c>
      <c r="B265" s="60">
        <f t="shared" si="58"/>
        <v>1.1249999999999998</v>
      </c>
      <c r="C265" s="70" t="s">
        <v>54</v>
      </c>
      <c r="D265" s="75" t="s">
        <v>279</v>
      </c>
      <c r="E265" s="75" t="s">
        <v>259</v>
      </c>
      <c r="F265" s="63">
        <v>27</v>
      </c>
      <c r="G265" s="64">
        <v>135</v>
      </c>
      <c r="H265" s="70"/>
      <c r="I265" s="70"/>
      <c r="J265" s="70"/>
      <c r="K265" s="65"/>
      <c r="L265" s="65"/>
      <c r="M265" s="71" t="str">
        <f t="shared" ca="1" si="57"/>
        <v/>
      </c>
      <c r="N265" s="63"/>
      <c r="O265" s="81"/>
    </row>
    <row r="266" spans="1:15" ht="15" customHeight="1">
      <c r="A266" s="18">
        <v>46244</v>
      </c>
      <c r="B266" s="68">
        <f t="shared" si="58"/>
        <v>1.1666666666666665</v>
      </c>
      <c r="C266" s="70" t="s">
        <v>54</v>
      </c>
      <c r="D266" s="75" t="s">
        <v>279</v>
      </c>
      <c r="E266" s="75" t="s">
        <v>259</v>
      </c>
      <c r="F266" s="63">
        <v>37</v>
      </c>
      <c r="G266" s="69">
        <v>185</v>
      </c>
      <c r="H266" s="61"/>
      <c r="I266" s="61"/>
      <c r="J266" s="61"/>
      <c r="K266" s="65"/>
      <c r="L266" s="65"/>
      <c r="M266" s="66" t="str">
        <f t="shared" ca="1" si="57"/>
        <v/>
      </c>
      <c r="N266" s="80"/>
      <c r="O266" s="81"/>
    </row>
    <row r="267" spans="1:15" ht="15" customHeight="1">
      <c r="A267" s="59">
        <v>46244</v>
      </c>
      <c r="B267" s="60">
        <f t="shared" si="58"/>
        <v>1.2083333333333333</v>
      </c>
      <c r="C267" s="70" t="s">
        <v>54</v>
      </c>
      <c r="D267" s="75" t="s">
        <v>279</v>
      </c>
      <c r="E267" s="75" t="s">
        <v>259</v>
      </c>
      <c r="F267" s="63">
        <v>29</v>
      </c>
      <c r="G267" s="64">
        <v>145</v>
      </c>
      <c r="H267" s="70"/>
      <c r="I267" s="70"/>
      <c r="J267" s="70"/>
      <c r="K267" s="65"/>
      <c r="L267" s="65"/>
      <c r="M267" s="71" t="str">
        <f t="shared" ca="1" si="57"/>
        <v/>
      </c>
      <c r="N267" s="80"/>
      <c r="O267" s="81"/>
    </row>
    <row r="268" spans="1:15" ht="15" customHeight="1">
      <c r="A268" s="18">
        <v>46244</v>
      </c>
      <c r="B268" s="68">
        <f t="shared" si="58"/>
        <v>1.25</v>
      </c>
      <c r="C268" s="70" t="s">
        <v>54</v>
      </c>
      <c r="D268" s="75" t="s">
        <v>279</v>
      </c>
      <c r="E268" s="75" t="s">
        <v>259</v>
      </c>
      <c r="F268" s="63">
        <v>15</v>
      </c>
      <c r="G268" s="69">
        <v>75</v>
      </c>
      <c r="H268" s="61"/>
      <c r="I268" s="61"/>
      <c r="J268" s="61"/>
      <c r="K268" s="65"/>
      <c r="L268" s="65"/>
      <c r="M268" s="66" t="str">
        <f t="shared" ca="1" si="57"/>
        <v/>
      </c>
      <c r="N268" s="80"/>
      <c r="O268" s="81"/>
    </row>
    <row r="269" spans="1:15" ht="15" customHeight="1">
      <c r="A269" s="59">
        <v>46244</v>
      </c>
      <c r="B269" s="60">
        <f t="shared" si="58"/>
        <v>1.2916666666666667</v>
      </c>
      <c r="C269" s="70" t="s">
        <v>54</v>
      </c>
      <c r="D269" s="75" t="s">
        <v>279</v>
      </c>
      <c r="E269" s="75" t="s">
        <v>259</v>
      </c>
      <c r="F269" s="63">
        <v>27</v>
      </c>
      <c r="G269" s="64">
        <v>135</v>
      </c>
      <c r="H269" s="70"/>
      <c r="I269" s="70"/>
      <c r="J269" s="70"/>
      <c r="K269" s="65"/>
      <c r="L269" s="65"/>
      <c r="M269" s="71" t="str">
        <f t="shared" ca="1" si="57"/>
        <v/>
      </c>
      <c r="N269" s="80"/>
      <c r="O269" s="81"/>
    </row>
    <row r="270" spans="1:15" ht="15.75" customHeight="1">
      <c r="A270" s="165" t="s">
        <v>263</v>
      </c>
      <c r="B270" s="165"/>
      <c r="C270" s="165"/>
      <c r="D270" s="165"/>
      <c r="E270" s="165"/>
      <c r="F270" s="2">
        <f>SUM(F258:F269)</f>
        <v>228</v>
      </c>
      <c r="G270" s="2">
        <f>SUM(G258:G269)</f>
        <v>1140</v>
      </c>
      <c r="H270" s="72"/>
      <c r="I270" s="72"/>
      <c r="J270" s="72"/>
      <c r="K270" s="72"/>
      <c r="L270" s="72"/>
      <c r="M270" s="73">
        <f ca="1">IFERROR(SUM(M258:M269),"")</f>
        <v>8.5416666666666058E-2</v>
      </c>
      <c r="N270" s="2" t="s">
        <v>261</v>
      </c>
      <c r="O270" s="74">
        <v>1544700</v>
      </c>
    </row>
    <row r="271" spans="1:15" ht="18" customHeight="1">
      <c r="A271" s="166" t="s">
        <v>249</v>
      </c>
      <c r="B271" s="166"/>
      <c r="C271" s="166"/>
      <c r="D271" s="166"/>
      <c r="E271" s="166"/>
      <c r="F271" s="1">
        <f>F257+F270</f>
        <v>512</v>
      </c>
      <c r="G271" s="1">
        <f>G257+G270</f>
        <v>2560</v>
      </c>
      <c r="H271" s="76"/>
      <c r="I271" s="76"/>
      <c r="J271" s="76"/>
      <c r="K271" s="76"/>
      <c r="L271" s="76"/>
      <c r="M271" s="77">
        <f ca="1">IFERROR(M257+M270,"")</f>
        <v>0.14097222222222308</v>
      </c>
      <c r="N271" s="1" t="s">
        <v>264</v>
      </c>
      <c r="O271" s="82">
        <f>IFERROR(O257+O270,"")</f>
        <v>3694380</v>
      </c>
    </row>
    <row r="272" spans="1:15" ht="15" customHeight="1">
      <c r="A272" s="59">
        <v>46245</v>
      </c>
      <c r="B272" s="60">
        <v>0.33333333333333298</v>
      </c>
      <c r="C272" s="61" t="s">
        <v>38</v>
      </c>
      <c r="D272" s="62" t="s">
        <v>279</v>
      </c>
      <c r="E272" s="62" t="s">
        <v>259</v>
      </c>
      <c r="F272" s="63">
        <v>37</v>
      </c>
      <c r="G272" s="64">
        <v>185</v>
      </c>
      <c r="H272" s="61" t="s">
        <v>27</v>
      </c>
      <c r="I272" s="61" t="s">
        <v>32</v>
      </c>
      <c r="J272" s="61" t="s">
        <v>177</v>
      </c>
      <c r="K272" s="65">
        <v>0.33472222222222198</v>
      </c>
      <c r="L272" s="65">
        <v>0.34097222222222201</v>
      </c>
      <c r="M272" s="66">
        <f t="shared" ref="M272:M283" ca="1" si="59">IFERROR(IF(K272="","",IF(L272="",MOD(NOW()-K272,1),IF(L272&gt;=K272,L272-K272,L272+1-K272))),"")</f>
        <v>6.2500000000000333E-3</v>
      </c>
      <c r="N272" s="80"/>
      <c r="O272" s="81"/>
    </row>
    <row r="273" spans="1:15" ht="15" customHeight="1">
      <c r="A273" s="18">
        <v>46245</v>
      </c>
      <c r="B273" s="68">
        <f t="shared" ref="B273:B283" si="60">B272+TIME(0,60,0)</f>
        <v>0.37499999999999967</v>
      </c>
      <c r="C273" s="61" t="s">
        <v>38</v>
      </c>
      <c r="D273" s="62" t="s">
        <v>279</v>
      </c>
      <c r="E273" s="62" t="s">
        <v>259</v>
      </c>
      <c r="F273" s="63">
        <v>31</v>
      </c>
      <c r="G273" s="69">
        <v>155</v>
      </c>
      <c r="H273" s="70" t="s">
        <v>29</v>
      </c>
      <c r="I273" s="70" t="s">
        <v>32</v>
      </c>
      <c r="J273" s="70" t="s">
        <v>144</v>
      </c>
      <c r="K273" s="65">
        <v>0.39861111111111103</v>
      </c>
      <c r="L273" s="65">
        <v>0.44027777777777799</v>
      </c>
      <c r="M273" s="71">
        <f t="shared" ca="1" si="59"/>
        <v>4.1666666666666963E-2</v>
      </c>
      <c r="N273" s="80"/>
      <c r="O273" s="81"/>
    </row>
    <row r="274" spans="1:15" ht="15" customHeight="1">
      <c r="A274" s="59">
        <v>46245</v>
      </c>
      <c r="B274" s="60">
        <f t="shared" si="60"/>
        <v>0.41666666666666635</v>
      </c>
      <c r="C274" s="61" t="s">
        <v>38</v>
      </c>
      <c r="D274" s="62" t="s">
        <v>279</v>
      </c>
      <c r="E274" s="62" t="s">
        <v>259</v>
      </c>
      <c r="F274" s="63">
        <v>20</v>
      </c>
      <c r="G274" s="64">
        <v>100</v>
      </c>
      <c r="H274" s="61" t="s">
        <v>28</v>
      </c>
      <c r="I274" s="61" t="s">
        <v>32</v>
      </c>
      <c r="J274" s="61" t="s">
        <v>76</v>
      </c>
      <c r="K274" s="65">
        <v>0.44722222222222202</v>
      </c>
      <c r="L274" s="65">
        <v>0.48194444444444501</v>
      </c>
      <c r="M274" s="66">
        <f t="shared" ca="1" si="59"/>
        <v>3.4722222222222987E-2</v>
      </c>
      <c r="N274" s="80"/>
      <c r="O274" s="81"/>
    </row>
    <row r="275" spans="1:15" ht="15" customHeight="1">
      <c r="A275" s="18">
        <v>46245</v>
      </c>
      <c r="B275" s="68">
        <f t="shared" si="60"/>
        <v>0.45833333333333304</v>
      </c>
      <c r="C275" s="61" t="s">
        <v>38</v>
      </c>
      <c r="D275" s="62" t="s">
        <v>279</v>
      </c>
      <c r="E275" s="62" t="s">
        <v>259</v>
      </c>
      <c r="F275" s="63">
        <v>8</v>
      </c>
      <c r="G275" s="69">
        <v>40</v>
      </c>
      <c r="H275" s="70" t="s">
        <v>29</v>
      </c>
      <c r="I275" s="70" t="s">
        <v>32</v>
      </c>
      <c r="J275" s="70" t="s">
        <v>219</v>
      </c>
      <c r="K275" s="65">
        <v>0.49444444444444502</v>
      </c>
      <c r="L275" s="65">
        <v>0.51388888888888895</v>
      </c>
      <c r="M275" s="71">
        <f t="shared" ca="1" si="59"/>
        <v>1.9444444444443931E-2</v>
      </c>
      <c r="N275" s="80"/>
      <c r="O275" s="81"/>
    </row>
    <row r="276" spans="1:15" ht="15" customHeight="1">
      <c r="A276" s="59">
        <v>46245</v>
      </c>
      <c r="B276" s="60">
        <f t="shared" si="60"/>
        <v>0.49999999999999972</v>
      </c>
      <c r="C276" s="61" t="s">
        <v>38</v>
      </c>
      <c r="D276" s="62" t="s">
        <v>279</v>
      </c>
      <c r="E276" s="62" t="s">
        <v>259</v>
      </c>
      <c r="F276" s="63">
        <v>35</v>
      </c>
      <c r="G276" s="64">
        <v>175</v>
      </c>
      <c r="H276" s="61" t="s">
        <v>28</v>
      </c>
      <c r="I276" s="61" t="s">
        <v>32</v>
      </c>
      <c r="J276" s="61" t="s">
        <v>59</v>
      </c>
      <c r="K276" s="65">
        <v>0.59652777777777799</v>
      </c>
      <c r="L276" s="65">
        <v>0.64027777777777795</v>
      </c>
      <c r="M276" s="66">
        <f t="shared" ca="1" si="59"/>
        <v>4.3749999999999956E-2</v>
      </c>
      <c r="N276" s="80"/>
      <c r="O276" s="81"/>
    </row>
    <row r="277" spans="1:15" ht="15" customHeight="1">
      <c r="A277" s="18">
        <v>46245</v>
      </c>
      <c r="B277" s="68">
        <f t="shared" si="60"/>
        <v>0.54166666666666641</v>
      </c>
      <c r="C277" s="61" t="s">
        <v>38</v>
      </c>
      <c r="D277" s="62" t="s">
        <v>279</v>
      </c>
      <c r="E277" s="62" t="s">
        <v>259</v>
      </c>
      <c r="F277" s="63">
        <v>49</v>
      </c>
      <c r="G277" s="69">
        <v>245</v>
      </c>
      <c r="H277" s="70"/>
      <c r="I277" s="70"/>
      <c r="J277" s="70"/>
      <c r="K277" s="65"/>
      <c r="L277" s="65"/>
      <c r="M277" s="71" t="str">
        <f t="shared" ca="1" si="59"/>
        <v/>
      </c>
      <c r="N277" s="80" t="s">
        <v>280</v>
      </c>
      <c r="O277" s="81"/>
    </row>
    <row r="278" spans="1:15" ht="15" customHeight="1">
      <c r="A278" s="59">
        <v>46245</v>
      </c>
      <c r="B278" s="60">
        <f t="shared" si="60"/>
        <v>0.58333333333333304</v>
      </c>
      <c r="C278" s="61" t="s">
        <v>38</v>
      </c>
      <c r="D278" s="62" t="s">
        <v>279</v>
      </c>
      <c r="E278" s="62" t="s">
        <v>259</v>
      </c>
      <c r="F278" s="63">
        <v>10</v>
      </c>
      <c r="G278" s="64">
        <v>50</v>
      </c>
      <c r="H278" s="61"/>
      <c r="I278" s="61"/>
      <c r="J278" s="61"/>
      <c r="K278" s="65"/>
      <c r="L278" s="65"/>
      <c r="M278" s="66" t="str">
        <f t="shared" ca="1" si="59"/>
        <v/>
      </c>
      <c r="N278" s="80"/>
      <c r="O278" s="81"/>
    </row>
    <row r="279" spans="1:15" ht="15" customHeight="1">
      <c r="A279" s="18">
        <v>46245</v>
      </c>
      <c r="B279" s="68">
        <f t="shared" si="60"/>
        <v>0.62499999999999967</v>
      </c>
      <c r="C279" s="61" t="s">
        <v>38</v>
      </c>
      <c r="D279" s="62" t="s">
        <v>279</v>
      </c>
      <c r="E279" s="62" t="s">
        <v>259</v>
      </c>
      <c r="F279" s="63">
        <v>0</v>
      </c>
      <c r="G279" s="69">
        <v>0</v>
      </c>
      <c r="H279" s="70"/>
      <c r="I279" s="70"/>
      <c r="J279" s="70"/>
      <c r="K279" s="65"/>
      <c r="L279" s="65"/>
      <c r="M279" s="71" t="str">
        <f t="shared" ca="1" si="59"/>
        <v/>
      </c>
      <c r="N279" s="80"/>
      <c r="O279" s="81"/>
    </row>
    <row r="280" spans="1:15" ht="15" customHeight="1">
      <c r="A280" s="59">
        <v>46245</v>
      </c>
      <c r="B280" s="60">
        <f t="shared" si="60"/>
        <v>0.6666666666666663</v>
      </c>
      <c r="C280" s="61" t="s">
        <v>38</v>
      </c>
      <c r="D280" s="62" t="s">
        <v>279</v>
      </c>
      <c r="E280" s="62" t="s">
        <v>259</v>
      </c>
      <c r="F280" s="63">
        <v>24</v>
      </c>
      <c r="G280" s="64">
        <v>120</v>
      </c>
      <c r="H280" s="61"/>
      <c r="I280" s="61"/>
      <c r="J280" s="61"/>
      <c r="K280" s="65"/>
      <c r="L280" s="65"/>
      <c r="M280" s="66" t="str">
        <f t="shared" ca="1" si="59"/>
        <v/>
      </c>
      <c r="N280" s="80"/>
      <c r="O280" s="81"/>
    </row>
    <row r="281" spans="1:15" ht="15" customHeight="1">
      <c r="A281" s="18">
        <v>46245</v>
      </c>
      <c r="B281" s="68">
        <f t="shared" si="60"/>
        <v>0.70833333333333293</v>
      </c>
      <c r="C281" s="61" t="s">
        <v>38</v>
      </c>
      <c r="D281" s="62" t="s">
        <v>279</v>
      </c>
      <c r="E281" s="62" t="s">
        <v>259</v>
      </c>
      <c r="F281" s="63">
        <v>26</v>
      </c>
      <c r="G281" s="69">
        <v>130</v>
      </c>
      <c r="H281" s="70"/>
      <c r="I281" s="70"/>
      <c r="J281" s="70"/>
      <c r="K281" s="65"/>
      <c r="L281" s="65"/>
      <c r="M281" s="71" t="str">
        <f t="shared" ca="1" si="59"/>
        <v/>
      </c>
      <c r="N281" s="80"/>
      <c r="O281" s="81"/>
    </row>
    <row r="282" spans="1:15" ht="15" customHeight="1">
      <c r="A282" s="59">
        <v>46245</v>
      </c>
      <c r="B282" s="60">
        <f t="shared" si="60"/>
        <v>0.74999999999999956</v>
      </c>
      <c r="C282" s="61" t="s">
        <v>38</v>
      </c>
      <c r="D282" s="62" t="s">
        <v>279</v>
      </c>
      <c r="E282" s="62" t="s">
        <v>259</v>
      </c>
      <c r="F282" s="63">
        <v>23</v>
      </c>
      <c r="G282" s="64">
        <v>115</v>
      </c>
      <c r="H282" s="61"/>
      <c r="I282" s="61"/>
      <c r="J282" s="61"/>
      <c r="K282" s="65"/>
      <c r="L282" s="65"/>
      <c r="M282" s="66" t="str">
        <f t="shared" ca="1" si="59"/>
        <v/>
      </c>
      <c r="N282" s="80"/>
      <c r="O282" s="81"/>
    </row>
    <row r="283" spans="1:15" ht="15" customHeight="1">
      <c r="A283" s="18">
        <v>46245</v>
      </c>
      <c r="B283" s="68">
        <f t="shared" si="60"/>
        <v>0.79166666666666619</v>
      </c>
      <c r="C283" s="61" t="s">
        <v>38</v>
      </c>
      <c r="D283" s="62" t="s">
        <v>279</v>
      </c>
      <c r="E283" s="62" t="s">
        <v>259</v>
      </c>
      <c r="F283" s="63">
        <v>0</v>
      </c>
      <c r="G283" s="69">
        <v>0</v>
      </c>
      <c r="H283" s="70"/>
      <c r="I283" s="70"/>
      <c r="J283" s="70"/>
      <c r="K283" s="65"/>
      <c r="L283" s="65"/>
      <c r="M283" s="71" t="str">
        <f t="shared" ca="1" si="59"/>
        <v/>
      </c>
      <c r="N283" s="80"/>
      <c r="O283" s="81"/>
    </row>
    <row r="284" spans="1:15" ht="15.75" customHeight="1">
      <c r="A284" s="165" t="s">
        <v>260</v>
      </c>
      <c r="B284" s="165"/>
      <c r="C284" s="165"/>
      <c r="D284" s="165"/>
      <c r="E284" s="165"/>
      <c r="F284" s="2">
        <f>SUM(F272:F283)</f>
        <v>263</v>
      </c>
      <c r="G284" s="2">
        <f>SUM(G272:G283)</f>
        <v>1315</v>
      </c>
      <c r="H284" s="72"/>
      <c r="I284" s="72"/>
      <c r="J284" s="72"/>
      <c r="K284" s="72"/>
      <c r="L284" s="72"/>
      <c r="M284" s="73">
        <f ca="1">IFERROR(SUM(M272:M283),"")</f>
        <v>0.14583333333333387</v>
      </c>
      <c r="N284" s="2" t="s">
        <v>261</v>
      </c>
      <c r="O284" s="74">
        <v>1583020</v>
      </c>
    </row>
    <row r="285" spans="1:15" ht="15" customHeight="1">
      <c r="A285" s="18">
        <v>46245</v>
      </c>
      <c r="B285" s="68">
        <v>0.83333333333333304</v>
      </c>
      <c r="C285" s="70" t="s">
        <v>54</v>
      </c>
      <c r="D285" s="75" t="s">
        <v>279</v>
      </c>
      <c r="E285" s="75" t="s">
        <v>274</v>
      </c>
      <c r="F285" s="63">
        <v>20</v>
      </c>
      <c r="G285" s="69">
        <v>84</v>
      </c>
      <c r="H285" s="70"/>
      <c r="I285" s="70"/>
      <c r="J285" s="70"/>
      <c r="K285" s="65"/>
      <c r="L285" s="65"/>
      <c r="M285" s="71" t="str">
        <f t="shared" ref="M285:M296" ca="1" si="61">IFERROR(IF(K285="","",IF(L285="",MOD(NOW()-K285,1),IF(L285&gt;=K285,L285-K285,L285+1-K285))),"")</f>
        <v/>
      </c>
      <c r="N285" s="80"/>
      <c r="O285" s="81"/>
    </row>
    <row r="286" spans="1:15" ht="15" customHeight="1">
      <c r="A286" s="59">
        <v>46245</v>
      </c>
      <c r="B286" s="60">
        <f t="shared" ref="B286:B296" si="62">B285+TIME(0,60,0)</f>
        <v>0.87499999999999967</v>
      </c>
      <c r="C286" s="70" t="s">
        <v>54</v>
      </c>
      <c r="D286" s="75" t="s">
        <v>279</v>
      </c>
      <c r="E286" s="75" t="s">
        <v>274</v>
      </c>
      <c r="F286" s="63">
        <v>0</v>
      </c>
      <c r="G286" s="64">
        <v>0</v>
      </c>
      <c r="H286" s="70"/>
      <c r="I286" s="70"/>
      <c r="J286" s="70"/>
      <c r="K286" s="65"/>
      <c r="L286" s="65"/>
      <c r="M286" s="66" t="str">
        <f t="shared" ca="1" si="61"/>
        <v/>
      </c>
      <c r="N286" s="80"/>
      <c r="O286" s="81"/>
    </row>
    <row r="287" spans="1:15" ht="15" customHeight="1">
      <c r="A287" s="18">
        <v>46245</v>
      </c>
      <c r="B287" s="68">
        <f t="shared" si="62"/>
        <v>0.9166666666666663</v>
      </c>
      <c r="C287" s="70" t="s">
        <v>54</v>
      </c>
      <c r="D287" s="75" t="s">
        <v>279</v>
      </c>
      <c r="E287" s="75" t="s">
        <v>274</v>
      </c>
      <c r="F287" s="63">
        <v>21</v>
      </c>
      <c r="G287" s="69">
        <v>88.2</v>
      </c>
      <c r="H287" s="70"/>
      <c r="I287" s="70"/>
      <c r="J287" s="70"/>
      <c r="K287" s="65"/>
      <c r="L287" s="65"/>
      <c r="M287" s="71" t="str">
        <f t="shared" ca="1" si="61"/>
        <v/>
      </c>
      <c r="N287" s="80"/>
      <c r="O287" s="81"/>
    </row>
    <row r="288" spans="1:15" ht="15" customHeight="1">
      <c r="A288" s="59">
        <v>46245</v>
      </c>
      <c r="B288" s="60">
        <f t="shared" si="62"/>
        <v>0.95833333333333293</v>
      </c>
      <c r="C288" s="70" t="s">
        <v>54</v>
      </c>
      <c r="D288" s="75" t="s">
        <v>279</v>
      </c>
      <c r="E288" s="75" t="s">
        <v>274</v>
      </c>
      <c r="F288" s="63">
        <v>44</v>
      </c>
      <c r="G288" s="64">
        <v>184.8</v>
      </c>
      <c r="H288" s="61"/>
      <c r="I288" s="61"/>
      <c r="J288" s="61"/>
      <c r="K288" s="65"/>
      <c r="L288" s="65"/>
      <c r="M288" s="66" t="str">
        <f t="shared" ca="1" si="61"/>
        <v/>
      </c>
      <c r="N288" s="80"/>
      <c r="O288" s="81"/>
    </row>
    <row r="289" spans="1:15" ht="15" customHeight="1">
      <c r="A289" s="18">
        <v>46245</v>
      </c>
      <c r="B289" s="68">
        <f t="shared" si="62"/>
        <v>0.99999999999999956</v>
      </c>
      <c r="C289" s="70" t="s">
        <v>54</v>
      </c>
      <c r="D289" s="75" t="s">
        <v>279</v>
      </c>
      <c r="E289" s="75" t="s">
        <v>274</v>
      </c>
      <c r="F289" s="63">
        <v>33</v>
      </c>
      <c r="G289" s="69">
        <v>138.6</v>
      </c>
      <c r="H289" s="70"/>
      <c r="I289" s="70"/>
      <c r="J289" s="70"/>
      <c r="K289" s="65"/>
      <c r="L289" s="65"/>
      <c r="M289" s="71" t="str">
        <f t="shared" ca="1" si="61"/>
        <v/>
      </c>
      <c r="N289" s="80"/>
      <c r="O289" s="81"/>
    </row>
    <row r="290" spans="1:15" ht="15" customHeight="1">
      <c r="A290" s="59">
        <v>46245</v>
      </c>
      <c r="B290" s="60">
        <f t="shared" si="62"/>
        <v>1.0416666666666663</v>
      </c>
      <c r="C290" s="70" t="s">
        <v>54</v>
      </c>
      <c r="D290" s="75" t="s">
        <v>279</v>
      </c>
      <c r="E290" s="75" t="s">
        <v>274</v>
      </c>
      <c r="F290" s="63">
        <v>42</v>
      </c>
      <c r="G290" s="64">
        <v>176.4</v>
      </c>
      <c r="H290" s="61"/>
      <c r="I290" s="61"/>
      <c r="J290" s="61"/>
      <c r="K290" s="65"/>
      <c r="L290" s="65"/>
      <c r="M290" s="66" t="str">
        <f t="shared" ca="1" si="61"/>
        <v/>
      </c>
      <c r="N290" s="80"/>
      <c r="O290" s="81"/>
    </row>
    <row r="291" spans="1:15" ht="15" customHeight="1">
      <c r="A291" s="18">
        <v>46245</v>
      </c>
      <c r="B291" s="68">
        <f t="shared" si="62"/>
        <v>1.083333333333333</v>
      </c>
      <c r="C291" s="70" t="s">
        <v>54</v>
      </c>
      <c r="D291" s="75" t="s">
        <v>279</v>
      </c>
      <c r="E291" s="75" t="s">
        <v>274</v>
      </c>
      <c r="F291" s="63">
        <v>46</v>
      </c>
      <c r="G291" s="69">
        <v>193.2</v>
      </c>
      <c r="H291" s="70"/>
      <c r="I291" s="70"/>
      <c r="J291" s="70"/>
      <c r="K291" s="65"/>
      <c r="L291" s="65"/>
      <c r="M291" s="71" t="str">
        <f t="shared" ca="1" si="61"/>
        <v/>
      </c>
      <c r="N291" s="80"/>
      <c r="O291" s="81"/>
    </row>
    <row r="292" spans="1:15" ht="15" customHeight="1">
      <c r="A292" s="59">
        <v>46245</v>
      </c>
      <c r="B292" s="60">
        <f t="shared" si="62"/>
        <v>1.1249999999999998</v>
      </c>
      <c r="C292" s="70" t="s">
        <v>54</v>
      </c>
      <c r="D292" s="75" t="s">
        <v>279</v>
      </c>
      <c r="E292" s="75" t="s">
        <v>274</v>
      </c>
      <c r="F292" s="63">
        <v>39</v>
      </c>
      <c r="G292" s="64">
        <v>163.80000000000001</v>
      </c>
      <c r="H292" s="61"/>
      <c r="I292" s="61"/>
      <c r="J292" s="61"/>
      <c r="K292" s="65"/>
      <c r="L292" s="65"/>
      <c r="M292" s="66" t="str">
        <f t="shared" ca="1" si="61"/>
        <v/>
      </c>
      <c r="N292" s="80"/>
      <c r="O292" s="81"/>
    </row>
    <row r="293" spans="1:15" ht="15" customHeight="1">
      <c r="A293" s="18">
        <v>46245</v>
      </c>
      <c r="B293" s="68">
        <f t="shared" si="62"/>
        <v>1.1666666666666665</v>
      </c>
      <c r="C293" s="70" t="s">
        <v>54</v>
      </c>
      <c r="D293" s="75" t="s">
        <v>279</v>
      </c>
      <c r="E293" s="75" t="s">
        <v>274</v>
      </c>
      <c r="F293" s="63">
        <v>50</v>
      </c>
      <c r="G293" s="69">
        <v>210</v>
      </c>
      <c r="H293" s="70"/>
      <c r="I293" s="70"/>
      <c r="J293" s="70"/>
      <c r="K293" s="65"/>
      <c r="L293" s="65"/>
      <c r="M293" s="71" t="str">
        <f t="shared" ca="1" si="61"/>
        <v/>
      </c>
      <c r="N293" s="80"/>
      <c r="O293" s="81"/>
    </row>
    <row r="294" spans="1:15" ht="15" customHeight="1">
      <c r="A294" s="59">
        <v>46245</v>
      </c>
      <c r="B294" s="60">
        <f t="shared" si="62"/>
        <v>1.2083333333333333</v>
      </c>
      <c r="C294" s="70" t="s">
        <v>54</v>
      </c>
      <c r="D294" s="75" t="s">
        <v>279</v>
      </c>
      <c r="E294" s="75" t="s">
        <v>274</v>
      </c>
      <c r="F294" s="63">
        <v>29</v>
      </c>
      <c r="G294" s="64">
        <v>121.8</v>
      </c>
      <c r="H294" s="61"/>
      <c r="I294" s="61"/>
      <c r="J294" s="61"/>
      <c r="K294" s="65"/>
      <c r="L294" s="65"/>
      <c r="M294" s="66" t="str">
        <f t="shared" ca="1" si="61"/>
        <v/>
      </c>
      <c r="N294" s="80"/>
      <c r="O294" s="81"/>
    </row>
    <row r="295" spans="1:15" ht="15" customHeight="1">
      <c r="A295" s="18">
        <v>46245</v>
      </c>
      <c r="B295" s="68">
        <f t="shared" si="62"/>
        <v>1.25</v>
      </c>
      <c r="C295" s="70" t="s">
        <v>54</v>
      </c>
      <c r="D295" s="75" t="s">
        <v>279</v>
      </c>
      <c r="E295" s="75" t="s">
        <v>274</v>
      </c>
      <c r="F295" s="63">
        <v>46</v>
      </c>
      <c r="G295" s="69">
        <v>193.2</v>
      </c>
      <c r="H295" s="70"/>
      <c r="I295" s="70"/>
      <c r="J295" s="70"/>
      <c r="K295" s="65"/>
      <c r="L295" s="65"/>
      <c r="M295" s="71" t="str">
        <f t="shared" ca="1" si="61"/>
        <v/>
      </c>
      <c r="N295" s="80"/>
      <c r="O295" s="81"/>
    </row>
    <row r="296" spans="1:15" ht="15" customHeight="1">
      <c r="A296" s="59">
        <v>46245</v>
      </c>
      <c r="B296" s="60">
        <f t="shared" si="62"/>
        <v>1.2916666666666667</v>
      </c>
      <c r="C296" s="70" t="s">
        <v>54</v>
      </c>
      <c r="D296" s="75" t="s">
        <v>279</v>
      </c>
      <c r="E296" s="75" t="s">
        <v>274</v>
      </c>
      <c r="F296" s="63">
        <v>25</v>
      </c>
      <c r="G296" s="64">
        <v>105</v>
      </c>
      <c r="H296" s="61"/>
      <c r="I296" s="61"/>
      <c r="J296" s="61"/>
      <c r="K296" s="65"/>
      <c r="L296" s="65"/>
      <c r="M296" s="66" t="str">
        <f t="shared" ca="1" si="61"/>
        <v/>
      </c>
      <c r="N296" s="80"/>
      <c r="O296" s="81"/>
    </row>
    <row r="297" spans="1:15" ht="15.75" customHeight="1">
      <c r="A297" s="165" t="s">
        <v>263</v>
      </c>
      <c r="B297" s="165"/>
      <c r="C297" s="165"/>
      <c r="D297" s="165"/>
      <c r="E297" s="165"/>
      <c r="F297" s="2">
        <f>SUM(F285:F296)</f>
        <v>395</v>
      </c>
      <c r="G297" s="2">
        <f>SUM(G285:G296)</f>
        <v>1659</v>
      </c>
      <c r="H297" s="72"/>
      <c r="I297" s="72"/>
      <c r="J297" s="72"/>
      <c r="K297" s="72"/>
      <c r="L297" s="72"/>
      <c r="M297" s="73">
        <f ca="1">IFERROR(SUM(M285:M296),"")</f>
        <v>0</v>
      </c>
      <c r="N297" s="2" t="s">
        <v>261</v>
      </c>
      <c r="O297" s="74">
        <v>1715230</v>
      </c>
    </row>
    <row r="298" spans="1:15" ht="18" customHeight="1">
      <c r="A298" s="166" t="s">
        <v>249</v>
      </c>
      <c r="B298" s="166"/>
      <c r="C298" s="166"/>
      <c r="D298" s="166"/>
      <c r="E298" s="166"/>
      <c r="F298" s="1">
        <f>F284+F297</f>
        <v>658</v>
      </c>
      <c r="G298" s="1">
        <f>G284+G297</f>
        <v>2974</v>
      </c>
      <c r="H298" s="76"/>
      <c r="I298" s="76"/>
      <c r="J298" s="76"/>
      <c r="K298" s="76"/>
      <c r="L298" s="76"/>
      <c r="M298" s="77">
        <f ca="1">IFERROR(M284+M297,"")</f>
        <v>0.14583333333333387</v>
      </c>
      <c r="N298" s="1" t="s">
        <v>264</v>
      </c>
      <c r="O298" s="82">
        <f>IFERROR(O284+O297,"")</f>
        <v>3298250</v>
      </c>
    </row>
    <row r="299" spans="1:15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259</v>
      </c>
      <c r="F299" s="63">
        <v>37</v>
      </c>
      <c r="G299" s="69">
        <v>185</v>
      </c>
      <c r="H299" s="70" t="s">
        <v>27</v>
      </c>
      <c r="I299" s="70" t="s">
        <v>32</v>
      </c>
      <c r="J299" s="70" t="s">
        <v>236</v>
      </c>
      <c r="K299" s="65">
        <v>0.31874999999999998</v>
      </c>
      <c r="L299" s="65">
        <v>0.32986111111111099</v>
      </c>
      <c r="M299" s="71">
        <f t="shared" ref="M299:M310" ca="1" si="63">IFERROR(IF(K299="","",IF(L299="",MOD(NOW()-K299,1),IF(L299&gt;=K299,L299-K299,L299+1-K299))),"")</f>
        <v>1.1111111111111016E-2</v>
      </c>
      <c r="N299" s="80"/>
      <c r="O299" s="81"/>
    </row>
    <row r="300" spans="1:15" ht="15" customHeight="1">
      <c r="A300" s="59">
        <v>46246</v>
      </c>
      <c r="B300" s="60">
        <f t="shared" ref="B300:B310" si="64">B299+TIME(0,60,0)</f>
        <v>0.37499999999999967</v>
      </c>
      <c r="C300" s="70" t="s">
        <v>38</v>
      </c>
      <c r="D300" s="75" t="s">
        <v>39</v>
      </c>
      <c r="E300" s="75" t="s">
        <v>259</v>
      </c>
      <c r="F300" s="63">
        <v>31</v>
      </c>
      <c r="G300" s="64">
        <v>155</v>
      </c>
      <c r="H300" s="61" t="s">
        <v>29</v>
      </c>
      <c r="I300" s="61" t="s">
        <v>32</v>
      </c>
      <c r="J300" s="61" t="s">
        <v>144</v>
      </c>
      <c r="K300" s="65">
        <v>0.61319444444444504</v>
      </c>
      <c r="L300" s="65">
        <v>0.61736111111111103</v>
      </c>
      <c r="M300" s="66">
        <f t="shared" ca="1" si="63"/>
        <v>4.1666666666659857E-3</v>
      </c>
      <c r="N300" s="80"/>
      <c r="O300" s="81"/>
    </row>
    <row r="301" spans="1:15" ht="15" customHeight="1">
      <c r="A301" s="18">
        <v>46246</v>
      </c>
      <c r="B301" s="68">
        <f t="shared" si="64"/>
        <v>0.41666666666666635</v>
      </c>
      <c r="C301" s="70" t="s">
        <v>38</v>
      </c>
      <c r="D301" s="75" t="s">
        <v>39</v>
      </c>
      <c r="E301" s="75" t="s">
        <v>259</v>
      </c>
      <c r="F301" s="63">
        <v>35</v>
      </c>
      <c r="G301" s="69">
        <v>175</v>
      </c>
      <c r="H301" s="70" t="s">
        <v>27</v>
      </c>
      <c r="I301" s="70" t="s">
        <v>32</v>
      </c>
      <c r="J301" s="70" t="s">
        <v>43</v>
      </c>
      <c r="K301" s="65">
        <v>0.71736111111111101</v>
      </c>
      <c r="L301" s="65">
        <v>0.79166666666666696</v>
      </c>
      <c r="M301" s="71">
        <f t="shared" ca="1" si="63"/>
        <v>7.4305555555555958E-2</v>
      </c>
      <c r="N301" s="80"/>
      <c r="O301" s="81"/>
    </row>
    <row r="302" spans="1:15" ht="15" customHeight="1">
      <c r="A302" s="59">
        <v>46246</v>
      </c>
      <c r="B302" s="60">
        <f t="shared" si="64"/>
        <v>0.45833333333333304</v>
      </c>
      <c r="C302" s="70" t="s">
        <v>38</v>
      </c>
      <c r="D302" s="75" t="s">
        <v>39</v>
      </c>
      <c r="E302" s="75" t="s">
        <v>259</v>
      </c>
      <c r="F302" s="63">
        <v>40</v>
      </c>
      <c r="G302" s="64">
        <v>200</v>
      </c>
      <c r="H302" s="61"/>
      <c r="I302" s="61"/>
      <c r="J302" s="61"/>
      <c r="K302" s="65"/>
      <c r="L302" s="65" t="s">
        <v>281</v>
      </c>
      <c r="M302" s="66" t="str">
        <f t="shared" ca="1" si="63"/>
        <v/>
      </c>
      <c r="N302" s="80"/>
      <c r="O302" s="81"/>
    </row>
    <row r="303" spans="1:15" ht="15" customHeight="1">
      <c r="A303" s="18">
        <v>46246</v>
      </c>
      <c r="B303" s="68">
        <f t="shared" si="64"/>
        <v>0.49999999999999972</v>
      </c>
      <c r="C303" s="70" t="s">
        <v>38</v>
      </c>
      <c r="D303" s="75" t="s">
        <v>39</v>
      </c>
      <c r="E303" s="75" t="s">
        <v>259</v>
      </c>
      <c r="F303" s="63">
        <v>51</v>
      </c>
      <c r="G303" s="69">
        <v>255</v>
      </c>
      <c r="H303" s="70"/>
      <c r="I303" s="70"/>
      <c r="J303" s="70"/>
      <c r="K303" s="65"/>
      <c r="L303" s="65"/>
      <c r="M303" s="71" t="str">
        <f t="shared" ca="1" si="63"/>
        <v/>
      </c>
      <c r="N303" s="80"/>
      <c r="O303" s="81"/>
    </row>
    <row r="304" spans="1:15" ht="15" customHeight="1">
      <c r="A304" s="59">
        <v>46246</v>
      </c>
      <c r="B304" s="60">
        <f t="shared" si="64"/>
        <v>0.54166666666666641</v>
      </c>
      <c r="C304" s="70" t="s">
        <v>38</v>
      </c>
      <c r="D304" s="75" t="s">
        <v>39</v>
      </c>
      <c r="E304" s="75" t="s">
        <v>259</v>
      </c>
      <c r="F304" s="63">
        <v>47</v>
      </c>
      <c r="G304" s="64">
        <v>235</v>
      </c>
      <c r="H304" s="61"/>
      <c r="I304" s="61"/>
      <c r="J304" s="61"/>
      <c r="K304" s="65"/>
      <c r="L304" s="65"/>
      <c r="M304" s="66" t="str">
        <f t="shared" ca="1" si="63"/>
        <v/>
      </c>
      <c r="N304" s="80"/>
      <c r="O304" s="81"/>
    </row>
    <row r="305" spans="1:15" ht="15" customHeight="1">
      <c r="A305" s="18">
        <v>46246</v>
      </c>
      <c r="B305" s="68">
        <f t="shared" si="64"/>
        <v>0.58333333333333304</v>
      </c>
      <c r="C305" s="70" t="s">
        <v>38</v>
      </c>
      <c r="D305" s="75" t="s">
        <v>39</v>
      </c>
      <c r="E305" s="75" t="s">
        <v>259</v>
      </c>
      <c r="F305" s="63">
        <v>30</v>
      </c>
      <c r="G305" s="69">
        <v>150</v>
      </c>
      <c r="H305" s="70"/>
      <c r="I305" s="70"/>
      <c r="J305" s="70"/>
      <c r="K305" s="65"/>
      <c r="L305" s="65"/>
      <c r="M305" s="71" t="str">
        <f t="shared" ca="1" si="63"/>
        <v/>
      </c>
      <c r="N305" s="80"/>
      <c r="O305" s="81"/>
    </row>
    <row r="306" spans="1:15" ht="15" customHeight="1">
      <c r="A306" s="59">
        <v>46246</v>
      </c>
      <c r="B306" s="60">
        <f t="shared" si="64"/>
        <v>0.62499999999999967</v>
      </c>
      <c r="C306" s="70" t="s">
        <v>38</v>
      </c>
      <c r="D306" s="75" t="s">
        <v>39</v>
      </c>
      <c r="E306" s="75" t="s">
        <v>259</v>
      </c>
      <c r="F306" s="63">
        <v>46</v>
      </c>
      <c r="G306" s="64">
        <v>230</v>
      </c>
      <c r="H306" s="61"/>
      <c r="I306" s="61"/>
      <c r="J306" s="61"/>
      <c r="K306" s="65"/>
      <c r="L306" s="65"/>
      <c r="M306" s="66" t="str">
        <f t="shared" ca="1" si="63"/>
        <v/>
      </c>
      <c r="N306" s="80"/>
      <c r="O306" s="81"/>
    </row>
    <row r="307" spans="1:15" ht="15" customHeight="1">
      <c r="A307" s="18">
        <v>46246</v>
      </c>
      <c r="B307" s="68">
        <f t="shared" si="64"/>
        <v>0.6666666666666663</v>
      </c>
      <c r="C307" s="70" t="s">
        <v>38</v>
      </c>
      <c r="D307" s="75" t="s">
        <v>39</v>
      </c>
      <c r="E307" s="75" t="s">
        <v>259</v>
      </c>
      <c r="F307" s="63">
        <v>46</v>
      </c>
      <c r="G307" s="69">
        <v>230</v>
      </c>
      <c r="H307" s="70"/>
      <c r="I307" s="70"/>
      <c r="J307" s="70"/>
      <c r="K307" s="65"/>
      <c r="L307" s="65"/>
      <c r="M307" s="71" t="str">
        <f t="shared" ca="1" si="63"/>
        <v/>
      </c>
      <c r="N307" s="80"/>
      <c r="O307" s="81"/>
    </row>
    <row r="308" spans="1:15" ht="15" customHeight="1">
      <c r="A308" s="59">
        <v>46246</v>
      </c>
      <c r="B308" s="60">
        <f t="shared" si="64"/>
        <v>0.70833333333333293</v>
      </c>
      <c r="C308" s="70" t="s">
        <v>38</v>
      </c>
      <c r="D308" s="75" t="s">
        <v>39</v>
      </c>
      <c r="E308" s="75" t="s">
        <v>259</v>
      </c>
      <c r="F308" s="63">
        <v>59</v>
      </c>
      <c r="G308" s="64">
        <v>295</v>
      </c>
      <c r="H308" s="61"/>
      <c r="I308" s="61"/>
      <c r="J308" s="61"/>
      <c r="K308" s="65"/>
      <c r="L308" s="65"/>
      <c r="M308" s="66" t="str">
        <f t="shared" ca="1" si="63"/>
        <v/>
      </c>
      <c r="N308" s="80"/>
      <c r="O308" s="81"/>
    </row>
    <row r="309" spans="1:15" ht="15" customHeight="1">
      <c r="A309" s="18">
        <v>46246</v>
      </c>
      <c r="B309" s="68">
        <f t="shared" si="64"/>
        <v>0.74999999999999956</v>
      </c>
      <c r="C309" s="70" t="s">
        <v>38</v>
      </c>
      <c r="D309" s="75" t="s">
        <v>39</v>
      </c>
      <c r="E309" s="75" t="s">
        <v>259</v>
      </c>
      <c r="F309" s="63">
        <v>11</v>
      </c>
      <c r="G309" s="69">
        <v>55</v>
      </c>
      <c r="H309" s="70"/>
      <c r="I309" s="70"/>
      <c r="J309" s="70"/>
      <c r="K309" s="65"/>
      <c r="L309" s="65"/>
      <c r="M309" s="71" t="str">
        <f t="shared" ca="1" si="63"/>
        <v/>
      </c>
      <c r="N309" s="80"/>
      <c r="O309" s="81"/>
    </row>
    <row r="310" spans="1:15" ht="15" customHeight="1">
      <c r="A310" s="59">
        <v>46246</v>
      </c>
      <c r="B310" s="60">
        <f t="shared" si="64"/>
        <v>0.79166666666666619</v>
      </c>
      <c r="C310" s="70" t="s">
        <v>38</v>
      </c>
      <c r="D310" s="75" t="s">
        <v>39</v>
      </c>
      <c r="E310" s="75" t="s">
        <v>259</v>
      </c>
      <c r="F310" s="63">
        <v>0</v>
      </c>
      <c r="G310" s="64">
        <v>0</v>
      </c>
      <c r="H310" s="61"/>
      <c r="I310" s="61"/>
      <c r="J310" s="61"/>
      <c r="K310" s="65"/>
      <c r="L310" s="65"/>
      <c r="M310" s="66" t="str">
        <f t="shared" ca="1" si="63"/>
        <v/>
      </c>
      <c r="N310" s="80"/>
      <c r="O310" s="81"/>
    </row>
    <row r="311" spans="1:15" ht="15.75" customHeight="1">
      <c r="A311" s="165" t="s">
        <v>260</v>
      </c>
      <c r="B311" s="165"/>
      <c r="C311" s="165"/>
      <c r="D311" s="165"/>
      <c r="E311" s="165"/>
      <c r="F311" s="2">
        <f>SUM(F299:F310)</f>
        <v>433</v>
      </c>
      <c r="G311" s="83">
        <f>SUM(G299:G310)</f>
        <v>2165</v>
      </c>
      <c r="H311" s="72"/>
      <c r="I311" s="72"/>
      <c r="J311" s="72"/>
      <c r="K311" s="72"/>
      <c r="L311" s="72"/>
      <c r="M311" s="73">
        <f ca="1">IFERROR(SUM(M299:M310),"")</f>
        <v>8.958333333333296E-2</v>
      </c>
      <c r="N311" s="2" t="s">
        <v>261</v>
      </c>
      <c r="O311" s="74">
        <v>2631530</v>
      </c>
    </row>
    <row r="312" spans="1:15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75" t="s">
        <v>259</v>
      </c>
      <c r="F312" s="63">
        <v>0</v>
      </c>
      <c r="G312" s="64">
        <v>0</v>
      </c>
      <c r="H312" s="61" t="s">
        <v>27</v>
      </c>
      <c r="I312" s="61" t="s">
        <v>32</v>
      </c>
      <c r="J312" s="61" t="s">
        <v>43</v>
      </c>
      <c r="K312" s="65">
        <v>0.79166666666666696</v>
      </c>
      <c r="L312" s="65">
        <v>0.89375000000000004</v>
      </c>
      <c r="M312" s="66">
        <f t="shared" ref="M312:M323" ca="1" si="65">IFERROR(IF(K312="","",IF(L312="",MOD(NOW()-K312,1),IF(L312&gt;=K312,L312-K312,L312+1-K312))),"")</f>
        <v>0.10208333333333308</v>
      </c>
      <c r="N312" s="80"/>
      <c r="O312" s="81"/>
    </row>
    <row r="313" spans="1:15" ht="15" customHeight="1">
      <c r="A313" s="18">
        <v>46246</v>
      </c>
      <c r="B313" s="68">
        <f t="shared" ref="B313:B323" si="66">B312+TIME(0,60,0)</f>
        <v>0.87499999999999967</v>
      </c>
      <c r="C313" s="61" t="s">
        <v>30</v>
      </c>
      <c r="D313" s="62" t="s">
        <v>39</v>
      </c>
      <c r="E313" s="75" t="s">
        <v>259</v>
      </c>
      <c r="F313" s="63">
        <v>0</v>
      </c>
      <c r="G313" s="64">
        <v>0</v>
      </c>
      <c r="H313" s="70" t="s">
        <v>25</v>
      </c>
      <c r="I313" s="70"/>
      <c r="J313" s="70" t="s">
        <v>33</v>
      </c>
      <c r="K313" s="65">
        <v>0.21875</v>
      </c>
      <c r="L313" s="65">
        <v>0.25</v>
      </c>
      <c r="M313" s="71">
        <f t="shared" ca="1" si="65"/>
        <v>3.125E-2</v>
      </c>
      <c r="N313" s="80"/>
      <c r="O313" s="81"/>
    </row>
    <row r="314" spans="1:15" ht="15" customHeight="1">
      <c r="A314" s="59">
        <v>46246</v>
      </c>
      <c r="B314" s="60">
        <f t="shared" si="66"/>
        <v>0.9166666666666663</v>
      </c>
      <c r="C314" s="61" t="s">
        <v>30</v>
      </c>
      <c r="D314" s="62" t="s">
        <v>39</v>
      </c>
      <c r="E314" s="75" t="s">
        <v>259</v>
      </c>
      <c r="F314" s="63">
        <v>15</v>
      </c>
      <c r="G314" s="64">
        <v>75</v>
      </c>
      <c r="H314" s="61"/>
      <c r="I314" s="61"/>
      <c r="J314" s="61"/>
      <c r="K314" s="65"/>
      <c r="L314" s="65"/>
      <c r="M314" s="66" t="str">
        <f t="shared" ca="1" si="65"/>
        <v/>
      </c>
      <c r="N314" s="80"/>
      <c r="O314" s="81"/>
    </row>
    <row r="315" spans="1:15" ht="15" customHeight="1">
      <c r="A315" s="18">
        <v>46246</v>
      </c>
      <c r="B315" s="68">
        <f t="shared" si="66"/>
        <v>0.95833333333333293</v>
      </c>
      <c r="C315" s="61" t="s">
        <v>30</v>
      </c>
      <c r="D315" s="62" t="s">
        <v>39</v>
      </c>
      <c r="E315" s="75" t="s">
        <v>259</v>
      </c>
      <c r="F315" s="63">
        <v>25</v>
      </c>
      <c r="G315" s="64">
        <v>125</v>
      </c>
      <c r="H315" s="70"/>
      <c r="I315" s="70"/>
      <c r="J315" s="70"/>
      <c r="K315" s="65"/>
      <c r="L315" s="65"/>
      <c r="M315" s="71" t="str">
        <f t="shared" ca="1" si="65"/>
        <v/>
      </c>
      <c r="N315" s="80"/>
      <c r="O315" s="81"/>
    </row>
    <row r="316" spans="1:15" ht="15" customHeight="1">
      <c r="A316" s="59">
        <v>46246</v>
      </c>
      <c r="B316" s="60">
        <f t="shared" si="66"/>
        <v>0.99999999999999956</v>
      </c>
      <c r="C316" s="61" t="s">
        <v>30</v>
      </c>
      <c r="D316" s="62" t="s">
        <v>39</v>
      </c>
      <c r="E316" s="75" t="s">
        <v>259</v>
      </c>
      <c r="F316" s="63">
        <v>45</v>
      </c>
      <c r="G316" s="64">
        <v>225</v>
      </c>
      <c r="H316" s="61"/>
      <c r="I316" s="61"/>
      <c r="J316" s="61"/>
      <c r="K316" s="65"/>
      <c r="L316" s="65"/>
      <c r="M316" s="66" t="str">
        <f t="shared" ca="1" si="65"/>
        <v/>
      </c>
      <c r="N316" s="80"/>
      <c r="O316" s="81"/>
    </row>
    <row r="317" spans="1:15" ht="15" customHeight="1">
      <c r="A317" s="18">
        <v>46246</v>
      </c>
      <c r="B317" s="68">
        <f t="shared" si="66"/>
        <v>1.0416666666666663</v>
      </c>
      <c r="C317" s="61" t="s">
        <v>30</v>
      </c>
      <c r="D317" s="62" t="s">
        <v>39</v>
      </c>
      <c r="E317" s="75" t="s">
        <v>259</v>
      </c>
      <c r="F317" s="63">
        <v>35</v>
      </c>
      <c r="G317" s="64">
        <v>175</v>
      </c>
      <c r="H317" s="70"/>
      <c r="I317" s="70"/>
      <c r="J317" s="70"/>
      <c r="K317" s="65"/>
      <c r="L317" s="65"/>
      <c r="M317" s="71" t="str">
        <f t="shared" ca="1" si="65"/>
        <v/>
      </c>
      <c r="N317" s="80"/>
      <c r="O317" s="81"/>
    </row>
    <row r="318" spans="1:15" ht="15" customHeight="1">
      <c r="A318" s="59">
        <v>46246</v>
      </c>
      <c r="B318" s="60">
        <f t="shared" si="66"/>
        <v>1.083333333333333</v>
      </c>
      <c r="C318" s="61" t="s">
        <v>30</v>
      </c>
      <c r="D318" s="62" t="s">
        <v>39</v>
      </c>
      <c r="E318" s="75" t="s">
        <v>259</v>
      </c>
      <c r="F318" s="63">
        <v>30</v>
      </c>
      <c r="G318" s="64">
        <v>150</v>
      </c>
      <c r="H318" s="61"/>
      <c r="I318" s="61"/>
      <c r="J318" s="61"/>
      <c r="K318" s="65"/>
      <c r="L318" s="65"/>
      <c r="M318" s="66" t="str">
        <f t="shared" ca="1" si="65"/>
        <v/>
      </c>
      <c r="N318" s="80"/>
      <c r="O318" s="81"/>
    </row>
    <row r="319" spans="1:15" ht="15" customHeight="1">
      <c r="A319" s="18">
        <v>46246</v>
      </c>
      <c r="B319" s="68">
        <f t="shared" si="66"/>
        <v>1.1249999999999998</v>
      </c>
      <c r="C319" s="61" t="s">
        <v>30</v>
      </c>
      <c r="D319" s="62" t="s">
        <v>39</v>
      </c>
      <c r="E319" s="75" t="s">
        <v>259</v>
      </c>
      <c r="F319" s="63">
        <v>30</v>
      </c>
      <c r="G319" s="64">
        <v>150</v>
      </c>
      <c r="H319" s="70"/>
      <c r="I319" s="70"/>
      <c r="J319" s="70"/>
      <c r="K319" s="65"/>
      <c r="L319" s="65"/>
      <c r="M319" s="71" t="str">
        <f t="shared" ca="1" si="65"/>
        <v/>
      </c>
      <c r="N319" s="80"/>
      <c r="O319" s="81"/>
    </row>
    <row r="320" spans="1:15" ht="15" customHeight="1">
      <c r="A320" s="59">
        <v>46246</v>
      </c>
      <c r="B320" s="60">
        <f t="shared" si="66"/>
        <v>1.1666666666666665</v>
      </c>
      <c r="C320" s="61" t="s">
        <v>30</v>
      </c>
      <c r="D320" s="62" t="s">
        <v>39</v>
      </c>
      <c r="E320" s="75" t="s">
        <v>259</v>
      </c>
      <c r="F320" s="63">
        <v>40</v>
      </c>
      <c r="G320" s="64">
        <v>200</v>
      </c>
      <c r="H320" s="61"/>
      <c r="I320" s="61"/>
      <c r="J320" s="61"/>
      <c r="K320" s="65"/>
      <c r="L320" s="65"/>
      <c r="M320" s="66" t="str">
        <f t="shared" ca="1" si="65"/>
        <v/>
      </c>
      <c r="N320" s="80"/>
      <c r="O320" s="81"/>
    </row>
    <row r="321" spans="1:15" ht="15" customHeight="1">
      <c r="A321" s="18">
        <v>46246</v>
      </c>
      <c r="B321" s="68">
        <f t="shared" si="66"/>
        <v>1.2083333333333333</v>
      </c>
      <c r="C321" s="61" t="s">
        <v>30</v>
      </c>
      <c r="D321" s="62" t="s">
        <v>39</v>
      </c>
      <c r="E321" s="75" t="s">
        <v>259</v>
      </c>
      <c r="F321" s="63">
        <v>45</v>
      </c>
      <c r="G321" s="64">
        <v>225</v>
      </c>
      <c r="H321" s="70"/>
      <c r="I321" s="70"/>
      <c r="J321" s="70"/>
      <c r="K321" s="65"/>
      <c r="L321" s="65"/>
      <c r="M321" s="71" t="str">
        <f t="shared" ca="1" si="65"/>
        <v/>
      </c>
      <c r="N321" s="80"/>
      <c r="O321" s="81"/>
    </row>
    <row r="322" spans="1:15" ht="15" customHeight="1">
      <c r="A322" s="59">
        <v>46246</v>
      </c>
      <c r="B322" s="60">
        <f t="shared" si="66"/>
        <v>1.25</v>
      </c>
      <c r="C322" s="61" t="s">
        <v>30</v>
      </c>
      <c r="D322" s="62" t="s">
        <v>39</v>
      </c>
      <c r="E322" s="75" t="s">
        <v>259</v>
      </c>
      <c r="F322" s="63">
        <v>0</v>
      </c>
      <c r="G322" s="64">
        <v>0</v>
      </c>
      <c r="H322" s="61"/>
      <c r="I322" s="61"/>
      <c r="J322" s="61"/>
      <c r="K322" s="65"/>
      <c r="L322" s="65"/>
      <c r="M322" s="66" t="str">
        <f t="shared" ca="1" si="65"/>
        <v/>
      </c>
      <c r="N322" s="80"/>
      <c r="O322" s="81"/>
    </row>
    <row r="323" spans="1:15" ht="15" customHeight="1">
      <c r="A323" s="18">
        <v>46246</v>
      </c>
      <c r="B323" s="68">
        <f t="shared" si="66"/>
        <v>1.2916666666666667</v>
      </c>
      <c r="C323" s="61" t="s">
        <v>30</v>
      </c>
      <c r="D323" s="62" t="s">
        <v>39</v>
      </c>
      <c r="E323" s="75" t="s">
        <v>259</v>
      </c>
      <c r="F323" s="63">
        <v>35</v>
      </c>
      <c r="G323" s="64">
        <v>175</v>
      </c>
      <c r="H323" s="70"/>
      <c r="I323" s="70"/>
      <c r="J323" s="70"/>
      <c r="K323" s="65"/>
      <c r="L323" s="65"/>
      <c r="M323" s="71" t="str">
        <f t="shared" ca="1" si="65"/>
        <v/>
      </c>
      <c r="N323" s="80"/>
      <c r="O323" s="81"/>
    </row>
    <row r="324" spans="1:15" ht="15.75" customHeight="1">
      <c r="A324" s="165" t="s">
        <v>263</v>
      </c>
      <c r="B324" s="165"/>
      <c r="C324" s="165"/>
      <c r="D324" s="165"/>
      <c r="E324" s="165"/>
      <c r="F324" s="2">
        <f>SUM(F312:F323)</f>
        <v>300</v>
      </c>
      <c r="G324" s="2">
        <f>SUM(G312:G323)</f>
        <v>1500</v>
      </c>
      <c r="H324" s="72"/>
      <c r="I324" s="72"/>
      <c r="J324" s="72"/>
      <c r="K324" s="72"/>
      <c r="L324" s="72"/>
      <c r="M324" s="73">
        <f ca="1">IFERROR(SUM(M312:M323),"")</f>
        <v>0.13333333333333308</v>
      </c>
      <c r="N324" s="2" t="s">
        <v>261</v>
      </c>
      <c r="O324" s="74">
        <v>2216340</v>
      </c>
    </row>
    <row r="325" spans="1:15" ht="18" customHeight="1">
      <c r="A325" s="166" t="s">
        <v>249</v>
      </c>
      <c r="B325" s="166"/>
      <c r="C325" s="166"/>
      <c r="D325" s="166"/>
      <c r="E325" s="166"/>
      <c r="F325" s="1">
        <f>F311+F324</f>
        <v>733</v>
      </c>
      <c r="G325" s="1">
        <f>G311+G324</f>
        <v>3665</v>
      </c>
      <c r="H325" s="76"/>
      <c r="I325" s="76"/>
      <c r="J325" s="76"/>
      <c r="K325" s="76"/>
      <c r="L325" s="76"/>
      <c r="M325" s="77">
        <f ca="1">IFERROR(M311+M324,"")</f>
        <v>0.22291666666666604</v>
      </c>
      <c r="N325" s="1" t="s">
        <v>264</v>
      </c>
      <c r="O325" s="82">
        <f>IFERROR(O311+O324,"")</f>
        <v>4847870</v>
      </c>
    </row>
    <row r="326" spans="1:15" ht="15" customHeight="1">
      <c r="A326" s="59">
        <v>46247</v>
      </c>
      <c r="B326" s="60">
        <v>0.33333333333333298</v>
      </c>
      <c r="C326" s="61" t="s">
        <v>38</v>
      </c>
      <c r="D326" s="62" t="s">
        <v>39</v>
      </c>
      <c r="E326" s="62"/>
      <c r="F326" s="63"/>
      <c r="G326" s="64" t="str">
        <f t="shared" ref="G326:G337" si="67">IF(F326="","",IF(E326="PC 17",F326*4.2,IF(E326="PC 19",F326*5,IF(E326="CB",F326*35,""))))</f>
        <v/>
      </c>
      <c r="H326" s="61" t="s">
        <v>29</v>
      </c>
      <c r="I326" s="61" t="s">
        <v>32</v>
      </c>
      <c r="J326" s="61" t="s">
        <v>144</v>
      </c>
      <c r="K326" s="65">
        <v>0.44444444444444398</v>
      </c>
      <c r="L326" s="65">
        <v>0.49791666666666701</v>
      </c>
      <c r="M326" s="66">
        <f t="shared" ref="M326:M337" ca="1" si="68">IFERROR(IF(K326="","",IF(L326="",MOD(NOW()-K326,1),IF(L326&gt;=K326,L326-K326,L326+1-K326))),"")</f>
        <v>5.3472222222223031E-2</v>
      </c>
      <c r="N326" s="80"/>
      <c r="O326" s="81"/>
    </row>
    <row r="327" spans="1:15" ht="15" customHeight="1">
      <c r="A327" s="18">
        <v>46247</v>
      </c>
      <c r="B327" s="68">
        <f t="shared" ref="B327:B337" si="69">B326+TIME(0,60,0)</f>
        <v>0.37499999999999967</v>
      </c>
      <c r="C327" s="61" t="s">
        <v>38</v>
      </c>
      <c r="D327" s="62" t="s">
        <v>39</v>
      </c>
      <c r="E327" s="62"/>
      <c r="F327" s="63"/>
      <c r="G327" s="69" t="str">
        <f t="shared" si="67"/>
        <v/>
      </c>
      <c r="H327" s="70" t="s">
        <v>29</v>
      </c>
      <c r="I327" s="70" t="s">
        <v>32</v>
      </c>
      <c r="J327" s="70" t="s">
        <v>214</v>
      </c>
      <c r="K327" s="65">
        <v>0.72499999999999998</v>
      </c>
      <c r="L327" s="65">
        <v>0.74861111111111101</v>
      </c>
      <c r="M327" s="71">
        <f t="shared" ca="1" si="68"/>
        <v>2.3611111111111027E-2</v>
      </c>
      <c r="N327" s="80"/>
      <c r="O327" s="81"/>
    </row>
    <row r="328" spans="1:15" ht="15" customHeight="1">
      <c r="A328" s="59">
        <v>46247</v>
      </c>
      <c r="B328" s="60">
        <f t="shared" si="69"/>
        <v>0.41666666666666635</v>
      </c>
      <c r="C328" s="61" t="s">
        <v>38</v>
      </c>
      <c r="D328" s="62" t="s">
        <v>39</v>
      </c>
      <c r="E328" s="62"/>
      <c r="F328" s="63"/>
      <c r="G328" s="64" t="str">
        <f t="shared" si="67"/>
        <v/>
      </c>
      <c r="H328" s="61"/>
      <c r="I328" s="61"/>
      <c r="J328" s="61"/>
      <c r="K328" s="65"/>
      <c r="L328" s="65"/>
      <c r="M328" s="66" t="str">
        <f t="shared" ca="1" si="68"/>
        <v/>
      </c>
      <c r="N328" s="80" t="s">
        <v>282</v>
      </c>
      <c r="O328" s="81"/>
    </row>
    <row r="329" spans="1:15" ht="15" customHeight="1">
      <c r="A329" s="18">
        <v>46247</v>
      </c>
      <c r="B329" s="68">
        <f t="shared" si="69"/>
        <v>0.45833333333333304</v>
      </c>
      <c r="C329" s="61" t="s">
        <v>38</v>
      </c>
      <c r="D329" s="62" t="s">
        <v>39</v>
      </c>
      <c r="E329" s="62"/>
      <c r="F329" s="63"/>
      <c r="G329" s="69" t="str">
        <f t="shared" si="67"/>
        <v/>
      </c>
      <c r="H329" s="70"/>
      <c r="I329" s="70"/>
      <c r="J329" s="70"/>
      <c r="K329" s="65"/>
      <c r="L329" s="65"/>
      <c r="M329" s="71" t="str">
        <f t="shared" ca="1" si="68"/>
        <v/>
      </c>
      <c r="N329" s="80"/>
      <c r="O329" s="81"/>
    </row>
    <row r="330" spans="1:15" ht="15" customHeight="1">
      <c r="A330" s="59">
        <v>46247</v>
      </c>
      <c r="B330" s="60">
        <f t="shared" si="69"/>
        <v>0.49999999999999972</v>
      </c>
      <c r="C330" s="61" t="s">
        <v>38</v>
      </c>
      <c r="D330" s="62" t="s">
        <v>39</v>
      </c>
      <c r="E330" s="62"/>
      <c r="F330" s="63"/>
      <c r="G330" s="64" t="str">
        <f t="shared" si="67"/>
        <v/>
      </c>
      <c r="H330" s="61"/>
      <c r="I330" s="61"/>
      <c r="J330" s="61"/>
      <c r="K330" s="65"/>
      <c r="L330" s="65"/>
      <c r="M330" s="66" t="str">
        <f t="shared" ca="1" si="68"/>
        <v/>
      </c>
      <c r="N330" s="80"/>
      <c r="O330" s="81"/>
    </row>
    <row r="331" spans="1:15" ht="15" customHeight="1">
      <c r="A331" s="18">
        <v>46247</v>
      </c>
      <c r="B331" s="68">
        <f t="shared" si="69"/>
        <v>0.54166666666666641</v>
      </c>
      <c r="C331" s="61" t="s">
        <v>38</v>
      </c>
      <c r="D331" s="62" t="s">
        <v>39</v>
      </c>
      <c r="E331" s="62" t="s">
        <v>259</v>
      </c>
      <c r="F331" s="63">
        <v>44</v>
      </c>
      <c r="G331" s="69">
        <f t="shared" si="67"/>
        <v>220</v>
      </c>
      <c r="H331" s="70"/>
      <c r="I331" s="70"/>
      <c r="J331" s="70"/>
      <c r="K331" s="65"/>
      <c r="L331" s="65"/>
      <c r="M331" s="71" t="str">
        <f t="shared" ca="1" si="68"/>
        <v/>
      </c>
      <c r="N331" s="80"/>
      <c r="O331" s="81"/>
    </row>
    <row r="332" spans="1:15" ht="15" customHeight="1">
      <c r="A332" s="59">
        <v>46247</v>
      </c>
      <c r="B332" s="60">
        <f t="shared" si="69"/>
        <v>0.58333333333333304</v>
      </c>
      <c r="C332" s="61" t="s">
        <v>38</v>
      </c>
      <c r="D332" s="62" t="s">
        <v>39</v>
      </c>
      <c r="E332" s="62" t="s">
        <v>259</v>
      </c>
      <c r="F332" s="63">
        <v>27</v>
      </c>
      <c r="G332" s="64">
        <f t="shared" si="67"/>
        <v>135</v>
      </c>
      <c r="H332" s="61"/>
      <c r="I332" s="61"/>
      <c r="J332" s="61"/>
      <c r="K332" s="65"/>
      <c r="L332" s="65"/>
      <c r="M332" s="66" t="str">
        <f t="shared" ca="1" si="68"/>
        <v/>
      </c>
      <c r="N332" s="80"/>
      <c r="O332" s="81"/>
    </row>
    <row r="333" spans="1:15" ht="15" customHeight="1">
      <c r="A333" s="18">
        <v>46247</v>
      </c>
      <c r="B333" s="68">
        <f t="shared" si="69"/>
        <v>0.62499999999999967</v>
      </c>
      <c r="C333" s="61" t="s">
        <v>38</v>
      </c>
      <c r="D333" s="62" t="s">
        <v>39</v>
      </c>
      <c r="E333" s="62" t="s">
        <v>259</v>
      </c>
      <c r="F333" s="63">
        <v>40</v>
      </c>
      <c r="G333" s="69">
        <f t="shared" si="67"/>
        <v>200</v>
      </c>
      <c r="H333" s="70"/>
      <c r="I333" s="70"/>
      <c r="J333" s="70"/>
      <c r="K333" s="65"/>
      <c r="L333" s="65"/>
      <c r="M333" s="71" t="str">
        <f t="shared" ca="1" si="68"/>
        <v/>
      </c>
      <c r="N333" s="80" t="s">
        <v>283</v>
      </c>
      <c r="O333" s="81"/>
    </row>
    <row r="334" spans="1:15" ht="15" customHeight="1">
      <c r="A334" s="59">
        <v>46247</v>
      </c>
      <c r="B334" s="60">
        <f t="shared" si="69"/>
        <v>0.6666666666666663</v>
      </c>
      <c r="C334" s="61" t="s">
        <v>38</v>
      </c>
      <c r="D334" s="62" t="s">
        <v>39</v>
      </c>
      <c r="E334" s="62" t="s">
        <v>259</v>
      </c>
      <c r="F334" s="63">
        <v>41</v>
      </c>
      <c r="G334" s="64">
        <f t="shared" si="67"/>
        <v>205</v>
      </c>
      <c r="H334" s="61"/>
      <c r="I334" s="61"/>
      <c r="J334" s="61"/>
      <c r="K334" s="65"/>
      <c r="L334" s="65"/>
      <c r="M334" s="66" t="str">
        <f t="shared" ca="1" si="68"/>
        <v/>
      </c>
      <c r="N334" s="80"/>
      <c r="O334" s="81"/>
    </row>
    <row r="335" spans="1:15" ht="15" customHeight="1">
      <c r="A335" s="18">
        <v>46247</v>
      </c>
      <c r="B335" s="68">
        <f t="shared" si="69"/>
        <v>0.70833333333333293</v>
      </c>
      <c r="C335" s="61" t="s">
        <v>38</v>
      </c>
      <c r="D335" s="62" t="s">
        <v>39</v>
      </c>
      <c r="E335" s="62" t="s">
        <v>259</v>
      </c>
      <c r="F335" s="63">
        <v>18</v>
      </c>
      <c r="G335" s="69">
        <f t="shared" si="67"/>
        <v>90</v>
      </c>
      <c r="H335" s="70"/>
      <c r="I335" s="70"/>
      <c r="J335" s="70"/>
      <c r="K335" s="65"/>
      <c r="L335" s="65"/>
      <c r="M335" s="71" t="str">
        <f t="shared" ca="1" si="68"/>
        <v/>
      </c>
      <c r="N335" s="80"/>
      <c r="O335" s="81"/>
    </row>
    <row r="336" spans="1:15" ht="15" customHeight="1">
      <c r="A336" s="59">
        <v>46247</v>
      </c>
      <c r="B336" s="60">
        <f t="shared" si="69"/>
        <v>0.74999999999999956</v>
      </c>
      <c r="C336" s="61" t="s">
        <v>38</v>
      </c>
      <c r="D336" s="62" t="s">
        <v>39</v>
      </c>
      <c r="E336" s="62" t="s">
        <v>259</v>
      </c>
      <c r="F336" s="63">
        <v>25</v>
      </c>
      <c r="G336" s="64">
        <f t="shared" si="67"/>
        <v>125</v>
      </c>
      <c r="H336" s="61"/>
      <c r="I336" s="61"/>
      <c r="J336" s="61"/>
      <c r="K336" s="65"/>
      <c r="L336" s="65"/>
      <c r="M336" s="66" t="str">
        <f t="shared" ca="1" si="68"/>
        <v/>
      </c>
      <c r="N336" s="80"/>
      <c r="O336" s="81"/>
    </row>
    <row r="337" spans="1:15" ht="15" customHeight="1">
      <c r="A337" s="18">
        <v>46247</v>
      </c>
      <c r="B337" s="68">
        <f t="shared" si="69"/>
        <v>0.79166666666666619</v>
      </c>
      <c r="C337" s="61" t="s">
        <v>38</v>
      </c>
      <c r="D337" s="62" t="s">
        <v>39</v>
      </c>
      <c r="E337" s="62" t="s">
        <v>259</v>
      </c>
      <c r="F337" s="63">
        <v>37</v>
      </c>
      <c r="G337" s="69">
        <f t="shared" si="67"/>
        <v>185</v>
      </c>
      <c r="H337" s="70"/>
      <c r="I337" s="70"/>
      <c r="J337" s="70"/>
      <c r="K337" s="65"/>
      <c r="L337" s="65"/>
      <c r="M337" s="71" t="str">
        <f t="shared" ca="1" si="68"/>
        <v/>
      </c>
      <c r="N337" s="80"/>
      <c r="O337" s="81"/>
    </row>
    <row r="338" spans="1:15" ht="15.75" customHeight="1">
      <c r="A338" s="165" t="s">
        <v>260</v>
      </c>
      <c r="B338" s="165"/>
      <c r="C338" s="165"/>
      <c r="D338" s="165"/>
      <c r="E338" s="165"/>
      <c r="F338" s="2">
        <f>SUM(F326:F337)</f>
        <v>232</v>
      </c>
      <c r="G338" s="2">
        <f>SUM(G326:G337)</f>
        <v>1160</v>
      </c>
      <c r="H338" s="72"/>
      <c r="I338" s="72"/>
      <c r="J338" s="72"/>
      <c r="K338" s="72"/>
      <c r="L338" s="72"/>
      <c r="M338" s="73">
        <f ca="1">IFERROR(SUM(M326:M337),"")</f>
        <v>7.7083333333334059E-2</v>
      </c>
      <c r="N338" s="2" t="s">
        <v>261</v>
      </c>
      <c r="O338" s="74">
        <v>1925790</v>
      </c>
    </row>
    <row r="339" spans="1:15" ht="15" customHeight="1">
      <c r="A339" s="18">
        <v>46247</v>
      </c>
      <c r="B339" s="68">
        <v>0.83333333333333304</v>
      </c>
      <c r="C339" s="70" t="s">
        <v>30</v>
      </c>
      <c r="D339" s="75" t="s">
        <v>39</v>
      </c>
      <c r="E339" s="75" t="s">
        <v>259</v>
      </c>
      <c r="F339" s="63">
        <v>30</v>
      </c>
      <c r="G339" s="69">
        <f>IF(F339="","",IF(E339="PC 17",F339*4.2,IF(E339="PC 19",F339*5,IF(E339="CB",F339*35,""))))</f>
        <v>150</v>
      </c>
      <c r="H339" s="70" t="s">
        <v>29</v>
      </c>
      <c r="I339" s="70" t="s">
        <v>32</v>
      </c>
      <c r="J339" s="70" t="s">
        <v>45</v>
      </c>
      <c r="K339" s="65">
        <v>0.84652777777777799</v>
      </c>
      <c r="L339" s="65">
        <v>0.97916666666666696</v>
      </c>
      <c r="M339" s="71">
        <f t="shared" ref="M339:M350" ca="1" si="70">IFERROR(IF(K339="","",IF(L339="",MOD(NOW()-K339,1),IF(L339&gt;=K339,L339-K339,L339+1-K339))),"")</f>
        <v>0.13263888888888897</v>
      </c>
      <c r="N339" s="80"/>
      <c r="O339" s="81"/>
    </row>
    <row r="340" spans="1:15" ht="15" customHeight="1">
      <c r="A340" s="59">
        <v>46247</v>
      </c>
      <c r="B340" s="60">
        <f t="shared" ref="B340:B350" si="71">B339+TIME(0,60,0)</f>
        <v>0.87499999999999967</v>
      </c>
      <c r="C340" s="70" t="s">
        <v>30</v>
      </c>
      <c r="D340" s="75" t="s">
        <v>39</v>
      </c>
      <c r="E340" s="75" t="s">
        <v>259</v>
      </c>
      <c r="F340" s="63">
        <v>15</v>
      </c>
      <c r="G340" s="64">
        <f>IF(F340="","",IF(E340="PC 17",F340*4.2,IF(E340="PC 19",F340*5,IF(E340="CB",F340*35,""))))</f>
        <v>75</v>
      </c>
      <c r="H340" s="61"/>
      <c r="I340" s="61"/>
      <c r="J340" s="61"/>
      <c r="K340" s="65"/>
      <c r="L340" s="65"/>
      <c r="M340" s="66" t="str">
        <f t="shared" ca="1" si="70"/>
        <v/>
      </c>
      <c r="N340" s="80"/>
      <c r="O340" s="81"/>
    </row>
    <row r="341" spans="1:15" ht="15" customHeight="1">
      <c r="A341" s="18">
        <v>46247</v>
      </c>
      <c r="B341" s="68">
        <f t="shared" si="71"/>
        <v>0.9166666666666663</v>
      </c>
      <c r="C341" s="70" t="s">
        <v>30</v>
      </c>
      <c r="D341" s="75" t="s">
        <v>39</v>
      </c>
      <c r="E341" s="75" t="s">
        <v>259</v>
      </c>
      <c r="F341" s="63">
        <v>0</v>
      </c>
      <c r="G341" s="69">
        <v>0</v>
      </c>
      <c r="H341" s="70"/>
      <c r="I341" s="70"/>
      <c r="J341" s="70"/>
      <c r="K341" s="65"/>
      <c r="L341" s="65"/>
      <c r="M341" s="71" t="str">
        <f t="shared" ca="1" si="70"/>
        <v/>
      </c>
      <c r="N341" s="80"/>
      <c r="O341" s="81"/>
    </row>
    <row r="342" spans="1:15" ht="15" customHeight="1">
      <c r="A342" s="59">
        <v>46247</v>
      </c>
      <c r="B342" s="60">
        <f t="shared" si="71"/>
        <v>0.95833333333333293</v>
      </c>
      <c r="C342" s="70" t="s">
        <v>30</v>
      </c>
      <c r="D342" s="75" t="s">
        <v>39</v>
      </c>
      <c r="E342" s="75" t="s">
        <v>259</v>
      </c>
      <c r="F342" s="63">
        <v>0</v>
      </c>
      <c r="G342" s="64">
        <f t="shared" ref="G342:G350" si="72">IF(F342="","",IF(E342="PC 17",F342*4.2,IF(E342="PC 19",F342*5,IF(E342="CB",F342*35,""))))</f>
        <v>0</v>
      </c>
      <c r="H342" s="61"/>
      <c r="I342" s="61"/>
      <c r="J342" s="61"/>
      <c r="K342" s="65"/>
      <c r="L342" s="65"/>
      <c r="M342" s="66" t="str">
        <f t="shared" ca="1" si="70"/>
        <v/>
      </c>
      <c r="N342" s="80"/>
      <c r="O342" s="81"/>
    </row>
    <row r="343" spans="1:15" ht="15" customHeight="1">
      <c r="A343" s="18">
        <v>46247</v>
      </c>
      <c r="B343" s="68">
        <f t="shared" si="71"/>
        <v>0.99999999999999956</v>
      </c>
      <c r="C343" s="70" t="s">
        <v>30</v>
      </c>
      <c r="D343" s="75" t="s">
        <v>39</v>
      </c>
      <c r="E343" s="75" t="s">
        <v>259</v>
      </c>
      <c r="F343" s="63">
        <v>35</v>
      </c>
      <c r="G343" s="69">
        <f t="shared" si="72"/>
        <v>175</v>
      </c>
      <c r="H343" s="70"/>
      <c r="I343" s="70"/>
      <c r="J343" s="70"/>
      <c r="K343" s="65"/>
      <c r="L343" s="65"/>
      <c r="M343" s="71" t="str">
        <f t="shared" ca="1" si="70"/>
        <v/>
      </c>
      <c r="N343" s="80"/>
      <c r="O343" s="81"/>
    </row>
    <row r="344" spans="1:15" ht="15" customHeight="1">
      <c r="A344" s="59">
        <v>46247</v>
      </c>
      <c r="B344" s="60">
        <f t="shared" si="71"/>
        <v>1.0416666666666663</v>
      </c>
      <c r="C344" s="70" t="s">
        <v>30</v>
      </c>
      <c r="D344" s="75" t="s">
        <v>39</v>
      </c>
      <c r="E344" s="75" t="s">
        <v>259</v>
      </c>
      <c r="F344" s="63">
        <v>40</v>
      </c>
      <c r="G344" s="64">
        <f t="shared" si="72"/>
        <v>200</v>
      </c>
      <c r="H344" s="61"/>
      <c r="I344" s="61"/>
      <c r="J344" s="61"/>
      <c r="K344" s="65"/>
      <c r="L344" s="65"/>
      <c r="M344" s="66" t="str">
        <f t="shared" ca="1" si="70"/>
        <v/>
      </c>
      <c r="N344" s="80"/>
      <c r="O344" s="81"/>
    </row>
    <row r="345" spans="1:15" ht="15" customHeight="1">
      <c r="A345" s="18">
        <v>46247</v>
      </c>
      <c r="B345" s="68">
        <f t="shared" si="71"/>
        <v>1.083333333333333</v>
      </c>
      <c r="C345" s="70" t="s">
        <v>30</v>
      </c>
      <c r="D345" s="75" t="s">
        <v>39</v>
      </c>
      <c r="E345" s="75" t="s">
        <v>259</v>
      </c>
      <c r="F345" s="63">
        <v>55</v>
      </c>
      <c r="G345" s="69">
        <f t="shared" si="72"/>
        <v>275</v>
      </c>
      <c r="H345" s="70"/>
      <c r="I345" s="70"/>
      <c r="J345" s="70"/>
      <c r="K345" s="65"/>
      <c r="L345" s="65"/>
      <c r="M345" s="71" t="str">
        <f t="shared" ca="1" si="70"/>
        <v/>
      </c>
      <c r="N345" s="80"/>
      <c r="O345" s="81"/>
    </row>
    <row r="346" spans="1:15" ht="15" customHeight="1">
      <c r="A346" s="59">
        <v>46247</v>
      </c>
      <c r="B346" s="60">
        <f t="shared" si="71"/>
        <v>1.1249999999999998</v>
      </c>
      <c r="C346" s="70" t="s">
        <v>30</v>
      </c>
      <c r="D346" s="75" t="s">
        <v>39</v>
      </c>
      <c r="E346" s="75" t="s">
        <v>259</v>
      </c>
      <c r="F346" s="63">
        <v>35</v>
      </c>
      <c r="G346" s="64">
        <f t="shared" si="72"/>
        <v>175</v>
      </c>
      <c r="H346" s="61"/>
      <c r="I346" s="61"/>
      <c r="J346" s="61"/>
      <c r="K346" s="65"/>
      <c r="L346" s="65"/>
      <c r="M346" s="66" t="str">
        <f t="shared" ca="1" si="70"/>
        <v/>
      </c>
      <c r="N346" s="80"/>
      <c r="O346" s="81"/>
    </row>
    <row r="347" spans="1:15" ht="15" customHeight="1">
      <c r="A347" s="18">
        <v>46247</v>
      </c>
      <c r="B347" s="68">
        <f t="shared" si="71"/>
        <v>1.1666666666666665</v>
      </c>
      <c r="C347" s="70" t="s">
        <v>30</v>
      </c>
      <c r="D347" s="75" t="s">
        <v>39</v>
      </c>
      <c r="E347" s="75" t="s">
        <v>259</v>
      </c>
      <c r="F347" s="63">
        <v>30</v>
      </c>
      <c r="G347" s="69">
        <f t="shared" si="72"/>
        <v>150</v>
      </c>
      <c r="H347" s="70"/>
      <c r="I347" s="70"/>
      <c r="J347" s="70"/>
      <c r="K347" s="65"/>
      <c r="L347" s="65"/>
      <c r="M347" s="71" t="str">
        <f t="shared" ca="1" si="70"/>
        <v/>
      </c>
      <c r="N347" s="80"/>
      <c r="O347" s="81"/>
    </row>
    <row r="348" spans="1:15" ht="15" customHeight="1">
      <c r="A348" s="59">
        <v>46247</v>
      </c>
      <c r="B348" s="60">
        <f t="shared" si="71"/>
        <v>1.2083333333333333</v>
      </c>
      <c r="C348" s="70" t="s">
        <v>30</v>
      </c>
      <c r="D348" s="75" t="s">
        <v>39</v>
      </c>
      <c r="E348" s="75" t="s">
        <v>259</v>
      </c>
      <c r="F348" s="63">
        <v>25</v>
      </c>
      <c r="G348" s="64">
        <f t="shared" si="72"/>
        <v>125</v>
      </c>
      <c r="H348" s="61"/>
      <c r="I348" s="61"/>
      <c r="J348" s="61"/>
      <c r="K348" s="65"/>
      <c r="L348" s="65"/>
      <c r="M348" s="66" t="str">
        <f t="shared" ca="1" si="70"/>
        <v/>
      </c>
      <c r="N348" s="80"/>
      <c r="O348" s="81"/>
    </row>
    <row r="349" spans="1:15" ht="15" customHeight="1">
      <c r="A349" s="18">
        <v>46247</v>
      </c>
      <c r="B349" s="68">
        <f t="shared" si="71"/>
        <v>1.25</v>
      </c>
      <c r="C349" s="70" t="s">
        <v>30</v>
      </c>
      <c r="D349" s="75" t="s">
        <v>39</v>
      </c>
      <c r="E349" s="75" t="s">
        <v>259</v>
      </c>
      <c r="F349" s="63">
        <v>25</v>
      </c>
      <c r="G349" s="69">
        <f t="shared" si="72"/>
        <v>125</v>
      </c>
      <c r="H349" s="70"/>
      <c r="I349" s="70"/>
      <c r="J349" s="70"/>
      <c r="K349" s="65"/>
      <c r="L349" s="65"/>
      <c r="M349" s="71" t="str">
        <f t="shared" ca="1" si="70"/>
        <v/>
      </c>
      <c r="N349" s="80"/>
      <c r="O349" s="81"/>
    </row>
    <row r="350" spans="1:15" ht="15" customHeight="1">
      <c r="A350" s="59">
        <v>46247</v>
      </c>
      <c r="B350" s="60">
        <f t="shared" si="71"/>
        <v>1.2916666666666667</v>
      </c>
      <c r="C350" s="70" t="s">
        <v>30</v>
      </c>
      <c r="D350" s="75" t="s">
        <v>39</v>
      </c>
      <c r="E350" s="75" t="s">
        <v>259</v>
      </c>
      <c r="F350" s="63">
        <v>25</v>
      </c>
      <c r="G350" s="64">
        <f t="shared" si="72"/>
        <v>125</v>
      </c>
      <c r="H350" s="61"/>
      <c r="I350" s="61"/>
      <c r="J350" s="61"/>
      <c r="K350" s="65"/>
      <c r="L350" s="65"/>
      <c r="M350" s="66" t="str">
        <f t="shared" ca="1" si="70"/>
        <v/>
      </c>
      <c r="N350" s="80"/>
      <c r="O350" s="81"/>
    </row>
    <row r="351" spans="1:15" ht="15.75" customHeight="1">
      <c r="A351" s="165" t="s">
        <v>263</v>
      </c>
      <c r="B351" s="165"/>
      <c r="C351" s="165"/>
      <c r="D351" s="165"/>
      <c r="E351" s="165"/>
      <c r="F351" s="2">
        <f>SUM(F339:F350)</f>
        <v>315</v>
      </c>
      <c r="G351" s="2">
        <f>SUM(G339:G350)</f>
        <v>1575</v>
      </c>
      <c r="H351" s="72"/>
      <c r="I351" s="72"/>
      <c r="J351" s="72"/>
      <c r="K351" s="72"/>
      <c r="L351" s="72"/>
      <c r="M351" s="73">
        <f ca="1">IFERROR(SUM(M339:M350),"")</f>
        <v>0.13263888888888897</v>
      </c>
      <c r="N351" s="2" t="s">
        <v>261</v>
      </c>
      <c r="O351" s="74">
        <v>2154990</v>
      </c>
    </row>
    <row r="352" spans="1:15" ht="18" customHeight="1">
      <c r="A352" s="166" t="s">
        <v>249</v>
      </c>
      <c r="B352" s="166"/>
      <c r="C352" s="166"/>
      <c r="D352" s="166"/>
      <c r="E352" s="166"/>
      <c r="F352" s="1">
        <f>F338+F351</f>
        <v>547</v>
      </c>
      <c r="G352" s="1">
        <f>G338+G351</f>
        <v>2735</v>
      </c>
      <c r="H352" s="76"/>
      <c r="I352" s="76"/>
      <c r="J352" s="76"/>
      <c r="K352" s="76"/>
      <c r="L352" s="76"/>
      <c r="M352" s="77">
        <f ca="1">IFERROR(M338+M351,"")</f>
        <v>0.20972222222222303</v>
      </c>
      <c r="N352" s="1" t="s">
        <v>264</v>
      </c>
      <c r="O352" s="82">
        <f>IFERROR(O338+O351,"")</f>
        <v>4080780</v>
      </c>
    </row>
    <row r="353" spans="1:15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75" t="s">
        <v>259</v>
      </c>
      <c r="F353" s="63">
        <v>36</v>
      </c>
      <c r="G353" s="69">
        <f t="shared" ref="G353:G364" si="73">IF(F353="","",IF(E353="PC 17",F353*4.2,IF(E353="PC 19",F353*5,IF(E353="CB",F353*35,""))))</f>
        <v>180</v>
      </c>
      <c r="H353" s="70" t="s">
        <v>29</v>
      </c>
      <c r="I353" s="70" t="s">
        <v>32</v>
      </c>
      <c r="J353" s="70" t="s">
        <v>53</v>
      </c>
      <c r="K353" s="65">
        <v>0.40833333333333299</v>
      </c>
      <c r="L353" s="65">
        <v>0.41249999999999998</v>
      </c>
      <c r="M353" s="71">
        <f t="shared" ref="M353:M364" ca="1" si="74">IFERROR(IF(K353="","",IF(L353="",MOD(NOW()-K353,1),IF(L353&gt;=K353,L353-K353,L353+1-K353))),"")</f>
        <v>4.1666666666669849E-3</v>
      </c>
      <c r="N353" s="80"/>
      <c r="O353" s="81"/>
    </row>
    <row r="354" spans="1:15" ht="15" customHeight="1">
      <c r="A354" s="59">
        <v>46248</v>
      </c>
      <c r="B354" s="60">
        <f t="shared" ref="B354:B364" si="75">B353+TIME(0,60,0)</f>
        <v>0.37499999999999967</v>
      </c>
      <c r="C354" s="70" t="s">
        <v>38</v>
      </c>
      <c r="D354" s="75" t="s">
        <v>31</v>
      </c>
      <c r="E354" s="75" t="s">
        <v>259</v>
      </c>
      <c r="F354" s="63">
        <v>25</v>
      </c>
      <c r="G354" s="64">
        <f t="shared" si="73"/>
        <v>125</v>
      </c>
      <c r="H354" s="61" t="s">
        <v>29</v>
      </c>
      <c r="I354" s="61" t="s">
        <v>32</v>
      </c>
      <c r="J354" s="61" t="s">
        <v>144</v>
      </c>
      <c r="K354" s="65">
        <v>0.46527777777777801</v>
      </c>
      <c r="L354" s="65">
        <v>0.50277777777777799</v>
      </c>
      <c r="M354" s="66">
        <f t="shared" ca="1" si="74"/>
        <v>3.7499999999999978E-2</v>
      </c>
      <c r="N354" s="80"/>
      <c r="O354" s="81"/>
    </row>
    <row r="355" spans="1:15" ht="15" customHeight="1">
      <c r="A355" s="18">
        <v>46248</v>
      </c>
      <c r="B355" s="68">
        <f t="shared" si="75"/>
        <v>0.41666666666666635</v>
      </c>
      <c r="C355" s="70" t="s">
        <v>38</v>
      </c>
      <c r="D355" s="75" t="s">
        <v>31</v>
      </c>
      <c r="E355" s="75" t="s">
        <v>259</v>
      </c>
      <c r="F355" s="63">
        <v>35</v>
      </c>
      <c r="G355" s="69">
        <f t="shared" si="73"/>
        <v>175</v>
      </c>
      <c r="H355" s="70" t="s">
        <v>29</v>
      </c>
      <c r="I355" s="70" t="s">
        <v>32</v>
      </c>
      <c r="J355" s="70" t="s">
        <v>53</v>
      </c>
      <c r="K355" s="65">
        <v>0.52638888888888902</v>
      </c>
      <c r="L355" s="65">
        <v>0.52916666666666701</v>
      </c>
      <c r="M355" s="71">
        <f t="shared" ca="1" si="74"/>
        <v>2.77777777777799E-3</v>
      </c>
      <c r="N355" s="80"/>
      <c r="O355" s="81"/>
    </row>
    <row r="356" spans="1:15" ht="15" customHeight="1">
      <c r="A356" s="59">
        <v>46248</v>
      </c>
      <c r="B356" s="60">
        <f t="shared" si="75"/>
        <v>0.45833333333333304</v>
      </c>
      <c r="C356" s="70" t="s">
        <v>38</v>
      </c>
      <c r="D356" s="75" t="s">
        <v>31</v>
      </c>
      <c r="E356" s="75" t="s">
        <v>259</v>
      </c>
      <c r="F356" s="63">
        <v>32</v>
      </c>
      <c r="G356" s="64">
        <f t="shared" si="73"/>
        <v>160</v>
      </c>
      <c r="H356" s="61" t="s">
        <v>29</v>
      </c>
      <c r="I356" s="61" t="s">
        <v>32</v>
      </c>
      <c r="J356" s="61" t="s">
        <v>53</v>
      </c>
      <c r="K356" s="65">
        <v>0.55000000000000004</v>
      </c>
      <c r="L356" s="65">
        <v>0.55277777777777803</v>
      </c>
      <c r="M356" s="66">
        <f t="shared" ca="1" si="74"/>
        <v>2.77777777777799E-3</v>
      </c>
      <c r="N356" s="80"/>
      <c r="O356" s="81"/>
    </row>
    <row r="357" spans="1:15" ht="15" customHeight="1">
      <c r="A357" s="18">
        <v>46248</v>
      </c>
      <c r="B357" s="68">
        <f t="shared" si="75"/>
        <v>0.49999999999999972</v>
      </c>
      <c r="C357" s="70" t="s">
        <v>38</v>
      </c>
      <c r="D357" s="75" t="s">
        <v>31</v>
      </c>
      <c r="E357" s="75" t="s">
        <v>259</v>
      </c>
      <c r="F357" s="63">
        <v>35</v>
      </c>
      <c r="G357" s="69">
        <f t="shared" si="73"/>
        <v>175</v>
      </c>
      <c r="H357" s="70"/>
      <c r="I357" s="70"/>
      <c r="J357" s="70"/>
      <c r="K357" s="65"/>
      <c r="L357" s="65"/>
      <c r="M357" s="71" t="str">
        <f t="shared" ca="1" si="74"/>
        <v/>
      </c>
      <c r="N357" s="80"/>
      <c r="O357" s="81"/>
    </row>
    <row r="358" spans="1:15" ht="15" customHeight="1">
      <c r="A358" s="59">
        <v>46248</v>
      </c>
      <c r="B358" s="60">
        <f t="shared" si="75"/>
        <v>0.54166666666666641</v>
      </c>
      <c r="C358" s="70" t="s">
        <v>38</v>
      </c>
      <c r="D358" s="75" t="s">
        <v>31</v>
      </c>
      <c r="E358" s="75" t="s">
        <v>259</v>
      </c>
      <c r="F358" s="63">
        <v>40</v>
      </c>
      <c r="G358" s="64">
        <f t="shared" si="73"/>
        <v>200</v>
      </c>
      <c r="H358" s="61"/>
      <c r="I358" s="61"/>
      <c r="J358" s="61"/>
      <c r="K358" s="65"/>
      <c r="L358" s="65"/>
      <c r="M358" s="66" t="str">
        <f t="shared" ca="1" si="74"/>
        <v/>
      </c>
      <c r="N358" s="80"/>
      <c r="O358" s="81"/>
    </row>
    <row r="359" spans="1:15" ht="15" customHeight="1">
      <c r="A359" s="18">
        <v>46248</v>
      </c>
      <c r="B359" s="68">
        <f t="shared" si="75"/>
        <v>0.58333333333333304</v>
      </c>
      <c r="C359" s="70" t="s">
        <v>38</v>
      </c>
      <c r="D359" s="75" t="s">
        <v>31</v>
      </c>
      <c r="E359" s="75" t="s">
        <v>274</v>
      </c>
      <c r="F359" s="63">
        <v>42</v>
      </c>
      <c r="G359" s="69">
        <f t="shared" si="73"/>
        <v>176.4</v>
      </c>
      <c r="H359" s="70"/>
      <c r="I359" s="70"/>
      <c r="J359" s="70"/>
      <c r="K359" s="65"/>
      <c r="L359" s="65"/>
      <c r="M359" s="71" t="str">
        <f t="shared" ca="1" si="74"/>
        <v/>
      </c>
      <c r="N359" s="80"/>
      <c r="O359" s="81"/>
    </row>
    <row r="360" spans="1:15" ht="15" customHeight="1">
      <c r="A360" s="59">
        <v>46248</v>
      </c>
      <c r="B360" s="60">
        <f t="shared" si="75"/>
        <v>0.62499999999999967</v>
      </c>
      <c r="C360" s="70" t="s">
        <v>38</v>
      </c>
      <c r="D360" s="75" t="s">
        <v>31</v>
      </c>
      <c r="E360" s="75" t="s">
        <v>259</v>
      </c>
      <c r="F360" s="63">
        <v>47</v>
      </c>
      <c r="G360" s="64">
        <f t="shared" si="73"/>
        <v>235</v>
      </c>
      <c r="H360" s="61"/>
      <c r="I360" s="61"/>
      <c r="J360" s="61"/>
      <c r="K360" s="65"/>
      <c r="L360" s="65"/>
      <c r="M360" s="66" t="str">
        <f t="shared" ca="1" si="74"/>
        <v/>
      </c>
      <c r="N360" s="80"/>
      <c r="O360" s="81"/>
    </row>
    <row r="361" spans="1:15" ht="15" customHeight="1">
      <c r="A361" s="18">
        <v>46248</v>
      </c>
      <c r="B361" s="68">
        <f t="shared" si="75"/>
        <v>0.6666666666666663</v>
      </c>
      <c r="C361" s="70" t="s">
        <v>38</v>
      </c>
      <c r="D361" s="75" t="s">
        <v>31</v>
      </c>
      <c r="E361" s="75" t="s">
        <v>259</v>
      </c>
      <c r="F361" s="63">
        <v>32</v>
      </c>
      <c r="G361" s="69">
        <f t="shared" si="73"/>
        <v>160</v>
      </c>
      <c r="H361" s="70"/>
      <c r="I361" s="70"/>
      <c r="J361" s="70"/>
      <c r="K361" s="65"/>
      <c r="L361" s="65"/>
      <c r="M361" s="71" t="str">
        <f t="shared" ca="1" si="74"/>
        <v/>
      </c>
      <c r="N361" s="80"/>
      <c r="O361" s="81"/>
    </row>
    <row r="362" spans="1:15" ht="15" customHeight="1">
      <c r="A362" s="59">
        <v>46248</v>
      </c>
      <c r="B362" s="60">
        <f t="shared" si="75"/>
        <v>0.70833333333333293</v>
      </c>
      <c r="C362" s="70" t="s">
        <v>38</v>
      </c>
      <c r="D362" s="75" t="s">
        <v>31</v>
      </c>
      <c r="E362" s="75" t="s">
        <v>259</v>
      </c>
      <c r="F362" s="63">
        <v>20</v>
      </c>
      <c r="G362" s="64">
        <f t="shared" si="73"/>
        <v>100</v>
      </c>
      <c r="H362" s="61"/>
      <c r="I362" s="61"/>
      <c r="J362" s="61"/>
      <c r="K362" s="65"/>
      <c r="L362" s="65"/>
      <c r="M362" s="66" t="str">
        <f t="shared" ca="1" si="74"/>
        <v/>
      </c>
      <c r="N362" s="80"/>
      <c r="O362" s="81"/>
    </row>
    <row r="363" spans="1:15" ht="15" customHeight="1">
      <c r="A363" s="18">
        <v>46248</v>
      </c>
      <c r="B363" s="68">
        <f t="shared" si="75"/>
        <v>0.74999999999999956</v>
      </c>
      <c r="C363" s="70" t="s">
        <v>38</v>
      </c>
      <c r="D363" s="75" t="s">
        <v>31</v>
      </c>
      <c r="E363" s="75" t="s">
        <v>259</v>
      </c>
      <c r="F363" s="63">
        <v>41</v>
      </c>
      <c r="G363" s="69">
        <f t="shared" si="73"/>
        <v>205</v>
      </c>
      <c r="H363" s="70"/>
      <c r="I363" s="70"/>
      <c r="J363" s="70"/>
      <c r="K363" s="65"/>
      <c r="L363" s="65"/>
      <c r="M363" s="71" t="str">
        <f t="shared" ca="1" si="74"/>
        <v/>
      </c>
      <c r="N363" s="80"/>
      <c r="O363" s="81"/>
    </row>
    <row r="364" spans="1:15" ht="15" customHeight="1">
      <c r="A364" s="59">
        <v>46248</v>
      </c>
      <c r="B364" s="60">
        <f t="shared" si="75"/>
        <v>0.79166666666666619</v>
      </c>
      <c r="C364" s="70" t="s">
        <v>38</v>
      </c>
      <c r="D364" s="75" t="s">
        <v>31</v>
      </c>
      <c r="E364" s="75" t="s">
        <v>259</v>
      </c>
      <c r="F364" s="63">
        <v>15</v>
      </c>
      <c r="G364" s="64">
        <f t="shared" si="73"/>
        <v>75</v>
      </c>
      <c r="H364" s="61"/>
      <c r="I364" s="61"/>
      <c r="J364" s="61"/>
      <c r="K364" s="65"/>
      <c r="L364" s="65"/>
      <c r="M364" s="66" t="str">
        <f t="shared" ca="1" si="74"/>
        <v/>
      </c>
      <c r="N364" s="80"/>
      <c r="O364" s="81"/>
    </row>
    <row r="365" spans="1:15" ht="15.75" customHeight="1">
      <c r="A365" s="165" t="s">
        <v>260</v>
      </c>
      <c r="B365" s="165"/>
      <c r="C365" s="165"/>
      <c r="D365" s="165"/>
      <c r="E365" s="165"/>
      <c r="F365" s="2">
        <f>SUM(F353:F364)</f>
        <v>400</v>
      </c>
      <c r="G365" s="2">
        <f>SUM(G353:G364)</f>
        <v>1966.4</v>
      </c>
      <c r="H365" s="72"/>
      <c r="I365" s="72"/>
      <c r="J365" s="72"/>
      <c r="K365" s="72"/>
      <c r="L365" s="72"/>
      <c r="M365" s="73">
        <f ca="1">IFERROR(SUM(M353:M364),"")</f>
        <v>4.7222222222222943E-2</v>
      </c>
      <c r="N365" s="2" t="s">
        <v>261</v>
      </c>
      <c r="O365" s="74">
        <v>2315280</v>
      </c>
    </row>
    <row r="366" spans="1:15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62" t="s">
        <v>259</v>
      </c>
      <c r="F366" s="63">
        <v>40</v>
      </c>
      <c r="G366" s="64">
        <f t="shared" ref="G366:G377" si="76">IF(F366="","",IF(E366="PC 17",F366*4.2,IF(E366="PC 19",F366*5,IF(E366="CB",F366*35,""))))</f>
        <v>200</v>
      </c>
      <c r="H366" s="61" t="s">
        <v>29</v>
      </c>
      <c r="I366" s="61" t="s">
        <v>32</v>
      </c>
      <c r="J366" s="61" t="s">
        <v>60</v>
      </c>
      <c r="K366" s="65">
        <v>0.90625</v>
      </c>
      <c r="L366" s="65">
        <v>0.93055555555555602</v>
      </c>
      <c r="M366" s="66">
        <f t="shared" ref="M366:M377" ca="1" si="77">IFERROR(IF(K366="","",IF(L366="",MOD(NOW()-K366,1),IF(L366&gt;=K366,L366-K366,L366+1-K366))),"")</f>
        <v>2.4305555555556024E-2</v>
      </c>
      <c r="N366" s="80"/>
      <c r="O366" s="81"/>
    </row>
    <row r="367" spans="1:15" ht="15" customHeight="1">
      <c r="A367" s="18">
        <v>46248</v>
      </c>
      <c r="B367" s="68">
        <f t="shared" ref="B367:B377" si="78">B366+TIME(0,60,0)</f>
        <v>0.87499999999999967</v>
      </c>
      <c r="C367" s="61" t="s">
        <v>30</v>
      </c>
      <c r="D367" s="62" t="s">
        <v>31</v>
      </c>
      <c r="E367" s="62" t="s">
        <v>259</v>
      </c>
      <c r="F367" s="63">
        <v>45</v>
      </c>
      <c r="G367" s="69">
        <f t="shared" si="76"/>
        <v>225</v>
      </c>
      <c r="H367" s="70"/>
      <c r="I367" s="70"/>
      <c r="J367" s="70"/>
      <c r="K367" s="65"/>
      <c r="L367" s="65"/>
      <c r="M367" s="71" t="str">
        <f t="shared" ca="1" si="77"/>
        <v/>
      </c>
      <c r="N367" s="80"/>
      <c r="O367" s="81"/>
    </row>
    <row r="368" spans="1:15" ht="15" customHeight="1">
      <c r="A368" s="59">
        <v>46248</v>
      </c>
      <c r="B368" s="60">
        <f t="shared" si="78"/>
        <v>0.9166666666666663</v>
      </c>
      <c r="C368" s="61" t="s">
        <v>30</v>
      </c>
      <c r="D368" s="62" t="s">
        <v>31</v>
      </c>
      <c r="E368" s="62" t="s">
        <v>259</v>
      </c>
      <c r="F368" s="63">
        <v>30</v>
      </c>
      <c r="G368" s="64">
        <f t="shared" si="76"/>
        <v>150</v>
      </c>
      <c r="H368" s="61"/>
      <c r="I368" s="61"/>
      <c r="J368" s="61"/>
      <c r="K368" s="65"/>
      <c r="L368" s="65"/>
      <c r="M368" s="66" t="str">
        <f t="shared" ca="1" si="77"/>
        <v/>
      </c>
      <c r="N368" s="80"/>
      <c r="O368" s="81"/>
    </row>
    <row r="369" spans="1:15" ht="15" customHeight="1">
      <c r="A369" s="18">
        <v>46248</v>
      </c>
      <c r="B369" s="68">
        <f t="shared" si="78"/>
        <v>0.95833333333333293</v>
      </c>
      <c r="C369" s="61" t="s">
        <v>30</v>
      </c>
      <c r="D369" s="62" t="s">
        <v>31</v>
      </c>
      <c r="E369" s="62" t="s">
        <v>259</v>
      </c>
      <c r="F369" s="63">
        <v>30</v>
      </c>
      <c r="G369" s="69">
        <f t="shared" si="76"/>
        <v>150</v>
      </c>
      <c r="H369" s="70"/>
      <c r="I369" s="70"/>
      <c r="J369" s="70"/>
      <c r="K369" s="65"/>
      <c r="L369" s="65"/>
      <c r="M369" s="71" t="str">
        <f t="shared" ca="1" si="77"/>
        <v/>
      </c>
      <c r="N369" s="80"/>
      <c r="O369" s="81"/>
    </row>
    <row r="370" spans="1:15" ht="15" customHeight="1">
      <c r="A370" s="59">
        <v>46248</v>
      </c>
      <c r="B370" s="60">
        <f t="shared" si="78"/>
        <v>0.99999999999999956</v>
      </c>
      <c r="C370" s="61" t="s">
        <v>30</v>
      </c>
      <c r="D370" s="62" t="s">
        <v>31</v>
      </c>
      <c r="E370" s="62" t="s">
        <v>259</v>
      </c>
      <c r="F370" s="63">
        <v>15</v>
      </c>
      <c r="G370" s="64">
        <f t="shared" si="76"/>
        <v>75</v>
      </c>
      <c r="H370" s="61"/>
      <c r="I370" s="61"/>
      <c r="J370" s="61"/>
      <c r="K370" s="65"/>
      <c r="L370" s="65"/>
      <c r="M370" s="66" t="str">
        <f t="shared" ca="1" si="77"/>
        <v/>
      </c>
      <c r="N370" s="80"/>
      <c r="O370" s="81"/>
    </row>
    <row r="371" spans="1:15" ht="15" customHeight="1">
      <c r="A371" s="18">
        <v>46248</v>
      </c>
      <c r="B371" s="68">
        <f t="shared" si="78"/>
        <v>1.0416666666666663</v>
      </c>
      <c r="C371" s="61" t="s">
        <v>30</v>
      </c>
      <c r="D371" s="62" t="s">
        <v>31</v>
      </c>
      <c r="E371" s="62" t="s">
        <v>259</v>
      </c>
      <c r="F371" s="63">
        <v>40</v>
      </c>
      <c r="G371" s="69">
        <f t="shared" si="76"/>
        <v>200</v>
      </c>
      <c r="H371" s="70"/>
      <c r="I371" s="70"/>
      <c r="J371" s="70"/>
      <c r="K371" s="65"/>
      <c r="L371" s="65"/>
      <c r="M371" s="71" t="str">
        <f t="shared" ca="1" si="77"/>
        <v/>
      </c>
      <c r="N371" s="80"/>
      <c r="O371" s="81"/>
    </row>
    <row r="372" spans="1:15" ht="15" customHeight="1">
      <c r="A372" s="59">
        <v>46248</v>
      </c>
      <c r="B372" s="60">
        <f t="shared" si="78"/>
        <v>1.083333333333333</v>
      </c>
      <c r="C372" s="61" t="s">
        <v>30</v>
      </c>
      <c r="D372" s="62" t="s">
        <v>31</v>
      </c>
      <c r="E372" s="62" t="s">
        <v>259</v>
      </c>
      <c r="F372" s="63">
        <v>40</v>
      </c>
      <c r="G372" s="64">
        <f t="shared" si="76"/>
        <v>200</v>
      </c>
      <c r="H372" s="61"/>
      <c r="I372" s="61"/>
      <c r="J372" s="61"/>
      <c r="K372" s="65"/>
      <c r="L372" s="65"/>
      <c r="M372" s="66" t="str">
        <f t="shared" ca="1" si="77"/>
        <v/>
      </c>
      <c r="N372" s="80"/>
      <c r="O372" s="81"/>
    </row>
    <row r="373" spans="1:15" ht="15" customHeight="1">
      <c r="A373" s="18">
        <v>46248</v>
      </c>
      <c r="B373" s="68">
        <f t="shared" si="78"/>
        <v>1.1249999999999998</v>
      </c>
      <c r="C373" s="61" t="s">
        <v>30</v>
      </c>
      <c r="D373" s="62" t="s">
        <v>31</v>
      </c>
      <c r="E373" s="62" t="s">
        <v>259</v>
      </c>
      <c r="F373" s="63">
        <v>40</v>
      </c>
      <c r="G373" s="69">
        <f t="shared" si="76"/>
        <v>200</v>
      </c>
      <c r="H373" s="70"/>
      <c r="I373" s="70"/>
      <c r="J373" s="70"/>
      <c r="K373" s="65"/>
      <c r="L373" s="65"/>
      <c r="M373" s="71" t="str">
        <f t="shared" ca="1" si="77"/>
        <v/>
      </c>
      <c r="N373" s="80"/>
      <c r="O373" s="81"/>
    </row>
    <row r="374" spans="1:15" ht="15" customHeight="1">
      <c r="A374" s="59">
        <v>46248</v>
      </c>
      <c r="B374" s="60">
        <f t="shared" si="78"/>
        <v>1.1666666666666665</v>
      </c>
      <c r="C374" s="61" t="s">
        <v>30</v>
      </c>
      <c r="D374" s="62" t="s">
        <v>31</v>
      </c>
      <c r="E374" s="62" t="s">
        <v>259</v>
      </c>
      <c r="F374" s="63">
        <v>60</v>
      </c>
      <c r="G374" s="64">
        <f t="shared" si="76"/>
        <v>300</v>
      </c>
      <c r="H374" s="61"/>
      <c r="I374" s="61"/>
      <c r="J374" s="61"/>
      <c r="K374" s="65"/>
      <c r="L374" s="65"/>
      <c r="M374" s="66" t="str">
        <f t="shared" ca="1" si="77"/>
        <v/>
      </c>
      <c r="N374" s="80"/>
      <c r="O374" s="81"/>
    </row>
    <row r="375" spans="1:15" ht="15" customHeight="1">
      <c r="A375" s="18">
        <v>46248</v>
      </c>
      <c r="B375" s="68">
        <f t="shared" si="78"/>
        <v>1.2083333333333333</v>
      </c>
      <c r="C375" s="61" t="s">
        <v>30</v>
      </c>
      <c r="D375" s="62" t="s">
        <v>31</v>
      </c>
      <c r="E375" s="62" t="s">
        <v>259</v>
      </c>
      <c r="F375" s="63">
        <v>35</v>
      </c>
      <c r="G375" s="69">
        <f t="shared" si="76"/>
        <v>175</v>
      </c>
      <c r="H375" s="70"/>
      <c r="I375" s="70"/>
      <c r="J375" s="70"/>
      <c r="K375" s="65"/>
      <c r="L375" s="65"/>
      <c r="M375" s="71" t="str">
        <f t="shared" ca="1" si="77"/>
        <v/>
      </c>
      <c r="N375" s="80"/>
      <c r="O375" s="81"/>
    </row>
    <row r="376" spans="1:15" ht="15" customHeight="1">
      <c r="A376" s="59">
        <v>46248</v>
      </c>
      <c r="B376" s="60">
        <f t="shared" si="78"/>
        <v>1.25</v>
      </c>
      <c r="C376" s="61" t="s">
        <v>30</v>
      </c>
      <c r="D376" s="62" t="s">
        <v>31</v>
      </c>
      <c r="E376" s="62" t="s">
        <v>259</v>
      </c>
      <c r="F376" s="63">
        <v>40</v>
      </c>
      <c r="G376" s="64">
        <f t="shared" si="76"/>
        <v>200</v>
      </c>
      <c r="H376" s="61"/>
      <c r="I376" s="61"/>
      <c r="J376" s="61"/>
      <c r="K376" s="65"/>
      <c r="L376" s="65"/>
      <c r="M376" s="66" t="str">
        <f t="shared" ca="1" si="77"/>
        <v/>
      </c>
      <c r="N376" s="80"/>
      <c r="O376" s="81"/>
    </row>
    <row r="377" spans="1:15" ht="15" customHeight="1">
      <c r="A377" s="18">
        <v>46248</v>
      </c>
      <c r="B377" s="68">
        <f t="shared" si="78"/>
        <v>1.2916666666666667</v>
      </c>
      <c r="C377" s="61" t="s">
        <v>30</v>
      </c>
      <c r="D377" s="62" t="s">
        <v>31</v>
      </c>
      <c r="E377" s="62" t="s">
        <v>259</v>
      </c>
      <c r="F377" s="63">
        <v>32</v>
      </c>
      <c r="G377" s="69">
        <f t="shared" si="76"/>
        <v>160</v>
      </c>
      <c r="H377" s="70"/>
      <c r="I377" s="70"/>
      <c r="J377" s="70"/>
      <c r="K377" s="65"/>
      <c r="L377" s="65"/>
      <c r="M377" s="71" t="str">
        <f t="shared" ca="1" si="77"/>
        <v/>
      </c>
      <c r="N377" s="80"/>
      <c r="O377" s="81"/>
    </row>
    <row r="378" spans="1:15" ht="15.75" customHeight="1">
      <c r="A378" s="165" t="s">
        <v>263</v>
      </c>
      <c r="B378" s="165"/>
      <c r="C378" s="165"/>
      <c r="D378" s="165"/>
      <c r="E378" s="165"/>
      <c r="F378" s="2">
        <f>SUM(F366:F377)</f>
        <v>447</v>
      </c>
      <c r="G378" s="2">
        <f>SUM(G366:G377)</f>
        <v>2235</v>
      </c>
      <c r="H378" s="72"/>
      <c r="I378" s="72"/>
      <c r="J378" s="72"/>
      <c r="K378" s="72"/>
      <c r="L378" s="72"/>
      <c r="M378" s="73">
        <f ca="1">IFERROR(SUM(M366:M377),"")</f>
        <v>2.4305555555556024E-2</v>
      </c>
      <c r="N378" s="2" t="s">
        <v>261</v>
      </c>
      <c r="O378" s="74">
        <v>2614830</v>
      </c>
    </row>
    <row r="379" spans="1:15" ht="18" customHeight="1">
      <c r="A379" s="166" t="s">
        <v>249</v>
      </c>
      <c r="B379" s="166"/>
      <c r="C379" s="166"/>
      <c r="D379" s="166"/>
      <c r="E379" s="166"/>
      <c r="F379" s="1">
        <f>F365+F378</f>
        <v>847</v>
      </c>
      <c r="G379" s="1">
        <f>G365+G378</f>
        <v>4201.3999999999996</v>
      </c>
      <c r="H379" s="76"/>
      <c r="I379" s="76"/>
      <c r="J379" s="76"/>
      <c r="K379" s="76"/>
      <c r="L379" s="76"/>
      <c r="M379" s="77">
        <f ca="1">IFERROR(M365+M378,"")</f>
        <v>7.1527777777778967E-2</v>
      </c>
      <c r="N379" s="1" t="s">
        <v>264</v>
      </c>
      <c r="O379" s="82">
        <f>IFERROR(O365+O378,"")</f>
        <v>4930110</v>
      </c>
    </row>
    <row r="380" spans="1:15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62" t="s">
        <v>259</v>
      </c>
      <c r="F380" s="63">
        <v>20</v>
      </c>
      <c r="G380" s="64">
        <f>IF(F380="","",IF(E380="PC 17",F380*4.2,IF(E380="PC 19",F380*5,IF(E380="CB",F380*35,""))))</f>
        <v>100</v>
      </c>
      <c r="H380" s="61"/>
      <c r="I380" s="61"/>
      <c r="J380" s="61"/>
      <c r="K380" s="65"/>
      <c r="L380" s="65"/>
      <c r="M380" s="66" t="str">
        <f t="shared" ref="M380:M391" ca="1" si="79">IFERROR(IF(K380="","",IF(L380="",MOD(NOW()-K380,1),IF(L380&gt;=K380,L380-K380,L380+1-K380))),"")</f>
        <v/>
      </c>
      <c r="N380" s="80"/>
      <c r="O380" s="81"/>
    </row>
    <row r="381" spans="1:15" ht="15" customHeight="1">
      <c r="A381" s="18">
        <v>46249</v>
      </c>
      <c r="B381" s="68">
        <f t="shared" ref="B381:B391" si="80">B380+TIME(0,60,0)</f>
        <v>0.37499999999999967</v>
      </c>
      <c r="C381" s="61" t="s">
        <v>54</v>
      </c>
      <c r="D381" s="62" t="s">
        <v>31</v>
      </c>
      <c r="E381" s="62" t="s">
        <v>259</v>
      </c>
      <c r="F381" s="63">
        <v>7</v>
      </c>
      <c r="G381" s="69">
        <f>IF(F381="","",IF(E381="PC 17",F381*4.2,IF(E381="PC 19",F381*5,IF(E381="CB",F381*35,""))))</f>
        <v>35</v>
      </c>
      <c r="H381" s="70"/>
      <c r="I381" s="70"/>
      <c r="J381" s="70"/>
      <c r="K381" s="65"/>
      <c r="L381" s="65"/>
      <c r="M381" s="71" t="str">
        <f t="shared" ca="1" si="79"/>
        <v/>
      </c>
      <c r="N381" s="80"/>
      <c r="O381" s="81"/>
    </row>
    <row r="382" spans="1:15" ht="15" customHeight="1">
      <c r="A382" s="59">
        <v>46249</v>
      </c>
      <c r="B382" s="60">
        <f t="shared" si="80"/>
        <v>0.41666666666666635</v>
      </c>
      <c r="C382" s="61" t="s">
        <v>54</v>
      </c>
      <c r="D382" s="62" t="s">
        <v>31</v>
      </c>
      <c r="E382" s="54" t="s">
        <v>259</v>
      </c>
      <c r="F382" s="63">
        <v>13</v>
      </c>
      <c r="G382" s="64">
        <f>IF(F382="","",IF(E383="PC 17",F382*4.2,IF(E383="PC 19",F382*5,IF(E383="CB",F382*35,""))))</f>
        <v>65</v>
      </c>
      <c r="H382" s="61"/>
      <c r="I382" s="61"/>
      <c r="J382" s="70"/>
      <c r="K382" s="65"/>
      <c r="L382" s="65"/>
      <c r="M382" s="66" t="str">
        <f t="shared" ca="1" si="79"/>
        <v/>
      </c>
      <c r="N382" s="80"/>
      <c r="O382" s="81"/>
    </row>
    <row r="383" spans="1:15" ht="15" customHeight="1">
      <c r="A383" s="18">
        <v>46249</v>
      </c>
      <c r="B383" s="68">
        <f t="shared" si="80"/>
        <v>0.45833333333333304</v>
      </c>
      <c r="C383" s="61" t="s">
        <v>54</v>
      </c>
      <c r="D383" s="62" t="s">
        <v>31</v>
      </c>
      <c r="E383" s="62" t="s">
        <v>259</v>
      </c>
      <c r="F383" s="63">
        <v>3</v>
      </c>
      <c r="G383" s="69">
        <v>30</v>
      </c>
      <c r="H383" s="70"/>
      <c r="I383" s="70"/>
      <c r="J383" s="70"/>
      <c r="K383" s="65"/>
      <c r="L383" s="65"/>
      <c r="M383" s="71" t="str">
        <f t="shared" ca="1" si="79"/>
        <v/>
      </c>
      <c r="N383" s="80"/>
      <c r="O383" s="81"/>
    </row>
    <row r="384" spans="1:15" ht="15" customHeight="1">
      <c r="A384" s="59">
        <v>46249</v>
      </c>
      <c r="B384" s="60">
        <f t="shared" si="80"/>
        <v>0.49999999999999972</v>
      </c>
      <c r="C384" s="61" t="s">
        <v>54</v>
      </c>
      <c r="D384" s="62" t="s">
        <v>31</v>
      </c>
      <c r="E384" s="62" t="s">
        <v>259</v>
      </c>
      <c r="F384" s="63">
        <v>6</v>
      </c>
      <c r="G384" s="64">
        <f t="shared" ref="G384:G391" si="81">IF(F384="","",IF(E384="PC 17",F384*4.2,IF(E384="PC 19",F384*5,IF(E384="CB",F384*35,""))))</f>
        <v>30</v>
      </c>
      <c r="H384" s="61"/>
      <c r="I384" s="61"/>
      <c r="J384" s="61"/>
      <c r="K384" s="65"/>
      <c r="L384" s="65"/>
      <c r="M384" s="66" t="str">
        <f t="shared" ca="1" si="79"/>
        <v/>
      </c>
      <c r="N384" s="80"/>
      <c r="O384" s="81"/>
    </row>
    <row r="385" spans="1:15" ht="15" customHeight="1">
      <c r="A385" s="18">
        <v>46249</v>
      </c>
      <c r="B385" s="68">
        <f t="shared" si="80"/>
        <v>0.54166666666666641</v>
      </c>
      <c r="C385" s="61" t="s">
        <v>54</v>
      </c>
      <c r="D385" s="62" t="s">
        <v>31</v>
      </c>
      <c r="E385" s="62" t="s">
        <v>259</v>
      </c>
      <c r="F385" s="63">
        <v>12</v>
      </c>
      <c r="G385" s="69">
        <f t="shared" si="81"/>
        <v>60</v>
      </c>
      <c r="H385" s="70"/>
      <c r="I385" s="70"/>
      <c r="J385" s="70"/>
      <c r="K385" s="65"/>
      <c r="L385" s="65"/>
      <c r="M385" s="71" t="str">
        <f t="shared" ca="1" si="79"/>
        <v/>
      </c>
      <c r="N385" s="80"/>
      <c r="O385" s="81"/>
    </row>
    <row r="386" spans="1:15" ht="15" customHeight="1">
      <c r="A386" s="59">
        <v>46249</v>
      </c>
      <c r="B386" s="60">
        <f t="shared" si="80"/>
        <v>0.58333333333333304</v>
      </c>
      <c r="C386" s="61" t="s">
        <v>54</v>
      </c>
      <c r="D386" s="62" t="s">
        <v>31</v>
      </c>
      <c r="E386" s="62" t="s">
        <v>259</v>
      </c>
      <c r="F386" s="63">
        <v>50</v>
      </c>
      <c r="G386" s="64">
        <f t="shared" si="81"/>
        <v>250</v>
      </c>
      <c r="H386" s="61"/>
      <c r="I386" s="61"/>
      <c r="J386" s="61"/>
      <c r="K386" s="65"/>
      <c r="L386" s="65"/>
      <c r="M386" s="66" t="str">
        <f t="shared" ca="1" si="79"/>
        <v/>
      </c>
      <c r="N386" s="80"/>
      <c r="O386" s="81"/>
    </row>
    <row r="387" spans="1:15" ht="15" customHeight="1">
      <c r="A387" s="18">
        <v>46249</v>
      </c>
      <c r="B387" s="68">
        <f t="shared" si="80"/>
        <v>0.62499999999999967</v>
      </c>
      <c r="C387" s="61" t="s">
        <v>54</v>
      </c>
      <c r="D387" s="62" t="s">
        <v>31</v>
      </c>
      <c r="E387" s="62" t="s">
        <v>259</v>
      </c>
      <c r="F387" s="63">
        <v>42</v>
      </c>
      <c r="G387" s="69">
        <f t="shared" si="81"/>
        <v>210</v>
      </c>
      <c r="H387" s="70"/>
      <c r="I387" s="70"/>
      <c r="J387" s="70"/>
      <c r="K387" s="65"/>
      <c r="L387" s="65"/>
      <c r="M387" s="71" t="str">
        <f t="shared" ca="1" si="79"/>
        <v/>
      </c>
      <c r="N387" s="80"/>
      <c r="O387" s="81"/>
    </row>
    <row r="388" spans="1:15" ht="15" customHeight="1">
      <c r="A388" s="59">
        <v>46249</v>
      </c>
      <c r="B388" s="60">
        <f t="shared" si="80"/>
        <v>0.6666666666666663</v>
      </c>
      <c r="C388" s="61" t="s">
        <v>54</v>
      </c>
      <c r="D388" s="62" t="s">
        <v>31</v>
      </c>
      <c r="E388" s="62" t="s">
        <v>259</v>
      </c>
      <c r="F388" s="63">
        <v>43</v>
      </c>
      <c r="G388" s="64">
        <f t="shared" si="81"/>
        <v>215</v>
      </c>
      <c r="H388" s="61"/>
      <c r="I388" s="61"/>
      <c r="J388" s="61"/>
      <c r="K388" s="65"/>
      <c r="L388" s="65"/>
      <c r="M388" s="66" t="str">
        <f t="shared" ca="1" si="79"/>
        <v/>
      </c>
      <c r="N388" s="80"/>
      <c r="O388" s="81"/>
    </row>
    <row r="389" spans="1:15" ht="15" customHeight="1">
      <c r="A389" s="18">
        <v>46249</v>
      </c>
      <c r="B389" s="68">
        <f t="shared" si="80"/>
        <v>0.70833333333333293</v>
      </c>
      <c r="C389" s="61" t="s">
        <v>54</v>
      </c>
      <c r="D389" s="62" t="s">
        <v>31</v>
      </c>
      <c r="E389" s="62" t="s">
        <v>259</v>
      </c>
      <c r="F389" s="63">
        <v>31</v>
      </c>
      <c r="G389" s="69">
        <f t="shared" si="81"/>
        <v>155</v>
      </c>
      <c r="H389" s="70"/>
      <c r="I389" s="70"/>
      <c r="J389" s="70"/>
      <c r="K389" s="65"/>
      <c r="L389" s="65"/>
      <c r="M389" s="71" t="str">
        <f t="shared" ca="1" si="79"/>
        <v/>
      </c>
      <c r="N389" s="80"/>
      <c r="O389" s="81"/>
    </row>
    <row r="390" spans="1:15" ht="15" customHeight="1">
      <c r="A390" s="59">
        <v>46249</v>
      </c>
      <c r="B390" s="60">
        <f t="shared" si="80"/>
        <v>0.74999999999999956</v>
      </c>
      <c r="C390" s="61" t="s">
        <v>54</v>
      </c>
      <c r="D390" s="62" t="s">
        <v>31</v>
      </c>
      <c r="E390" s="62" t="s">
        <v>259</v>
      </c>
      <c r="F390" s="63">
        <v>30</v>
      </c>
      <c r="G390" s="64">
        <f t="shared" si="81"/>
        <v>150</v>
      </c>
      <c r="H390" s="61"/>
      <c r="I390" s="61"/>
      <c r="J390" s="61"/>
      <c r="K390" s="65"/>
      <c r="L390" s="65"/>
      <c r="M390" s="66" t="str">
        <f t="shared" ca="1" si="79"/>
        <v/>
      </c>
      <c r="N390" s="80"/>
      <c r="O390" s="81"/>
    </row>
    <row r="391" spans="1:15" ht="15" customHeight="1">
      <c r="A391" s="18">
        <v>46249</v>
      </c>
      <c r="B391" s="68">
        <f t="shared" si="80"/>
        <v>0.79166666666666619</v>
      </c>
      <c r="C391" s="61" t="s">
        <v>54</v>
      </c>
      <c r="D391" s="62" t="s">
        <v>31</v>
      </c>
      <c r="E391" s="62" t="s">
        <v>259</v>
      </c>
      <c r="F391" s="63">
        <v>23</v>
      </c>
      <c r="G391" s="69">
        <f t="shared" si="81"/>
        <v>115</v>
      </c>
      <c r="H391" s="70"/>
      <c r="I391" s="70"/>
      <c r="J391" s="70"/>
      <c r="K391" s="65"/>
      <c r="L391" s="65"/>
      <c r="M391" s="71" t="str">
        <f t="shared" ca="1" si="79"/>
        <v/>
      </c>
      <c r="N391" s="80"/>
      <c r="O391" s="81"/>
    </row>
    <row r="392" spans="1:15" ht="15.75" customHeight="1">
      <c r="A392" s="165" t="s">
        <v>260</v>
      </c>
      <c r="B392" s="165"/>
      <c r="C392" s="165"/>
      <c r="D392" s="165"/>
      <c r="E392" s="165"/>
      <c r="F392" s="2">
        <f>SUM(F380:F391)</f>
        <v>280</v>
      </c>
      <c r="G392" s="2">
        <f>SUM(G380:G391)</f>
        <v>1415</v>
      </c>
      <c r="H392" s="72"/>
      <c r="I392" s="72"/>
      <c r="J392" s="72"/>
      <c r="K392" s="72"/>
      <c r="L392" s="72"/>
      <c r="M392" s="73">
        <f ca="1">IFERROR(SUM(M380:M391),"")</f>
        <v>0</v>
      </c>
      <c r="N392" s="2" t="s">
        <v>261</v>
      </c>
      <c r="O392" s="74">
        <v>2491620</v>
      </c>
    </row>
    <row r="393" spans="1:15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75" t="s">
        <v>259</v>
      </c>
      <c r="F393" s="63">
        <v>45</v>
      </c>
      <c r="G393" s="69">
        <f t="shared" ref="G393:G404" si="82">IF(F393="","",IF(E393="PC 17",F393*4.2,IF(E393="PC 19",F393*5,IF(E393="CB",F393*35,""))))</f>
        <v>225</v>
      </c>
      <c r="H393" s="70" t="s">
        <v>27</v>
      </c>
      <c r="I393" s="70" t="s">
        <v>32</v>
      </c>
      <c r="J393" s="70" t="s">
        <v>167</v>
      </c>
      <c r="K393" s="65">
        <v>0.84722222222222199</v>
      </c>
      <c r="L393" s="65">
        <v>0.89166666666666705</v>
      </c>
      <c r="M393" s="71">
        <f t="shared" ref="M393:M404" ca="1" si="83">IFERROR(IF(K393="","",IF(L393="",MOD(NOW()-K393,1),IF(L393&gt;=K393,L393-K393,L393+1-K393))),"")</f>
        <v>4.4444444444445064E-2</v>
      </c>
      <c r="N393" s="80"/>
      <c r="O393" s="81" t="s">
        <v>284</v>
      </c>
    </row>
    <row r="394" spans="1:15" ht="15" customHeight="1">
      <c r="A394" s="59">
        <v>46249</v>
      </c>
      <c r="B394" s="60">
        <f t="shared" ref="B394:B404" si="84">B393+TIME(0,60,0)</f>
        <v>0.87499999999999967</v>
      </c>
      <c r="C394" s="70" t="s">
        <v>30</v>
      </c>
      <c r="D394" s="75" t="s">
        <v>31</v>
      </c>
      <c r="E394" s="75" t="s">
        <v>259</v>
      </c>
      <c r="F394" s="63">
        <v>20</v>
      </c>
      <c r="G394" s="64">
        <f t="shared" si="82"/>
        <v>100</v>
      </c>
      <c r="H394" s="61" t="s">
        <v>25</v>
      </c>
      <c r="I394" s="61" t="s">
        <v>32</v>
      </c>
      <c r="J394" s="61" t="s">
        <v>125</v>
      </c>
      <c r="K394" s="65">
        <v>0.23611111111111099</v>
      </c>
      <c r="L394" s="65">
        <v>0.25416666666666698</v>
      </c>
      <c r="M394" s="66">
        <f t="shared" ca="1" si="83"/>
        <v>1.8055555555555991E-2</v>
      </c>
      <c r="N394" s="80"/>
      <c r="O394" s="81"/>
    </row>
    <row r="395" spans="1:15" ht="15" customHeight="1">
      <c r="A395" s="18">
        <v>46249</v>
      </c>
      <c r="B395" s="68">
        <f t="shared" si="84"/>
        <v>0.9166666666666663</v>
      </c>
      <c r="C395" s="70" t="s">
        <v>30</v>
      </c>
      <c r="D395" s="75" t="s">
        <v>31</v>
      </c>
      <c r="E395" s="75" t="s">
        <v>259</v>
      </c>
      <c r="F395" s="63">
        <v>20</v>
      </c>
      <c r="G395" s="69">
        <f t="shared" si="82"/>
        <v>100</v>
      </c>
      <c r="H395" s="70"/>
      <c r="I395" s="70"/>
      <c r="J395" s="70"/>
      <c r="K395" s="65"/>
      <c r="L395" s="65"/>
      <c r="M395" s="71" t="str">
        <f t="shared" ca="1" si="83"/>
        <v/>
      </c>
      <c r="N395" s="80"/>
      <c r="O395" s="81"/>
    </row>
    <row r="396" spans="1:15" ht="15" customHeight="1">
      <c r="A396" s="59">
        <v>46249</v>
      </c>
      <c r="B396" s="60">
        <f t="shared" si="84"/>
        <v>0.95833333333333293</v>
      </c>
      <c r="C396" s="70" t="s">
        <v>30</v>
      </c>
      <c r="D396" s="75" t="s">
        <v>31</v>
      </c>
      <c r="E396" s="75" t="s">
        <v>259</v>
      </c>
      <c r="F396" s="63">
        <v>40</v>
      </c>
      <c r="G396" s="64">
        <f t="shared" si="82"/>
        <v>200</v>
      </c>
      <c r="H396" s="61"/>
      <c r="I396" s="61"/>
      <c r="J396" s="61"/>
      <c r="K396" s="65"/>
      <c r="L396" s="65"/>
      <c r="M396" s="66" t="str">
        <f t="shared" ca="1" si="83"/>
        <v/>
      </c>
      <c r="N396" s="80"/>
      <c r="O396" s="81"/>
    </row>
    <row r="397" spans="1:15" ht="15" customHeight="1">
      <c r="A397" s="18">
        <v>46249</v>
      </c>
      <c r="B397" s="68">
        <f t="shared" si="84"/>
        <v>0.99999999999999956</v>
      </c>
      <c r="C397" s="70" t="s">
        <v>30</v>
      </c>
      <c r="D397" s="75" t="s">
        <v>31</v>
      </c>
      <c r="E397" s="75" t="s">
        <v>259</v>
      </c>
      <c r="F397" s="63">
        <v>35</v>
      </c>
      <c r="G397" s="69">
        <f t="shared" si="82"/>
        <v>175</v>
      </c>
      <c r="H397" s="70"/>
      <c r="I397" s="70"/>
      <c r="J397" s="70"/>
      <c r="K397" s="65"/>
      <c r="L397" s="65"/>
      <c r="M397" s="71" t="str">
        <f t="shared" ca="1" si="83"/>
        <v/>
      </c>
      <c r="N397" s="80"/>
      <c r="O397" s="81"/>
    </row>
    <row r="398" spans="1:15" ht="15" customHeight="1">
      <c r="A398" s="59">
        <v>46249</v>
      </c>
      <c r="B398" s="60">
        <f t="shared" si="84"/>
        <v>1.0416666666666663</v>
      </c>
      <c r="C398" s="70" t="s">
        <v>30</v>
      </c>
      <c r="D398" s="75" t="s">
        <v>31</v>
      </c>
      <c r="E398" s="75" t="s">
        <v>259</v>
      </c>
      <c r="F398" s="63">
        <v>25</v>
      </c>
      <c r="G398" s="64">
        <f t="shared" si="82"/>
        <v>125</v>
      </c>
      <c r="H398" s="61"/>
      <c r="I398" s="61"/>
      <c r="J398" s="61"/>
      <c r="K398" s="65"/>
      <c r="L398" s="65"/>
      <c r="M398" s="66" t="str">
        <f t="shared" ca="1" si="83"/>
        <v/>
      </c>
      <c r="N398" s="80"/>
      <c r="O398" s="81"/>
    </row>
    <row r="399" spans="1:15" ht="15" customHeight="1">
      <c r="A399" s="18">
        <v>46249</v>
      </c>
      <c r="B399" s="68">
        <f t="shared" si="84"/>
        <v>1.083333333333333</v>
      </c>
      <c r="C399" s="70" t="s">
        <v>30</v>
      </c>
      <c r="D399" s="75" t="s">
        <v>31</v>
      </c>
      <c r="E399" s="75" t="s">
        <v>259</v>
      </c>
      <c r="F399" s="63">
        <v>50</v>
      </c>
      <c r="G399" s="69">
        <f t="shared" si="82"/>
        <v>250</v>
      </c>
      <c r="H399" s="70"/>
      <c r="I399" s="70"/>
      <c r="J399" s="70"/>
      <c r="K399" s="65"/>
      <c r="L399" s="65"/>
      <c r="M399" s="71" t="str">
        <f t="shared" ca="1" si="83"/>
        <v/>
      </c>
      <c r="N399" s="80"/>
      <c r="O399" s="81"/>
    </row>
    <row r="400" spans="1:15" ht="15" customHeight="1">
      <c r="A400" s="59">
        <v>46249</v>
      </c>
      <c r="B400" s="60">
        <f t="shared" si="84"/>
        <v>1.1249999999999998</v>
      </c>
      <c r="C400" s="70" t="s">
        <v>30</v>
      </c>
      <c r="D400" s="75" t="s">
        <v>39</v>
      </c>
      <c r="E400" s="75" t="s">
        <v>259</v>
      </c>
      <c r="F400" s="63">
        <v>30</v>
      </c>
      <c r="G400" s="64">
        <f t="shared" si="82"/>
        <v>150</v>
      </c>
      <c r="H400" s="61"/>
      <c r="I400" s="61"/>
      <c r="J400" s="61"/>
      <c r="K400" s="65"/>
      <c r="L400" s="65"/>
      <c r="M400" s="66" t="str">
        <f t="shared" ca="1" si="83"/>
        <v/>
      </c>
      <c r="N400" s="80"/>
      <c r="O400" s="81"/>
    </row>
    <row r="401" spans="1:15" ht="15" customHeight="1">
      <c r="A401" s="18">
        <v>46249</v>
      </c>
      <c r="B401" s="68">
        <f t="shared" si="84"/>
        <v>1.1666666666666665</v>
      </c>
      <c r="C401" s="70" t="s">
        <v>30</v>
      </c>
      <c r="D401" s="75" t="s">
        <v>39</v>
      </c>
      <c r="E401" s="75" t="s">
        <v>259</v>
      </c>
      <c r="F401" s="63">
        <v>45</v>
      </c>
      <c r="G401" s="69">
        <f t="shared" si="82"/>
        <v>225</v>
      </c>
      <c r="H401" s="70"/>
      <c r="I401" s="70"/>
      <c r="J401" s="70"/>
      <c r="K401" s="65"/>
      <c r="L401" s="65"/>
      <c r="M401" s="71" t="str">
        <f t="shared" ca="1" si="83"/>
        <v/>
      </c>
      <c r="N401" s="80"/>
      <c r="O401" s="81"/>
    </row>
    <row r="402" spans="1:15" ht="15" customHeight="1">
      <c r="A402" s="59">
        <v>46249</v>
      </c>
      <c r="B402" s="60">
        <f t="shared" si="84"/>
        <v>1.2083333333333333</v>
      </c>
      <c r="C402" s="70" t="s">
        <v>30</v>
      </c>
      <c r="D402" s="75" t="s">
        <v>39</v>
      </c>
      <c r="E402" s="75" t="s">
        <v>259</v>
      </c>
      <c r="F402" s="63">
        <v>45</v>
      </c>
      <c r="G402" s="64">
        <f t="shared" si="82"/>
        <v>225</v>
      </c>
      <c r="H402" s="61"/>
      <c r="I402" s="61"/>
      <c r="J402" s="61"/>
      <c r="K402" s="65"/>
      <c r="L402" s="65"/>
      <c r="M402" s="66" t="str">
        <f t="shared" ca="1" si="83"/>
        <v/>
      </c>
      <c r="N402" s="80"/>
      <c r="O402" s="81"/>
    </row>
    <row r="403" spans="1:15" ht="15" customHeight="1">
      <c r="A403" s="18">
        <v>46249</v>
      </c>
      <c r="B403" s="68">
        <f t="shared" si="84"/>
        <v>1.25</v>
      </c>
      <c r="C403" s="70" t="s">
        <v>30</v>
      </c>
      <c r="D403" s="75" t="s">
        <v>39</v>
      </c>
      <c r="E403" s="75" t="s">
        <v>259</v>
      </c>
      <c r="F403" s="63">
        <v>25</v>
      </c>
      <c r="G403" s="69">
        <f t="shared" si="82"/>
        <v>125</v>
      </c>
      <c r="H403" s="70"/>
      <c r="I403" s="70"/>
      <c r="J403" s="70"/>
      <c r="K403" s="65"/>
      <c r="L403" s="65"/>
      <c r="M403" s="71" t="str">
        <f t="shared" ca="1" si="83"/>
        <v/>
      </c>
      <c r="N403" s="80"/>
      <c r="O403" s="81"/>
    </row>
    <row r="404" spans="1:15" ht="15" customHeight="1">
      <c r="A404" s="59">
        <v>46249</v>
      </c>
      <c r="B404" s="60">
        <f t="shared" si="84"/>
        <v>1.2916666666666667</v>
      </c>
      <c r="C404" s="70" t="s">
        <v>30</v>
      </c>
      <c r="D404" s="75" t="s">
        <v>39</v>
      </c>
      <c r="E404" s="75" t="s">
        <v>259</v>
      </c>
      <c r="F404" s="63">
        <v>5</v>
      </c>
      <c r="G404" s="64">
        <f t="shared" si="82"/>
        <v>25</v>
      </c>
      <c r="H404" s="61"/>
      <c r="I404" s="61"/>
      <c r="J404" s="61"/>
      <c r="K404" s="65"/>
      <c r="L404" s="65"/>
      <c r="M404" s="66" t="str">
        <f t="shared" ca="1" si="83"/>
        <v/>
      </c>
      <c r="N404" s="80"/>
      <c r="O404" s="81"/>
    </row>
    <row r="405" spans="1:15" ht="15.75" customHeight="1">
      <c r="A405" s="165" t="s">
        <v>263</v>
      </c>
      <c r="B405" s="165"/>
      <c r="C405" s="165"/>
      <c r="D405" s="165"/>
      <c r="E405" s="165"/>
      <c r="F405" s="2">
        <f>SUM(F393:F404)</f>
        <v>385</v>
      </c>
      <c r="G405" s="2">
        <f>SUM(G393:G404)</f>
        <v>1925</v>
      </c>
      <c r="H405" s="72"/>
      <c r="I405" s="72"/>
      <c r="J405" s="72"/>
      <c r="K405" s="72"/>
      <c r="L405" s="72"/>
      <c r="M405" s="73">
        <f ca="1">IFERROR(SUM(M393:M404),"")</f>
        <v>6.2500000000001055E-2</v>
      </c>
      <c r="N405" s="2" t="s">
        <v>261</v>
      </c>
      <c r="O405" s="74">
        <v>2612000</v>
      </c>
    </row>
    <row r="406" spans="1:15" ht="18" customHeight="1">
      <c r="A406" s="166" t="s">
        <v>249</v>
      </c>
      <c r="B406" s="166"/>
      <c r="C406" s="166"/>
      <c r="D406" s="166"/>
      <c r="E406" s="166"/>
      <c r="F406" s="1">
        <f>F392+F405</f>
        <v>665</v>
      </c>
      <c r="G406" s="1">
        <f>G392+G405</f>
        <v>3340</v>
      </c>
      <c r="H406" s="76"/>
      <c r="I406" s="76"/>
      <c r="J406" s="76"/>
      <c r="K406" s="76"/>
      <c r="L406" s="76"/>
      <c r="M406" s="77">
        <f ca="1">IFERROR(M392+M405,"")</f>
        <v>6.2500000000001055E-2</v>
      </c>
      <c r="N406" s="1" t="s">
        <v>264</v>
      </c>
      <c r="O406" s="82">
        <f>IFERROR(O392+O405,"")</f>
        <v>5103620</v>
      </c>
    </row>
    <row r="407" spans="1:15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75" t="s">
        <v>259</v>
      </c>
      <c r="F407" s="63">
        <v>40</v>
      </c>
      <c r="G407" s="69">
        <f t="shared" ref="G407:G418" si="85">IF(F407="","",IF(E407="PC 17",F407*4.2,IF(E407="PC 19",F407*5,IF(E407="CB",F407*35,""))))</f>
        <v>200</v>
      </c>
      <c r="H407" s="70" t="s">
        <v>27</v>
      </c>
      <c r="I407" s="70" t="s">
        <v>32</v>
      </c>
      <c r="J407" s="70" t="s">
        <v>43</v>
      </c>
      <c r="K407" s="65">
        <v>0.48958333333333298</v>
      </c>
      <c r="L407" s="65">
        <v>0.72222222222222199</v>
      </c>
      <c r="M407" s="71">
        <f t="shared" ref="M407:M418" ca="1" si="86">IFERROR(IF(K407="","",IF(L407="",MOD(NOW()-K407,1),IF(L407&gt;=K407,L407-K407,L407+1-K407))),"")</f>
        <v>0.23263888888888901</v>
      </c>
      <c r="N407" s="80"/>
      <c r="O407" s="81"/>
    </row>
    <row r="408" spans="1:15" ht="15" customHeight="1">
      <c r="A408" s="59">
        <v>46250</v>
      </c>
      <c r="B408" s="60">
        <f t="shared" ref="B408:B418" si="87">B407+TIME(0,60,0)</f>
        <v>0.37499999999999967</v>
      </c>
      <c r="C408" s="70" t="s">
        <v>54</v>
      </c>
      <c r="D408" s="75" t="s">
        <v>39</v>
      </c>
      <c r="E408" s="75" t="s">
        <v>259</v>
      </c>
      <c r="F408" s="63">
        <v>5</v>
      </c>
      <c r="G408" s="64">
        <f t="shared" si="85"/>
        <v>25</v>
      </c>
      <c r="H408" s="61"/>
      <c r="I408" s="61"/>
      <c r="J408" s="61"/>
      <c r="K408" s="65"/>
      <c r="L408" s="65"/>
      <c r="M408" s="66" t="str">
        <f t="shared" ca="1" si="86"/>
        <v/>
      </c>
      <c r="N408" s="80"/>
      <c r="O408" s="81"/>
    </row>
    <row r="409" spans="1:15" ht="15" customHeight="1">
      <c r="A409" s="18">
        <v>46250</v>
      </c>
      <c r="B409" s="68">
        <f t="shared" si="87"/>
        <v>0.41666666666666635</v>
      </c>
      <c r="C409" s="70" t="s">
        <v>54</v>
      </c>
      <c r="D409" s="75" t="s">
        <v>39</v>
      </c>
      <c r="E409" s="75" t="s">
        <v>259</v>
      </c>
      <c r="F409" s="63">
        <v>61</v>
      </c>
      <c r="G409" s="69">
        <f t="shared" si="85"/>
        <v>305</v>
      </c>
      <c r="H409" s="70"/>
      <c r="I409" s="70"/>
      <c r="J409" s="70"/>
      <c r="K409" s="65"/>
      <c r="L409" s="65"/>
      <c r="M409" s="71" t="str">
        <f t="shared" ca="1" si="86"/>
        <v/>
      </c>
      <c r="N409" s="80"/>
      <c r="O409" s="81"/>
    </row>
    <row r="410" spans="1:15" ht="15" customHeight="1">
      <c r="A410" s="59">
        <v>46250</v>
      </c>
      <c r="B410" s="60">
        <f t="shared" si="87"/>
        <v>0.45833333333333304</v>
      </c>
      <c r="C410" s="70" t="s">
        <v>54</v>
      </c>
      <c r="D410" s="75" t="s">
        <v>39</v>
      </c>
      <c r="E410" s="75" t="s">
        <v>259</v>
      </c>
      <c r="F410" s="63">
        <v>40</v>
      </c>
      <c r="G410" s="64">
        <f t="shared" si="85"/>
        <v>200</v>
      </c>
      <c r="H410" s="61"/>
      <c r="I410" s="61"/>
      <c r="J410" s="61"/>
      <c r="K410" s="65"/>
      <c r="L410" s="65"/>
      <c r="M410" s="66" t="str">
        <f t="shared" ca="1" si="86"/>
        <v/>
      </c>
      <c r="N410" s="80"/>
      <c r="O410" s="81"/>
    </row>
    <row r="411" spans="1:15" ht="15" customHeight="1">
      <c r="A411" s="18">
        <v>46250</v>
      </c>
      <c r="B411" s="68">
        <f t="shared" si="87"/>
        <v>0.49999999999999972</v>
      </c>
      <c r="C411" s="70" t="s">
        <v>54</v>
      </c>
      <c r="D411" s="75" t="s">
        <v>39</v>
      </c>
      <c r="E411" s="75" t="s">
        <v>259</v>
      </c>
      <c r="F411" s="63">
        <v>11</v>
      </c>
      <c r="G411" s="69">
        <f t="shared" si="85"/>
        <v>55</v>
      </c>
      <c r="H411" s="70"/>
      <c r="I411" s="70"/>
      <c r="J411" s="70"/>
      <c r="K411" s="65"/>
      <c r="L411" s="65"/>
      <c r="M411" s="71" t="str">
        <f t="shared" ca="1" si="86"/>
        <v/>
      </c>
      <c r="N411" s="80"/>
      <c r="O411" s="81"/>
    </row>
    <row r="412" spans="1:15" ht="15" customHeight="1">
      <c r="A412" s="59">
        <v>46250</v>
      </c>
      <c r="B412" s="60">
        <f t="shared" si="87"/>
        <v>0.54166666666666641</v>
      </c>
      <c r="C412" s="70" t="s">
        <v>54</v>
      </c>
      <c r="D412" s="75" t="s">
        <v>39</v>
      </c>
      <c r="E412" s="75" t="s">
        <v>259</v>
      </c>
      <c r="F412" s="63">
        <v>0</v>
      </c>
      <c r="G412" s="64">
        <f t="shared" si="85"/>
        <v>0</v>
      </c>
      <c r="H412" s="61"/>
      <c r="I412" s="61"/>
      <c r="J412" s="61"/>
      <c r="K412" s="65"/>
      <c r="L412" s="65"/>
      <c r="M412" s="66" t="str">
        <f t="shared" ca="1" si="86"/>
        <v/>
      </c>
      <c r="N412" s="80"/>
      <c r="O412" s="81"/>
    </row>
    <row r="413" spans="1:15" ht="15" customHeight="1">
      <c r="A413" s="18">
        <v>46250</v>
      </c>
      <c r="B413" s="68">
        <f t="shared" si="87"/>
        <v>0.58333333333333304</v>
      </c>
      <c r="C413" s="70" t="s">
        <v>54</v>
      </c>
      <c r="D413" s="75" t="s">
        <v>39</v>
      </c>
      <c r="E413" s="75" t="s">
        <v>259</v>
      </c>
      <c r="F413" s="63">
        <v>0</v>
      </c>
      <c r="G413" s="69">
        <f t="shared" si="85"/>
        <v>0</v>
      </c>
      <c r="H413" s="70"/>
      <c r="I413" s="70"/>
      <c r="J413" s="70"/>
      <c r="K413" s="65"/>
      <c r="L413" s="65"/>
      <c r="M413" s="71" t="str">
        <f t="shared" ca="1" si="86"/>
        <v/>
      </c>
      <c r="N413" s="80"/>
      <c r="O413" s="81"/>
    </row>
    <row r="414" spans="1:15" ht="15" customHeight="1">
      <c r="A414" s="59">
        <v>46250</v>
      </c>
      <c r="B414" s="60">
        <f t="shared" si="87"/>
        <v>0.62499999999999967</v>
      </c>
      <c r="C414" s="70" t="s">
        <v>54</v>
      </c>
      <c r="D414" s="75" t="s">
        <v>39</v>
      </c>
      <c r="E414" s="75" t="s">
        <v>259</v>
      </c>
      <c r="F414" s="63">
        <v>0</v>
      </c>
      <c r="G414" s="64">
        <f t="shared" si="85"/>
        <v>0</v>
      </c>
      <c r="H414" s="61"/>
      <c r="I414" s="61"/>
      <c r="J414" s="61"/>
      <c r="K414" s="65"/>
      <c r="L414" s="65"/>
      <c r="M414" s="66" t="str">
        <f t="shared" ca="1" si="86"/>
        <v/>
      </c>
      <c r="N414" s="80"/>
      <c r="O414" s="81"/>
    </row>
    <row r="415" spans="1:15" ht="15" customHeight="1">
      <c r="A415" s="18">
        <v>46250</v>
      </c>
      <c r="B415" s="68">
        <f t="shared" si="87"/>
        <v>0.6666666666666663</v>
      </c>
      <c r="C415" s="70" t="s">
        <v>54</v>
      </c>
      <c r="D415" s="75" t="s">
        <v>39</v>
      </c>
      <c r="E415" s="75" t="s">
        <v>259</v>
      </c>
      <c r="F415" s="63">
        <v>0</v>
      </c>
      <c r="G415" s="69">
        <f t="shared" si="85"/>
        <v>0</v>
      </c>
      <c r="H415" s="70"/>
      <c r="I415" s="70"/>
      <c r="J415" s="70"/>
      <c r="K415" s="65"/>
      <c r="L415" s="65"/>
      <c r="M415" s="71" t="str">
        <f t="shared" ca="1" si="86"/>
        <v/>
      </c>
      <c r="N415" s="80"/>
      <c r="O415" s="81"/>
    </row>
    <row r="416" spans="1:15" ht="15" customHeight="1">
      <c r="A416" s="59">
        <v>46250</v>
      </c>
      <c r="B416" s="60">
        <f t="shared" si="87"/>
        <v>0.70833333333333293</v>
      </c>
      <c r="C416" s="70" t="s">
        <v>54</v>
      </c>
      <c r="D416" s="75" t="s">
        <v>39</v>
      </c>
      <c r="E416" s="75" t="s">
        <v>259</v>
      </c>
      <c r="F416" s="63">
        <v>0</v>
      </c>
      <c r="G416" s="64">
        <f t="shared" si="85"/>
        <v>0</v>
      </c>
      <c r="H416" s="61"/>
      <c r="I416" s="61"/>
      <c r="J416" s="61"/>
      <c r="K416" s="65"/>
      <c r="L416" s="65"/>
      <c r="M416" s="66" t="str">
        <f t="shared" ca="1" si="86"/>
        <v/>
      </c>
      <c r="N416" s="80"/>
      <c r="O416" s="81"/>
    </row>
    <row r="417" spans="1:15" ht="15" customHeight="1">
      <c r="A417" s="18">
        <v>46250</v>
      </c>
      <c r="B417" s="68">
        <f t="shared" si="87"/>
        <v>0.74999999999999956</v>
      </c>
      <c r="C417" s="70" t="s">
        <v>54</v>
      </c>
      <c r="D417" s="75" t="s">
        <v>39</v>
      </c>
      <c r="E417" s="75" t="s">
        <v>259</v>
      </c>
      <c r="F417" s="63">
        <v>28</v>
      </c>
      <c r="G417" s="69">
        <f t="shared" si="85"/>
        <v>140</v>
      </c>
      <c r="H417" s="70"/>
      <c r="I417" s="70"/>
      <c r="J417" s="70"/>
      <c r="K417" s="65"/>
      <c r="L417" s="65"/>
      <c r="M417" s="71" t="str">
        <f t="shared" ca="1" si="86"/>
        <v/>
      </c>
      <c r="N417" s="80"/>
      <c r="O417" s="81"/>
    </row>
    <row r="418" spans="1:15" ht="15" customHeight="1">
      <c r="A418" s="59">
        <v>46250</v>
      </c>
      <c r="B418" s="60">
        <f t="shared" si="87"/>
        <v>0.79166666666666619</v>
      </c>
      <c r="C418" s="70" t="s">
        <v>54</v>
      </c>
      <c r="D418" s="75" t="s">
        <v>39</v>
      </c>
      <c r="E418" s="75" t="s">
        <v>259</v>
      </c>
      <c r="F418" s="63">
        <v>25</v>
      </c>
      <c r="G418" s="64">
        <f t="shared" si="85"/>
        <v>125</v>
      </c>
      <c r="H418" s="61"/>
      <c r="I418" s="61"/>
      <c r="J418" s="61"/>
      <c r="K418" s="65"/>
      <c r="L418" s="65"/>
      <c r="M418" s="66" t="str">
        <f t="shared" ca="1" si="86"/>
        <v/>
      </c>
      <c r="N418" s="80"/>
      <c r="O418" s="81"/>
    </row>
    <row r="419" spans="1:15" ht="15.75" customHeight="1">
      <c r="A419" s="165" t="s">
        <v>260</v>
      </c>
      <c r="B419" s="165"/>
      <c r="C419" s="165"/>
      <c r="D419" s="165"/>
      <c r="E419" s="165"/>
      <c r="F419" s="2">
        <f>SUM(F407:F418)</f>
        <v>210</v>
      </c>
      <c r="G419" s="2">
        <f>SUM(G407:G418)</f>
        <v>1050</v>
      </c>
      <c r="H419" s="72"/>
      <c r="I419" s="72"/>
      <c r="J419" s="72"/>
      <c r="K419" s="72"/>
      <c r="L419" s="72"/>
      <c r="M419" s="73">
        <f ca="1">IFERROR(SUM(M407:M418),"")</f>
        <v>0.23263888888888901</v>
      </c>
      <c r="N419" s="2" t="s">
        <v>261</v>
      </c>
      <c r="O419" s="74">
        <v>1195500</v>
      </c>
    </row>
    <row r="420" spans="1:15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62" t="s">
        <v>259</v>
      </c>
      <c r="F420" s="63">
        <v>15</v>
      </c>
      <c r="G420" s="64">
        <f t="shared" ref="G420:G431" si="88">IF(F420="","",IF(E420="PC 17",F420*4.2,IF(E420="PC 19",F420*5,IF(E420="CB",F420*35,""))))</f>
        <v>75</v>
      </c>
      <c r="H420" s="61" t="s">
        <v>27</v>
      </c>
      <c r="I420" s="61" t="s">
        <v>32</v>
      </c>
      <c r="J420" s="61" t="s">
        <v>230</v>
      </c>
      <c r="K420" s="65">
        <v>0.79166666666666696</v>
      </c>
      <c r="L420" s="65">
        <v>0.81944444444444398</v>
      </c>
      <c r="M420" s="66">
        <f t="shared" ref="M420:M431" ca="1" si="89">IFERROR(IF(K420="","",IF(L420="",MOD(NOW()-K420,1),IF(L420&gt;=K420,L420-K420,L420+1-K420))),"")</f>
        <v>2.7777777777777013E-2</v>
      </c>
      <c r="N420" s="80"/>
      <c r="O420" s="81"/>
    </row>
    <row r="421" spans="1:15" ht="15" customHeight="1">
      <c r="A421" s="18">
        <v>46250</v>
      </c>
      <c r="B421" s="68">
        <f t="shared" ref="B421:B431" si="90">B420+TIME(0,60,0)</f>
        <v>0.87499999999999967</v>
      </c>
      <c r="C421" s="61" t="s">
        <v>30</v>
      </c>
      <c r="D421" s="62" t="s">
        <v>39</v>
      </c>
      <c r="E421" s="62" t="s">
        <v>259</v>
      </c>
      <c r="F421" s="63">
        <v>40</v>
      </c>
      <c r="G421" s="69">
        <f t="shared" si="88"/>
        <v>200</v>
      </c>
      <c r="H421" s="70" t="s">
        <v>29</v>
      </c>
      <c r="I421" s="70" t="s">
        <v>32</v>
      </c>
      <c r="J421" s="70" t="s">
        <v>144</v>
      </c>
      <c r="K421" s="65">
        <v>8.8194444444444506E-2</v>
      </c>
      <c r="L421" s="65">
        <v>9.44444444444444E-2</v>
      </c>
      <c r="M421" s="71">
        <f t="shared" ca="1" si="89"/>
        <v>6.2499999999998945E-3</v>
      </c>
      <c r="N421" s="80" t="s">
        <v>285</v>
      </c>
      <c r="O421" s="81"/>
    </row>
    <row r="422" spans="1:15" ht="15" customHeight="1">
      <c r="A422" s="59">
        <v>46250</v>
      </c>
      <c r="B422" s="60">
        <f t="shared" si="90"/>
        <v>0.9166666666666663</v>
      </c>
      <c r="C422" s="61" t="s">
        <v>30</v>
      </c>
      <c r="D422" s="62" t="s">
        <v>39</v>
      </c>
      <c r="E422" s="62" t="s">
        <v>259</v>
      </c>
      <c r="F422" s="63">
        <v>20</v>
      </c>
      <c r="G422" s="64">
        <f t="shared" si="88"/>
        <v>100</v>
      </c>
      <c r="H422" s="70" t="s">
        <v>29</v>
      </c>
      <c r="I422" s="70" t="s">
        <v>32</v>
      </c>
      <c r="J422" s="70" t="s">
        <v>144</v>
      </c>
      <c r="K422" s="65">
        <v>0.109722222222222</v>
      </c>
      <c r="L422" s="65">
        <v>0.121527777777778</v>
      </c>
      <c r="M422" s="66">
        <f t="shared" ca="1" si="89"/>
        <v>1.1805555555555999E-2</v>
      </c>
      <c r="N422" s="80" t="s">
        <v>285</v>
      </c>
      <c r="O422" s="81"/>
    </row>
    <row r="423" spans="1:15" ht="15" customHeight="1">
      <c r="A423" s="18">
        <v>46250</v>
      </c>
      <c r="B423" s="68">
        <f t="shared" si="90"/>
        <v>0.95833333333333293</v>
      </c>
      <c r="C423" s="61" t="s">
        <v>30</v>
      </c>
      <c r="D423" s="62" t="s">
        <v>39</v>
      </c>
      <c r="E423" s="62" t="s">
        <v>259</v>
      </c>
      <c r="F423" s="63">
        <v>20</v>
      </c>
      <c r="G423" s="69">
        <f t="shared" si="88"/>
        <v>100</v>
      </c>
      <c r="H423" s="70"/>
      <c r="I423" s="70"/>
      <c r="J423" s="70"/>
      <c r="K423" s="65"/>
      <c r="L423" s="65"/>
      <c r="M423" s="71" t="str">
        <f t="shared" ca="1" si="89"/>
        <v/>
      </c>
      <c r="N423" s="80"/>
      <c r="O423" s="81"/>
    </row>
    <row r="424" spans="1:15" ht="15" customHeight="1">
      <c r="A424" s="59">
        <v>46250</v>
      </c>
      <c r="B424" s="60">
        <f t="shared" si="90"/>
        <v>0.99999999999999956</v>
      </c>
      <c r="C424" s="61" t="s">
        <v>30</v>
      </c>
      <c r="D424" s="62" t="s">
        <v>39</v>
      </c>
      <c r="E424" s="62" t="s">
        <v>259</v>
      </c>
      <c r="F424" s="63">
        <v>30</v>
      </c>
      <c r="G424" s="64">
        <f t="shared" si="88"/>
        <v>150</v>
      </c>
      <c r="H424" s="61"/>
      <c r="I424" s="61"/>
      <c r="J424" s="61"/>
      <c r="K424" s="65"/>
      <c r="L424" s="65"/>
      <c r="M424" s="66" t="str">
        <f t="shared" ca="1" si="89"/>
        <v/>
      </c>
      <c r="N424" s="80"/>
      <c r="O424" s="81"/>
    </row>
    <row r="425" spans="1:15" ht="15" customHeight="1">
      <c r="A425" s="18">
        <v>46250</v>
      </c>
      <c r="B425" s="68">
        <f t="shared" si="90"/>
        <v>1.0416666666666663</v>
      </c>
      <c r="C425" s="61" t="s">
        <v>30</v>
      </c>
      <c r="D425" s="62" t="s">
        <v>39</v>
      </c>
      <c r="E425" s="62" t="s">
        <v>259</v>
      </c>
      <c r="F425" s="63">
        <v>20</v>
      </c>
      <c r="G425" s="69">
        <f t="shared" si="88"/>
        <v>100</v>
      </c>
      <c r="H425" s="70"/>
      <c r="I425" s="70"/>
      <c r="J425" s="70"/>
      <c r="K425" s="65"/>
      <c r="L425" s="65"/>
      <c r="M425" s="71" t="str">
        <f t="shared" ca="1" si="89"/>
        <v/>
      </c>
      <c r="N425" s="80"/>
      <c r="O425" s="81"/>
    </row>
    <row r="426" spans="1:15" ht="15" customHeight="1">
      <c r="A426" s="59">
        <v>46250</v>
      </c>
      <c r="B426" s="60">
        <f t="shared" si="90"/>
        <v>1.083333333333333</v>
      </c>
      <c r="C426" s="61" t="s">
        <v>30</v>
      </c>
      <c r="D426" s="62" t="s">
        <v>39</v>
      </c>
      <c r="E426" s="62" t="s">
        <v>259</v>
      </c>
      <c r="F426" s="63">
        <v>40</v>
      </c>
      <c r="G426" s="64">
        <f t="shared" si="88"/>
        <v>200</v>
      </c>
      <c r="H426" s="61"/>
      <c r="I426" s="61"/>
      <c r="J426" s="61"/>
      <c r="K426" s="65"/>
      <c r="L426" s="65"/>
      <c r="M426" s="66" t="str">
        <f t="shared" ca="1" si="89"/>
        <v/>
      </c>
      <c r="N426" s="80"/>
      <c r="O426" s="81"/>
    </row>
    <row r="427" spans="1:15" ht="15" customHeight="1">
      <c r="A427" s="18">
        <v>46250</v>
      </c>
      <c r="B427" s="68">
        <f t="shared" si="90"/>
        <v>1.1249999999999998</v>
      </c>
      <c r="C427" s="61" t="s">
        <v>30</v>
      </c>
      <c r="D427" s="62" t="s">
        <v>39</v>
      </c>
      <c r="E427" s="62" t="s">
        <v>259</v>
      </c>
      <c r="F427" s="63">
        <v>20</v>
      </c>
      <c r="G427" s="69">
        <f t="shared" si="88"/>
        <v>100</v>
      </c>
      <c r="H427" s="70"/>
      <c r="I427" s="70"/>
      <c r="J427" s="70"/>
      <c r="K427" s="65"/>
      <c r="L427" s="65"/>
      <c r="M427" s="71" t="str">
        <f t="shared" ca="1" si="89"/>
        <v/>
      </c>
      <c r="N427" s="80"/>
      <c r="O427" s="81"/>
    </row>
    <row r="428" spans="1:15" ht="15" customHeight="1">
      <c r="A428" s="59">
        <v>46250</v>
      </c>
      <c r="B428" s="60">
        <f t="shared" si="90"/>
        <v>1.1666666666666665</v>
      </c>
      <c r="C428" s="61" t="s">
        <v>30</v>
      </c>
      <c r="D428" s="62" t="s">
        <v>39</v>
      </c>
      <c r="E428" s="62" t="s">
        <v>259</v>
      </c>
      <c r="F428" s="63">
        <v>30</v>
      </c>
      <c r="G428" s="64">
        <f t="shared" si="88"/>
        <v>150</v>
      </c>
      <c r="H428" s="61"/>
      <c r="I428" s="61"/>
      <c r="J428" s="61"/>
      <c r="K428" s="65"/>
      <c r="L428" s="65"/>
      <c r="M428" s="66" t="str">
        <f t="shared" ca="1" si="89"/>
        <v/>
      </c>
      <c r="N428" s="80"/>
      <c r="O428" s="81"/>
    </row>
    <row r="429" spans="1:15" ht="15" customHeight="1">
      <c r="A429" s="18">
        <v>46250</v>
      </c>
      <c r="B429" s="68">
        <f t="shared" si="90"/>
        <v>1.2083333333333333</v>
      </c>
      <c r="C429" s="61" t="s">
        <v>30</v>
      </c>
      <c r="D429" s="62" t="s">
        <v>39</v>
      </c>
      <c r="E429" s="62" t="s">
        <v>259</v>
      </c>
      <c r="F429" s="63">
        <v>25</v>
      </c>
      <c r="G429" s="69">
        <f t="shared" si="88"/>
        <v>125</v>
      </c>
      <c r="H429" s="70"/>
      <c r="I429" s="70"/>
      <c r="J429" s="70"/>
      <c r="K429" s="65"/>
      <c r="L429" s="65"/>
      <c r="M429" s="71" t="str">
        <f t="shared" ca="1" si="89"/>
        <v/>
      </c>
      <c r="N429" s="80"/>
      <c r="O429" s="81"/>
    </row>
    <row r="430" spans="1:15" ht="15" customHeight="1">
      <c r="A430" s="59">
        <v>46250</v>
      </c>
      <c r="B430" s="60">
        <f t="shared" si="90"/>
        <v>1.25</v>
      </c>
      <c r="C430" s="61" t="s">
        <v>30</v>
      </c>
      <c r="D430" s="62" t="s">
        <v>39</v>
      </c>
      <c r="E430" s="62" t="s">
        <v>259</v>
      </c>
      <c r="F430" s="63">
        <v>40</v>
      </c>
      <c r="G430" s="64">
        <f t="shared" si="88"/>
        <v>200</v>
      </c>
      <c r="H430" s="61"/>
      <c r="I430" s="61"/>
      <c r="J430" s="61"/>
      <c r="K430" s="65"/>
      <c r="L430" s="65"/>
      <c r="M430" s="66" t="str">
        <f t="shared" ca="1" si="89"/>
        <v/>
      </c>
      <c r="N430" s="80"/>
      <c r="O430" s="81"/>
    </row>
    <row r="431" spans="1:15" ht="15" customHeight="1">
      <c r="A431" s="18">
        <v>46250</v>
      </c>
      <c r="B431" s="68">
        <f t="shared" si="90"/>
        <v>1.2916666666666667</v>
      </c>
      <c r="C431" s="61" t="s">
        <v>30</v>
      </c>
      <c r="D431" s="62" t="s">
        <v>39</v>
      </c>
      <c r="E431" s="62" t="s">
        <v>259</v>
      </c>
      <c r="F431" s="63">
        <v>35</v>
      </c>
      <c r="G431" s="69">
        <f t="shared" si="88"/>
        <v>175</v>
      </c>
      <c r="H431" s="70"/>
      <c r="I431" s="70"/>
      <c r="J431" s="70"/>
      <c r="K431" s="65"/>
      <c r="L431" s="65"/>
      <c r="M431" s="71" t="str">
        <f t="shared" ca="1" si="89"/>
        <v/>
      </c>
      <c r="N431" s="80"/>
      <c r="O431" s="81"/>
    </row>
    <row r="432" spans="1:15" ht="15.75" customHeight="1">
      <c r="A432" s="165" t="s">
        <v>263</v>
      </c>
      <c r="B432" s="165"/>
      <c r="C432" s="165"/>
      <c r="D432" s="165"/>
      <c r="E432" s="165"/>
      <c r="F432" s="2">
        <f>SUM(F420:F431)</f>
        <v>335</v>
      </c>
      <c r="G432" s="2">
        <f>SUM(G420:G431)</f>
        <v>1675</v>
      </c>
      <c r="H432" s="72"/>
      <c r="I432" s="72"/>
      <c r="J432" s="72"/>
      <c r="K432" s="72"/>
      <c r="L432" s="72"/>
      <c r="M432" s="73">
        <f ca="1">IFERROR(SUM(M420:M431),"")</f>
        <v>4.5833333333332907E-2</v>
      </c>
      <c r="N432" s="2" t="s">
        <v>261</v>
      </c>
      <c r="O432" s="74">
        <v>2266710</v>
      </c>
    </row>
    <row r="433" spans="1:15" ht="18" customHeight="1">
      <c r="A433" s="166" t="s">
        <v>249</v>
      </c>
      <c r="B433" s="166"/>
      <c r="C433" s="166"/>
      <c r="D433" s="166"/>
      <c r="E433" s="166"/>
      <c r="F433" s="1">
        <f>F419+F432</f>
        <v>545</v>
      </c>
      <c r="G433" s="1">
        <f>G419+G432</f>
        <v>2725</v>
      </c>
      <c r="H433" s="76"/>
      <c r="I433" s="76"/>
      <c r="J433" s="76"/>
      <c r="K433" s="76"/>
      <c r="L433" s="76"/>
      <c r="M433" s="77">
        <f ca="1">IFERROR(M419+M432,"")</f>
        <v>0.2784722222222219</v>
      </c>
      <c r="N433" s="1" t="s">
        <v>264</v>
      </c>
      <c r="O433" s="82">
        <f>IFERROR(O419+O432,"")</f>
        <v>3462210</v>
      </c>
    </row>
    <row r="434" spans="1:15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62" t="s">
        <v>259</v>
      </c>
      <c r="F434" s="63">
        <v>11</v>
      </c>
      <c r="G434" s="64">
        <f t="shared" ref="G434:G445" si="91">IF(F434="","",IF(E434="PC 17",F434*4.2,IF(E434="PC 19",F434*5,IF(E434="CB",F434*35,""))))</f>
        <v>55</v>
      </c>
      <c r="H434" s="61" t="s">
        <v>27</v>
      </c>
      <c r="I434" s="61" t="s">
        <v>32</v>
      </c>
      <c r="J434" s="61" t="s">
        <v>167</v>
      </c>
      <c r="K434" s="65">
        <v>0.52638888888888902</v>
      </c>
      <c r="L434" s="65">
        <v>0.54791666666666705</v>
      </c>
      <c r="M434" s="66">
        <f t="shared" ref="M434:M445" ca="1" si="92">IFERROR(IF(K434="","",IF(L434="",MOD(NOW()-K434,1),IF(L434&gt;=K434,L434-K434,L434+1-K434))),"")</f>
        <v>2.1527777777778034E-2</v>
      </c>
      <c r="N434" s="80"/>
      <c r="O434" s="81"/>
    </row>
    <row r="435" spans="1:15" ht="15" customHeight="1">
      <c r="A435" s="18">
        <v>46251</v>
      </c>
      <c r="B435" s="68">
        <f t="shared" ref="B435:B445" si="93">B434+TIME(0,60,0)</f>
        <v>0.37499999999999967</v>
      </c>
      <c r="C435" s="61" t="s">
        <v>54</v>
      </c>
      <c r="D435" s="62" t="s">
        <v>31</v>
      </c>
      <c r="E435" s="62" t="s">
        <v>259</v>
      </c>
      <c r="F435" s="63">
        <v>8</v>
      </c>
      <c r="G435" s="64">
        <f t="shared" si="91"/>
        <v>40</v>
      </c>
      <c r="H435" s="70"/>
      <c r="K435" s="65"/>
      <c r="L435" s="65"/>
      <c r="M435" s="71" t="str">
        <f t="shared" ca="1" si="92"/>
        <v/>
      </c>
      <c r="N435" s="80"/>
      <c r="O435" s="81"/>
    </row>
    <row r="436" spans="1:15" ht="15" customHeight="1">
      <c r="A436" s="59">
        <v>46251</v>
      </c>
      <c r="B436" s="60">
        <f t="shared" si="93"/>
        <v>0.41666666666666635</v>
      </c>
      <c r="C436" s="61" t="s">
        <v>54</v>
      </c>
      <c r="D436" s="62" t="s">
        <v>31</v>
      </c>
      <c r="E436" s="62" t="s">
        <v>259</v>
      </c>
      <c r="F436" s="63">
        <v>21</v>
      </c>
      <c r="G436" s="64">
        <f t="shared" si="91"/>
        <v>105</v>
      </c>
      <c r="H436" s="61" t="s">
        <v>28</v>
      </c>
      <c r="I436" s="70" t="s">
        <v>32</v>
      </c>
      <c r="J436" s="61" t="s">
        <v>76</v>
      </c>
      <c r="K436" s="65">
        <v>0.60972222222222205</v>
      </c>
      <c r="L436" s="65">
        <v>0.67916666666666703</v>
      </c>
      <c r="M436" s="66">
        <f t="shared" ca="1" si="92"/>
        <v>6.9444444444444975E-2</v>
      </c>
      <c r="N436" s="80"/>
      <c r="O436" s="81"/>
    </row>
    <row r="437" spans="1:15" ht="15" customHeight="1">
      <c r="A437" s="18">
        <v>46251</v>
      </c>
      <c r="B437" s="68">
        <f t="shared" si="93"/>
        <v>0.45833333333333304</v>
      </c>
      <c r="C437" s="61" t="s">
        <v>54</v>
      </c>
      <c r="D437" s="62" t="s">
        <v>31</v>
      </c>
      <c r="E437" s="62" t="s">
        <v>259</v>
      </c>
      <c r="F437" s="63">
        <v>15</v>
      </c>
      <c r="G437" s="69">
        <f t="shared" si="91"/>
        <v>75</v>
      </c>
      <c r="H437" s="70"/>
      <c r="J437" s="70"/>
      <c r="K437" s="65"/>
      <c r="L437" s="65"/>
      <c r="M437" s="71" t="str">
        <f t="shared" ca="1" si="92"/>
        <v/>
      </c>
      <c r="N437" s="80"/>
      <c r="O437" s="81"/>
    </row>
    <row r="438" spans="1:15" ht="15" customHeight="1">
      <c r="A438" s="59">
        <v>46251</v>
      </c>
      <c r="B438" s="60">
        <f t="shared" si="93"/>
        <v>0.49999999999999972</v>
      </c>
      <c r="C438" s="61" t="s">
        <v>54</v>
      </c>
      <c r="D438" s="62" t="s">
        <v>31</v>
      </c>
      <c r="E438" s="62" t="s">
        <v>259</v>
      </c>
      <c r="F438" s="63">
        <v>15</v>
      </c>
      <c r="G438" s="64">
        <f t="shared" si="91"/>
        <v>75</v>
      </c>
      <c r="H438" s="61" t="s">
        <v>28</v>
      </c>
      <c r="I438" s="61" t="s">
        <v>32</v>
      </c>
      <c r="J438" s="61" t="s">
        <v>122</v>
      </c>
      <c r="K438" s="65">
        <v>0.69861111111111096</v>
      </c>
      <c r="L438" s="65">
        <v>0.73611111111111105</v>
      </c>
      <c r="M438" s="66">
        <f t="shared" ca="1" si="92"/>
        <v>3.7500000000000089E-2</v>
      </c>
      <c r="N438" s="80"/>
      <c r="O438" s="81"/>
    </row>
    <row r="439" spans="1:15" ht="15" customHeight="1">
      <c r="A439" s="18">
        <v>46251</v>
      </c>
      <c r="B439" s="68">
        <f t="shared" si="93"/>
        <v>0.54166666666666641</v>
      </c>
      <c r="C439" s="61" t="s">
        <v>54</v>
      </c>
      <c r="D439" s="62" t="s">
        <v>31</v>
      </c>
      <c r="E439" s="62" t="s">
        <v>259</v>
      </c>
      <c r="F439" s="63">
        <v>32</v>
      </c>
      <c r="G439" s="69">
        <f t="shared" si="91"/>
        <v>160</v>
      </c>
      <c r="H439" s="70"/>
      <c r="I439" s="70"/>
      <c r="J439" s="70"/>
      <c r="K439" s="65"/>
      <c r="L439" s="65"/>
      <c r="M439" s="71" t="str">
        <f t="shared" ca="1" si="92"/>
        <v/>
      </c>
      <c r="N439" s="80"/>
      <c r="O439" s="81"/>
    </row>
    <row r="440" spans="1:15" ht="15" customHeight="1">
      <c r="A440" s="59">
        <v>46251</v>
      </c>
      <c r="B440" s="60">
        <f t="shared" si="93"/>
        <v>0.58333333333333304</v>
      </c>
      <c r="C440" s="61" t="s">
        <v>54</v>
      </c>
      <c r="D440" s="62" t="s">
        <v>31</v>
      </c>
      <c r="E440" s="62" t="s">
        <v>259</v>
      </c>
      <c r="F440" s="63">
        <v>5</v>
      </c>
      <c r="G440" s="64">
        <f t="shared" si="91"/>
        <v>25</v>
      </c>
      <c r="H440" s="61"/>
      <c r="I440" s="61"/>
      <c r="J440" s="61"/>
      <c r="K440" s="65"/>
      <c r="L440" s="65"/>
      <c r="M440" s="66" t="str">
        <f t="shared" ca="1" si="92"/>
        <v/>
      </c>
      <c r="N440" s="80"/>
      <c r="O440" s="81"/>
    </row>
    <row r="441" spans="1:15" ht="15" customHeight="1">
      <c r="A441" s="18">
        <v>46251</v>
      </c>
      <c r="B441" s="68">
        <f t="shared" si="93"/>
        <v>0.62499999999999967</v>
      </c>
      <c r="C441" s="61" t="s">
        <v>54</v>
      </c>
      <c r="D441" s="62" t="s">
        <v>31</v>
      </c>
      <c r="E441" s="62" t="s">
        <v>259</v>
      </c>
      <c r="F441" s="63">
        <v>13</v>
      </c>
      <c r="G441" s="69">
        <f t="shared" si="91"/>
        <v>65</v>
      </c>
      <c r="H441" s="70"/>
      <c r="I441" s="70"/>
      <c r="J441" s="70"/>
      <c r="K441" s="65"/>
      <c r="L441" s="65"/>
      <c r="M441" s="71" t="str">
        <f t="shared" ca="1" si="92"/>
        <v/>
      </c>
      <c r="N441" s="80"/>
      <c r="O441" s="81"/>
    </row>
    <row r="442" spans="1:15" ht="15" customHeight="1">
      <c r="A442" s="59">
        <v>46251</v>
      </c>
      <c r="B442" s="60">
        <f t="shared" si="93"/>
        <v>0.6666666666666663</v>
      </c>
      <c r="C442" s="61" t="s">
        <v>54</v>
      </c>
      <c r="D442" s="62" t="s">
        <v>31</v>
      </c>
      <c r="E442" s="62" t="s">
        <v>259</v>
      </c>
      <c r="F442" s="63">
        <v>0</v>
      </c>
      <c r="G442" s="64">
        <f t="shared" si="91"/>
        <v>0</v>
      </c>
      <c r="H442" s="61"/>
      <c r="I442" s="61"/>
      <c r="J442" s="61"/>
      <c r="K442" s="65"/>
      <c r="L442" s="65"/>
      <c r="M442" s="66" t="str">
        <f t="shared" ca="1" si="92"/>
        <v/>
      </c>
      <c r="N442" s="80"/>
      <c r="O442" s="81"/>
    </row>
    <row r="443" spans="1:15" ht="15" customHeight="1">
      <c r="A443" s="18">
        <v>46251</v>
      </c>
      <c r="B443" s="68">
        <f t="shared" si="93"/>
        <v>0.70833333333333293</v>
      </c>
      <c r="C443" s="61" t="s">
        <v>54</v>
      </c>
      <c r="D443" s="62" t="s">
        <v>31</v>
      </c>
      <c r="E443" s="62" t="s">
        <v>259</v>
      </c>
      <c r="F443" s="63">
        <v>8</v>
      </c>
      <c r="G443" s="69">
        <f t="shared" si="91"/>
        <v>40</v>
      </c>
      <c r="H443" s="70"/>
      <c r="I443" s="70"/>
      <c r="J443" s="70"/>
      <c r="K443" s="65"/>
      <c r="L443" s="65"/>
      <c r="M443" s="71" t="str">
        <f t="shared" ca="1" si="92"/>
        <v/>
      </c>
      <c r="N443" s="80"/>
      <c r="O443" s="81"/>
    </row>
    <row r="444" spans="1:15" ht="15" customHeight="1">
      <c r="A444" s="59">
        <v>46251</v>
      </c>
      <c r="B444" s="60">
        <f t="shared" si="93"/>
        <v>0.74999999999999956</v>
      </c>
      <c r="C444" s="61" t="s">
        <v>54</v>
      </c>
      <c r="D444" s="62" t="s">
        <v>31</v>
      </c>
      <c r="E444" s="62" t="s">
        <v>259</v>
      </c>
      <c r="F444" s="63">
        <v>13</v>
      </c>
      <c r="G444" s="64">
        <f t="shared" si="91"/>
        <v>65</v>
      </c>
      <c r="H444" s="61"/>
      <c r="I444" s="61"/>
      <c r="K444" s="65"/>
      <c r="L444" s="65"/>
      <c r="M444" s="66" t="str">
        <f t="shared" ca="1" si="92"/>
        <v/>
      </c>
      <c r="N444" s="80"/>
      <c r="O444" s="81"/>
    </row>
    <row r="445" spans="1:15" ht="15" customHeight="1">
      <c r="A445" s="18">
        <v>46251</v>
      </c>
      <c r="B445" s="68">
        <f t="shared" si="93"/>
        <v>0.79166666666666619</v>
      </c>
      <c r="C445" s="61" t="s">
        <v>54</v>
      </c>
      <c r="D445" s="62" t="s">
        <v>31</v>
      </c>
      <c r="E445" s="62" t="s">
        <v>259</v>
      </c>
      <c r="F445" s="63">
        <v>27</v>
      </c>
      <c r="G445" s="69">
        <f t="shared" si="91"/>
        <v>135</v>
      </c>
      <c r="H445" s="70"/>
      <c r="I445" s="70"/>
      <c r="J445" s="70"/>
      <c r="K445" s="65"/>
      <c r="L445" s="65"/>
      <c r="M445" s="71" t="str">
        <f t="shared" ca="1" si="92"/>
        <v/>
      </c>
      <c r="N445" s="80"/>
      <c r="O445" s="81"/>
    </row>
    <row r="446" spans="1:15" ht="15.75" customHeight="1">
      <c r="A446" s="165" t="s">
        <v>260</v>
      </c>
      <c r="B446" s="165"/>
      <c r="C446" s="165"/>
      <c r="D446" s="165"/>
      <c r="E446" s="165"/>
      <c r="F446" s="2">
        <f>SUM(F434:F445)</f>
        <v>168</v>
      </c>
      <c r="G446" s="83">
        <f>SUM(G434:G445)</f>
        <v>840</v>
      </c>
      <c r="H446" s="72"/>
      <c r="I446" s="72"/>
      <c r="J446" s="72"/>
      <c r="K446" s="72"/>
      <c r="L446" s="72"/>
      <c r="M446" s="73">
        <f ca="1">IFERROR(SUM(M434:M445),"")</f>
        <v>0.1284722222222231</v>
      </c>
      <c r="N446" s="2" t="s">
        <v>261</v>
      </c>
      <c r="O446" s="74">
        <v>1619380</v>
      </c>
    </row>
    <row r="447" spans="1:15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75" t="s">
        <v>259</v>
      </c>
      <c r="F447" s="63">
        <v>50</v>
      </c>
      <c r="G447" s="69">
        <f t="shared" ref="G447:G458" si="94">IF(F447="","",IF(E447="PC 17",F447*4.2,IF(E447="PC 19",F447*5,IF(E447="CB",F447*35,""))))</f>
        <v>250</v>
      </c>
      <c r="H447" s="70" t="s">
        <v>29</v>
      </c>
      <c r="I447" s="70" t="s">
        <v>32</v>
      </c>
      <c r="J447" s="70" t="s">
        <v>144</v>
      </c>
      <c r="K447" s="65">
        <v>0.92013888888888895</v>
      </c>
      <c r="L447" s="65">
        <v>0.95833333333333304</v>
      </c>
      <c r="M447" s="71">
        <f t="shared" ref="M447:M458" ca="1" si="95">IFERROR(IF(K447="","",IF(L447="",MOD(NOW()-K447,1),IF(L447&gt;=K447,L447-K447,L447+1-K447))),"")</f>
        <v>3.8194444444444087E-2</v>
      </c>
      <c r="N447" s="80" t="s">
        <v>286</v>
      </c>
      <c r="O447" s="81"/>
    </row>
    <row r="448" spans="1:15" ht="15" customHeight="1">
      <c r="A448" s="59">
        <v>46251</v>
      </c>
      <c r="B448" s="60">
        <f t="shared" ref="B448:B458" si="96">B447+TIME(0,60,0)</f>
        <v>0.87499999999999967</v>
      </c>
      <c r="C448" s="70" t="s">
        <v>30</v>
      </c>
      <c r="D448" s="75" t="s">
        <v>31</v>
      </c>
      <c r="E448" s="75" t="s">
        <v>259</v>
      </c>
      <c r="F448" s="63">
        <v>60</v>
      </c>
      <c r="G448" s="64">
        <f t="shared" si="94"/>
        <v>300</v>
      </c>
      <c r="H448" s="61" t="s">
        <v>26</v>
      </c>
      <c r="I448" s="61" t="s">
        <v>32</v>
      </c>
      <c r="J448" s="61" t="s">
        <v>130</v>
      </c>
      <c r="K448" s="65">
        <v>0.96180555555555602</v>
      </c>
      <c r="L448" s="65">
        <v>2.2222222222222199E-2</v>
      </c>
      <c r="M448" s="66">
        <f t="shared" ca="1" si="95"/>
        <v>6.0416666666666119E-2</v>
      </c>
      <c r="N448" s="80" t="s">
        <v>287</v>
      </c>
      <c r="O448" s="81"/>
    </row>
    <row r="449" spans="1:15" ht="15" customHeight="1">
      <c r="A449" s="18">
        <v>46251</v>
      </c>
      <c r="B449" s="68">
        <f t="shared" si="96"/>
        <v>0.9166666666666663</v>
      </c>
      <c r="C449" s="70" t="s">
        <v>30</v>
      </c>
      <c r="D449" s="75" t="s">
        <v>31</v>
      </c>
      <c r="E449" s="75" t="s">
        <v>259</v>
      </c>
      <c r="F449" s="63">
        <v>25</v>
      </c>
      <c r="G449" s="69">
        <f t="shared" si="94"/>
        <v>125</v>
      </c>
      <c r="H449" s="70"/>
      <c r="I449" s="70"/>
      <c r="J449" s="70"/>
      <c r="K449" s="65"/>
      <c r="L449" s="65"/>
      <c r="M449" s="71" t="str">
        <f t="shared" ca="1" si="95"/>
        <v/>
      </c>
      <c r="N449" s="80"/>
      <c r="O449" s="81"/>
    </row>
    <row r="450" spans="1:15" ht="15" customHeight="1">
      <c r="A450" s="59">
        <v>46251</v>
      </c>
      <c r="B450" s="60">
        <f t="shared" si="96"/>
        <v>0.95833333333333293</v>
      </c>
      <c r="C450" s="70" t="s">
        <v>30</v>
      </c>
      <c r="D450" s="75" t="s">
        <v>31</v>
      </c>
      <c r="E450" s="75" t="s">
        <v>259</v>
      </c>
      <c r="F450" s="63">
        <v>17</v>
      </c>
      <c r="G450" s="64">
        <f t="shared" si="94"/>
        <v>85</v>
      </c>
      <c r="H450" s="61"/>
      <c r="I450" s="61"/>
      <c r="J450" s="61"/>
      <c r="K450" s="65"/>
      <c r="L450" s="65"/>
      <c r="M450" s="66" t="str">
        <f t="shared" ca="1" si="95"/>
        <v/>
      </c>
      <c r="N450" s="80"/>
      <c r="O450" s="81"/>
    </row>
    <row r="451" spans="1:15" ht="15" customHeight="1">
      <c r="A451" s="18">
        <v>46251</v>
      </c>
      <c r="B451" s="68">
        <f t="shared" si="96"/>
        <v>0.99999999999999956</v>
      </c>
      <c r="C451" s="70" t="s">
        <v>30</v>
      </c>
      <c r="D451" s="75" t="s">
        <v>31</v>
      </c>
      <c r="E451" s="75" t="s">
        <v>259</v>
      </c>
      <c r="F451" s="63">
        <v>10</v>
      </c>
      <c r="G451" s="69">
        <f t="shared" si="94"/>
        <v>50</v>
      </c>
      <c r="H451" s="70"/>
      <c r="I451" s="70"/>
      <c r="J451" s="70"/>
      <c r="K451" s="65"/>
      <c r="L451" s="65"/>
      <c r="M451" s="71" t="str">
        <f t="shared" ca="1" si="95"/>
        <v/>
      </c>
      <c r="N451" s="80"/>
      <c r="O451" s="81"/>
    </row>
    <row r="452" spans="1:15" ht="15" customHeight="1">
      <c r="A452" s="59">
        <v>46251</v>
      </c>
      <c r="B452" s="60">
        <f t="shared" si="96"/>
        <v>1.0416666666666663</v>
      </c>
      <c r="C452" s="70" t="s">
        <v>30</v>
      </c>
      <c r="D452" s="75" t="s">
        <v>31</v>
      </c>
      <c r="E452" s="75" t="s">
        <v>259</v>
      </c>
      <c r="F452" s="63">
        <v>20</v>
      </c>
      <c r="G452" s="64">
        <f t="shared" si="94"/>
        <v>100</v>
      </c>
      <c r="H452" s="61"/>
      <c r="I452" s="61"/>
      <c r="J452" s="61"/>
      <c r="K452" s="65"/>
      <c r="L452" s="65"/>
      <c r="M452" s="66" t="str">
        <f t="shared" ca="1" si="95"/>
        <v/>
      </c>
      <c r="N452" s="80" t="s">
        <v>288</v>
      </c>
      <c r="O452" s="81"/>
    </row>
    <row r="453" spans="1:15" ht="15" customHeight="1">
      <c r="A453" s="18">
        <v>46251</v>
      </c>
      <c r="B453" s="68">
        <f t="shared" si="96"/>
        <v>1.083333333333333</v>
      </c>
      <c r="C453" s="70" t="s">
        <v>30</v>
      </c>
      <c r="D453" s="75" t="s">
        <v>31</v>
      </c>
      <c r="E453" s="75" t="s">
        <v>259</v>
      </c>
      <c r="F453" s="63">
        <v>40</v>
      </c>
      <c r="G453" s="64">
        <f t="shared" si="94"/>
        <v>200</v>
      </c>
      <c r="H453" s="70"/>
      <c r="I453" s="70"/>
      <c r="J453" s="70"/>
      <c r="K453" s="65"/>
      <c r="L453" s="65"/>
      <c r="M453" s="71" t="str">
        <f t="shared" ca="1" si="95"/>
        <v/>
      </c>
      <c r="N453" s="80" t="s">
        <v>289</v>
      </c>
      <c r="O453" s="81"/>
    </row>
    <row r="454" spans="1:15" ht="15" customHeight="1">
      <c r="A454" s="59">
        <v>46251</v>
      </c>
      <c r="B454" s="60">
        <f t="shared" si="96"/>
        <v>1.1249999999999998</v>
      </c>
      <c r="C454" s="70" t="s">
        <v>30</v>
      </c>
      <c r="D454" s="75" t="s">
        <v>31</v>
      </c>
      <c r="E454" s="75" t="s">
        <v>259</v>
      </c>
      <c r="F454" s="63">
        <v>50</v>
      </c>
      <c r="G454" s="64">
        <f t="shared" si="94"/>
        <v>250</v>
      </c>
      <c r="H454" s="61"/>
      <c r="I454" s="61"/>
      <c r="J454" s="61"/>
      <c r="K454" s="65"/>
      <c r="L454" s="65"/>
      <c r="M454" s="66" t="str">
        <f t="shared" ca="1" si="95"/>
        <v/>
      </c>
      <c r="N454" s="80" t="s">
        <v>290</v>
      </c>
      <c r="O454" s="81"/>
    </row>
    <row r="455" spans="1:15" ht="15" customHeight="1">
      <c r="A455" s="18">
        <v>46251</v>
      </c>
      <c r="B455" s="68">
        <f t="shared" si="96"/>
        <v>1.1666666666666665</v>
      </c>
      <c r="C455" s="70" t="s">
        <v>30</v>
      </c>
      <c r="D455" s="75" t="s">
        <v>31</v>
      </c>
      <c r="E455" s="75" t="s">
        <v>259</v>
      </c>
      <c r="F455" s="63">
        <v>35</v>
      </c>
      <c r="G455" s="64">
        <f t="shared" si="94"/>
        <v>175</v>
      </c>
      <c r="H455" s="70"/>
      <c r="I455" s="70"/>
      <c r="J455" s="70"/>
      <c r="K455" s="65"/>
      <c r="L455" s="65"/>
      <c r="M455" s="71" t="str">
        <f t="shared" ca="1" si="95"/>
        <v/>
      </c>
      <c r="N455" s="80"/>
      <c r="O455" s="81"/>
    </row>
    <row r="456" spans="1:15" ht="15" customHeight="1">
      <c r="A456" s="59">
        <v>46251</v>
      </c>
      <c r="B456" s="60">
        <f t="shared" si="96"/>
        <v>1.2083333333333333</v>
      </c>
      <c r="C456" s="70" t="s">
        <v>30</v>
      </c>
      <c r="D456" s="75" t="s">
        <v>31</v>
      </c>
      <c r="E456" s="75" t="s">
        <v>259</v>
      </c>
      <c r="F456" s="63">
        <v>40</v>
      </c>
      <c r="G456" s="64">
        <f t="shared" si="94"/>
        <v>200</v>
      </c>
      <c r="H456" s="61"/>
      <c r="I456" s="61"/>
      <c r="J456" s="61"/>
      <c r="K456" s="65"/>
      <c r="L456" s="65"/>
      <c r="M456" s="66" t="str">
        <f t="shared" ca="1" si="95"/>
        <v/>
      </c>
      <c r="N456" s="80"/>
      <c r="O456" s="81"/>
    </row>
    <row r="457" spans="1:15" ht="15" customHeight="1">
      <c r="A457" s="18">
        <v>46251</v>
      </c>
      <c r="B457" s="68">
        <f t="shared" si="96"/>
        <v>1.25</v>
      </c>
      <c r="C457" s="70" t="s">
        <v>30</v>
      </c>
      <c r="D457" s="75" t="s">
        <v>31</v>
      </c>
      <c r="E457" s="75" t="s">
        <v>259</v>
      </c>
      <c r="F457" s="63">
        <v>35</v>
      </c>
      <c r="G457" s="64">
        <f t="shared" si="94"/>
        <v>175</v>
      </c>
      <c r="H457" s="70"/>
      <c r="I457" s="70"/>
      <c r="J457" s="70"/>
      <c r="K457" s="65"/>
      <c r="L457" s="65"/>
      <c r="M457" s="71" t="str">
        <f t="shared" ca="1" si="95"/>
        <v/>
      </c>
      <c r="N457" s="80"/>
      <c r="O457" s="81"/>
    </row>
    <row r="458" spans="1:15" ht="15" customHeight="1">
      <c r="A458" s="59">
        <v>46251</v>
      </c>
      <c r="B458" s="60">
        <f t="shared" si="96"/>
        <v>1.2916666666666667</v>
      </c>
      <c r="C458" s="70" t="s">
        <v>30</v>
      </c>
      <c r="D458" s="75" t="s">
        <v>31</v>
      </c>
      <c r="E458" s="75" t="s">
        <v>259</v>
      </c>
      <c r="F458" s="63">
        <v>25</v>
      </c>
      <c r="G458" s="64">
        <f t="shared" si="94"/>
        <v>125</v>
      </c>
      <c r="H458" s="61"/>
      <c r="I458" s="61"/>
      <c r="J458" s="61"/>
      <c r="K458" s="65"/>
      <c r="L458" s="65"/>
      <c r="M458" s="66" t="str">
        <f t="shared" ca="1" si="95"/>
        <v/>
      </c>
      <c r="N458" s="80"/>
      <c r="O458" s="81"/>
    </row>
    <row r="459" spans="1:15" ht="15.75" customHeight="1">
      <c r="A459" s="165" t="s">
        <v>263</v>
      </c>
      <c r="B459" s="165"/>
      <c r="C459" s="165"/>
      <c r="D459" s="165"/>
      <c r="E459" s="165"/>
      <c r="F459" s="2">
        <f>SUM(F447:F458)</f>
        <v>407</v>
      </c>
      <c r="G459" s="2">
        <f>SUM(G447:G458)</f>
        <v>2035</v>
      </c>
      <c r="H459" s="72"/>
      <c r="I459" s="72"/>
      <c r="J459" s="72"/>
      <c r="K459" s="72"/>
      <c r="L459" s="72"/>
      <c r="M459" s="73">
        <f ca="1">IFERROR(SUM(M447:M458),"")</f>
        <v>9.8611111111110206E-2</v>
      </c>
      <c r="N459" s="2" t="s">
        <v>261</v>
      </c>
      <c r="O459" s="74">
        <v>2361680</v>
      </c>
    </row>
    <row r="460" spans="1:15" ht="18" customHeight="1">
      <c r="A460" s="166" t="s">
        <v>249</v>
      </c>
      <c r="B460" s="166"/>
      <c r="C460" s="166"/>
      <c r="D460" s="166"/>
      <c r="E460" s="166"/>
      <c r="F460" s="1">
        <f>F446+F459</f>
        <v>575</v>
      </c>
      <c r="G460" s="1">
        <f>G446+G459</f>
        <v>2875</v>
      </c>
      <c r="H460" s="76"/>
      <c r="I460" s="76"/>
      <c r="J460" s="76"/>
      <c r="K460" s="76"/>
      <c r="L460" s="76"/>
      <c r="M460" s="77">
        <f ca="1">IFERROR(M446+M459,"")</f>
        <v>0.2270833333333333</v>
      </c>
      <c r="N460" s="1" t="s">
        <v>264</v>
      </c>
      <c r="O460" s="82">
        <f>IFERROR(O446+O459,"")</f>
        <v>3981060</v>
      </c>
    </row>
    <row r="461" spans="1:15" ht="15" customHeight="1">
      <c r="A461" s="18">
        <v>46252</v>
      </c>
      <c r="B461" s="68">
        <v>0.33333333333333298</v>
      </c>
      <c r="C461" s="70" t="s">
        <v>54</v>
      </c>
      <c r="D461" s="75" t="s">
        <v>31</v>
      </c>
      <c r="E461" s="75" t="s">
        <v>259</v>
      </c>
      <c r="F461" s="63">
        <v>50</v>
      </c>
      <c r="G461" s="69">
        <f t="shared" ref="G461:G472" si="97">IF(F461="","",IF(E461="PC 17",F461*4.2,IF(E461="PC 19",F461*5,IF(E461="CB",F461*35,""))))</f>
        <v>250</v>
      </c>
      <c r="H461" s="70" t="s">
        <v>28</v>
      </c>
      <c r="I461" s="70" t="s">
        <v>32</v>
      </c>
      <c r="J461" s="70" t="s">
        <v>59</v>
      </c>
      <c r="K461" s="65">
        <v>0.6875</v>
      </c>
      <c r="L461" s="65">
        <v>0.719444444444444</v>
      </c>
      <c r="M461" s="71">
        <f t="shared" ref="M461:M472" ca="1" si="98">IFERROR(IF(K461="","",IF(L461="",MOD(NOW()-K461,1),IF(L461&gt;=K461,L461-K461,L461+1-K461))),"")</f>
        <v>3.1944444444443998E-2</v>
      </c>
      <c r="N461" s="80" t="s">
        <v>291</v>
      </c>
      <c r="O461" s="81"/>
    </row>
    <row r="462" spans="1:15" ht="15" customHeight="1">
      <c r="A462" s="59">
        <v>46252</v>
      </c>
      <c r="B462" s="60">
        <f t="shared" ref="B462:B472" si="99">B461+TIME(0,60,0)</f>
        <v>0.37499999999999967</v>
      </c>
      <c r="C462" s="70" t="s">
        <v>54</v>
      </c>
      <c r="D462" s="75" t="s">
        <v>31</v>
      </c>
      <c r="E462" s="75" t="s">
        <v>259</v>
      </c>
      <c r="F462" s="63">
        <v>50</v>
      </c>
      <c r="G462" s="64">
        <f t="shared" si="97"/>
        <v>250</v>
      </c>
      <c r="H462" s="61"/>
      <c r="I462" s="61"/>
      <c r="J462" s="61"/>
      <c r="K462" s="65"/>
      <c r="L462" s="65"/>
      <c r="M462" s="66" t="str">
        <f t="shared" ca="1" si="98"/>
        <v/>
      </c>
      <c r="N462" s="80"/>
      <c r="O462" s="81"/>
    </row>
    <row r="463" spans="1:15" ht="15" customHeight="1">
      <c r="A463" s="18">
        <v>46252</v>
      </c>
      <c r="B463" s="68">
        <f t="shared" si="99"/>
        <v>0.41666666666666635</v>
      </c>
      <c r="C463" s="70" t="s">
        <v>54</v>
      </c>
      <c r="D463" s="75" t="s">
        <v>31</v>
      </c>
      <c r="E463" s="75" t="s">
        <v>259</v>
      </c>
      <c r="F463" s="63">
        <v>50</v>
      </c>
      <c r="G463" s="69">
        <f t="shared" si="97"/>
        <v>250</v>
      </c>
      <c r="H463" s="70"/>
      <c r="I463" s="70"/>
      <c r="J463" s="70"/>
      <c r="K463" s="65"/>
      <c r="L463" s="65"/>
      <c r="M463" s="66" t="str">
        <f t="shared" ca="1" si="98"/>
        <v/>
      </c>
      <c r="N463" s="80"/>
      <c r="O463" s="81"/>
    </row>
    <row r="464" spans="1:15" ht="15" customHeight="1">
      <c r="A464" s="59">
        <v>46252</v>
      </c>
      <c r="B464" s="60">
        <f t="shared" si="99"/>
        <v>0.45833333333333304</v>
      </c>
      <c r="C464" s="70" t="s">
        <v>54</v>
      </c>
      <c r="D464" s="75" t="s">
        <v>31</v>
      </c>
      <c r="E464" s="75" t="s">
        <v>259</v>
      </c>
      <c r="F464" s="63">
        <v>22</v>
      </c>
      <c r="G464" s="64">
        <f t="shared" si="97"/>
        <v>110</v>
      </c>
      <c r="H464" s="61"/>
      <c r="I464" s="61"/>
      <c r="J464" s="61"/>
      <c r="K464" s="65"/>
      <c r="L464" s="65"/>
      <c r="M464" s="66" t="str">
        <f t="shared" ca="1" si="98"/>
        <v/>
      </c>
      <c r="N464" s="80"/>
      <c r="O464" s="81"/>
    </row>
    <row r="465" spans="1:15" ht="15" customHeight="1">
      <c r="A465" s="18">
        <v>46252</v>
      </c>
      <c r="B465" s="68">
        <f t="shared" si="99"/>
        <v>0.49999999999999972</v>
      </c>
      <c r="C465" s="70" t="s">
        <v>54</v>
      </c>
      <c r="D465" s="75" t="s">
        <v>31</v>
      </c>
      <c r="E465" s="75" t="s">
        <v>259</v>
      </c>
      <c r="F465" s="63">
        <v>20</v>
      </c>
      <c r="G465" s="69">
        <f t="shared" si="97"/>
        <v>100</v>
      </c>
      <c r="H465" s="70"/>
      <c r="I465" s="70"/>
      <c r="J465" s="70"/>
      <c r="K465" s="65"/>
      <c r="L465" s="65"/>
      <c r="M465" s="71" t="str">
        <f t="shared" ca="1" si="98"/>
        <v/>
      </c>
      <c r="N465" s="84"/>
      <c r="O465" s="81"/>
    </row>
    <row r="466" spans="1:15" ht="15" customHeight="1">
      <c r="A466" s="59">
        <v>46252</v>
      </c>
      <c r="B466" s="60">
        <f t="shared" si="99"/>
        <v>0.54166666666666641</v>
      </c>
      <c r="C466" s="70" t="s">
        <v>54</v>
      </c>
      <c r="D466" s="75" t="s">
        <v>31</v>
      </c>
      <c r="E466" s="75" t="s">
        <v>259</v>
      </c>
      <c r="F466" s="63">
        <v>29</v>
      </c>
      <c r="G466" s="64">
        <f t="shared" si="97"/>
        <v>145</v>
      </c>
      <c r="H466" s="61"/>
      <c r="I466" s="61"/>
      <c r="J466" s="61"/>
      <c r="K466" s="65"/>
      <c r="L466" s="65"/>
      <c r="M466" s="66" t="str">
        <f t="shared" ca="1" si="98"/>
        <v/>
      </c>
      <c r="N466" s="84"/>
      <c r="O466" s="81"/>
    </row>
    <row r="467" spans="1:15" ht="15" customHeight="1">
      <c r="A467" s="18">
        <v>46252</v>
      </c>
      <c r="B467" s="68">
        <f t="shared" si="99"/>
        <v>0.58333333333333304</v>
      </c>
      <c r="C467" s="70" t="s">
        <v>54</v>
      </c>
      <c r="D467" s="75" t="s">
        <v>31</v>
      </c>
      <c r="E467" s="75" t="s">
        <v>259</v>
      </c>
      <c r="F467" s="63">
        <v>45</v>
      </c>
      <c r="G467" s="69">
        <f t="shared" si="97"/>
        <v>225</v>
      </c>
      <c r="H467" s="70"/>
      <c r="I467" s="70"/>
      <c r="J467" s="70"/>
      <c r="K467" s="65"/>
      <c r="L467" s="65"/>
      <c r="M467" s="71" t="str">
        <f t="shared" ca="1" si="98"/>
        <v/>
      </c>
      <c r="N467" s="80"/>
      <c r="O467" s="81"/>
    </row>
    <row r="468" spans="1:15" ht="15" customHeight="1">
      <c r="A468" s="59">
        <v>46252</v>
      </c>
      <c r="B468" s="60">
        <f t="shared" si="99"/>
        <v>0.62499999999999967</v>
      </c>
      <c r="C468" s="70" t="s">
        <v>54</v>
      </c>
      <c r="D468" s="75" t="s">
        <v>31</v>
      </c>
      <c r="E468" s="75" t="s">
        <v>259</v>
      </c>
      <c r="F468" s="63">
        <v>15</v>
      </c>
      <c r="G468" s="64">
        <f t="shared" si="97"/>
        <v>75</v>
      </c>
      <c r="H468" s="61"/>
      <c r="I468" s="61"/>
      <c r="J468" s="61"/>
      <c r="K468" s="65"/>
      <c r="L468" s="65"/>
      <c r="M468" s="66" t="str">
        <f t="shared" ca="1" si="98"/>
        <v/>
      </c>
      <c r="N468" s="80"/>
      <c r="O468" s="81"/>
    </row>
    <row r="469" spans="1:15" ht="15" customHeight="1">
      <c r="A469" s="18">
        <v>46252</v>
      </c>
      <c r="B469" s="68">
        <f t="shared" si="99"/>
        <v>0.6666666666666663</v>
      </c>
      <c r="C469" s="70" t="s">
        <v>54</v>
      </c>
      <c r="D469" s="75" t="s">
        <v>31</v>
      </c>
      <c r="E469" s="75" t="s">
        <v>259</v>
      </c>
      <c r="F469" s="63">
        <v>23</v>
      </c>
      <c r="G469" s="69">
        <f t="shared" si="97"/>
        <v>115</v>
      </c>
      <c r="H469" s="70"/>
      <c r="I469" s="70"/>
      <c r="J469" s="70"/>
      <c r="K469" s="65"/>
      <c r="L469" s="65"/>
      <c r="M469" s="71" t="str">
        <f t="shared" ca="1" si="98"/>
        <v/>
      </c>
      <c r="N469" s="80"/>
      <c r="O469" s="81"/>
    </row>
    <row r="470" spans="1:15" ht="15" customHeight="1">
      <c r="A470" s="59">
        <v>46252</v>
      </c>
      <c r="B470" s="60">
        <f t="shared" si="99"/>
        <v>0.70833333333333293</v>
      </c>
      <c r="C470" s="70" t="s">
        <v>54</v>
      </c>
      <c r="D470" s="75" t="s">
        <v>31</v>
      </c>
      <c r="E470" s="75" t="s">
        <v>259</v>
      </c>
      <c r="F470" s="63">
        <v>19</v>
      </c>
      <c r="G470" s="64">
        <f t="shared" si="97"/>
        <v>95</v>
      </c>
      <c r="H470" s="61"/>
      <c r="I470" s="61"/>
      <c r="J470" s="61"/>
      <c r="K470" s="65"/>
      <c r="L470" s="65"/>
      <c r="M470" s="66" t="str">
        <f t="shared" ca="1" si="98"/>
        <v/>
      </c>
      <c r="N470" s="80"/>
      <c r="O470" s="81"/>
    </row>
    <row r="471" spans="1:15" ht="15" customHeight="1">
      <c r="A471" s="18">
        <v>46252</v>
      </c>
      <c r="B471" s="68">
        <f t="shared" si="99"/>
        <v>0.74999999999999956</v>
      </c>
      <c r="C471" s="70" t="s">
        <v>54</v>
      </c>
      <c r="D471" s="75" t="s">
        <v>31</v>
      </c>
      <c r="E471" s="75" t="s">
        <v>259</v>
      </c>
      <c r="F471" s="63">
        <v>16</v>
      </c>
      <c r="G471" s="69">
        <f t="shared" si="97"/>
        <v>80</v>
      </c>
      <c r="H471" s="70"/>
      <c r="I471" s="70"/>
      <c r="J471" s="70"/>
      <c r="K471" s="65"/>
      <c r="L471" s="65"/>
      <c r="M471" s="71" t="str">
        <f t="shared" ca="1" si="98"/>
        <v/>
      </c>
      <c r="N471" s="80"/>
      <c r="O471" s="81"/>
    </row>
    <row r="472" spans="1:15" ht="15" customHeight="1">
      <c r="A472" s="59">
        <v>46252</v>
      </c>
      <c r="B472" s="60">
        <f t="shared" si="99"/>
        <v>0.79166666666666619</v>
      </c>
      <c r="C472" s="70" t="s">
        <v>54</v>
      </c>
      <c r="D472" s="75" t="s">
        <v>31</v>
      </c>
      <c r="E472" s="75" t="s">
        <v>259</v>
      </c>
      <c r="F472" s="63">
        <v>8</v>
      </c>
      <c r="G472" s="64">
        <f t="shared" si="97"/>
        <v>40</v>
      </c>
      <c r="H472" s="61"/>
      <c r="I472" s="61"/>
      <c r="J472" s="61"/>
      <c r="K472" s="65"/>
      <c r="L472" s="65"/>
      <c r="M472" s="66" t="str">
        <f t="shared" ca="1" si="98"/>
        <v/>
      </c>
      <c r="N472" s="80"/>
      <c r="O472" s="81"/>
    </row>
    <row r="473" spans="1:15" ht="15.75" customHeight="1">
      <c r="A473" s="165" t="s">
        <v>260</v>
      </c>
      <c r="B473" s="165"/>
      <c r="C473" s="165"/>
      <c r="D473" s="165"/>
      <c r="E473" s="165"/>
      <c r="F473" s="2">
        <f>SUM(F461:F472)</f>
        <v>347</v>
      </c>
      <c r="G473" s="2">
        <f>SUM(G461:G472)</f>
        <v>1735</v>
      </c>
      <c r="H473" s="72"/>
      <c r="I473" s="72"/>
      <c r="J473" s="72"/>
      <c r="K473" s="72"/>
      <c r="L473" s="72"/>
      <c r="M473" s="73">
        <f ca="1">IFERROR(SUM(M461:M472),"")</f>
        <v>3.1944444444443998E-2</v>
      </c>
      <c r="N473" s="2" t="s">
        <v>261</v>
      </c>
      <c r="O473" s="74">
        <v>2284390</v>
      </c>
    </row>
    <row r="474" spans="1:15" ht="15" customHeight="1">
      <c r="A474" s="59">
        <v>46252</v>
      </c>
      <c r="B474" s="60">
        <v>0.83333333333333304</v>
      </c>
      <c r="C474" s="61" t="s">
        <v>38</v>
      </c>
      <c r="D474" s="62" t="s">
        <v>31</v>
      </c>
      <c r="E474" s="62" t="s">
        <v>259</v>
      </c>
      <c r="F474" s="63">
        <v>40</v>
      </c>
      <c r="G474" s="64">
        <f t="shared" ref="G474:G485" si="100">IF(F474="","",IF(E474="PC 17",F474*4.2,IF(E474="PC 19",F474*5,IF(E474="CB",F474*35,""))))</f>
        <v>200</v>
      </c>
      <c r="H474" s="61" t="s">
        <v>29</v>
      </c>
      <c r="I474" s="61" t="s">
        <v>32</v>
      </c>
      <c r="J474" s="61" t="s">
        <v>53</v>
      </c>
      <c r="K474" s="65">
        <v>0.95138888888888895</v>
      </c>
      <c r="L474" s="65">
        <v>0.96180555555555602</v>
      </c>
      <c r="M474" s="66">
        <f t="shared" ref="M474:M485" ca="1" si="101">IFERROR(IF(K474="","",IF(L474="",MOD(NOW()-K474,1),IF(L474&gt;=K474,L474-K474,L474+1-K474))),"")</f>
        <v>1.0416666666667074E-2</v>
      </c>
      <c r="N474" s="80"/>
      <c r="O474" s="81"/>
    </row>
    <row r="475" spans="1:15" ht="15" customHeight="1">
      <c r="A475" s="18">
        <v>46252</v>
      </c>
      <c r="B475" s="68">
        <f t="shared" ref="B475:B485" si="102">B474+TIME(0,60,0)</f>
        <v>0.87499999999999967</v>
      </c>
      <c r="C475" s="61" t="s">
        <v>38</v>
      </c>
      <c r="D475" s="62" t="s">
        <v>31</v>
      </c>
      <c r="E475" s="62" t="s">
        <v>259</v>
      </c>
      <c r="F475" s="63">
        <v>42</v>
      </c>
      <c r="G475" s="69">
        <f t="shared" si="100"/>
        <v>210</v>
      </c>
      <c r="H475" s="70" t="s">
        <v>29</v>
      </c>
      <c r="I475" s="70" t="s">
        <v>32</v>
      </c>
      <c r="J475" s="70" t="s">
        <v>53</v>
      </c>
      <c r="K475" s="65">
        <v>0.104166666666667</v>
      </c>
      <c r="L475" s="65">
        <v>0.118055555555556</v>
      </c>
      <c r="M475" s="71">
        <f t="shared" ca="1" si="101"/>
        <v>1.3888888888888992E-2</v>
      </c>
      <c r="N475" s="80"/>
      <c r="O475" s="81"/>
    </row>
    <row r="476" spans="1:15" ht="15" customHeight="1">
      <c r="A476" s="59">
        <v>46252</v>
      </c>
      <c r="B476" s="60">
        <f t="shared" si="102"/>
        <v>0.9166666666666663</v>
      </c>
      <c r="C476" s="61" t="s">
        <v>38</v>
      </c>
      <c r="D476" s="62" t="s">
        <v>31</v>
      </c>
      <c r="E476" s="62" t="s">
        <v>259</v>
      </c>
      <c r="F476" s="63">
        <v>54</v>
      </c>
      <c r="G476" s="64">
        <f t="shared" si="100"/>
        <v>270</v>
      </c>
      <c r="H476" s="61" t="s">
        <v>29</v>
      </c>
      <c r="I476" s="61" t="s">
        <v>32</v>
      </c>
      <c r="J476" s="61" t="s">
        <v>144</v>
      </c>
      <c r="K476" s="65">
        <v>0.13541666666666699</v>
      </c>
      <c r="L476" s="65">
        <v>0.18958333333333299</v>
      </c>
      <c r="M476" s="66">
        <f t="shared" ca="1" si="101"/>
        <v>5.4166666666666002E-2</v>
      </c>
      <c r="N476" s="80" t="s">
        <v>292</v>
      </c>
      <c r="O476" s="81"/>
    </row>
    <row r="477" spans="1:15" ht="15" customHeight="1">
      <c r="A477" s="18">
        <v>46252</v>
      </c>
      <c r="B477" s="68">
        <f t="shared" si="102"/>
        <v>0.95833333333333293</v>
      </c>
      <c r="C477" s="61" t="s">
        <v>38</v>
      </c>
      <c r="D477" s="62" t="s">
        <v>31</v>
      </c>
      <c r="E477" s="62" t="s">
        <v>259</v>
      </c>
      <c r="F477" s="63">
        <v>72</v>
      </c>
      <c r="G477" s="69">
        <f t="shared" si="100"/>
        <v>360</v>
      </c>
      <c r="H477" s="70"/>
      <c r="I477" s="70"/>
      <c r="J477" s="70"/>
      <c r="K477" s="65"/>
      <c r="L477" s="65"/>
      <c r="M477" s="71" t="str">
        <f t="shared" ca="1" si="101"/>
        <v/>
      </c>
      <c r="N477" s="80"/>
      <c r="O477" s="81"/>
    </row>
    <row r="478" spans="1:15" ht="15" customHeight="1">
      <c r="A478" s="59">
        <v>46252</v>
      </c>
      <c r="B478" s="60">
        <f t="shared" si="102"/>
        <v>0.99999999999999956</v>
      </c>
      <c r="C478" s="61" t="s">
        <v>38</v>
      </c>
      <c r="D478" s="62" t="s">
        <v>31</v>
      </c>
      <c r="E478" s="62" t="s">
        <v>259</v>
      </c>
      <c r="F478" s="63">
        <v>21</v>
      </c>
      <c r="G478" s="64">
        <f t="shared" si="100"/>
        <v>105</v>
      </c>
      <c r="H478" s="61"/>
      <c r="I478" s="61"/>
      <c r="J478" s="61"/>
      <c r="K478" s="65"/>
      <c r="L478" s="65"/>
      <c r="M478" s="66" t="str">
        <f t="shared" ca="1" si="101"/>
        <v/>
      </c>
      <c r="N478" s="80"/>
      <c r="O478" s="81"/>
    </row>
    <row r="479" spans="1:15" ht="15" customHeight="1">
      <c r="A479" s="18">
        <v>46252</v>
      </c>
      <c r="B479" s="68">
        <f t="shared" si="102"/>
        <v>1.0416666666666663</v>
      </c>
      <c r="C479" s="61" t="s">
        <v>38</v>
      </c>
      <c r="D479" s="62" t="s">
        <v>31</v>
      </c>
      <c r="E479" s="62" t="s">
        <v>259</v>
      </c>
      <c r="F479" s="63">
        <v>36</v>
      </c>
      <c r="G479" s="69">
        <f t="shared" si="100"/>
        <v>180</v>
      </c>
      <c r="H479" s="70"/>
      <c r="I479" s="70"/>
      <c r="J479" s="70"/>
      <c r="K479" s="65"/>
      <c r="L479" s="65"/>
      <c r="M479" s="71" t="str">
        <f t="shared" ca="1" si="101"/>
        <v/>
      </c>
      <c r="N479" s="80"/>
      <c r="O479" s="81"/>
    </row>
    <row r="480" spans="1:15" ht="15" customHeight="1">
      <c r="A480" s="59">
        <v>46252</v>
      </c>
      <c r="B480" s="60">
        <f t="shared" si="102"/>
        <v>1.083333333333333</v>
      </c>
      <c r="C480" s="61" t="s">
        <v>38</v>
      </c>
      <c r="D480" s="62" t="s">
        <v>31</v>
      </c>
      <c r="E480" s="62" t="s">
        <v>259</v>
      </c>
      <c r="F480" s="63">
        <v>14</v>
      </c>
      <c r="G480" s="64">
        <f t="shared" si="100"/>
        <v>70</v>
      </c>
      <c r="H480" s="61"/>
      <c r="I480" s="61"/>
      <c r="J480" s="61"/>
      <c r="K480" s="65"/>
      <c r="L480" s="65"/>
      <c r="M480" s="66" t="str">
        <f t="shared" ca="1" si="101"/>
        <v/>
      </c>
      <c r="N480" s="80"/>
      <c r="O480" s="81"/>
    </row>
    <row r="481" spans="1:15" ht="15" customHeight="1">
      <c r="A481" s="18">
        <v>46252</v>
      </c>
      <c r="B481" s="68">
        <f t="shared" si="102"/>
        <v>1.1249999999999998</v>
      </c>
      <c r="C481" s="61" t="s">
        <v>38</v>
      </c>
      <c r="D481" s="62" t="s">
        <v>31</v>
      </c>
      <c r="E481" s="62" t="s">
        <v>259</v>
      </c>
      <c r="F481" s="63">
        <v>0</v>
      </c>
      <c r="G481" s="69">
        <f t="shared" si="100"/>
        <v>0</v>
      </c>
      <c r="H481" s="70"/>
      <c r="I481" s="70"/>
      <c r="J481" s="70"/>
      <c r="K481" s="65"/>
      <c r="L481" s="65"/>
      <c r="M481" s="71" t="str">
        <f t="shared" ca="1" si="101"/>
        <v/>
      </c>
      <c r="N481" s="80"/>
      <c r="O481" s="81"/>
    </row>
    <row r="482" spans="1:15" ht="15" customHeight="1">
      <c r="A482" s="59">
        <v>46252</v>
      </c>
      <c r="B482" s="60">
        <f t="shared" si="102"/>
        <v>1.1666666666666665</v>
      </c>
      <c r="C482" s="61" t="s">
        <v>38</v>
      </c>
      <c r="D482" s="62" t="s">
        <v>31</v>
      </c>
      <c r="E482" s="62" t="s">
        <v>259</v>
      </c>
      <c r="F482" s="63">
        <v>4</v>
      </c>
      <c r="G482" s="64">
        <f t="shared" si="100"/>
        <v>20</v>
      </c>
      <c r="H482" s="61"/>
      <c r="I482" s="61"/>
      <c r="J482" s="61"/>
      <c r="K482" s="65"/>
      <c r="L482" s="65"/>
      <c r="M482" s="66" t="str">
        <f t="shared" ca="1" si="101"/>
        <v/>
      </c>
      <c r="N482" s="80"/>
      <c r="O482" s="81"/>
    </row>
    <row r="483" spans="1:15" ht="15" customHeight="1">
      <c r="A483" s="18">
        <v>46252</v>
      </c>
      <c r="B483" s="68">
        <f t="shared" si="102"/>
        <v>1.2083333333333333</v>
      </c>
      <c r="C483" s="61" t="s">
        <v>38</v>
      </c>
      <c r="D483" s="62" t="s">
        <v>31</v>
      </c>
      <c r="E483" s="62" t="s">
        <v>259</v>
      </c>
      <c r="F483" s="63">
        <v>22</v>
      </c>
      <c r="G483" s="69">
        <f t="shared" si="100"/>
        <v>110</v>
      </c>
      <c r="H483" s="70"/>
      <c r="I483" s="70"/>
      <c r="J483" s="70"/>
      <c r="K483" s="65"/>
      <c r="L483" s="65"/>
      <c r="M483" s="71" t="str">
        <f t="shared" ca="1" si="101"/>
        <v/>
      </c>
      <c r="N483" s="80"/>
      <c r="O483" s="81"/>
    </row>
    <row r="484" spans="1:15" ht="15" customHeight="1">
      <c r="A484" s="59">
        <v>46252</v>
      </c>
      <c r="B484" s="60">
        <f t="shared" si="102"/>
        <v>1.25</v>
      </c>
      <c r="C484" s="61" t="s">
        <v>38</v>
      </c>
      <c r="D484" s="62" t="s">
        <v>31</v>
      </c>
      <c r="E484" s="62" t="s">
        <v>259</v>
      </c>
      <c r="F484" s="63">
        <v>30</v>
      </c>
      <c r="G484" s="64">
        <f t="shared" si="100"/>
        <v>150</v>
      </c>
      <c r="H484" s="61"/>
      <c r="I484" s="61"/>
      <c r="J484" s="61"/>
      <c r="K484" s="65"/>
      <c r="L484" s="65"/>
      <c r="M484" s="66" t="str">
        <f t="shared" ca="1" si="101"/>
        <v/>
      </c>
      <c r="N484" s="80"/>
      <c r="O484" s="81"/>
    </row>
    <row r="485" spans="1:15" ht="15" customHeight="1">
      <c r="A485" s="18">
        <v>46252</v>
      </c>
      <c r="B485" s="68">
        <f t="shared" si="102"/>
        <v>1.2916666666666667</v>
      </c>
      <c r="C485" s="61" t="s">
        <v>38</v>
      </c>
      <c r="D485" s="62" t="s">
        <v>31</v>
      </c>
      <c r="E485" s="62" t="s">
        <v>259</v>
      </c>
      <c r="F485" s="63">
        <v>28</v>
      </c>
      <c r="G485" s="69">
        <f t="shared" si="100"/>
        <v>140</v>
      </c>
      <c r="H485" s="70"/>
      <c r="I485" s="70"/>
      <c r="J485" s="70"/>
      <c r="K485" s="65"/>
      <c r="L485" s="65"/>
      <c r="M485" s="71" t="str">
        <f t="shared" ca="1" si="101"/>
        <v/>
      </c>
      <c r="N485" s="80"/>
      <c r="O485" s="81"/>
    </row>
    <row r="486" spans="1:15" ht="15.75" customHeight="1">
      <c r="A486" s="165" t="s">
        <v>263</v>
      </c>
      <c r="B486" s="165"/>
      <c r="C486" s="165"/>
      <c r="D486" s="165"/>
      <c r="E486" s="165"/>
      <c r="F486" s="2">
        <f>SUM(F474:F485)</f>
        <v>363</v>
      </c>
      <c r="G486" s="2">
        <f>SUM(G474:G485)</f>
        <v>1815</v>
      </c>
      <c r="H486" s="72"/>
      <c r="I486" s="72"/>
      <c r="J486" s="72"/>
      <c r="K486" s="72"/>
      <c r="L486" s="72"/>
      <c r="M486" s="73">
        <f ca="1">IFERROR(SUM(M474:M485),"")</f>
        <v>7.8472222222222068E-2</v>
      </c>
      <c r="N486" s="2" t="s">
        <v>261</v>
      </c>
      <c r="O486" s="74">
        <v>1798670</v>
      </c>
    </row>
    <row r="487" spans="1:15" ht="18" customHeight="1">
      <c r="A487" s="166" t="s">
        <v>249</v>
      </c>
      <c r="B487" s="166"/>
      <c r="C487" s="166"/>
      <c r="D487" s="166"/>
      <c r="E487" s="166"/>
      <c r="F487" s="1">
        <f>F473+F486</f>
        <v>710</v>
      </c>
      <c r="G487" s="1">
        <f>G473+G486</f>
        <v>3550</v>
      </c>
      <c r="H487" s="76"/>
      <c r="I487" s="76"/>
      <c r="J487" s="76"/>
      <c r="K487" s="76"/>
      <c r="L487" s="76"/>
      <c r="M487" s="77">
        <f ca="1">IFERROR(M473+M486,"")</f>
        <v>0.11041666666666607</v>
      </c>
      <c r="N487" s="1" t="s">
        <v>264</v>
      </c>
      <c r="O487" s="82">
        <f>IFERROR(O473+O486,"")</f>
        <v>4083060</v>
      </c>
    </row>
    <row r="488" spans="1:15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62" t="s">
        <v>259</v>
      </c>
      <c r="F488" s="63">
        <v>0</v>
      </c>
      <c r="G488" s="64">
        <f t="shared" ref="G488:G491" si="103">IF(F488="","",IF(E488="PC 17",F488*4.2,IF(E488="PC 19",F488*5,IF(E488="CB",F488*35,""))))</f>
        <v>0</v>
      </c>
      <c r="H488" s="61" t="s">
        <v>27</v>
      </c>
      <c r="I488" s="61" t="s">
        <v>32</v>
      </c>
      <c r="J488" s="61" t="s">
        <v>140</v>
      </c>
      <c r="K488" s="65">
        <v>0.31111111111111101</v>
      </c>
      <c r="L488" s="65">
        <v>0.41666666666666669</v>
      </c>
      <c r="M488" s="66">
        <f t="shared" ref="M488:M499" ca="1" si="104">IFERROR(IF(K488="","",IF(L488="",MOD(NOW()-K488,1),IF(L488&gt;=K488,L488-K488,L488+1-K488))),"")</f>
        <v>0.10555555555555568</v>
      </c>
      <c r="N488" s="80"/>
      <c r="O488" s="81"/>
    </row>
    <row r="489" spans="1:15" ht="15" customHeight="1">
      <c r="A489" s="18">
        <v>46253</v>
      </c>
      <c r="B489" s="68">
        <f t="shared" ref="B489:B499" si="105">B488+TIME(0,60,0)</f>
        <v>0.37499999999999967</v>
      </c>
      <c r="C489" s="61" t="s">
        <v>54</v>
      </c>
      <c r="D489" s="62" t="s">
        <v>39</v>
      </c>
      <c r="E489" s="62" t="s">
        <v>259</v>
      </c>
      <c r="F489" s="63">
        <v>0</v>
      </c>
      <c r="G489" s="69">
        <f t="shared" si="103"/>
        <v>0</v>
      </c>
      <c r="H489" s="153" t="s">
        <v>28</v>
      </c>
      <c r="I489" s="153" t="s">
        <v>32</v>
      </c>
      <c r="J489" s="70" t="s">
        <v>59</v>
      </c>
      <c r="K489" s="65">
        <v>0.71805555555555556</v>
      </c>
      <c r="L489" s="65">
        <v>0.72430555555555554</v>
      </c>
      <c r="M489" s="71">
        <f t="shared" ca="1" si="104"/>
        <v>6.2499999999999778E-3</v>
      </c>
      <c r="N489" s="80" t="s">
        <v>293</v>
      </c>
      <c r="O489" s="81"/>
    </row>
    <row r="490" spans="1:15" ht="15" customHeight="1">
      <c r="A490" s="59">
        <v>46253</v>
      </c>
      <c r="B490" s="60">
        <f t="shared" si="105"/>
        <v>0.41666666666666635</v>
      </c>
      <c r="C490" s="61" t="s">
        <v>54</v>
      </c>
      <c r="D490" s="62" t="s">
        <v>39</v>
      </c>
      <c r="E490" s="62" t="s">
        <v>259</v>
      </c>
      <c r="F490" s="63">
        <v>6</v>
      </c>
      <c r="G490" s="64">
        <f t="shared" si="103"/>
        <v>30</v>
      </c>
      <c r="H490" s="61"/>
      <c r="I490" s="61"/>
      <c r="J490" s="61"/>
      <c r="K490" s="65"/>
      <c r="L490" s="65"/>
      <c r="M490" s="66" t="str">
        <f t="shared" ca="1" si="104"/>
        <v/>
      </c>
      <c r="N490" s="80"/>
      <c r="O490" s="81"/>
    </row>
    <row r="491" spans="1:15" ht="15" customHeight="1">
      <c r="A491" s="18">
        <v>46253</v>
      </c>
      <c r="B491" s="68">
        <f t="shared" si="105"/>
        <v>0.45833333333333304</v>
      </c>
      <c r="C491" s="61" t="s">
        <v>54</v>
      </c>
      <c r="D491" s="62" t="s">
        <v>39</v>
      </c>
      <c r="E491" s="62" t="s">
        <v>259</v>
      </c>
      <c r="F491" s="63">
        <v>30</v>
      </c>
      <c r="G491" s="69">
        <f t="shared" si="103"/>
        <v>150</v>
      </c>
      <c r="H491" s="153"/>
      <c r="I491" s="153"/>
      <c r="J491" s="70"/>
      <c r="K491" s="65"/>
      <c r="L491" s="65"/>
      <c r="M491" s="71" t="str">
        <f t="shared" ca="1" si="104"/>
        <v/>
      </c>
      <c r="N491" s="80"/>
      <c r="O491" s="81"/>
    </row>
    <row r="492" spans="1:15" ht="15" customHeight="1">
      <c r="A492" s="59">
        <v>46253</v>
      </c>
      <c r="B492" s="60">
        <f t="shared" si="105"/>
        <v>0.49999999999999972</v>
      </c>
      <c r="C492" s="61" t="s">
        <v>54</v>
      </c>
      <c r="D492" s="62" t="s">
        <v>39</v>
      </c>
      <c r="E492" s="62" t="s">
        <v>259</v>
      </c>
      <c r="F492" s="63">
        <v>21</v>
      </c>
      <c r="G492" s="64">
        <f t="shared" ref="G492:G499" si="106">IF(F492="","",IF(E492="PC 17",F492*4.2,IF(E492="PC 19",F492*5,IF(E492="CB",F492*35,""))))</f>
        <v>105</v>
      </c>
      <c r="H492" s="61"/>
      <c r="I492" s="61"/>
      <c r="J492" s="61"/>
      <c r="K492" s="65"/>
      <c r="L492" s="65"/>
      <c r="M492" s="66" t="str">
        <f t="shared" ca="1" si="104"/>
        <v/>
      </c>
      <c r="N492" s="80"/>
      <c r="O492" s="81"/>
    </row>
    <row r="493" spans="1:15" ht="15" customHeight="1">
      <c r="A493" s="18">
        <v>46253</v>
      </c>
      <c r="B493" s="68">
        <f t="shared" si="105"/>
        <v>0.54166666666666641</v>
      </c>
      <c r="C493" s="61" t="s">
        <v>54</v>
      </c>
      <c r="D493" s="62" t="s">
        <v>39</v>
      </c>
      <c r="E493" s="62" t="s">
        <v>259</v>
      </c>
      <c r="F493" s="63">
        <v>30</v>
      </c>
      <c r="G493" s="69">
        <f t="shared" si="106"/>
        <v>150</v>
      </c>
      <c r="H493" s="70"/>
      <c r="I493" s="70"/>
      <c r="J493" s="70"/>
      <c r="K493" s="65"/>
      <c r="L493" s="65"/>
      <c r="M493" s="71" t="str">
        <f t="shared" ca="1" si="104"/>
        <v/>
      </c>
      <c r="N493" s="80"/>
      <c r="O493" s="81"/>
    </row>
    <row r="494" spans="1:15" ht="15" customHeight="1">
      <c r="A494" s="59">
        <v>46253</v>
      </c>
      <c r="B494" s="60">
        <f t="shared" si="105"/>
        <v>0.58333333333333304</v>
      </c>
      <c r="C494" s="61" t="s">
        <v>54</v>
      </c>
      <c r="D494" s="62" t="s">
        <v>39</v>
      </c>
      <c r="E494" s="62" t="s">
        <v>259</v>
      </c>
      <c r="F494" s="63">
        <v>53</v>
      </c>
      <c r="G494" s="64">
        <f t="shared" si="106"/>
        <v>265</v>
      </c>
      <c r="H494" s="61"/>
      <c r="I494" s="61"/>
      <c r="J494" s="61"/>
      <c r="K494" s="65"/>
      <c r="L494" s="65"/>
      <c r="M494" s="66" t="str">
        <f t="shared" ca="1" si="104"/>
        <v/>
      </c>
      <c r="N494" s="80"/>
      <c r="O494" s="81"/>
    </row>
    <row r="495" spans="1:15" ht="15" customHeight="1">
      <c r="A495" s="18">
        <v>46253</v>
      </c>
      <c r="B495" s="68">
        <f t="shared" si="105"/>
        <v>0.62499999999999967</v>
      </c>
      <c r="C495" s="61" t="s">
        <v>54</v>
      </c>
      <c r="D495" s="62" t="s">
        <v>39</v>
      </c>
      <c r="E495" s="62" t="s">
        <v>259</v>
      </c>
      <c r="F495" s="63">
        <v>35</v>
      </c>
      <c r="G495" s="69">
        <f t="shared" si="106"/>
        <v>175</v>
      </c>
      <c r="H495" s="70"/>
      <c r="I495" s="70"/>
      <c r="J495" s="70"/>
      <c r="K495" s="65"/>
      <c r="L495" s="65"/>
      <c r="M495" s="71" t="str">
        <f t="shared" ca="1" si="104"/>
        <v/>
      </c>
      <c r="N495" s="80"/>
      <c r="O495" s="81"/>
    </row>
    <row r="496" spans="1:15" ht="15" customHeight="1">
      <c r="A496" s="59">
        <v>46253</v>
      </c>
      <c r="B496" s="60">
        <f t="shared" si="105"/>
        <v>0.6666666666666663</v>
      </c>
      <c r="C496" s="61" t="s">
        <v>54</v>
      </c>
      <c r="D496" s="62" t="s">
        <v>39</v>
      </c>
      <c r="E496" s="62" t="s">
        <v>259</v>
      </c>
      <c r="F496" s="63">
        <v>40</v>
      </c>
      <c r="G496" s="64">
        <f t="shared" si="106"/>
        <v>200</v>
      </c>
      <c r="H496" s="61"/>
      <c r="I496" s="61"/>
      <c r="J496" s="61"/>
      <c r="K496" s="65"/>
      <c r="L496" s="65"/>
      <c r="M496" s="66" t="str">
        <f t="shared" ca="1" si="104"/>
        <v/>
      </c>
      <c r="N496" s="80"/>
      <c r="O496" s="81"/>
    </row>
    <row r="497" spans="1:15" ht="15" customHeight="1">
      <c r="A497" s="18">
        <v>46253</v>
      </c>
      <c r="B497" s="68">
        <f t="shared" si="105"/>
        <v>0.70833333333333293</v>
      </c>
      <c r="C497" s="61" t="s">
        <v>54</v>
      </c>
      <c r="D497" s="62" t="s">
        <v>39</v>
      </c>
      <c r="E497" s="62" t="s">
        <v>259</v>
      </c>
      <c r="F497" s="63">
        <v>30</v>
      </c>
      <c r="G497" s="69">
        <f t="shared" si="106"/>
        <v>150</v>
      </c>
      <c r="H497" s="70"/>
      <c r="I497" s="70"/>
      <c r="J497" s="70"/>
      <c r="K497" s="65"/>
      <c r="L497" s="65"/>
      <c r="M497" s="71" t="str">
        <f t="shared" ca="1" si="104"/>
        <v/>
      </c>
      <c r="N497" s="80"/>
      <c r="O497" s="81"/>
    </row>
    <row r="498" spans="1:15" ht="15" customHeight="1">
      <c r="A498" s="59">
        <v>46253</v>
      </c>
      <c r="B498" s="60">
        <f t="shared" si="105"/>
        <v>0.74999999999999956</v>
      </c>
      <c r="C498" s="61" t="s">
        <v>54</v>
      </c>
      <c r="D498" s="62" t="s">
        <v>39</v>
      </c>
      <c r="E498" s="62" t="s">
        <v>259</v>
      </c>
      <c r="F498" s="63">
        <v>25</v>
      </c>
      <c r="G498" s="64">
        <f t="shared" si="106"/>
        <v>125</v>
      </c>
      <c r="H498" s="61"/>
      <c r="I498" s="61"/>
      <c r="J498" s="61"/>
      <c r="K498" s="65"/>
      <c r="L498" s="65"/>
      <c r="M498" s="66" t="str">
        <f t="shared" ca="1" si="104"/>
        <v/>
      </c>
      <c r="N498" s="80"/>
      <c r="O498" s="81"/>
    </row>
    <row r="499" spans="1:15" ht="15" customHeight="1">
      <c r="A499" s="18">
        <v>46253</v>
      </c>
      <c r="B499" s="68">
        <f t="shared" si="105"/>
        <v>0.79166666666666619</v>
      </c>
      <c r="C499" s="61" t="s">
        <v>54</v>
      </c>
      <c r="D499" s="62" t="s">
        <v>39</v>
      </c>
      <c r="E499" s="62" t="s">
        <v>259</v>
      </c>
      <c r="F499" s="63">
        <v>12</v>
      </c>
      <c r="G499" s="69">
        <f t="shared" si="106"/>
        <v>60</v>
      </c>
      <c r="H499" s="70"/>
      <c r="I499" s="70"/>
      <c r="J499" s="70"/>
      <c r="K499" s="65"/>
      <c r="L499" s="65"/>
      <c r="M499" s="71" t="str">
        <f t="shared" ca="1" si="104"/>
        <v/>
      </c>
      <c r="N499" s="80"/>
      <c r="O499" s="81"/>
    </row>
    <row r="500" spans="1:15" ht="15.75" customHeight="1">
      <c r="A500" s="165" t="s">
        <v>260</v>
      </c>
      <c r="B500" s="165"/>
      <c r="C500" s="165"/>
      <c r="D500" s="165"/>
      <c r="E500" s="165"/>
      <c r="F500" s="2">
        <f>SUM(F488:F499)</f>
        <v>282</v>
      </c>
      <c r="G500" s="2">
        <f>SUM(G488:G499)</f>
        <v>1410</v>
      </c>
      <c r="H500" s="72"/>
      <c r="I500" s="72"/>
      <c r="J500" s="72"/>
      <c r="K500" s="72"/>
      <c r="L500" s="72"/>
      <c r="M500" s="73">
        <f ca="1">IFERROR(SUM(M488:M499),"")</f>
        <v>0.11180555555555566</v>
      </c>
      <c r="N500" s="2" t="s">
        <v>261</v>
      </c>
      <c r="O500" s="74">
        <v>1474930</v>
      </c>
    </row>
    <row r="501" spans="1:15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75" t="s">
        <v>259</v>
      </c>
      <c r="F501" s="63">
        <v>40</v>
      </c>
      <c r="G501" s="69">
        <f t="shared" ref="G501:G512" si="107">IF(F501="","",IF(E501="PC 17",F501*4.2,IF(E501="PC 19",F501*5,IF(E501="CB",F501*35,""))))</f>
        <v>200</v>
      </c>
      <c r="H501" s="70" t="s">
        <v>29</v>
      </c>
      <c r="I501" s="70" t="s">
        <v>32</v>
      </c>
      <c r="J501" s="70" t="s">
        <v>53</v>
      </c>
      <c r="K501" s="65">
        <v>9.4444444444444442E-2</v>
      </c>
      <c r="L501" s="65">
        <v>0.10069444444444445</v>
      </c>
      <c r="M501" s="71">
        <f t="shared" ref="M501:M512" ca="1" si="108">IFERROR(IF(K501="","",IF(L501="",MOD(NOW()-K501,1),IF(L501&gt;=K501,L501-K501,L501+1-K501))),"")</f>
        <v>6.2500000000000056E-3</v>
      </c>
      <c r="N501" s="80"/>
      <c r="O501" s="81"/>
    </row>
    <row r="502" spans="1:15" ht="15" customHeight="1">
      <c r="A502" s="59">
        <v>46253</v>
      </c>
      <c r="B502" s="60">
        <f t="shared" ref="B502:B512" si="109">B501+TIME(0,60,0)</f>
        <v>0.87499999999999967</v>
      </c>
      <c r="C502" s="70" t="s">
        <v>38</v>
      </c>
      <c r="D502" s="75" t="s">
        <v>31</v>
      </c>
      <c r="E502" s="75" t="s">
        <v>259</v>
      </c>
      <c r="F502" s="63">
        <v>43</v>
      </c>
      <c r="G502" s="64">
        <f t="shared" si="107"/>
        <v>215</v>
      </c>
      <c r="H502" s="61" t="s">
        <v>27</v>
      </c>
      <c r="I502" s="61" t="s">
        <v>32</v>
      </c>
      <c r="J502" s="61" t="s">
        <v>167</v>
      </c>
      <c r="K502" s="65">
        <v>0.25624999999999998</v>
      </c>
      <c r="L502" s="65">
        <v>0.29166666666666669</v>
      </c>
      <c r="M502" s="66">
        <f t="shared" ca="1" si="108"/>
        <v>3.5416666666666707E-2</v>
      </c>
      <c r="N502" s="80" t="s">
        <v>294</v>
      </c>
      <c r="O502" s="81"/>
    </row>
    <row r="503" spans="1:15" ht="15" customHeight="1">
      <c r="A503" s="18">
        <v>46253</v>
      </c>
      <c r="B503" s="68">
        <f t="shared" si="109"/>
        <v>0.9166666666666663</v>
      </c>
      <c r="C503" s="70" t="s">
        <v>38</v>
      </c>
      <c r="D503" s="75" t="s">
        <v>31</v>
      </c>
      <c r="E503" s="75" t="s">
        <v>259</v>
      </c>
      <c r="F503" s="63">
        <v>42</v>
      </c>
      <c r="G503" s="69">
        <f t="shared" si="107"/>
        <v>210</v>
      </c>
      <c r="H503" s="70"/>
      <c r="I503" s="70"/>
      <c r="J503" s="70"/>
      <c r="K503" s="65"/>
      <c r="L503" s="65"/>
      <c r="M503" s="71" t="str">
        <f t="shared" ca="1" si="108"/>
        <v/>
      </c>
      <c r="N503" s="80"/>
      <c r="O503" s="81"/>
    </row>
    <row r="504" spans="1:15" ht="15" customHeight="1">
      <c r="A504" s="59">
        <v>46253</v>
      </c>
      <c r="B504" s="60">
        <f t="shared" si="109"/>
        <v>0.95833333333333293</v>
      </c>
      <c r="C504" s="70" t="s">
        <v>38</v>
      </c>
      <c r="D504" s="75" t="s">
        <v>31</v>
      </c>
      <c r="E504" s="75" t="s">
        <v>259</v>
      </c>
      <c r="F504" s="63">
        <v>20</v>
      </c>
      <c r="G504" s="64">
        <f t="shared" si="107"/>
        <v>100</v>
      </c>
      <c r="H504" s="61"/>
      <c r="I504" s="61"/>
      <c r="J504" s="61"/>
      <c r="K504" s="65"/>
      <c r="L504" s="65"/>
      <c r="M504" s="66" t="str">
        <f t="shared" ca="1" si="108"/>
        <v/>
      </c>
      <c r="N504" s="80"/>
      <c r="O504" s="81"/>
    </row>
    <row r="505" spans="1:15" ht="15" customHeight="1">
      <c r="A505" s="18">
        <v>46253</v>
      </c>
      <c r="B505" s="68">
        <f t="shared" si="109"/>
        <v>0.99999999999999956</v>
      </c>
      <c r="C505" s="70" t="s">
        <v>38</v>
      </c>
      <c r="D505" s="75" t="s">
        <v>31</v>
      </c>
      <c r="E505" s="75" t="s">
        <v>259</v>
      </c>
      <c r="F505" s="63">
        <v>32</v>
      </c>
      <c r="G505" s="69">
        <f t="shared" si="107"/>
        <v>160</v>
      </c>
      <c r="H505" s="70"/>
      <c r="I505" s="70"/>
      <c r="J505" s="70"/>
      <c r="K505" s="65"/>
      <c r="L505" s="65"/>
      <c r="M505" s="71" t="str">
        <f t="shared" ca="1" si="108"/>
        <v/>
      </c>
      <c r="N505" s="80"/>
      <c r="O505" s="81"/>
    </row>
    <row r="506" spans="1:15" ht="15" customHeight="1">
      <c r="A506" s="59">
        <v>46253</v>
      </c>
      <c r="B506" s="60">
        <f t="shared" si="109"/>
        <v>1.0416666666666663</v>
      </c>
      <c r="C506" s="70" t="s">
        <v>38</v>
      </c>
      <c r="D506" s="75" t="s">
        <v>31</v>
      </c>
      <c r="E506" s="75" t="s">
        <v>259</v>
      </c>
      <c r="F506" s="63">
        <v>30</v>
      </c>
      <c r="G506" s="64">
        <f t="shared" si="107"/>
        <v>150</v>
      </c>
      <c r="H506" s="61"/>
      <c r="I506" s="61"/>
      <c r="J506" s="61"/>
      <c r="K506" s="65"/>
      <c r="L506" s="65"/>
      <c r="M506" s="66" t="str">
        <f t="shared" ca="1" si="108"/>
        <v/>
      </c>
      <c r="N506" s="80"/>
      <c r="O506" s="81"/>
    </row>
    <row r="507" spans="1:15" ht="15" customHeight="1">
      <c r="A507" s="18">
        <v>46253</v>
      </c>
      <c r="B507" s="68">
        <f t="shared" si="109"/>
        <v>1.083333333333333</v>
      </c>
      <c r="C507" s="70" t="s">
        <v>38</v>
      </c>
      <c r="D507" s="75" t="s">
        <v>31</v>
      </c>
      <c r="E507" s="75" t="s">
        <v>259</v>
      </c>
      <c r="F507" s="63">
        <v>30</v>
      </c>
      <c r="G507" s="69">
        <f t="shared" si="107"/>
        <v>150</v>
      </c>
      <c r="H507" s="70"/>
      <c r="I507" s="70"/>
      <c r="J507" s="70"/>
      <c r="K507" s="65"/>
      <c r="L507" s="65"/>
      <c r="M507" s="71" t="str">
        <f t="shared" ca="1" si="108"/>
        <v/>
      </c>
      <c r="N507" s="80"/>
      <c r="O507" s="81"/>
    </row>
    <row r="508" spans="1:15" ht="15" customHeight="1">
      <c r="A508" s="59">
        <v>46253</v>
      </c>
      <c r="B508" s="60">
        <f t="shared" si="109"/>
        <v>1.1249999999999998</v>
      </c>
      <c r="C508" s="70" t="s">
        <v>38</v>
      </c>
      <c r="D508" s="75" t="s">
        <v>31</v>
      </c>
      <c r="E508" s="75" t="s">
        <v>259</v>
      </c>
      <c r="F508" s="63">
        <v>30</v>
      </c>
      <c r="G508" s="64">
        <f t="shared" si="107"/>
        <v>150</v>
      </c>
      <c r="H508" s="61"/>
      <c r="I508" s="61"/>
      <c r="J508" s="61"/>
      <c r="K508" s="65"/>
      <c r="L508" s="65"/>
      <c r="M508" s="66" t="str">
        <f t="shared" ca="1" si="108"/>
        <v/>
      </c>
      <c r="N508" s="80"/>
      <c r="O508" s="81"/>
    </row>
    <row r="509" spans="1:15" ht="15" customHeight="1">
      <c r="A509" s="18">
        <v>46253</v>
      </c>
      <c r="B509" s="68">
        <f t="shared" si="109"/>
        <v>1.1666666666666665</v>
      </c>
      <c r="C509" s="70" t="s">
        <v>38</v>
      </c>
      <c r="D509" s="75" t="s">
        <v>31</v>
      </c>
      <c r="E509" s="75" t="s">
        <v>259</v>
      </c>
      <c r="F509" s="63">
        <v>44</v>
      </c>
      <c r="G509" s="69">
        <f t="shared" si="107"/>
        <v>220</v>
      </c>
      <c r="H509" s="70"/>
      <c r="I509" s="70"/>
      <c r="J509" s="70"/>
      <c r="K509" s="65"/>
      <c r="L509" s="65"/>
      <c r="M509" s="71" t="str">
        <f t="shared" ca="1" si="108"/>
        <v/>
      </c>
      <c r="N509" s="80"/>
      <c r="O509" s="81"/>
    </row>
    <row r="510" spans="1:15" ht="15" customHeight="1">
      <c r="A510" s="59">
        <v>46253</v>
      </c>
      <c r="B510" s="60">
        <f t="shared" si="109"/>
        <v>1.2083333333333333</v>
      </c>
      <c r="C510" s="70" t="s">
        <v>38</v>
      </c>
      <c r="D510" s="75" t="s">
        <v>31</v>
      </c>
      <c r="E510" s="75" t="s">
        <v>259</v>
      </c>
      <c r="F510" s="63">
        <v>35</v>
      </c>
      <c r="G510" s="64">
        <f t="shared" si="107"/>
        <v>175</v>
      </c>
      <c r="H510" s="61"/>
      <c r="I510" s="61"/>
      <c r="J510" s="61"/>
      <c r="K510" s="65"/>
      <c r="L510" s="65"/>
      <c r="M510" s="66" t="str">
        <f t="shared" ca="1" si="108"/>
        <v/>
      </c>
      <c r="N510" s="80"/>
      <c r="O510" s="81"/>
    </row>
    <row r="511" spans="1:15" ht="15" customHeight="1">
      <c r="A511" s="18">
        <v>46253</v>
      </c>
      <c r="B511" s="68">
        <f t="shared" si="109"/>
        <v>1.25</v>
      </c>
      <c r="C511" s="70" t="s">
        <v>38</v>
      </c>
      <c r="D511" s="75" t="s">
        <v>31</v>
      </c>
      <c r="E511" s="75" t="s">
        <v>259</v>
      </c>
      <c r="F511" s="63">
        <v>30</v>
      </c>
      <c r="G511" s="69">
        <f t="shared" si="107"/>
        <v>150</v>
      </c>
      <c r="H511" s="70"/>
      <c r="I511" s="70"/>
      <c r="J511" s="70"/>
      <c r="K511" s="65"/>
      <c r="L511" s="65"/>
      <c r="M511" s="71" t="str">
        <f t="shared" ca="1" si="108"/>
        <v/>
      </c>
      <c r="N511" s="80"/>
      <c r="O511" s="81"/>
    </row>
    <row r="512" spans="1:15" ht="15" customHeight="1">
      <c r="A512" s="59">
        <v>46253</v>
      </c>
      <c r="B512" s="60">
        <f t="shared" si="109"/>
        <v>1.2916666666666667</v>
      </c>
      <c r="C512" s="70" t="s">
        <v>38</v>
      </c>
      <c r="D512" s="75" t="s">
        <v>31</v>
      </c>
      <c r="E512" s="75" t="s">
        <v>274</v>
      </c>
      <c r="F512" s="63">
        <v>0</v>
      </c>
      <c r="G512" s="64">
        <f t="shared" si="107"/>
        <v>0</v>
      </c>
      <c r="H512" s="61"/>
      <c r="I512" s="61"/>
      <c r="J512" s="61"/>
      <c r="K512" s="65"/>
      <c r="L512" s="65"/>
      <c r="M512" s="66" t="str">
        <f t="shared" ca="1" si="108"/>
        <v/>
      </c>
      <c r="N512" s="80"/>
      <c r="O512" s="81"/>
    </row>
    <row r="513" spans="1:15" ht="15.75" customHeight="1">
      <c r="A513" s="165" t="s">
        <v>263</v>
      </c>
      <c r="B513" s="165"/>
      <c r="C513" s="165"/>
      <c r="D513" s="165"/>
      <c r="E513" s="165"/>
      <c r="F513" s="2">
        <f>SUM(F501:F512)</f>
        <v>376</v>
      </c>
      <c r="G513" s="2">
        <f>SUM(G501:G512)</f>
        <v>1880</v>
      </c>
      <c r="H513" s="72"/>
      <c r="I513" s="72"/>
      <c r="J513" s="72"/>
      <c r="K513" s="72"/>
      <c r="L513" s="72"/>
      <c r="M513" s="73">
        <f ca="1">IFERROR(SUM(M501:M512),"")</f>
        <v>4.1666666666666713E-2</v>
      </c>
      <c r="N513" s="2" t="s">
        <v>261</v>
      </c>
      <c r="O513" s="74">
        <v>2435830</v>
      </c>
    </row>
    <row r="514" spans="1:15" ht="18" customHeight="1">
      <c r="A514" s="166" t="s">
        <v>249</v>
      </c>
      <c r="B514" s="166"/>
      <c r="C514" s="166"/>
      <c r="D514" s="166"/>
      <c r="E514" s="166"/>
      <c r="F514" s="1">
        <f>F500+F513</f>
        <v>658</v>
      </c>
      <c r="G514" s="1">
        <f>G500+G513</f>
        <v>3290</v>
      </c>
      <c r="H514" s="76"/>
      <c r="I514" s="76"/>
      <c r="J514" s="76"/>
      <c r="K514" s="76"/>
      <c r="L514" s="76"/>
      <c r="M514" s="77">
        <f ca="1">IFERROR(M500+M513,"")</f>
        <v>0.15347222222222237</v>
      </c>
      <c r="N514" s="1" t="s">
        <v>264</v>
      </c>
      <c r="O514" s="82">
        <f>IFERROR(O500+O513,"")</f>
        <v>3910760</v>
      </c>
    </row>
    <row r="515" spans="1:15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75" t="s">
        <v>259</v>
      </c>
      <c r="F515" s="63">
        <v>22</v>
      </c>
      <c r="G515" s="69">
        <f t="shared" ref="G515:G526" si="110">IF(F515="","",IF(E515="PC 17",F515*4.2,IF(E515="PC 19",F515*5,IF(E515="CB",F515*35,""))))</f>
        <v>110</v>
      </c>
      <c r="H515" s="70" t="s">
        <v>28</v>
      </c>
      <c r="I515" s="70" t="s">
        <v>32</v>
      </c>
      <c r="J515" s="70" t="s">
        <v>98</v>
      </c>
      <c r="K515" s="65">
        <v>0.69236111111111109</v>
      </c>
      <c r="L515" s="65">
        <v>0.73750000000000004</v>
      </c>
      <c r="M515" s="71">
        <f t="shared" ref="M515:M526" ca="1" si="111">IFERROR(IF(K515="","",IF(L515="",MOD(NOW()-K515,1),IF(L515&gt;=K515,L515-K515,L515+1-K515))),"")</f>
        <v>4.5138888888888951E-2</v>
      </c>
      <c r="N515" s="80"/>
      <c r="O515" s="81"/>
    </row>
    <row r="516" spans="1:15" ht="15" customHeight="1">
      <c r="A516" s="59">
        <v>46254</v>
      </c>
      <c r="B516" s="60">
        <f t="shared" ref="B516:B526" si="112">B515+TIME(0,60,0)</f>
        <v>0.37499999999999967</v>
      </c>
      <c r="C516" s="70" t="s">
        <v>54</v>
      </c>
      <c r="D516" s="75" t="s">
        <v>31</v>
      </c>
      <c r="E516" s="75" t="s">
        <v>259</v>
      </c>
      <c r="F516" s="63">
        <v>31</v>
      </c>
      <c r="G516" s="64">
        <f t="shared" si="110"/>
        <v>155</v>
      </c>
      <c r="H516" s="70"/>
      <c r="I516" s="61"/>
      <c r="J516" s="70"/>
      <c r="K516" s="65"/>
      <c r="L516" s="65"/>
      <c r="M516" s="66" t="str">
        <f t="shared" ca="1" si="111"/>
        <v/>
      </c>
      <c r="N516" s="80"/>
      <c r="O516" s="81"/>
    </row>
    <row r="517" spans="1:15" ht="15" customHeight="1">
      <c r="A517" s="18">
        <v>46254</v>
      </c>
      <c r="B517" s="68">
        <f t="shared" si="112"/>
        <v>0.41666666666666635</v>
      </c>
      <c r="C517" s="70" t="s">
        <v>54</v>
      </c>
      <c r="D517" s="75" t="s">
        <v>31</v>
      </c>
      <c r="E517" s="75" t="s">
        <v>259</v>
      </c>
      <c r="F517" s="63">
        <v>20</v>
      </c>
      <c r="G517" s="69">
        <f t="shared" si="110"/>
        <v>100</v>
      </c>
      <c r="H517" s="70"/>
      <c r="I517" s="70"/>
      <c r="J517" s="70"/>
      <c r="K517" s="65"/>
      <c r="L517" s="65"/>
      <c r="M517" s="71" t="str">
        <f t="shared" ca="1" si="111"/>
        <v/>
      </c>
      <c r="N517" s="80"/>
      <c r="O517" s="81"/>
    </row>
    <row r="518" spans="1:15" ht="15" customHeight="1">
      <c r="A518" s="59">
        <v>46254</v>
      </c>
      <c r="B518" s="60">
        <f t="shared" si="112"/>
        <v>0.45833333333333304</v>
      </c>
      <c r="C518" s="70" t="s">
        <v>54</v>
      </c>
      <c r="D518" s="75" t="s">
        <v>31</v>
      </c>
      <c r="E518" s="75" t="s">
        <v>259</v>
      </c>
      <c r="F518" s="63">
        <v>12</v>
      </c>
      <c r="G518" s="64">
        <f t="shared" si="110"/>
        <v>60</v>
      </c>
      <c r="H518" s="70"/>
      <c r="I518" s="61"/>
      <c r="J518" s="61"/>
      <c r="K518" s="65"/>
      <c r="L518" s="65"/>
      <c r="M518" s="66" t="str">
        <f t="shared" ca="1" si="111"/>
        <v/>
      </c>
      <c r="N518" s="80"/>
      <c r="O518" s="81"/>
    </row>
    <row r="519" spans="1:15" ht="15" customHeight="1">
      <c r="A519" s="18">
        <v>46254</v>
      </c>
      <c r="B519" s="68">
        <f t="shared" si="112"/>
        <v>0.49999999999999972</v>
      </c>
      <c r="C519" s="70" t="s">
        <v>54</v>
      </c>
      <c r="D519" s="75" t="s">
        <v>31</v>
      </c>
      <c r="E519" s="75" t="s">
        <v>259</v>
      </c>
      <c r="F519" s="63">
        <v>30</v>
      </c>
      <c r="G519" s="69">
        <f t="shared" si="110"/>
        <v>150</v>
      </c>
      <c r="H519" s="70"/>
      <c r="I519" s="70"/>
      <c r="J519" s="70"/>
      <c r="K519" s="65"/>
      <c r="L519" s="65"/>
      <c r="M519" s="71" t="str">
        <f t="shared" ca="1" si="111"/>
        <v/>
      </c>
      <c r="N519" s="80"/>
      <c r="O519" s="81"/>
    </row>
    <row r="520" spans="1:15" ht="15" customHeight="1">
      <c r="A520" s="59">
        <v>46254</v>
      </c>
      <c r="B520" s="60">
        <f t="shared" si="112"/>
        <v>0.54166666666666641</v>
      </c>
      <c r="C520" s="70" t="s">
        <v>54</v>
      </c>
      <c r="D520" s="75" t="s">
        <v>31</v>
      </c>
      <c r="E520" s="75" t="s">
        <v>274</v>
      </c>
      <c r="F520" s="63">
        <v>29</v>
      </c>
      <c r="G520" s="64">
        <f t="shared" si="110"/>
        <v>121.80000000000001</v>
      </c>
      <c r="H520" s="61"/>
      <c r="I520" s="61"/>
      <c r="J520" s="61"/>
      <c r="K520" s="65"/>
      <c r="L520" s="65"/>
      <c r="M520" s="66" t="str">
        <f t="shared" ca="1" si="111"/>
        <v/>
      </c>
      <c r="N520" s="80"/>
      <c r="O520" s="81"/>
    </row>
    <row r="521" spans="1:15" ht="15" customHeight="1">
      <c r="A521" s="18">
        <v>46254</v>
      </c>
      <c r="B521" s="68">
        <f t="shared" si="112"/>
        <v>0.58333333333333304</v>
      </c>
      <c r="C521" s="70" t="s">
        <v>54</v>
      </c>
      <c r="D521" s="75" t="s">
        <v>31</v>
      </c>
      <c r="E521" s="75" t="s">
        <v>274</v>
      </c>
      <c r="F521" s="63">
        <v>3</v>
      </c>
      <c r="G521" s="69">
        <f t="shared" si="110"/>
        <v>12.600000000000001</v>
      </c>
      <c r="H521" s="70"/>
      <c r="I521" s="70"/>
      <c r="J521" s="70"/>
      <c r="K521" s="65"/>
      <c r="L521" s="65"/>
      <c r="M521" s="71" t="str">
        <f t="shared" ca="1" si="111"/>
        <v/>
      </c>
      <c r="N521" s="80"/>
      <c r="O521" s="81"/>
    </row>
    <row r="522" spans="1:15" ht="15" customHeight="1">
      <c r="A522" s="59">
        <v>46254</v>
      </c>
      <c r="B522" s="60">
        <f t="shared" si="112"/>
        <v>0.62499999999999967</v>
      </c>
      <c r="C522" s="70" t="s">
        <v>54</v>
      </c>
      <c r="D522" s="75" t="s">
        <v>31</v>
      </c>
      <c r="E522" s="75" t="s">
        <v>274</v>
      </c>
      <c r="F522" s="63">
        <v>0</v>
      </c>
      <c r="G522" s="64">
        <f t="shared" si="110"/>
        <v>0</v>
      </c>
      <c r="H522" s="61"/>
      <c r="I522" s="61"/>
      <c r="J522" s="61"/>
      <c r="K522" s="65"/>
      <c r="L522" s="65"/>
      <c r="M522" s="66" t="str">
        <f t="shared" ca="1" si="111"/>
        <v/>
      </c>
      <c r="N522" s="80"/>
      <c r="O522" s="81"/>
    </row>
    <row r="523" spans="1:15" ht="15" customHeight="1">
      <c r="A523" s="18">
        <v>46254</v>
      </c>
      <c r="B523" s="68">
        <f t="shared" si="112"/>
        <v>0.6666666666666663</v>
      </c>
      <c r="C523" s="70" t="s">
        <v>54</v>
      </c>
      <c r="D523" s="75" t="s">
        <v>31</v>
      </c>
      <c r="E523" s="75" t="s">
        <v>274</v>
      </c>
      <c r="F523" s="63">
        <v>0</v>
      </c>
      <c r="G523" s="69">
        <f t="shared" si="110"/>
        <v>0</v>
      </c>
      <c r="H523" s="70"/>
      <c r="I523" s="70"/>
      <c r="J523" s="70"/>
      <c r="K523" s="65"/>
      <c r="L523" s="65"/>
      <c r="M523" s="71" t="str">
        <f t="shared" ca="1" si="111"/>
        <v/>
      </c>
      <c r="N523" s="80"/>
      <c r="O523" s="81"/>
    </row>
    <row r="524" spans="1:15" ht="15" customHeight="1">
      <c r="A524" s="59">
        <v>46254</v>
      </c>
      <c r="B524" s="60">
        <f t="shared" si="112"/>
        <v>0.70833333333333293</v>
      </c>
      <c r="C524" s="70" t="s">
        <v>54</v>
      </c>
      <c r="D524" s="75" t="s">
        <v>31</v>
      </c>
      <c r="E524" s="75" t="s">
        <v>274</v>
      </c>
      <c r="F524" s="63">
        <v>0</v>
      </c>
      <c r="G524" s="64">
        <f t="shared" si="110"/>
        <v>0</v>
      </c>
      <c r="H524" s="61"/>
      <c r="I524" s="61"/>
      <c r="J524" s="61"/>
      <c r="K524" s="65"/>
      <c r="L524" s="65"/>
      <c r="M524" s="66" t="str">
        <f t="shared" ca="1" si="111"/>
        <v/>
      </c>
      <c r="N524" s="80"/>
      <c r="O524" s="81"/>
    </row>
    <row r="525" spans="1:15" ht="15" customHeight="1">
      <c r="A525" s="18">
        <v>46254</v>
      </c>
      <c r="B525" s="68">
        <f t="shared" si="112"/>
        <v>0.74999999999999956</v>
      </c>
      <c r="C525" s="70" t="s">
        <v>54</v>
      </c>
      <c r="D525" s="75" t="s">
        <v>31</v>
      </c>
      <c r="E525" s="75" t="s">
        <v>274</v>
      </c>
      <c r="F525" s="63">
        <v>26</v>
      </c>
      <c r="G525" s="69">
        <f t="shared" si="110"/>
        <v>109.2</v>
      </c>
      <c r="H525" s="70"/>
      <c r="I525" s="70"/>
      <c r="J525" s="70"/>
      <c r="K525" s="65"/>
      <c r="L525" s="65"/>
      <c r="M525" s="71" t="str">
        <f t="shared" ca="1" si="111"/>
        <v/>
      </c>
      <c r="N525" s="80"/>
      <c r="O525" s="81"/>
    </row>
    <row r="526" spans="1:15" ht="15" customHeight="1">
      <c r="A526" s="59">
        <v>46254</v>
      </c>
      <c r="B526" s="60">
        <f t="shared" si="112"/>
        <v>0.79166666666666619</v>
      </c>
      <c r="C526" s="70" t="s">
        <v>54</v>
      </c>
      <c r="D526" s="75" t="s">
        <v>31</v>
      </c>
      <c r="E526" s="75" t="s">
        <v>274</v>
      </c>
      <c r="F526" s="63">
        <v>15</v>
      </c>
      <c r="G526" s="64">
        <f t="shared" si="110"/>
        <v>63</v>
      </c>
      <c r="H526" s="61"/>
      <c r="I526" s="61"/>
      <c r="J526" s="61"/>
      <c r="K526" s="65"/>
      <c r="L526" s="65"/>
      <c r="M526" s="66" t="str">
        <f t="shared" ca="1" si="111"/>
        <v/>
      </c>
      <c r="N526" s="80"/>
      <c r="O526" s="81"/>
    </row>
    <row r="527" spans="1:15" ht="15.75" customHeight="1">
      <c r="A527" s="165" t="s">
        <v>260</v>
      </c>
      <c r="B527" s="165"/>
      <c r="C527" s="165"/>
      <c r="D527" s="165"/>
      <c r="E527" s="165"/>
      <c r="F527" s="2">
        <f>SUM(F515:F526)</f>
        <v>188</v>
      </c>
      <c r="G527" s="2">
        <f>SUM(G515:G526)</f>
        <v>881.6</v>
      </c>
      <c r="H527" s="72"/>
      <c r="I527" s="72"/>
      <c r="J527" s="72"/>
      <c r="K527" s="72"/>
      <c r="L527" s="72"/>
      <c r="M527" s="73">
        <f ca="1">IFERROR(SUM(M515:M526),"")</f>
        <v>4.5138888888888951E-2</v>
      </c>
      <c r="N527" s="2" t="s">
        <v>261</v>
      </c>
      <c r="O527" s="74">
        <v>1573200</v>
      </c>
    </row>
    <row r="528" spans="1:15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62" t="s">
        <v>259</v>
      </c>
      <c r="F528" s="63">
        <v>17</v>
      </c>
      <c r="G528" s="64">
        <f t="shared" ref="G528:G539" si="113">IF(F528="","",IF(E528="PC 17",F528*4.2,IF(E528="PC 19",F528*5,IF(E528="CB",F528*35,""))))</f>
        <v>85</v>
      </c>
      <c r="H528" s="61" t="s">
        <v>29</v>
      </c>
      <c r="I528" s="61" t="s">
        <v>32</v>
      </c>
      <c r="J528" s="61" t="s">
        <v>53</v>
      </c>
      <c r="K528" s="65">
        <v>0.80833333333333335</v>
      </c>
      <c r="L528" s="65">
        <v>0.8833333333333333</v>
      </c>
      <c r="M528" s="66"/>
      <c r="N528" s="80" t="s">
        <v>295</v>
      </c>
      <c r="O528" s="81"/>
    </row>
    <row r="529" spans="1:15" ht="15" customHeight="1">
      <c r="A529" s="18">
        <v>46254</v>
      </c>
      <c r="B529" s="68">
        <f t="shared" ref="B529:B539" si="114">B528+TIME(0,60,0)</f>
        <v>0.87499999999999967</v>
      </c>
      <c r="C529" s="61" t="s">
        <v>38</v>
      </c>
      <c r="D529" s="62" t="s">
        <v>31</v>
      </c>
      <c r="E529" s="62" t="s">
        <v>259</v>
      </c>
      <c r="F529" s="63">
        <v>0</v>
      </c>
      <c r="G529" s="69">
        <f t="shared" si="113"/>
        <v>0</v>
      </c>
      <c r="H529" s="70" t="s">
        <v>29</v>
      </c>
      <c r="I529" s="70" t="s">
        <v>32</v>
      </c>
      <c r="J529" s="70" t="s">
        <v>53</v>
      </c>
      <c r="K529" s="65">
        <v>0.9375</v>
      </c>
      <c r="L529" s="65">
        <v>0.94444444444444442</v>
      </c>
      <c r="M529" s="71">
        <f t="shared" ref="M529:M539" ca="1" si="115">IFERROR(IF(K529="","",IF(L529="",MOD(NOW()-K529,1),IF(L529&gt;=K529,L529-K529,L529+1-K529))),"")</f>
        <v>6.9444444444444198E-3</v>
      </c>
      <c r="N529" s="80"/>
      <c r="O529" s="81"/>
    </row>
    <row r="530" spans="1:15" ht="15" customHeight="1">
      <c r="A530" s="59">
        <v>46254</v>
      </c>
      <c r="B530" s="60">
        <f t="shared" si="114"/>
        <v>0.9166666666666663</v>
      </c>
      <c r="C530" s="61" t="s">
        <v>38</v>
      </c>
      <c r="D530" s="62" t="s">
        <v>31</v>
      </c>
      <c r="E530" s="62" t="s">
        <v>259</v>
      </c>
      <c r="F530" s="63">
        <v>30</v>
      </c>
      <c r="G530" s="64">
        <f t="shared" si="113"/>
        <v>150</v>
      </c>
      <c r="H530" s="61" t="s">
        <v>27</v>
      </c>
      <c r="I530" s="61" t="s">
        <v>32</v>
      </c>
      <c r="J530" s="61" t="s">
        <v>177</v>
      </c>
      <c r="K530" s="65">
        <v>0.98958333333333337</v>
      </c>
      <c r="L530" s="65">
        <v>1.3194444444444444E-2</v>
      </c>
      <c r="M530" s="66">
        <f t="shared" ca="1" si="115"/>
        <v>2.3611111111111138E-2</v>
      </c>
      <c r="N530" s="80"/>
      <c r="O530" s="81"/>
    </row>
    <row r="531" spans="1:15" ht="15" customHeight="1">
      <c r="A531" s="18">
        <v>46254</v>
      </c>
      <c r="B531" s="68">
        <f t="shared" si="114"/>
        <v>0.95833333333333293</v>
      </c>
      <c r="C531" s="61" t="s">
        <v>38</v>
      </c>
      <c r="D531" s="62" t="s">
        <v>31</v>
      </c>
      <c r="E531" s="62" t="s">
        <v>259</v>
      </c>
      <c r="F531" s="63">
        <v>13</v>
      </c>
      <c r="G531" s="69">
        <f t="shared" si="113"/>
        <v>65</v>
      </c>
      <c r="H531" s="70" t="s">
        <v>27</v>
      </c>
      <c r="I531" s="70" t="s">
        <v>32</v>
      </c>
      <c r="J531" s="70" t="s">
        <v>43</v>
      </c>
      <c r="K531" s="65">
        <v>5.8333333333333334E-2</v>
      </c>
      <c r="L531" s="65">
        <v>0.29166666666666669</v>
      </c>
      <c r="M531" s="71">
        <f t="shared" ca="1" si="115"/>
        <v>0.23333333333333334</v>
      </c>
      <c r="N531" s="80"/>
      <c r="O531" s="81"/>
    </row>
    <row r="532" spans="1:15" ht="15" customHeight="1">
      <c r="A532" s="59">
        <v>46254</v>
      </c>
      <c r="B532" s="60">
        <f t="shared" si="114"/>
        <v>0.99999999999999956</v>
      </c>
      <c r="C532" s="61" t="s">
        <v>38</v>
      </c>
      <c r="D532" s="62" t="s">
        <v>31</v>
      </c>
      <c r="E532" s="62" t="s">
        <v>259</v>
      </c>
      <c r="F532" s="63">
        <v>27</v>
      </c>
      <c r="G532" s="64">
        <f t="shared" si="113"/>
        <v>135</v>
      </c>
      <c r="H532" s="61"/>
      <c r="I532" s="61"/>
      <c r="J532" s="61"/>
      <c r="K532" s="65"/>
      <c r="L532" s="65"/>
      <c r="M532" s="66" t="str">
        <f t="shared" ca="1" si="115"/>
        <v/>
      </c>
      <c r="N532" s="80"/>
      <c r="O532" s="81"/>
    </row>
    <row r="533" spans="1:15" ht="15" customHeight="1">
      <c r="A533" s="18">
        <v>46254</v>
      </c>
      <c r="B533" s="68">
        <f t="shared" si="114"/>
        <v>1.0416666666666663</v>
      </c>
      <c r="C533" s="61" t="s">
        <v>38</v>
      </c>
      <c r="D533" s="62" t="s">
        <v>31</v>
      </c>
      <c r="E533" s="62" t="s">
        <v>259</v>
      </c>
      <c r="F533" s="63">
        <v>27</v>
      </c>
      <c r="G533" s="69">
        <f t="shared" si="113"/>
        <v>135</v>
      </c>
      <c r="H533" s="70"/>
      <c r="I533" s="70"/>
      <c r="J533" s="70"/>
      <c r="K533" s="65"/>
      <c r="L533" s="65"/>
      <c r="M533" s="71" t="str">
        <f t="shared" ca="1" si="115"/>
        <v/>
      </c>
      <c r="N533" s="80"/>
      <c r="O533" s="81"/>
    </row>
    <row r="534" spans="1:15" ht="15" customHeight="1">
      <c r="A534" s="59">
        <v>46254</v>
      </c>
      <c r="B534" s="60">
        <f t="shared" si="114"/>
        <v>1.083333333333333</v>
      </c>
      <c r="C534" s="61" t="s">
        <v>38</v>
      </c>
      <c r="D534" s="62" t="s">
        <v>31</v>
      </c>
      <c r="E534" s="62" t="s">
        <v>259</v>
      </c>
      <c r="F534" s="63">
        <v>0</v>
      </c>
      <c r="G534" s="64">
        <f t="shared" si="113"/>
        <v>0</v>
      </c>
      <c r="H534" s="61"/>
      <c r="I534" s="61"/>
      <c r="J534" s="61"/>
      <c r="K534" s="65"/>
      <c r="L534" s="65"/>
      <c r="M534" s="66" t="str">
        <f t="shared" ca="1" si="115"/>
        <v/>
      </c>
      <c r="N534" s="80"/>
      <c r="O534" s="81"/>
    </row>
    <row r="535" spans="1:15" ht="15" customHeight="1">
      <c r="A535" s="18">
        <v>46254</v>
      </c>
      <c r="B535" s="68">
        <f t="shared" si="114"/>
        <v>1.1249999999999998</v>
      </c>
      <c r="C535" s="61" t="s">
        <v>38</v>
      </c>
      <c r="D535" s="62" t="s">
        <v>31</v>
      </c>
      <c r="E535" s="62" t="s">
        <v>259</v>
      </c>
      <c r="F535" s="63">
        <v>0</v>
      </c>
      <c r="G535" s="69">
        <f t="shared" si="113"/>
        <v>0</v>
      </c>
      <c r="H535" s="70"/>
      <c r="I535" s="70"/>
      <c r="J535" s="70"/>
      <c r="K535" s="65"/>
      <c r="L535" s="65"/>
      <c r="M535" s="71" t="str">
        <f t="shared" ca="1" si="115"/>
        <v/>
      </c>
      <c r="N535" s="80"/>
      <c r="O535" s="81"/>
    </row>
    <row r="536" spans="1:15" ht="15" customHeight="1">
      <c r="A536" s="59">
        <v>46254</v>
      </c>
      <c r="B536" s="60">
        <f t="shared" si="114"/>
        <v>1.1666666666666665</v>
      </c>
      <c r="C536" s="61" t="s">
        <v>38</v>
      </c>
      <c r="D536" s="62" t="s">
        <v>31</v>
      </c>
      <c r="E536" s="62" t="s">
        <v>259</v>
      </c>
      <c r="F536" s="63">
        <v>0</v>
      </c>
      <c r="G536" s="64">
        <f t="shared" si="113"/>
        <v>0</v>
      </c>
      <c r="H536" s="61"/>
      <c r="I536" s="61"/>
      <c r="J536" s="61"/>
      <c r="K536" s="65"/>
      <c r="L536" s="65"/>
      <c r="M536" s="66" t="str">
        <f t="shared" ca="1" si="115"/>
        <v/>
      </c>
      <c r="N536" s="80"/>
      <c r="O536" s="81"/>
    </row>
    <row r="537" spans="1:15" ht="15" customHeight="1">
      <c r="A537" s="18">
        <v>46254</v>
      </c>
      <c r="B537" s="68">
        <f t="shared" si="114"/>
        <v>1.2083333333333333</v>
      </c>
      <c r="C537" s="61" t="s">
        <v>38</v>
      </c>
      <c r="D537" s="62" t="s">
        <v>31</v>
      </c>
      <c r="E537" s="62" t="s">
        <v>259</v>
      </c>
      <c r="F537" s="63">
        <v>0</v>
      </c>
      <c r="G537" s="69">
        <f t="shared" si="113"/>
        <v>0</v>
      </c>
      <c r="H537" s="70"/>
      <c r="I537" s="70"/>
      <c r="J537" s="70"/>
      <c r="K537" s="65"/>
      <c r="L537" s="65"/>
      <c r="M537" s="71" t="str">
        <f t="shared" ca="1" si="115"/>
        <v/>
      </c>
      <c r="N537" s="80"/>
      <c r="O537" s="81"/>
    </row>
    <row r="538" spans="1:15" ht="15" customHeight="1">
      <c r="A538" s="59">
        <v>46254</v>
      </c>
      <c r="B538" s="60">
        <f t="shared" si="114"/>
        <v>1.25</v>
      </c>
      <c r="C538" s="61" t="s">
        <v>38</v>
      </c>
      <c r="D538" s="62" t="s">
        <v>31</v>
      </c>
      <c r="E538" s="62" t="s">
        <v>259</v>
      </c>
      <c r="F538" s="63">
        <v>0</v>
      </c>
      <c r="G538" s="64">
        <f t="shared" si="113"/>
        <v>0</v>
      </c>
      <c r="H538" s="61"/>
      <c r="I538" s="61"/>
      <c r="J538" s="61"/>
      <c r="K538" s="65"/>
      <c r="L538" s="65"/>
      <c r="M538" s="66" t="str">
        <f t="shared" ca="1" si="115"/>
        <v/>
      </c>
      <c r="N538" s="80"/>
      <c r="O538" s="81"/>
    </row>
    <row r="539" spans="1:15" ht="15" customHeight="1">
      <c r="A539" s="18">
        <v>46254</v>
      </c>
      <c r="B539" s="68">
        <f t="shared" si="114"/>
        <v>1.2916666666666667</v>
      </c>
      <c r="C539" s="61" t="s">
        <v>38</v>
      </c>
      <c r="D539" s="62" t="s">
        <v>31</v>
      </c>
      <c r="E539" s="62" t="s">
        <v>259</v>
      </c>
      <c r="F539" s="63">
        <v>0</v>
      </c>
      <c r="G539" s="69">
        <f t="shared" si="113"/>
        <v>0</v>
      </c>
      <c r="H539" s="70"/>
      <c r="I539" s="70"/>
      <c r="J539" s="70"/>
      <c r="K539" s="65"/>
      <c r="L539" s="65"/>
      <c r="M539" s="71" t="str">
        <f t="shared" ca="1" si="115"/>
        <v/>
      </c>
      <c r="N539" s="80"/>
      <c r="O539" s="81"/>
    </row>
    <row r="540" spans="1:15" ht="15.75" customHeight="1">
      <c r="A540" s="165" t="s">
        <v>263</v>
      </c>
      <c r="B540" s="165"/>
      <c r="C540" s="165"/>
      <c r="D540" s="165"/>
      <c r="E540" s="165"/>
      <c r="F540" s="2">
        <f>SUM(F528:F539)</f>
        <v>114</v>
      </c>
      <c r="G540" s="2">
        <f>SUM(G528:G539)</f>
        <v>570</v>
      </c>
      <c r="H540" s="72"/>
      <c r="I540" s="72"/>
      <c r="J540" s="72"/>
      <c r="K540" s="72"/>
      <c r="L540" s="72"/>
      <c r="M540" s="73">
        <f ca="1">IFERROR(SUM(M528:M539),"")</f>
        <v>0.2638888888888889</v>
      </c>
      <c r="N540" s="2" t="s">
        <v>261</v>
      </c>
      <c r="O540" s="74">
        <v>667100</v>
      </c>
    </row>
    <row r="541" spans="1:15" ht="18" customHeight="1">
      <c r="A541" s="166" t="s">
        <v>249</v>
      </c>
      <c r="B541" s="166"/>
      <c r="C541" s="166"/>
      <c r="D541" s="166"/>
      <c r="E541" s="166"/>
      <c r="F541" s="1">
        <f>F527+F540</f>
        <v>302</v>
      </c>
      <c r="G541" s="1">
        <f>G527+G540</f>
        <v>1451.6</v>
      </c>
      <c r="H541" s="76"/>
      <c r="I541" s="76"/>
      <c r="J541" s="76"/>
      <c r="K541" s="76"/>
      <c r="L541" s="76"/>
      <c r="M541" s="77">
        <f ca="1">IFERROR(M527+M540,"")</f>
        <v>0.30902777777777785</v>
      </c>
      <c r="N541" s="1" t="s">
        <v>264</v>
      </c>
      <c r="O541" s="82">
        <f>IFERROR(O527+O540,"")</f>
        <v>2240300</v>
      </c>
    </row>
    <row r="542" spans="1:15" ht="15" customHeight="1">
      <c r="A542" s="59">
        <v>46255</v>
      </c>
      <c r="B542" s="60">
        <v>0.33333333333333298</v>
      </c>
      <c r="C542" s="61" t="s">
        <v>30</v>
      </c>
      <c r="D542" s="62"/>
      <c r="E542" s="62"/>
      <c r="F542" s="63"/>
      <c r="G542" s="64" t="str">
        <f t="shared" ref="G542:G553" si="116">IF(F542="","",IF(E542="PC 17",F542*4.2,IF(E542="PC 19",F542*5,IF(E542="CB",F542*35,""))))</f>
        <v/>
      </c>
      <c r="H542" s="61" t="s">
        <v>27</v>
      </c>
      <c r="I542" s="61" t="s">
        <v>32</v>
      </c>
      <c r="J542" s="61" t="s">
        <v>51</v>
      </c>
      <c r="K542" s="65">
        <v>0.29166666666666669</v>
      </c>
      <c r="L542" s="65"/>
      <c r="M542" s="66">
        <f t="shared" ref="M542:M553" ca="1" si="117">IFERROR(IF(K542="","",IF(L542="",MOD(NOW()-K542,1),IF(L542&gt;=K542,L542-K542,L542+1-K542))),"")</f>
        <v>0.19243009259662358</v>
      </c>
      <c r="N542" s="80"/>
      <c r="O542" s="81"/>
    </row>
    <row r="543" spans="1:15" ht="15" customHeight="1">
      <c r="A543" s="18">
        <v>46255</v>
      </c>
      <c r="B543" s="68">
        <f t="shared" ref="B543:B553" si="118">B542+TIME(0,60,0)</f>
        <v>0.37499999999999967</v>
      </c>
      <c r="C543" s="61" t="s">
        <v>30</v>
      </c>
      <c r="D543" s="62"/>
      <c r="E543" s="62"/>
      <c r="F543" s="63"/>
      <c r="G543" s="69" t="str">
        <f t="shared" si="116"/>
        <v/>
      </c>
      <c r="H543" s="70"/>
      <c r="I543" s="70"/>
      <c r="J543" s="70"/>
      <c r="K543" s="65"/>
      <c r="L543" s="65"/>
      <c r="M543" s="71" t="str">
        <f t="shared" ca="1" si="117"/>
        <v/>
      </c>
      <c r="N543" s="80"/>
      <c r="O543" s="81"/>
    </row>
    <row r="544" spans="1:15" ht="15" customHeight="1">
      <c r="A544" s="59">
        <v>46255</v>
      </c>
      <c r="B544" s="60">
        <f t="shared" si="118"/>
        <v>0.41666666666666635</v>
      </c>
      <c r="C544" s="61" t="s">
        <v>30</v>
      </c>
      <c r="D544" s="62"/>
      <c r="E544" s="62"/>
      <c r="F544" s="63"/>
      <c r="G544" s="64" t="str">
        <f t="shared" si="116"/>
        <v/>
      </c>
      <c r="H544" s="61"/>
      <c r="I544" s="61"/>
      <c r="J544" s="61"/>
      <c r="K544" s="65"/>
      <c r="L544" s="65"/>
      <c r="M544" s="66" t="str">
        <f t="shared" ca="1" si="117"/>
        <v/>
      </c>
      <c r="N544" s="80"/>
      <c r="O544" s="81"/>
    </row>
    <row r="545" spans="1:15" ht="15" customHeight="1">
      <c r="A545" s="18">
        <v>46255</v>
      </c>
      <c r="B545" s="68">
        <f t="shared" si="118"/>
        <v>0.45833333333333304</v>
      </c>
      <c r="C545" s="61" t="s">
        <v>30</v>
      </c>
      <c r="D545" s="62"/>
      <c r="E545" s="62"/>
      <c r="F545" s="63"/>
      <c r="G545" s="69" t="str">
        <f t="shared" si="116"/>
        <v/>
      </c>
      <c r="H545" s="70"/>
      <c r="I545" s="70"/>
      <c r="J545" s="70"/>
      <c r="K545" s="65"/>
      <c r="L545" s="65"/>
      <c r="M545" s="71" t="str">
        <f t="shared" ca="1" si="117"/>
        <v/>
      </c>
      <c r="N545" s="80"/>
      <c r="O545" s="81"/>
    </row>
    <row r="546" spans="1:15" ht="15" customHeight="1">
      <c r="A546" s="59">
        <v>46255</v>
      </c>
      <c r="B546" s="60">
        <f t="shared" si="118"/>
        <v>0.49999999999999972</v>
      </c>
      <c r="C546" s="61" t="s">
        <v>30</v>
      </c>
      <c r="D546" s="62"/>
      <c r="E546" s="62"/>
      <c r="F546" s="63"/>
      <c r="G546" s="64" t="str">
        <f t="shared" si="116"/>
        <v/>
      </c>
      <c r="H546" s="61"/>
      <c r="I546" s="61"/>
      <c r="J546" s="61"/>
      <c r="K546" s="65"/>
      <c r="L546" s="65"/>
      <c r="M546" s="66" t="str">
        <f t="shared" ca="1" si="117"/>
        <v/>
      </c>
      <c r="N546" s="80"/>
      <c r="O546" s="81"/>
    </row>
    <row r="547" spans="1:15" ht="15" customHeight="1">
      <c r="A547" s="18">
        <v>46255</v>
      </c>
      <c r="B547" s="68">
        <f t="shared" si="118"/>
        <v>0.54166666666666641</v>
      </c>
      <c r="C547" s="61" t="s">
        <v>30</v>
      </c>
      <c r="D547" s="62"/>
      <c r="E547" s="62"/>
      <c r="F547" s="63"/>
      <c r="G547" s="69" t="str">
        <f t="shared" si="116"/>
        <v/>
      </c>
      <c r="H547" s="70"/>
      <c r="I547" s="70"/>
      <c r="J547" s="70"/>
      <c r="K547" s="65"/>
      <c r="L547" s="65"/>
      <c r="M547" s="71" t="str">
        <f t="shared" ca="1" si="117"/>
        <v/>
      </c>
      <c r="N547" s="80"/>
      <c r="O547" s="81"/>
    </row>
    <row r="548" spans="1:15" ht="15" customHeight="1">
      <c r="A548" s="59">
        <v>46255</v>
      </c>
      <c r="B548" s="60">
        <f t="shared" si="118"/>
        <v>0.58333333333333304</v>
      </c>
      <c r="C548" s="61" t="s">
        <v>30</v>
      </c>
      <c r="D548" s="62"/>
      <c r="E548" s="62"/>
      <c r="F548" s="63"/>
      <c r="G548" s="64" t="str">
        <f t="shared" si="116"/>
        <v/>
      </c>
      <c r="H548" s="61"/>
      <c r="I548" s="61"/>
      <c r="J548" s="61"/>
      <c r="K548" s="65"/>
      <c r="L548" s="65"/>
      <c r="M548" s="66" t="str">
        <f t="shared" ca="1" si="117"/>
        <v/>
      </c>
      <c r="N548" s="80"/>
      <c r="O548" s="81"/>
    </row>
    <row r="549" spans="1:15" ht="15" customHeight="1">
      <c r="A549" s="18">
        <v>46255</v>
      </c>
      <c r="B549" s="68">
        <f t="shared" si="118"/>
        <v>0.62499999999999967</v>
      </c>
      <c r="C549" s="61" t="s">
        <v>30</v>
      </c>
      <c r="D549" s="62"/>
      <c r="E549" s="62"/>
      <c r="F549" s="63"/>
      <c r="G549" s="69" t="str">
        <f t="shared" si="116"/>
        <v/>
      </c>
      <c r="H549" s="70"/>
      <c r="I549" s="70"/>
      <c r="J549" s="70"/>
      <c r="K549" s="65"/>
      <c r="L549" s="65"/>
      <c r="M549" s="71" t="str">
        <f t="shared" ca="1" si="117"/>
        <v/>
      </c>
      <c r="N549" s="80"/>
      <c r="O549" s="81"/>
    </row>
    <row r="550" spans="1:15" ht="15" customHeight="1">
      <c r="A550" s="59">
        <v>46255</v>
      </c>
      <c r="B550" s="60">
        <f t="shared" si="118"/>
        <v>0.6666666666666663</v>
      </c>
      <c r="C550" s="61" t="s">
        <v>30</v>
      </c>
      <c r="D550" s="62"/>
      <c r="E550" s="62"/>
      <c r="F550" s="63"/>
      <c r="G550" s="64" t="str">
        <f t="shared" si="116"/>
        <v/>
      </c>
      <c r="H550" s="61"/>
      <c r="I550" s="61"/>
      <c r="J550" s="61"/>
      <c r="K550" s="65"/>
      <c r="L550" s="65"/>
      <c r="M550" s="66" t="str">
        <f t="shared" ca="1" si="117"/>
        <v/>
      </c>
      <c r="N550" s="80"/>
      <c r="O550" s="81"/>
    </row>
    <row r="551" spans="1:15" ht="15" customHeight="1">
      <c r="A551" s="18">
        <v>46255</v>
      </c>
      <c r="B551" s="68">
        <f t="shared" si="118"/>
        <v>0.70833333333333293</v>
      </c>
      <c r="C551" s="61" t="s">
        <v>30</v>
      </c>
      <c r="D551" s="62"/>
      <c r="E551" s="62"/>
      <c r="F551" s="63"/>
      <c r="G551" s="69" t="str">
        <f t="shared" si="116"/>
        <v/>
      </c>
      <c r="H551" s="70"/>
      <c r="I551" s="70"/>
      <c r="J551" s="70"/>
      <c r="K551" s="65"/>
      <c r="L551" s="65"/>
      <c r="M551" s="71" t="str">
        <f t="shared" ca="1" si="117"/>
        <v/>
      </c>
      <c r="N551" s="80"/>
      <c r="O551" s="81"/>
    </row>
    <row r="552" spans="1:15" ht="15" customHeight="1">
      <c r="A552" s="59">
        <v>46255</v>
      </c>
      <c r="B552" s="60">
        <f t="shared" si="118"/>
        <v>0.74999999999999956</v>
      </c>
      <c r="C552" s="61" t="s">
        <v>30</v>
      </c>
      <c r="D552" s="62"/>
      <c r="E552" s="62"/>
      <c r="F552" s="63"/>
      <c r="G552" s="64" t="str">
        <f t="shared" si="116"/>
        <v/>
      </c>
      <c r="H552" s="61"/>
      <c r="I552" s="61"/>
      <c r="J552" s="61"/>
      <c r="K552" s="65"/>
      <c r="L552" s="65"/>
      <c r="M552" s="66" t="str">
        <f t="shared" ca="1" si="117"/>
        <v/>
      </c>
      <c r="N552" s="80"/>
      <c r="O552" s="81"/>
    </row>
    <row r="553" spans="1:15" ht="15" customHeight="1">
      <c r="A553" s="18">
        <v>46255</v>
      </c>
      <c r="B553" s="68">
        <f t="shared" si="118"/>
        <v>0.79166666666666619</v>
      </c>
      <c r="C553" s="61" t="s">
        <v>30</v>
      </c>
      <c r="D553" s="62"/>
      <c r="E553" s="62"/>
      <c r="F553" s="63"/>
      <c r="G553" s="69" t="str">
        <f t="shared" si="116"/>
        <v/>
      </c>
      <c r="H553" s="70"/>
      <c r="I553" s="70"/>
      <c r="J553" s="70"/>
      <c r="K553" s="65"/>
      <c r="L553" s="65"/>
      <c r="M553" s="71" t="str">
        <f t="shared" ca="1" si="117"/>
        <v/>
      </c>
      <c r="N553" s="80"/>
      <c r="O553" s="81"/>
    </row>
    <row r="554" spans="1:15" ht="15.75" customHeight="1">
      <c r="A554" s="165" t="s">
        <v>260</v>
      </c>
      <c r="B554" s="165"/>
      <c r="C554" s="165"/>
      <c r="D554" s="165"/>
      <c r="E554" s="165"/>
      <c r="F554" s="2">
        <f>SUM(F542:F553)</f>
        <v>0</v>
      </c>
      <c r="G554" s="2">
        <f>SUM(G542:G553)</f>
        <v>0</v>
      </c>
      <c r="H554" s="72"/>
      <c r="I554" s="72"/>
      <c r="J554" s="72"/>
      <c r="K554" s="72"/>
      <c r="L554" s="72"/>
      <c r="M554" s="73">
        <f ca="1">IFERROR(SUM(M542:M553),"")</f>
        <v>0.19243009259662358</v>
      </c>
      <c r="N554" s="2" t="s">
        <v>261</v>
      </c>
      <c r="O554" s="74"/>
    </row>
    <row r="555" spans="1:15" ht="15" customHeight="1">
      <c r="A555" s="18">
        <v>46255</v>
      </c>
      <c r="B555" s="68">
        <v>0.83333333333333304</v>
      </c>
      <c r="C555" s="70"/>
      <c r="D555" s="75"/>
      <c r="E555" s="75"/>
      <c r="F555" s="63"/>
      <c r="G555" s="69" t="str">
        <f t="shared" ref="G555:G566" si="119">IF(F555="","",IF(E555="PC 17",F555*4.2,IF(E555="PC 19",F555*5,IF(E555="CB",F555*35,""))))</f>
        <v/>
      </c>
      <c r="H555" s="70"/>
      <c r="I555" s="70"/>
      <c r="J555" s="70"/>
      <c r="K555" s="65"/>
      <c r="L555" s="65"/>
      <c r="M555" s="71" t="str">
        <f t="shared" ref="M555:M566" ca="1" si="120">IFERROR(IF(K555="","",IF(L555="",MOD(NOW()-K555,1),IF(L555&gt;=K555,L555-K555,L555+1-K555))),"")</f>
        <v/>
      </c>
      <c r="N555" s="80"/>
      <c r="O555" s="81"/>
    </row>
    <row r="556" spans="1:15" ht="15" customHeight="1">
      <c r="A556" s="59">
        <v>46255</v>
      </c>
      <c r="B556" s="60">
        <f t="shared" ref="B556:B566" si="121">B555+TIME(0,60,0)</f>
        <v>0.87499999999999967</v>
      </c>
      <c r="C556" s="70"/>
      <c r="D556" s="75"/>
      <c r="E556" s="75"/>
      <c r="F556" s="63"/>
      <c r="G556" s="64" t="str">
        <f t="shared" si="119"/>
        <v/>
      </c>
      <c r="H556" s="61"/>
      <c r="I556" s="61"/>
      <c r="J556" s="61"/>
      <c r="K556" s="65"/>
      <c r="L556" s="65"/>
      <c r="M556" s="66" t="str">
        <f t="shared" ca="1" si="120"/>
        <v/>
      </c>
      <c r="N556" s="80"/>
      <c r="O556" s="81"/>
    </row>
    <row r="557" spans="1:15" ht="15" customHeight="1">
      <c r="A557" s="18">
        <v>46255</v>
      </c>
      <c r="B557" s="68">
        <f t="shared" si="121"/>
        <v>0.9166666666666663</v>
      </c>
      <c r="C557" s="70"/>
      <c r="D557" s="75"/>
      <c r="E557" s="75"/>
      <c r="F557" s="63"/>
      <c r="G557" s="69" t="str">
        <f t="shared" si="119"/>
        <v/>
      </c>
      <c r="H557" s="70"/>
      <c r="I557" s="70"/>
      <c r="J557" s="70"/>
      <c r="K557" s="65"/>
      <c r="L557" s="65"/>
      <c r="M557" s="71" t="str">
        <f t="shared" ca="1" si="120"/>
        <v/>
      </c>
      <c r="N557" s="80"/>
      <c r="O557" s="81"/>
    </row>
    <row r="558" spans="1:15" ht="15" customHeight="1">
      <c r="A558" s="59">
        <v>46255</v>
      </c>
      <c r="B558" s="60">
        <f t="shared" si="121"/>
        <v>0.95833333333333293</v>
      </c>
      <c r="C558" s="70"/>
      <c r="D558" s="75"/>
      <c r="E558" s="75"/>
      <c r="F558" s="63"/>
      <c r="G558" s="64" t="str">
        <f t="shared" si="119"/>
        <v/>
      </c>
      <c r="H558" s="61"/>
      <c r="I558" s="61"/>
      <c r="J558" s="61"/>
      <c r="K558" s="65"/>
      <c r="L558" s="65"/>
      <c r="M558" s="66" t="str">
        <f t="shared" ca="1" si="120"/>
        <v/>
      </c>
      <c r="N558" s="80"/>
      <c r="O558" s="81"/>
    </row>
    <row r="559" spans="1:15" ht="15" customHeight="1">
      <c r="A559" s="18">
        <v>46255</v>
      </c>
      <c r="B559" s="68">
        <f t="shared" si="121"/>
        <v>0.99999999999999956</v>
      </c>
      <c r="C559" s="70"/>
      <c r="D559" s="75"/>
      <c r="E559" s="75"/>
      <c r="F559" s="63"/>
      <c r="G559" s="69" t="str">
        <f t="shared" si="119"/>
        <v/>
      </c>
      <c r="H559" s="70"/>
      <c r="I559" s="70"/>
      <c r="J559" s="70"/>
      <c r="K559" s="65"/>
      <c r="L559" s="65"/>
      <c r="M559" s="71" t="str">
        <f t="shared" ca="1" si="120"/>
        <v/>
      </c>
      <c r="N559" s="80"/>
      <c r="O559" s="81"/>
    </row>
    <row r="560" spans="1:15" ht="15" customHeight="1">
      <c r="A560" s="59">
        <v>46255</v>
      </c>
      <c r="B560" s="60">
        <f t="shared" si="121"/>
        <v>1.0416666666666663</v>
      </c>
      <c r="C560" s="70"/>
      <c r="D560" s="75"/>
      <c r="E560" s="75"/>
      <c r="F560" s="63"/>
      <c r="G560" s="64" t="str">
        <f t="shared" si="119"/>
        <v/>
      </c>
      <c r="H560" s="61"/>
      <c r="I560" s="61"/>
      <c r="J560" s="61"/>
      <c r="K560" s="65"/>
      <c r="L560" s="65"/>
      <c r="M560" s="66" t="str">
        <f t="shared" ca="1" si="120"/>
        <v/>
      </c>
      <c r="N560" s="80"/>
      <c r="O560" s="81"/>
    </row>
    <row r="561" spans="1:15" ht="15" customHeight="1">
      <c r="A561" s="18">
        <v>46255</v>
      </c>
      <c r="B561" s="68">
        <f t="shared" si="121"/>
        <v>1.083333333333333</v>
      </c>
      <c r="C561" s="70"/>
      <c r="D561" s="75"/>
      <c r="E561" s="75"/>
      <c r="F561" s="63"/>
      <c r="G561" s="69" t="str">
        <f t="shared" si="119"/>
        <v/>
      </c>
      <c r="H561" s="70"/>
      <c r="I561" s="70"/>
      <c r="J561" s="70"/>
      <c r="K561" s="65"/>
      <c r="L561" s="65"/>
      <c r="M561" s="71" t="str">
        <f t="shared" ca="1" si="120"/>
        <v/>
      </c>
      <c r="N561" s="80"/>
      <c r="O561" s="81"/>
    </row>
    <row r="562" spans="1:15" ht="15" customHeight="1">
      <c r="A562" s="59">
        <v>46255</v>
      </c>
      <c r="B562" s="60">
        <f t="shared" si="121"/>
        <v>1.1249999999999998</v>
      </c>
      <c r="C562" s="70"/>
      <c r="D562" s="75"/>
      <c r="E562" s="75"/>
      <c r="F562" s="63"/>
      <c r="G562" s="64" t="str">
        <f t="shared" si="119"/>
        <v/>
      </c>
      <c r="H562" s="61"/>
      <c r="I562" s="61"/>
      <c r="J562" s="61"/>
      <c r="K562" s="65"/>
      <c r="L562" s="65"/>
      <c r="M562" s="66" t="str">
        <f t="shared" ca="1" si="120"/>
        <v/>
      </c>
      <c r="N562" s="80"/>
      <c r="O562" s="81"/>
    </row>
    <row r="563" spans="1:15" ht="15" customHeight="1">
      <c r="A563" s="18">
        <v>46255</v>
      </c>
      <c r="B563" s="68">
        <f t="shared" si="121"/>
        <v>1.1666666666666665</v>
      </c>
      <c r="C563" s="70"/>
      <c r="D563" s="75"/>
      <c r="E563" s="75"/>
      <c r="F563" s="63"/>
      <c r="G563" s="69" t="str">
        <f t="shared" si="119"/>
        <v/>
      </c>
      <c r="H563" s="70"/>
      <c r="I563" s="70"/>
      <c r="J563" s="70"/>
      <c r="K563" s="65"/>
      <c r="L563" s="65"/>
      <c r="M563" s="71" t="str">
        <f t="shared" ca="1" si="120"/>
        <v/>
      </c>
      <c r="N563" s="80"/>
      <c r="O563" s="81"/>
    </row>
    <row r="564" spans="1:15" ht="15" customHeight="1">
      <c r="A564" s="59">
        <v>46255</v>
      </c>
      <c r="B564" s="60">
        <f t="shared" si="121"/>
        <v>1.2083333333333333</v>
      </c>
      <c r="C564" s="70"/>
      <c r="D564" s="75"/>
      <c r="E564" s="75"/>
      <c r="F564" s="63"/>
      <c r="G564" s="64" t="str">
        <f t="shared" si="119"/>
        <v/>
      </c>
      <c r="H564" s="61"/>
      <c r="I564" s="61"/>
      <c r="J564" s="61"/>
      <c r="K564" s="65"/>
      <c r="L564" s="65"/>
      <c r="M564" s="66" t="str">
        <f t="shared" ca="1" si="120"/>
        <v/>
      </c>
      <c r="N564" s="80"/>
      <c r="O564" s="81"/>
    </row>
    <row r="565" spans="1:15" ht="15" customHeight="1">
      <c r="A565" s="18">
        <v>46255</v>
      </c>
      <c r="B565" s="68">
        <f t="shared" si="121"/>
        <v>1.25</v>
      </c>
      <c r="C565" s="70"/>
      <c r="D565" s="75"/>
      <c r="E565" s="75"/>
      <c r="F565" s="63"/>
      <c r="G565" s="69" t="str">
        <f t="shared" si="119"/>
        <v/>
      </c>
      <c r="H565" s="70"/>
      <c r="I565" s="70"/>
      <c r="J565" s="70"/>
      <c r="K565" s="65"/>
      <c r="L565" s="65"/>
      <c r="M565" s="71" t="str">
        <f t="shared" ca="1" si="120"/>
        <v/>
      </c>
      <c r="N565" s="80"/>
      <c r="O565" s="81"/>
    </row>
    <row r="566" spans="1:15" ht="15" customHeight="1">
      <c r="A566" s="59">
        <v>46255</v>
      </c>
      <c r="B566" s="60">
        <f t="shared" si="121"/>
        <v>1.2916666666666667</v>
      </c>
      <c r="C566" s="70"/>
      <c r="D566" s="75"/>
      <c r="E566" s="75"/>
      <c r="F566" s="63"/>
      <c r="G566" s="64" t="str">
        <f t="shared" si="119"/>
        <v/>
      </c>
      <c r="H566" s="61"/>
      <c r="I566" s="61"/>
      <c r="J566" s="61"/>
      <c r="K566" s="65"/>
      <c r="L566" s="65"/>
      <c r="M566" s="66" t="str">
        <f t="shared" ca="1" si="120"/>
        <v/>
      </c>
      <c r="N566" s="80"/>
      <c r="O566" s="81"/>
    </row>
    <row r="567" spans="1:15" ht="15.75" customHeight="1">
      <c r="A567" s="165" t="s">
        <v>263</v>
      </c>
      <c r="B567" s="165"/>
      <c r="C567" s="165"/>
      <c r="D567" s="165"/>
      <c r="E567" s="165"/>
      <c r="F567" s="2">
        <f>SUM(F555:F566)</f>
        <v>0</v>
      </c>
      <c r="G567" s="2">
        <f>SUM(G555:G566)</f>
        <v>0</v>
      </c>
      <c r="H567" s="72"/>
      <c r="I567" s="72"/>
      <c r="J567" s="72"/>
      <c r="K567" s="72"/>
      <c r="L567" s="72"/>
      <c r="M567" s="73">
        <f ca="1">IFERROR(SUM(M555:M566),"")</f>
        <v>0</v>
      </c>
      <c r="N567" s="2" t="s">
        <v>261</v>
      </c>
      <c r="O567" s="74"/>
    </row>
    <row r="568" spans="1:15" ht="18" customHeight="1">
      <c r="A568" s="166" t="s">
        <v>249</v>
      </c>
      <c r="B568" s="166"/>
      <c r="C568" s="166"/>
      <c r="D568" s="166"/>
      <c r="E568" s="166"/>
      <c r="F568" s="1">
        <f>F554+F567</f>
        <v>0</v>
      </c>
      <c r="G568" s="1">
        <f>G554+G567</f>
        <v>0</v>
      </c>
      <c r="H568" s="76"/>
      <c r="I568" s="76"/>
      <c r="J568" s="76"/>
      <c r="K568" s="76"/>
      <c r="L568" s="76"/>
      <c r="M568" s="77">
        <f ca="1">IFERROR(M554+M567,"")</f>
        <v>0.19243009259662358</v>
      </c>
      <c r="N568" s="1" t="s">
        <v>264</v>
      </c>
      <c r="O568" s="82">
        <f>IFERROR(O554+O567,"")</f>
        <v>0</v>
      </c>
    </row>
    <row r="569" spans="1:15" ht="15" customHeight="1">
      <c r="A569" s="18">
        <v>46256</v>
      </c>
      <c r="B569" s="68">
        <v>0.33333333333333298</v>
      </c>
      <c r="C569" s="70"/>
      <c r="D569" s="75"/>
      <c r="E569" s="75"/>
      <c r="F569" s="63"/>
      <c r="G569" s="69" t="str">
        <f t="shared" ref="G569:G580" si="122">IF(F569="","",IF(E569="PC 17",F569*4.2,IF(E569="PC 19",F569*5,IF(E569="CB",F569*35,""))))</f>
        <v/>
      </c>
      <c r="H569" s="70"/>
      <c r="I569" s="70"/>
      <c r="J569" s="70"/>
      <c r="K569" s="65"/>
      <c r="L569" s="65"/>
      <c r="M569" s="71" t="str">
        <f t="shared" ref="M569:M580" ca="1" si="123">IFERROR(IF(K569="","",IF(L569="",MOD(NOW()-K569,1),IF(L569&gt;=K569,L569-K569,L569+1-K569))),"")</f>
        <v/>
      </c>
      <c r="N569" s="80"/>
      <c r="O569" s="81"/>
    </row>
    <row r="570" spans="1:15" ht="15" customHeight="1">
      <c r="A570" s="59">
        <v>46256</v>
      </c>
      <c r="B570" s="60">
        <f t="shared" ref="B570:B580" si="124">B569+TIME(0,60,0)</f>
        <v>0.37499999999999967</v>
      </c>
      <c r="C570" s="70"/>
      <c r="D570" s="75"/>
      <c r="E570" s="75"/>
      <c r="F570" s="63"/>
      <c r="G570" s="69" t="str">
        <f t="shared" si="122"/>
        <v/>
      </c>
      <c r="H570" s="61"/>
      <c r="I570" s="61"/>
      <c r="J570" s="61"/>
      <c r="K570" s="65"/>
      <c r="L570" s="65"/>
      <c r="M570" s="66" t="str">
        <f t="shared" ca="1" si="123"/>
        <v/>
      </c>
      <c r="N570" s="80"/>
      <c r="O570" s="81"/>
    </row>
    <row r="571" spans="1:15" ht="15" customHeight="1">
      <c r="A571" s="18">
        <v>46256</v>
      </c>
      <c r="B571" s="68">
        <f t="shared" si="124"/>
        <v>0.41666666666666635</v>
      </c>
      <c r="C571" s="70"/>
      <c r="D571" s="75"/>
      <c r="E571" s="75"/>
      <c r="F571" s="63"/>
      <c r="G571" s="69" t="str">
        <f t="shared" si="122"/>
        <v/>
      </c>
      <c r="H571" s="70"/>
      <c r="I571" s="70"/>
      <c r="J571" s="70"/>
      <c r="K571" s="65"/>
      <c r="L571" s="65"/>
      <c r="M571" s="71" t="str">
        <f t="shared" ca="1" si="123"/>
        <v/>
      </c>
      <c r="N571" s="80"/>
      <c r="O571" s="81"/>
    </row>
    <row r="572" spans="1:15" ht="15" customHeight="1">
      <c r="A572" s="59">
        <v>46256</v>
      </c>
      <c r="B572" s="60">
        <f t="shared" si="124"/>
        <v>0.45833333333333304</v>
      </c>
      <c r="C572" s="70"/>
      <c r="D572" s="75"/>
      <c r="E572" s="75"/>
      <c r="F572" s="63"/>
      <c r="G572" s="69" t="str">
        <f t="shared" si="122"/>
        <v/>
      </c>
      <c r="H572" s="61"/>
      <c r="I572" s="61"/>
      <c r="J572" s="61"/>
      <c r="K572" s="65"/>
      <c r="L572" s="65"/>
      <c r="M572" s="66" t="str">
        <f t="shared" ca="1" si="123"/>
        <v/>
      </c>
      <c r="N572" s="80"/>
      <c r="O572" s="81"/>
    </row>
    <row r="573" spans="1:15" ht="15" customHeight="1">
      <c r="A573" s="18">
        <v>46256</v>
      </c>
      <c r="B573" s="68">
        <f t="shared" si="124"/>
        <v>0.49999999999999972</v>
      </c>
      <c r="C573" s="70"/>
      <c r="D573" s="75"/>
      <c r="E573" s="75"/>
      <c r="F573" s="63"/>
      <c r="G573" s="69" t="str">
        <f t="shared" si="122"/>
        <v/>
      </c>
      <c r="H573" s="70"/>
      <c r="I573" s="70"/>
      <c r="J573" s="70"/>
      <c r="K573" s="65"/>
      <c r="L573" s="65"/>
      <c r="M573" s="71" t="str">
        <f t="shared" ca="1" si="123"/>
        <v/>
      </c>
      <c r="N573" s="80"/>
      <c r="O573" s="81"/>
    </row>
    <row r="574" spans="1:15" ht="15" customHeight="1">
      <c r="A574" s="59">
        <v>46256</v>
      </c>
      <c r="B574" s="60">
        <f t="shared" si="124"/>
        <v>0.54166666666666641</v>
      </c>
      <c r="C574" s="70"/>
      <c r="D574" s="75"/>
      <c r="E574" s="75"/>
      <c r="F574" s="63"/>
      <c r="G574" s="69" t="str">
        <f t="shared" si="122"/>
        <v/>
      </c>
      <c r="H574" s="61"/>
      <c r="I574" s="61"/>
      <c r="J574" s="61"/>
      <c r="K574" s="65"/>
      <c r="L574" s="65"/>
      <c r="M574" s="66" t="str">
        <f t="shared" ca="1" si="123"/>
        <v/>
      </c>
      <c r="N574" s="80"/>
      <c r="O574" s="81"/>
    </row>
    <row r="575" spans="1:15" ht="15" customHeight="1">
      <c r="A575" s="18">
        <v>46256</v>
      </c>
      <c r="B575" s="68">
        <f t="shared" si="124"/>
        <v>0.58333333333333304</v>
      </c>
      <c r="C575" s="70"/>
      <c r="D575" s="75"/>
      <c r="E575" s="75"/>
      <c r="F575" s="63"/>
      <c r="G575" s="69" t="str">
        <f t="shared" si="122"/>
        <v/>
      </c>
      <c r="H575" s="70"/>
      <c r="I575" s="70"/>
      <c r="J575" s="70"/>
      <c r="K575" s="65"/>
      <c r="L575" s="65"/>
      <c r="M575" s="71" t="str">
        <f t="shared" ca="1" si="123"/>
        <v/>
      </c>
      <c r="N575" s="80"/>
      <c r="O575" s="81"/>
    </row>
    <row r="576" spans="1:15" ht="15" customHeight="1">
      <c r="A576" s="59">
        <v>46256</v>
      </c>
      <c r="B576" s="60">
        <f t="shared" si="124"/>
        <v>0.62499999999999967</v>
      </c>
      <c r="C576" s="70"/>
      <c r="D576" s="75"/>
      <c r="E576" s="75"/>
      <c r="F576" s="63"/>
      <c r="G576" s="69" t="str">
        <f t="shared" si="122"/>
        <v/>
      </c>
      <c r="H576" s="61"/>
      <c r="I576" s="61"/>
      <c r="J576" s="61"/>
      <c r="K576" s="65"/>
      <c r="L576" s="65"/>
      <c r="M576" s="66" t="str">
        <f t="shared" ca="1" si="123"/>
        <v/>
      </c>
      <c r="N576" s="80"/>
      <c r="O576" s="81"/>
    </row>
    <row r="577" spans="1:15" ht="15" customHeight="1">
      <c r="A577" s="18">
        <v>46256</v>
      </c>
      <c r="B577" s="68">
        <f t="shared" si="124"/>
        <v>0.6666666666666663</v>
      </c>
      <c r="C577" s="70"/>
      <c r="D577" s="75"/>
      <c r="E577" s="75"/>
      <c r="F577" s="63"/>
      <c r="G577" s="69" t="str">
        <f t="shared" si="122"/>
        <v/>
      </c>
      <c r="H577" s="70"/>
      <c r="I577" s="70"/>
      <c r="J577" s="70"/>
      <c r="K577" s="65"/>
      <c r="L577" s="65"/>
      <c r="M577" s="71" t="str">
        <f t="shared" ca="1" si="123"/>
        <v/>
      </c>
      <c r="N577" s="80"/>
      <c r="O577" s="81"/>
    </row>
    <row r="578" spans="1:15" ht="15" customHeight="1">
      <c r="A578" s="59">
        <v>46256</v>
      </c>
      <c r="B578" s="60">
        <f t="shared" si="124"/>
        <v>0.70833333333333293</v>
      </c>
      <c r="C578" s="70"/>
      <c r="D578" s="75"/>
      <c r="E578" s="75"/>
      <c r="F578" s="63"/>
      <c r="G578" s="69" t="str">
        <f t="shared" si="122"/>
        <v/>
      </c>
      <c r="H578" s="61"/>
      <c r="I578" s="61"/>
      <c r="J578" s="61"/>
      <c r="K578" s="65"/>
      <c r="L578" s="65"/>
      <c r="M578" s="66" t="str">
        <f t="shared" ca="1" si="123"/>
        <v/>
      </c>
      <c r="N578" s="80"/>
      <c r="O578" s="81"/>
    </row>
    <row r="579" spans="1:15" ht="15" customHeight="1">
      <c r="A579" s="18">
        <v>46256</v>
      </c>
      <c r="B579" s="68">
        <f t="shared" si="124"/>
        <v>0.74999999999999956</v>
      </c>
      <c r="C579" s="70"/>
      <c r="D579" s="75"/>
      <c r="E579" s="75"/>
      <c r="F579" s="63"/>
      <c r="G579" s="69" t="str">
        <f t="shared" si="122"/>
        <v/>
      </c>
      <c r="H579" s="70"/>
      <c r="I579" s="70"/>
      <c r="J579" s="70"/>
      <c r="K579" s="65"/>
      <c r="L579" s="65"/>
      <c r="M579" s="71" t="str">
        <f t="shared" ca="1" si="123"/>
        <v/>
      </c>
      <c r="N579" s="80"/>
      <c r="O579" s="81"/>
    </row>
    <row r="580" spans="1:15" ht="15" customHeight="1">
      <c r="A580" s="59">
        <v>46256</v>
      </c>
      <c r="B580" s="60">
        <f t="shared" si="124"/>
        <v>0.79166666666666619</v>
      </c>
      <c r="C580" s="70"/>
      <c r="D580" s="75"/>
      <c r="E580" s="75"/>
      <c r="F580" s="63"/>
      <c r="G580" s="69" t="str">
        <f t="shared" si="122"/>
        <v/>
      </c>
      <c r="H580" s="61"/>
      <c r="I580" s="61"/>
      <c r="J580" s="61"/>
      <c r="K580" s="65"/>
      <c r="L580" s="65"/>
      <c r="M580" s="66" t="str">
        <f t="shared" ca="1" si="123"/>
        <v/>
      </c>
      <c r="N580" s="80"/>
      <c r="O580" s="81"/>
    </row>
    <row r="581" spans="1:15" ht="15.75" customHeight="1">
      <c r="A581" s="165" t="s">
        <v>260</v>
      </c>
      <c r="B581" s="165"/>
      <c r="C581" s="165"/>
      <c r="D581" s="165"/>
      <c r="E581" s="165"/>
      <c r="F581" s="2">
        <f>SUM(F569:F580)</f>
        <v>0</v>
      </c>
      <c r="G581" s="2">
        <f>SUM(G569:G580)</f>
        <v>0</v>
      </c>
      <c r="H581" s="72"/>
      <c r="I581" s="72"/>
      <c r="J581" s="72"/>
      <c r="K581" s="72"/>
      <c r="L581" s="72"/>
      <c r="M581" s="73">
        <f ca="1">IFERROR(SUM(M569:M580),"")</f>
        <v>0</v>
      </c>
      <c r="N581" s="2" t="s">
        <v>261</v>
      </c>
      <c r="O581" s="74"/>
    </row>
    <row r="582" spans="1:15" ht="15" customHeight="1">
      <c r="A582" s="59">
        <v>46256</v>
      </c>
      <c r="B582" s="60">
        <v>0.83333333333333304</v>
      </c>
      <c r="C582" s="61"/>
      <c r="D582" s="62"/>
      <c r="E582" s="62"/>
      <c r="F582" s="63"/>
      <c r="G582" s="64" t="str">
        <f t="shared" ref="G582:G593" si="125">IF(F582="","",IF(E582="PC 17",F582*4.2,IF(E582="PC 19",F582*5,IF(E582="CB",F582*35,""))))</f>
        <v/>
      </c>
      <c r="H582" s="61"/>
      <c r="I582" s="61"/>
      <c r="J582" s="61"/>
      <c r="K582" s="65"/>
      <c r="L582" s="65"/>
      <c r="M582" s="66" t="str">
        <f t="shared" ref="M582:M593" ca="1" si="126">IFERROR(IF(K582="","",IF(L582="",MOD(NOW()-K582,1),IF(L582&gt;=K582,L582-K582,L582+1-K582))),"")</f>
        <v/>
      </c>
      <c r="N582" s="80"/>
      <c r="O582" s="81"/>
    </row>
    <row r="583" spans="1:15" ht="15" customHeight="1">
      <c r="A583" s="18">
        <v>46256</v>
      </c>
      <c r="B583" s="68">
        <f t="shared" ref="B583:B593" si="127">B582+TIME(0,60,0)</f>
        <v>0.87499999999999967</v>
      </c>
      <c r="C583" s="61"/>
      <c r="D583" s="62"/>
      <c r="E583" s="62"/>
      <c r="F583" s="63"/>
      <c r="G583" s="69" t="str">
        <f t="shared" si="125"/>
        <v/>
      </c>
      <c r="H583" s="70"/>
      <c r="I583" s="70"/>
      <c r="J583" s="70"/>
      <c r="K583" s="65"/>
      <c r="L583" s="65"/>
      <c r="M583" s="71" t="str">
        <f t="shared" ca="1" si="126"/>
        <v/>
      </c>
      <c r="N583" s="80"/>
      <c r="O583" s="81"/>
    </row>
    <row r="584" spans="1:15" ht="15" customHeight="1">
      <c r="A584" s="59">
        <v>46256</v>
      </c>
      <c r="B584" s="60">
        <f t="shared" si="127"/>
        <v>0.9166666666666663</v>
      </c>
      <c r="C584" s="61"/>
      <c r="D584" s="62"/>
      <c r="E584" s="62"/>
      <c r="F584" s="63"/>
      <c r="G584" s="64" t="str">
        <f t="shared" si="125"/>
        <v/>
      </c>
      <c r="H584" s="61"/>
      <c r="I584" s="61"/>
      <c r="J584" s="61"/>
      <c r="K584" s="65"/>
      <c r="L584" s="65"/>
      <c r="M584" s="66" t="str">
        <f t="shared" ca="1" si="126"/>
        <v/>
      </c>
      <c r="N584" s="80"/>
      <c r="O584" s="81"/>
    </row>
    <row r="585" spans="1:15" ht="15" customHeight="1">
      <c r="A585" s="18">
        <v>46256</v>
      </c>
      <c r="B585" s="68">
        <f t="shared" si="127"/>
        <v>0.95833333333333293</v>
      </c>
      <c r="C585" s="61"/>
      <c r="D585" s="62"/>
      <c r="E585" s="62"/>
      <c r="F585" s="63"/>
      <c r="G585" s="69" t="str">
        <f t="shared" si="125"/>
        <v/>
      </c>
      <c r="H585" s="70"/>
      <c r="I585" s="70"/>
      <c r="J585" s="70"/>
      <c r="K585" s="65"/>
      <c r="L585" s="65"/>
      <c r="M585" s="71" t="str">
        <f t="shared" ca="1" si="126"/>
        <v/>
      </c>
      <c r="N585" s="80"/>
      <c r="O585" s="81"/>
    </row>
    <row r="586" spans="1:15" ht="15" customHeight="1">
      <c r="A586" s="59">
        <v>46256</v>
      </c>
      <c r="B586" s="60">
        <f t="shared" si="127"/>
        <v>0.99999999999999956</v>
      </c>
      <c r="C586" s="61"/>
      <c r="D586" s="62"/>
      <c r="E586" s="62"/>
      <c r="F586" s="63"/>
      <c r="G586" s="64" t="str">
        <f t="shared" si="125"/>
        <v/>
      </c>
      <c r="H586" s="61"/>
      <c r="I586" s="61"/>
      <c r="J586" s="61"/>
      <c r="K586" s="65"/>
      <c r="L586" s="65"/>
      <c r="M586" s="66" t="str">
        <f t="shared" ca="1" si="126"/>
        <v/>
      </c>
      <c r="N586" s="80"/>
      <c r="O586" s="81"/>
    </row>
    <row r="587" spans="1:15" ht="15" customHeight="1">
      <c r="A587" s="18">
        <v>46256</v>
      </c>
      <c r="B587" s="68">
        <f t="shared" si="127"/>
        <v>1.0416666666666663</v>
      </c>
      <c r="C587" s="61"/>
      <c r="D587" s="62"/>
      <c r="E587" s="62"/>
      <c r="F587" s="63"/>
      <c r="G587" s="69" t="str">
        <f t="shared" si="125"/>
        <v/>
      </c>
      <c r="H587" s="70"/>
      <c r="I587" s="70"/>
      <c r="J587" s="70"/>
      <c r="K587" s="65"/>
      <c r="L587" s="65"/>
      <c r="M587" s="71" t="str">
        <f t="shared" ca="1" si="126"/>
        <v/>
      </c>
      <c r="N587" s="80"/>
      <c r="O587" s="81"/>
    </row>
    <row r="588" spans="1:15" ht="15" customHeight="1">
      <c r="A588" s="59">
        <v>46256</v>
      </c>
      <c r="B588" s="60">
        <f t="shared" si="127"/>
        <v>1.083333333333333</v>
      </c>
      <c r="C588" s="61"/>
      <c r="D588" s="62"/>
      <c r="E588" s="62"/>
      <c r="F588" s="63"/>
      <c r="G588" s="64" t="str">
        <f t="shared" si="125"/>
        <v/>
      </c>
      <c r="H588" s="61"/>
      <c r="I588" s="61"/>
      <c r="J588" s="61"/>
      <c r="K588" s="65"/>
      <c r="L588" s="65"/>
      <c r="M588" s="66" t="str">
        <f t="shared" ca="1" si="126"/>
        <v/>
      </c>
      <c r="N588" s="80"/>
      <c r="O588" s="81"/>
    </row>
    <row r="589" spans="1:15" ht="15" customHeight="1">
      <c r="A589" s="18">
        <v>46256</v>
      </c>
      <c r="B589" s="68">
        <f t="shared" si="127"/>
        <v>1.1249999999999998</v>
      </c>
      <c r="C589" s="61"/>
      <c r="D589" s="62"/>
      <c r="E589" s="62"/>
      <c r="F589" s="63"/>
      <c r="G589" s="69" t="str">
        <f t="shared" si="125"/>
        <v/>
      </c>
      <c r="H589" s="70"/>
      <c r="I589" s="70"/>
      <c r="J589" s="70"/>
      <c r="K589" s="65"/>
      <c r="L589" s="65"/>
      <c r="M589" s="71" t="str">
        <f t="shared" ca="1" si="126"/>
        <v/>
      </c>
      <c r="N589" s="80"/>
      <c r="O589" s="81"/>
    </row>
    <row r="590" spans="1:15" ht="15" customHeight="1">
      <c r="A590" s="59">
        <v>46256</v>
      </c>
      <c r="B590" s="60">
        <f t="shared" si="127"/>
        <v>1.1666666666666665</v>
      </c>
      <c r="C590" s="61"/>
      <c r="D590" s="62"/>
      <c r="E590" s="62"/>
      <c r="F590" s="63"/>
      <c r="G590" s="64" t="str">
        <f t="shared" si="125"/>
        <v/>
      </c>
      <c r="H590" s="61"/>
      <c r="I590" s="61"/>
      <c r="J590" s="61"/>
      <c r="K590" s="65"/>
      <c r="L590" s="65"/>
      <c r="M590" s="66" t="str">
        <f t="shared" ca="1" si="126"/>
        <v/>
      </c>
      <c r="N590" s="80"/>
      <c r="O590" s="81"/>
    </row>
    <row r="591" spans="1:15" ht="15" customHeight="1">
      <c r="A591" s="18">
        <v>46256</v>
      </c>
      <c r="B591" s="68">
        <f t="shared" si="127"/>
        <v>1.2083333333333333</v>
      </c>
      <c r="C591" s="61"/>
      <c r="D591" s="62"/>
      <c r="E591" s="62"/>
      <c r="F591" s="63"/>
      <c r="G591" s="69" t="str">
        <f t="shared" si="125"/>
        <v/>
      </c>
      <c r="H591" s="70"/>
      <c r="I591" s="70"/>
      <c r="J591" s="70"/>
      <c r="K591" s="65"/>
      <c r="L591" s="65"/>
      <c r="M591" s="71" t="str">
        <f t="shared" ca="1" si="126"/>
        <v/>
      </c>
      <c r="N591" s="80"/>
      <c r="O591" s="81"/>
    </row>
    <row r="592" spans="1:15" ht="15" customHeight="1">
      <c r="A592" s="59">
        <v>46256</v>
      </c>
      <c r="B592" s="60">
        <f t="shared" si="127"/>
        <v>1.25</v>
      </c>
      <c r="C592" s="61"/>
      <c r="D592" s="62"/>
      <c r="E592" s="62"/>
      <c r="F592" s="63"/>
      <c r="G592" s="64" t="str">
        <f t="shared" si="125"/>
        <v/>
      </c>
      <c r="H592" s="61"/>
      <c r="I592" s="61"/>
      <c r="J592" s="61"/>
      <c r="K592" s="65"/>
      <c r="L592" s="65"/>
      <c r="M592" s="66" t="str">
        <f t="shared" ca="1" si="126"/>
        <v/>
      </c>
      <c r="N592" s="80"/>
      <c r="O592" s="81"/>
    </row>
    <row r="593" spans="1:15" ht="15" customHeight="1">
      <c r="A593" s="18">
        <v>46256</v>
      </c>
      <c r="B593" s="68">
        <f t="shared" si="127"/>
        <v>1.2916666666666667</v>
      </c>
      <c r="C593" s="61"/>
      <c r="D593" s="62"/>
      <c r="E593" s="62"/>
      <c r="F593" s="63"/>
      <c r="G593" s="69" t="str">
        <f t="shared" si="125"/>
        <v/>
      </c>
      <c r="H593" s="70"/>
      <c r="I593" s="70"/>
      <c r="J593" s="70"/>
      <c r="K593" s="65"/>
      <c r="L593" s="65"/>
      <c r="M593" s="71" t="str">
        <f t="shared" ca="1" si="126"/>
        <v/>
      </c>
      <c r="N593" s="80"/>
      <c r="O593" s="81"/>
    </row>
    <row r="594" spans="1:15" ht="15.75" customHeight="1">
      <c r="A594" s="165" t="s">
        <v>263</v>
      </c>
      <c r="B594" s="165"/>
      <c r="C594" s="165"/>
      <c r="D594" s="165"/>
      <c r="E594" s="165"/>
      <c r="F594" s="2">
        <f>SUM(F582:F593)</f>
        <v>0</v>
      </c>
      <c r="G594" s="2">
        <f>SUM(G582:G593)</f>
        <v>0</v>
      </c>
      <c r="H594" s="72"/>
      <c r="I594" s="72"/>
      <c r="J594" s="72"/>
      <c r="K594" s="72"/>
      <c r="L594" s="72"/>
      <c r="M594" s="73">
        <f ca="1">IFERROR(SUM(M582:M593),"")</f>
        <v>0</v>
      </c>
      <c r="N594" s="2" t="s">
        <v>261</v>
      </c>
      <c r="O594" s="74"/>
    </row>
    <row r="595" spans="1:15" ht="18" customHeight="1">
      <c r="A595" s="166" t="s">
        <v>249</v>
      </c>
      <c r="B595" s="166"/>
      <c r="C595" s="166"/>
      <c r="D595" s="166"/>
      <c r="E595" s="166"/>
      <c r="F595" s="1">
        <f>F581+F594</f>
        <v>0</v>
      </c>
      <c r="G595" s="1">
        <f>G581+G594</f>
        <v>0</v>
      </c>
      <c r="H595" s="76"/>
      <c r="I595" s="76"/>
      <c r="J595" s="76"/>
      <c r="K595" s="76"/>
      <c r="L595" s="76"/>
      <c r="M595" s="77">
        <f ca="1">IFERROR(M581+M594,"")</f>
        <v>0</v>
      </c>
      <c r="N595" s="1" t="s">
        <v>264</v>
      </c>
      <c r="O595" s="82">
        <f>IFERROR(O581+O594,"")</f>
        <v>0</v>
      </c>
    </row>
    <row r="596" spans="1:15" ht="15" customHeight="1">
      <c r="A596" s="59">
        <v>46257</v>
      </c>
      <c r="B596" s="60">
        <v>0.33333333333333298</v>
      </c>
      <c r="C596" s="61"/>
      <c r="D596" s="62"/>
      <c r="E596" s="62"/>
      <c r="F596" s="63"/>
      <c r="G596" s="64" t="str">
        <f t="shared" ref="G596:G607" si="128">IF(F596="","",IF(E596="PC 17",F596*4.2,IF(E596="PC 19",F596*5,IF(E596="CB",F596*35,""))))</f>
        <v/>
      </c>
      <c r="H596" s="61"/>
      <c r="I596" s="61"/>
      <c r="J596" s="61"/>
      <c r="K596" s="65"/>
      <c r="L596" s="65"/>
      <c r="M596" s="66" t="str">
        <f t="shared" ref="M596:M607" ca="1" si="129">IFERROR(IF(K596="","",IF(L596="",MOD(NOW()-K596,1),IF(L596&gt;=K596,L596-K596,L596+1-K596))),"")</f>
        <v/>
      </c>
      <c r="N596" s="80"/>
      <c r="O596" s="81"/>
    </row>
    <row r="597" spans="1:15" ht="15" customHeight="1">
      <c r="A597" s="18">
        <v>46257</v>
      </c>
      <c r="B597" s="68">
        <f t="shared" ref="B597:B607" si="130">B596+TIME(0,60,0)</f>
        <v>0.37499999999999967</v>
      </c>
      <c r="C597" s="61"/>
      <c r="D597" s="62"/>
      <c r="E597" s="62"/>
      <c r="F597" s="63"/>
      <c r="G597" s="69" t="str">
        <f t="shared" si="128"/>
        <v/>
      </c>
      <c r="H597" s="70"/>
      <c r="I597" s="70"/>
      <c r="J597" s="70"/>
      <c r="K597" s="65"/>
      <c r="L597" s="65"/>
      <c r="M597" s="71" t="str">
        <f t="shared" ca="1" si="129"/>
        <v/>
      </c>
      <c r="N597" s="80"/>
      <c r="O597" s="81"/>
    </row>
    <row r="598" spans="1:15" ht="15" customHeight="1">
      <c r="A598" s="59">
        <v>46257</v>
      </c>
      <c r="B598" s="60">
        <f t="shared" si="130"/>
        <v>0.41666666666666635</v>
      </c>
      <c r="C598" s="61"/>
      <c r="D598" s="62"/>
      <c r="E598" s="62"/>
      <c r="F598" s="63"/>
      <c r="G598" s="64" t="str">
        <f t="shared" si="128"/>
        <v/>
      </c>
      <c r="H598" s="61"/>
      <c r="I598" s="61"/>
      <c r="J598" s="61"/>
      <c r="K598" s="65"/>
      <c r="L598" s="65"/>
      <c r="M598" s="66" t="str">
        <f t="shared" ca="1" si="129"/>
        <v/>
      </c>
      <c r="N598" s="80"/>
      <c r="O598" s="81"/>
    </row>
    <row r="599" spans="1:15" ht="15" customHeight="1">
      <c r="A599" s="18">
        <v>46257</v>
      </c>
      <c r="B599" s="68">
        <f t="shared" si="130"/>
        <v>0.45833333333333304</v>
      </c>
      <c r="C599" s="61"/>
      <c r="D599" s="62"/>
      <c r="E599" s="62"/>
      <c r="F599" s="63"/>
      <c r="G599" s="69" t="str">
        <f t="shared" si="128"/>
        <v/>
      </c>
      <c r="H599" s="70"/>
      <c r="I599" s="70"/>
      <c r="J599" s="70"/>
      <c r="K599" s="65"/>
      <c r="L599" s="65"/>
      <c r="M599" s="71" t="str">
        <f t="shared" ca="1" si="129"/>
        <v/>
      </c>
      <c r="N599" s="80"/>
      <c r="O599" s="81"/>
    </row>
    <row r="600" spans="1:15" ht="15" customHeight="1">
      <c r="A600" s="59">
        <v>46257</v>
      </c>
      <c r="B600" s="60">
        <f t="shared" si="130"/>
        <v>0.49999999999999972</v>
      </c>
      <c r="C600" s="61"/>
      <c r="D600" s="62"/>
      <c r="E600" s="62"/>
      <c r="F600" s="63"/>
      <c r="G600" s="64" t="str">
        <f t="shared" si="128"/>
        <v/>
      </c>
      <c r="H600" s="61"/>
      <c r="I600" s="61"/>
      <c r="J600" s="61"/>
      <c r="K600" s="65"/>
      <c r="L600" s="65"/>
      <c r="M600" s="66" t="str">
        <f t="shared" ca="1" si="129"/>
        <v/>
      </c>
      <c r="N600" s="80"/>
      <c r="O600" s="81"/>
    </row>
    <row r="601" spans="1:15" ht="15" customHeight="1">
      <c r="A601" s="18">
        <v>46257</v>
      </c>
      <c r="B601" s="68">
        <f t="shared" si="130"/>
        <v>0.54166666666666641</v>
      </c>
      <c r="C601" s="61"/>
      <c r="D601" s="62"/>
      <c r="E601" s="62"/>
      <c r="F601" s="63"/>
      <c r="G601" s="69" t="str">
        <f t="shared" si="128"/>
        <v/>
      </c>
      <c r="H601" s="70"/>
      <c r="I601" s="70"/>
      <c r="J601" s="70"/>
      <c r="K601" s="65"/>
      <c r="L601" s="65"/>
      <c r="M601" s="71" t="str">
        <f t="shared" ca="1" si="129"/>
        <v/>
      </c>
      <c r="N601" s="80"/>
      <c r="O601" s="81"/>
    </row>
    <row r="602" spans="1:15" ht="15" customHeight="1">
      <c r="A602" s="59">
        <v>46257</v>
      </c>
      <c r="B602" s="60">
        <f t="shared" si="130"/>
        <v>0.58333333333333304</v>
      </c>
      <c r="C602" s="61"/>
      <c r="D602" s="62"/>
      <c r="E602" s="62"/>
      <c r="F602" s="63"/>
      <c r="G602" s="64" t="str">
        <f t="shared" si="128"/>
        <v/>
      </c>
      <c r="H602" s="61"/>
      <c r="I602" s="61"/>
      <c r="J602" s="61"/>
      <c r="K602" s="65"/>
      <c r="L602" s="65"/>
      <c r="M602" s="66" t="str">
        <f t="shared" ca="1" si="129"/>
        <v/>
      </c>
      <c r="N602" s="80"/>
      <c r="O602" s="81"/>
    </row>
    <row r="603" spans="1:15" ht="15" customHeight="1">
      <c r="A603" s="18">
        <v>46257</v>
      </c>
      <c r="B603" s="68">
        <f t="shared" si="130"/>
        <v>0.62499999999999967</v>
      </c>
      <c r="C603" s="61"/>
      <c r="D603" s="62"/>
      <c r="E603" s="62"/>
      <c r="F603" s="63"/>
      <c r="G603" s="69" t="str">
        <f t="shared" si="128"/>
        <v/>
      </c>
      <c r="H603" s="70"/>
      <c r="I603" s="70"/>
      <c r="J603" s="70"/>
      <c r="K603" s="65"/>
      <c r="L603" s="65"/>
      <c r="M603" s="71" t="str">
        <f t="shared" ca="1" si="129"/>
        <v/>
      </c>
      <c r="N603" s="80"/>
      <c r="O603" s="81"/>
    </row>
    <row r="604" spans="1:15" ht="15" customHeight="1">
      <c r="A604" s="59">
        <v>46257</v>
      </c>
      <c r="B604" s="60">
        <f t="shared" si="130"/>
        <v>0.6666666666666663</v>
      </c>
      <c r="C604" s="61"/>
      <c r="D604" s="62"/>
      <c r="E604" s="62"/>
      <c r="F604" s="63"/>
      <c r="G604" s="64" t="str">
        <f t="shared" si="128"/>
        <v/>
      </c>
      <c r="H604" s="61"/>
      <c r="I604" s="61"/>
      <c r="J604" s="61"/>
      <c r="K604" s="65"/>
      <c r="L604" s="65"/>
      <c r="M604" s="66" t="str">
        <f t="shared" ca="1" si="129"/>
        <v/>
      </c>
      <c r="N604" s="80"/>
      <c r="O604" s="81"/>
    </row>
    <row r="605" spans="1:15" ht="15" customHeight="1">
      <c r="A605" s="18">
        <v>46257</v>
      </c>
      <c r="B605" s="68">
        <f t="shared" si="130"/>
        <v>0.70833333333333293</v>
      </c>
      <c r="C605" s="61"/>
      <c r="D605" s="62"/>
      <c r="E605" s="62"/>
      <c r="F605" s="63"/>
      <c r="G605" s="69" t="str">
        <f t="shared" si="128"/>
        <v/>
      </c>
      <c r="H605" s="70"/>
      <c r="I605" s="70"/>
      <c r="J605" s="70"/>
      <c r="K605" s="65"/>
      <c r="L605" s="65"/>
      <c r="M605" s="71" t="str">
        <f t="shared" ca="1" si="129"/>
        <v/>
      </c>
      <c r="N605" s="80"/>
      <c r="O605" s="81"/>
    </row>
    <row r="606" spans="1:15" ht="15" customHeight="1">
      <c r="A606" s="59">
        <v>46257</v>
      </c>
      <c r="B606" s="60">
        <f t="shared" si="130"/>
        <v>0.74999999999999956</v>
      </c>
      <c r="C606" s="61"/>
      <c r="D606" s="62"/>
      <c r="E606" s="62"/>
      <c r="F606" s="63"/>
      <c r="G606" s="64" t="str">
        <f t="shared" si="128"/>
        <v/>
      </c>
      <c r="H606" s="61"/>
      <c r="I606" s="61"/>
      <c r="J606" s="61"/>
      <c r="K606" s="65"/>
      <c r="L606" s="65"/>
      <c r="M606" s="66" t="str">
        <f t="shared" ca="1" si="129"/>
        <v/>
      </c>
      <c r="N606" s="80"/>
      <c r="O606" s="81"/>
    </row>
    <row r="607" spans="1:15" ht="15" customHeight="1">
      <c r="A607" s="18">
        <v>46257</v>
      </c>
      <c r="B607" s="68">
        <f t="shared" si="130"/>
        <v>0.79166666666666619</v>
      </c>
      <c r="C607" s="61"/>
      <c r="D607" s="62"/>
      <c r="E607" s="62"/>
      <c r="F607" s="63"/>
      <c r="G607" s="69" t="str">
        <f t="shared" si="128"/>
        <v/>
      </c>
      <c r="H607" s="70"/>
      <c r="I607" s="70"/>
      <c r="J607" s="70"/>
      <c r="K607" s="65"/>
      <c r="L607" s="65"/>
      <c r="M607" s="71" t="str">
        <f t="shared" ca="1" si="129"/>
        <v/>
      </c>
      <c r="N607" s="80"/>
      <c r="O607" s="81"/>
    </row>
    <row r="608" spans="1:15" ht="15.75" customHeight="1">
      <c r="A608" s="165" t="s">
        <v>260</v>
      </c>
      <c r="B608" s="165"/>
      <c r="C608" s="165"/>
      <c r="D608" s="165"/>
      <c r="E608" s="165"/>
      <c r="F608" s="2">
        <f>SUM(F596:F607)</f>
        <v>0</v>
      </c>
      <c r="G608" s="2">
        <f>SUM(G596:G607)</f>
        <v>0</v>
      </c>
      <c r="H608" s="72"/>
      <c r="I608" s="72"/>
      <c r="J608" s="72"/>
      <c r="K608" s="72"/>
      <c r="L608" s="72"/>
      <c r="M608" s="73">
        <f ca="1">IFERROR(SUM(M596:M607),"")</f>
        <v>0</v>
      </c>
      <c r="N608" s="2" t="s">
        <v>261</v>
      </c>
      <c r="O608" s="74"/>
    </row>
    <row r="609" spans="1:15" ht="15" customHeight="1">
      <c r="A609" s="18">
        <v>46257</v>
      </c>
      <c r="B609" s="68">
        <v>0.83333333333333304</v>
      </c>
      <c r="C609" s="70"/>
      <c r="D609" s="75"/>
      <c r="E609" s="75"/>
      <c r="F609" s="63"/>
      <c r="G609" s="69" t="str">
        <f t="shared" ref="G609:G614" si="131">IF(F609="","",IF(E609="PC 17",F609*4.2,IF(E609="PC 19",F609*5,IF(E609="CB",F609*35,""))))</f>
        <v/>
      </c>
      <c r="H609" s="70"/>
      <c r="I609" s="70"/>
      <c r="J609" s="70"/>
      <c r="K609" s="65"/>
      <c r="L609" s="65"/>
      <c r="M609" s="71" t="str">
        <f t="shared" ref="M609:M620" ca="1" si="132">IFERROR(IF(K609="","",IF(L609="",MOD(NOW()-K609,1),IF(L609&gt;=K609,L609-K609,L609+1-K609))),"")</f>
        <v/>
      </c>
      <c r="N609" s="80"/>
      <c r="O609" s="81"/>
    </row>
    <row r="610" spans="1:15" ht="15" customHeight="1">
      <c r="A610" s="59">
        <v>46257</v>
      </c>
      <c r="B610" s="60">
        <f t="shared" ref="B610:B620" si="133">B609+TIME(0,60,0)</f>
        <v>0.87499999999999967</v>
      </c>
      <c r="C610" s="70"/>
      <c r="D610" s="75"/>
      <c r="E610" s="75"/>
      <c r="F610" s="63"/>
      <c r="G610" s="64" t="str">
        <f t="shared" si="131"/>
        <v/>
      </c>
      <c r="H610" s="61"/>
      <c r="I610" s="61"/>
      <c r="J610" s="61"/>
      <c r="K610" s="65"/>
      <c r="L610" s="65"/>
      <c r="M610" s="66" t="str">
        <f t="shared" ca="1" si="132"/>
        <v/>
      </c>
      <c r="N610" s="80"/>
      <c r="O610" s="81"/>
    </row>
    <row r="611" spans="1:15" ht="15" customHeight="1">
      <c r="A611" s="18">
        <v>46257</v>
      </c>
      <c r="B611" s="68">
        <f t="shared" si="133"/>
        <v>0.9166666666666663</v>
      </c>
      <c r="C611" s="70"/>
      <c r="D611" s="75"/>
      <c r="E611" s="75"/>
      <c r="F611" s="63"/>
      <c r="G611" s="69" t="str">
        <f t="shared" si="131"/>
        <v/>
      </c>
      <c r="H611" s="70"/>
      <c r="I611" s="70"/>
      <c r="J611" s="70"/>
      <c r="K611" s="65"/>
      <c r="L611" s="65"/>
      <c r="M611" s="71" t="str">
        <f t="shared" ca="1" si="132"/>
        <v/>
      </c>
      <c r="N611" s="80"/>
      <c r="O611" s="81"/>
    </row>
    <row r="612" spans="1:15" ht="15" customHeight="1">
      <c r="A612" s="59">
        <v>46257</v>
      </c>
      <c r="B612" s="60">
        <f t="shared" si="133"/>
        <v>0.95833333333333293</v>
      </c>
      <c r="C612" s="70"/>
      <c r="D612" s="75"/>
      <c r="E612" s="75"/>
      <c r="F612" s="63"/>
      <c r="G612" s="64" t="str">
        <f t="shared" si="131"/>
        <v/>
      </c>
      <c r="H612" s="61"/>
      <c r="I612" s="61"/>
      <c r="J612" s="61"/>
      <c r="K612" s="65"/>
      <c r="L612" s="65"/>
      <c r="M612" s="66" t="str">
        <f t="shared" ca="1" si="132"/>
        <v/>
      </c>
      <c r="N612" s="80"/>
      <c r="O612" s="81"/>
    </row>
    <row r="613" spans="1:15" ht="15" customHeight="1">
      <c r="A613" s="18">
        <v>46257</v>
      </c>
      <c r="B613" s="68">
        <f t="shared" si="133"/>
        <v>0.99999999999999956</v>
      </c>
      <c r="C613" s="70"/>
      <c r="D613" s="75"/>
      <c r="E613" s="75"/>
      <c r="F613" s="63"/>
      <c r="G613" s="69" t="str">
        <f t="shared" si="131"/>
        <v/>
      </c>
      <c r="H613" s="70"/>
      <c r="I613" s="70"/>
      <c r="J613" s="70"/>
      <c r="K613" s="65"/>
      <c r="L613" s="65"/>
      <c r="M613" s="71" t="str">
        <f t="shared" ca="1" si="132"/>
        <v/>
      </c>
      <c r="N613" s="80"/>
      <c r="O613" s="81"/>
    </row>
    <row r="614" spans="1:15" ht="15" customHeight="1">
      <c r="A614" s="59">
        <v>46257</v>
      </c>
      <c r="B614" s="60">
        <f t="shared" si="133"/>
        <v>1.0416666666666663</v>
      </c>
      <c r="C614" s="70"/>
      <c r="D614" s="75"/>
      <c r="E614" s="75"/>
      <c r="F614" s="63"/>
      <c r="G614" s="64" t="str">
        <f t="shared" si="131"/>
        <v/>
      </c>
      <c r="H614" s="61"/>
      <c r="I614" s="61"/>
      <c r="J614" s="61"/>
      <c r="K614" s="65"/>
      <c r="L614" s="65"/>
      <c r="M614" s="66" t="str">
        <f t="shared" ca="1" si="132"/>
        <v/>
      </c>
      <c r="N614" s="80"/>
      <c r="O614" s="81"/>
    </row>
    <row r="615" spans="1:15" ht="15" customHeight="1">
      <c r="A615" s="18">
        <v>46257</v>
      </c>
      <c r="B615" s="68">
        <f t="shared" si="133"/>
        <v>1.083333333333333</v>
      </c>
      <c r="C615" s="70"/>
      <c r="D615" s="75"/>
      <c r="E615" s="75"/>
      <c r="F615" s="63"/>
      <c r="G615" s="69"/>
      <c r="H615" s="70"/>
      <c r="I615" s="70"/>
      <c r="J615" s="70"/>
      <c r="K615" s="65"/>
      <c r="L615" s="65"/>
      <c r="M615" s="71" t="str">
        <f t="shared" ca="1" si="132"/>
        <v/>
      </c>
      <c r="N615" s="80"/>
      <c r="O615" s="81"/>
    </row>
    <row r="616" spans="1:15" ht="15" customHeight="1">
      <c r="A616" s="59">
        <v>46257</v>
      </c>
      <c r="B616" s="60">
        <f t="shared" si="133"/>
        <v>1.1249999999999998</v>
      </c>
      <c r="C616" s="70"/>
      <c r="D616" s="75"/>
      <c r="E616" s="75"/>
      <c r="F616" s="63"/>
      <c r="G616" s="64" t="str">
        <f>IF(F616="","",IF(E616="PC 17",F616*4.2,IF(E616="PC 19",F616*5,IF(E616="CB",F616*35,""))))</f>
        <v/>
      </c>
      <c r="H616" s="61"/>
      <c r="I616" s="61"/>
      <c r="J616" s="61"/>
      <c r="K616" s="65"/>
      <c r="L616" s="65"/>
      <c r="M616" s="66" t="str">
        <f t="shared" ca="1" si="132"/>
        <v/>
      </c>
      <c r="N616" s="80"/>
      <c r="O616" s="81"/>
    </row>
    <row r="617" spans="1:15" ht="15" customHeight="1">
      <c r="A617" s="18">
        <v>46257</v>
      </c>
      <c r="B617" s="68">
        <f t="shared" si="133"/>
        <v>1.1666666666666665</v>
      </c>
      <c r="C617" s="70"/>
      <c r="D617" s="75"/>
      <c r="E617" s="75"/>
      <c r="F617" s="63"/>
      <c r="G617" s="69" t="str">
        <f>IF(F617="","",IF(E617="PC 17",F617*4.2,IF(E617="PC 19",F617*5,IF(E617="CB",F617*35,""))))</f>
        <v/>
      </c>
      <c r="H617" s="70"/>
      <c r="I617" s="70"/>
      <c r="J617" s="70"/>
      <c r="K617" s="65"/>
      <c r="L617" s="65"/>
      <c r="M617" s="71" t="str">
        <f t="shared" ca="1" si="132"/>
        <v/>
      </c>
      <c r="N617" s="80"/>
      <c r="O617" s="81"/>
    </row>
    <row r="618" spans="1:15" ht="15" customHeight="1">
      <c r="A618" s="59">
        <v>46257</v>
      </c>
      <c r="B618" s="60">
        <f t="shared" si="133"/>
        <v>1.2083333333333333</v>
      </c>
      <c r="C618" s="70"/>
      <c r="D618" s="75"/>
      <c r="E618" s="75"/>
      <c r="F618" s="63"/>
      <c r="G618" s="64" t="str">
        <f>IF(F618="","",IF(E618="PC 17",F618*4.2,IF(E618="PC 19",F618*5,IF(E618="CB",F618*35,""))))</f>
        <v/>
      </c>
      <c r="H618" s="61"/>
      <c r="I618" s="61"/>
      <c r="J618" s="61"/>
      <c r="K618" s="65"/>
      <c r="L618" s="65"/>
      <c r="M618" s="66" t="str">
        <f t="shared" ca="1" si="132"/>
        <v/>
      </c>
      <c r="N618" s="80"/>
      <c r="O618" s="81"/>
    </row>
    <row r="619" spans="1:15" ht="15" customHeight="1">
      <c r="A619" s="18">
        <v>46257</v>
      </c>
      <c r="B619" s="68">
        <f t="shared" si="133"/>
        <v>1.25</v>
      </c>
      <c r="C619" s="70"/>
      <c r="D619" s="75"/>
      <c r="E619" s="75"/>
      <c r="F619" s="63"/>
      <c r="G619" s="69" t="str">
        <f>IF(F619="","",IF(E619="PC 17",F619*4.2,IF(E619="PC 19",F619*5,IF(E619="CB",F619*35,""))))</f>
        <v/>
      </c>
      <c r="H619" s="70"/>
      <c r="I619" s="70"/>
      <c r="J619" s="70"/>
      <c r="K619" s="65"/>
      <c r="L619" s="65"/>
      <c r="M619" s="71" t="str">
        <f t="shared" ca="1" si="132"/>
        <v/>
      </c>
      <c r="N619" s="80"/>
      <c r="O619" s="81"/>
    </row>
    <row r="620" spans="1:15" ht="15" customHeight="1">
      <c r="A620" s="59">
        <v>46257</v>
      </c>
      <c r="B620" s="60">
        <f t="shared" si="133"/>
        <v>1.2916666666666667</v>
      </c>
      <c r="C620" s="70"/>
      <c r="D620" s="75"/>
      <c r="E620" s="75"/>
      <c r="F620" s="63"/>
      <c r="G620" s="64" t="str">
        <f>IF(F620="","",IF(E620="PC 17",F620*4.2,IF(E620="PC 19",F620*5,IF(E620="CB",F620*35,""))))</f>
        <v/>
      </c>
      <c r="H620" s="61"/>
      <c r="I620" s="61"/>
      <c r="J620" s="61"/>
      <c r="K620" s="65"/>
      <c r="L620" s="65"/>
      <c r="M620" s="66" t="str">
        <f t="shared" ca="1" si="132"/>
        <v/>
      </c>
      <c r="N620" s="80"/>
      <c r="O620" s="81"/>
    </row>
    <row r="621" spans="1:15" ht="15.75" customHeight="1">
      <c r="A621" s="165" t="s">
        <v>263</v>
      </c>
      <c r="B621" s="165"/>
      <c r="C621" s="165"/>
      <c r="D621" s="165"/>
      <c r="E621" s="165"/>
      <c r="F621" s="2">
        <f>SUM(F609:F620)</f>
        <v>0</v>
      </c>
      <c r="G621" s="2">
        <f>SUM(G609:G620)</f>
        <v>0</v>
      </c>
      <c r="H621" s="72"/>
      <c r="I621" s="72"/>
      <c r="J621" s="72"/>
      <c r="K621" s="72"/>
      <c r="L621" s="72"/>
      <c r="M621" s="73">
        <f ca="1">IFERROR(SUM(M609:M620),"")</f>
        <v>0</v>
      </c>
      <c r="N621" s="2" t="s">
        <v>261</v>
      </c>
      <c r="O621" s="74"/>
    </row>
    <row r="622" spans="1:15" ht="18" customHeight="1">
      <c r="A622" s="166" t="s">
        <v>249</v>
      </c>
      <c r="B622" s="166"/>
      <c r="C622" s="166"/>
      <c r="D622" s="166"/>
      <c r="E622" s="166"/>
      <c r="F622" s="1">
        <f>F608+F621</f>
        <v>0</v>
      </c>
      <c r="G622" s="1">
        <f>G608+G621</f>
        <v>0</v>
      </c>
      <c r="H622" s="76"/>
      <c r="I622" s="76"/>
      <c r="J622" s="76"/>
      <c r="K622" s="76"/>
      <c r="L622" s="76"/>
      <c r="M622" s="77">
        <f ca="1">IFERROR(M608+M621,"")</f>
        <v>0</v>
      </c>
      <c r="N622" s="1" t="s">
        <v>264</v>
      </c>
      <c r="O622" s="82">
        <f>IFERROR(O608+O621,"")</f>
        <v>0</v>
      </c>
    </row>
    <row r="623" spans="1:15" ht="15" customHeight="1">
      <c r="A623" s="18">
        <v>46258</v>
      </c>
      <c r="B623" s="68">
        <v>0.33333333333333298</v>
      </c>
      <c r="C623" s="70"/>
      <c r="D623" s="75"/>
      <c r="E623" s="75"/>
      <c r="F623" s="63"/>
      <c r="G623" s="69" t="str">
        <f t="shared" ref="G623:G634" si="134">IF(F623="","",IF(E623="PC 17",F623*4.2,IF(E623="PC 19",F623*5,IF(E623="CB",F623*35,""))))</f>
        <v/>
      </c>
      <c r="H623" s="70"/>
      <c r="I623" s="70"/>
      <c r="J623" s="70"/>
      <c r="K623" s="65"/>
      <c r="L623" s="65"/>
      <c r="M623" s="71" t="str">
        <f t="shared" ref="M623:M634" ca="1" si="135">IFERROR(IF(K623="","",IF(L623="",MOD(NOW()-K623,1),IF(L623&gt;=K623,L623-K623,L623+1-K623))),"")</f>
        <v/>
      </c>
      <c r="N623" s="80"/>
      <c r="O623" s="81"/>
    </row>
    <row r="624" spans="1:15" ht="15" customHeight="1">
      <c r="A624" s="59">
        <v>46258</v>
      </c>
      <c r="B624" s="60">
        <f t="shared" ref="B624:B634" si="136">B623+TIME(0,60,0)</f>
        <v>0.37499999999999967</v>
      </c>
      <c r="C624" s="70"/>
      <c r="D624" s="75"/>
      <c r="E624" s="75"/>
      <c r="F624" s="63"/>
      <c r="G624" s="64" t="str">
        <f t="shared" si="134"/>
        <v/>
      </c>
      <c r="H624" s="61"/>
      <c r="I624" s="61"/>
      <c r="J624" s="61"/>
      <c r="K624" s="65"/>
      <c r="L624" s="65"/>
      <c r="M624" s="66" t="str">
        <f t="shared" ca="1" si="135"/>
        <v/>
      </c>
      <c r="N624" s="80"/>
      <c r="O624" s="81"/>
    </row>
    <row r="625" spans="1:15" ht="15" customHeight="1">
      <c r="A625" s="18">
        <v>46258</v>
      </c>
      <c r="B625" s="68">
        <f t="shared" si="136"/>
        <v>0.41666666666666635</v>
      </c>
      <c r="C625" s="70"/>
      <c r="D625" s="75"/>
      <c r="E625" s="75"/>
      <c r="F625" s="63"/>
      <c r="G625" s="69" t="str">
        <f t="shared" si="134"/>
        <v/>
      </c>
      <c r="H625" s="70"/>
      <c r="I625" s="70"/>
      <c r="J625" s="70"/>
      <c r="K625" s="65"/>
      <c r="L625" s="65"/>
      <c r="M625" s="71" t="str">
        <f t="shared" ca="1" si="135"/>
        <v/>
      </c>
      <c r="N625" s="80"/>
      <c r="O625" s="81"/>
    </row>
    <row r="626" spans="1:15" ht="15" customHeight="1">
      <c r="A626" s="59">
        <v>46258</v>
      </c>
      <c r="B626" s="60">
        <f t="shared" si="136"/>
        <v>0.45833333333333304</v>
      </c>
      <c r="C626" s="70"/>
      <c r="D626" s="75"/>
      <c r="E626" s="75"/>
      <c r="F626" s="63"/>
      <c r="G626" s="64" t="str">
        <f t="shared" si="134"/>
        <v/>
      </c>
      <c r="H626" s="61"/>
      <c r="I626" s="61"/>
      <c r="J626" s="61"/>
      <c r="K626" s="65"/>
      <c r="L626" s="65"/>
      <c r="M626" s="66" t="str">
        <f t="shared" ca="1" si="135"/>
        <v/>
      </c>
      <c r="N626" s="80"/>
      <c r="O626" s="81"/>
    </row>
    <row r="627" spans="1:15" ht="15" customHeight="1">
      <c r="A627" s="18">
        <v>46258</v>
      </c>
      <c r="B627" s="68">
        <f t="shared" si="136"/>
        <v>0.49999999999999972</v>
      </c>
      <c r="C627" s="70"/>
      <c r="D627" s="75"/>
      <c r="E627" s="75"/>
      <c r="F627" s="63"/>
      <c r="G627" s="69" t="str">
        <f t="shared" si="134"/>
        <v/>
      </c>
      <c r="H627" s="70"/>
      <c r="I627" s="70"/>
      <c r="J627" s="70"/>
      <c r="K627" s="65"/>
      <c r="L627" s="65"/>
      <c r="M627" s="71" t="str">
        <f t="shared" ca="1" si="135"/>
        <v/>
      </c>
      <c r="N627" s="80"/>
      <c r="O627" s="81"/>
    </row>
    <row r="628" spans="1:15" ht="15" customHeight="1">
      <c r="A628" s="59">
        <v>46258</v>
      </c>
      <c r="B628" s="60">
        <f t="shared" si="136"/>
        <v>0.54166666666666641</v>
      </c>
      <c r="C628" s="70"/>
      <c r="D628" s="75"/>
      <c r="E628" s="75"/>
      <c r="F628" s="63"/>
      <c r="G628" s="64" t="str">
        <f t="shared" si="134"/>
        <v/>
      </c>
      <c r="H628" s="61"/>
      <c r="I628" s="61"/>
      <c r="J628" s="61"/>
      <c r="K628" s="65"/>
      <c r="L628" s="65"/>
      <c r="M628" s="66" t="str">
        <f t="shared" ca="1" si="135"/>
        <v/>
      </c>
      <c r="N628" s="80"/>
      <c r="O628" s="81"/>
    </row>
    <row r="629" spans="1:15" ht="15" customHeight="1">
      <c r="A629" s="18">
        <v>46258</v>
      </c>
      <c r="B629" s="68">
        <f t="shared" si="136"/>
        <v>0.58333333333333304</v>
      </c>
      <c r="C629" s="70"/>
      <c r="D629" s="75"/>
      <c r="E629" s="75"/>
      <c r="F629" s="63"/>
      <c r="G629" s="69" t="str">
        <f t="shared" si="134"/>
        <v/>
      </c>
      <c r="H629" s="70"/>
      <c r="I629" s="70"/>
      <c r="J629" s="70"/>
      <c r="K629" s="65"/>
      <c r="L629" s="65"/>
      <c r="M629" s="71" t="str">
        <f t="shared" ca="1" si="135"/>
        <v/>
      </c>
      <c r="N629" s="80"/>
      <c r="O629" s="81"/>
    </row>
    <row r="630" spans="1:15" ht="15" customHeight="1">
      <c r="A630" s="59">
        <v>46258</v>
      </c>
      <c r="B630" s="60">
        <f t="shared" si="136"/>
        <v>0.62499999999999967</v>
      </c>
      <c r="C630" s="70"/>
      <c r="D630" s="75"/>
      <c r="E630" s="75"/>
      <c r="F630" s="63"/>
      <c r="G630" s="64" t="str">
        <f t="shared" si="134"/>
        <v/>
      </c>
      <c r="H630" s="61"/>
      <c r="I630" s="61"/>
      <c r="J630" s="61"/>
      <c r="K630" s="65"/>
      <c r="L630" s="65"/>
      <c r="M630" s="66" t="str">
        <f t="shared" ca="1" si="135"/>
        <v/>
      </c>
      <c r="N630" s="80"/>
      <c r="O630" s="81"/>
    </row>
    <row r="631" spans="1:15" ht="15" customHeight="1">
      <c r="A631" s="18">
        <v>46258</v>
      </c>
      <c r="B631" s="68">
        <f t="shared" si="136"/>
        <v>0.6666666666666663</v>
      </c>
      <c r="C631" s="70"/>
      <c r="D631" s="75"/>
      <c r="E631" s="75"/>
      <c r="F631" s="63"/>
      <c r="G631" s="69" t="str">
        <f t="shared" si="134"/>
        <v/>
      </c>
      <c r="H631" s="70"/>
      <c r="I631" s="70"/>
      <c r="J631" s="70"/>
      <c r="K631" s="65"/>
      <c r="L631" s="65"/>
      <c r="M631" s="71" t="str">
        <f t="shared" ca="1" si="135"/>
        <v/>
      </c>
      <c r="N631" s="80"/>
      <c r="O631" s="81"/>
    </row>
    <row r="632" spans="1:15" ht="15" customHeight="1">
      <c r="A632" s="59">
        <v>46258</v>
      </c>
      <c r="B632" s="60">
        <f t="shared" si="136"/>
        <v>0.70833333333333293</v>
      </c>
      <c r="C632" s="70"/>
      <c r="D632" s="75"/>
      <c r="E632" s="75"/>
      <c r="F632" s="63"/>
      <c r="G632" s="64" t="str">
        <f t="shared" si="134"/>
        <v/>
      </c>
      <c r="H632" s="61"/>
      <c r="I632" s="61"/>
      <c r="J632" s="61"/>
      <c r="K632" s="65"/>
      <c r="L632" s="65"/>
      <c r="M632" s="66" t="str">
        <f t="shared" ca="1" si="135"/>
        <v/>
      </c>
      <c r="N632" s="80"/>
      <c r="O632" s="81"/>
    </row>
    <row r="633" spans="1:15" ht="15" customHeight="1">
      <c r="A633" s="18">
        <v>46258</v>
      </c>
      <c r="B633" s="68">
        <f t="shared" si="136"/>
        <v>0.74999999999999956</v>
      </c>
      <c r="C633" s="70"/>
      <c r="D633" s="75"/>
      <c r="E633" s="75"/>
      <c r="F633" s="63"/>
      <c r="G633" s="69" t="str">
        <f t="shared" si="134"/>
        <v/>
      </c>
      <c r="H633" s="70"/>
      <c r="I633" s="70"/>
      <c r="J633" s="70"/>
      <c r="K633" s="65"/>
      <c r="L633" s="65"/>
      <c r="M633" s="71" t="str">
        <f t="shared" ca="1" si="135"/>
        <v/>
      </c>
      <c r="N633" s="80"/>
      <c r="O633" s="81"/>
    </row>
    <row r="634" spans="1:15" ht="15" customHeight="1">
      <c r="A634" s="59">
        <v>46258</v>
      </c>
      <c r="B634" s="60">
        <f t="shared" si="136"/>
        <v>0.79166666666666619</v>
      </c>
      <c r="C634" s="70"/>
      <c r="D634" s="75"/>
      <c r="E634" s="75"/>
      <c r="F634" s="63"/>
      <c r="G634" s="64" t="str">
        <f t="shared" si="134"/>
        <v/>
      </c>
      <c r="H634" s="61"/>
      <c r="I634" s="61"/>
      <c r="J634" s="61"/>
      <c r="K634" s="65"/>
      <c r="L634" s="65"/>
      <c r="M634" s="66" t="str">
        <f t="shared" ca="1" si="135"/>
        <v/>
      </c>
      <c r="N634" s="80"/>
      <c r="O634" s="81"/>
    </row>
    <row r="635" spans="1:15" ht="15.75" customHeight="1">
      <c r="A635" s="165" t="s">
        <v>260</v>
      </c>
      <c r="B635" s="165"/>
      <c r="C635" s="165"/>
      <c r="D635" s="165"/>
      <c r="E635" s="165"/>
      <c r="F635" s="2">
        <f>SUM(F623:F634)</f>
        <v>0</v>
      </c>
      <c r="G635" s="2">
        <f>SUM(G623:G634)</f>
        <v>0</v>
      </c>
      <c r="H635" s="72"/>
      <c r="I635" s="72"/>
      <c r="J635" s="72"/>
      <c r="K635" s="72"/>
      <c r="L635" s="72"/>
      <c r="M635" s="73">
        <f ca="1">IFERROR(SUM(M623:M634),"")</f>
        <v>0</v>
      </c>
      <c r="N635" s="2" t="s">
        <v>261</v>
      </c>
      <c r="O635" s="74"/>
    </row>
    <row r="636" spans="1:15" ht="15" customHeight="1">
      <c r="A636" s="59">
        <v>46258</v>
      </c>
      <c r="B636" s="60">
        <v>0.83333333333333304</v>
      </c>
      <c r="C636" s="61"/>
      <c r="D636" s="62"/>
      <c r="E636" s="62"/>
      <c r="F636" s="63"/>
      <c r="G636" s="64" t="str">
        <f t="shared" ref="G636:G647" si="137">IF(F636="","",IF(E636="PC 17",F636*4.2,IF(E636="PC 19",F636*5,IF(E636="CB",F636*35,""))))</f>
        <v/>
      </c>
      <c r="H636" s="61"/>
      <c r="I636" s="61"/>
      <c r="J636" s="61"/>
      <c r="K636" s="65"/>
      <c r="L636" s="65"/>
      <c r="M636" s="66" t="str">
        <f t="shared" ref="M636:M647" ca="1" si="138">IFERROR(IF(K636="","",IF(L636="",MOD(NOW()-K636,1),IF(L636&gt;=K636,L636-K636,L636+1-K636))),"")</f>
        <v/>
      </c>
      <c r="N636" s="80"/>
      <c r="O636" s="81"/>
    </row>
    <row r="637" spans="1:15" ht="15" customHeight="1">
      <c r="A637" s="18">
        <v>46258</v>
      </c>
      <c r="B637" s="68">
        <f t="shared" ref="B637:B647" si="139">B636+TIME(0,60,0)</f>
        <v>0.87499999999999967</v>
      </c>
      <c r="C637" s="61"/>
      <c r="D637" s="62"/>
      <c r="E637" s="62"/>
      <c r="F637" s="63"/>
      <c r="G637" s="69" t="str">
        <f t="shared" si="137"/>
        <v/>
      </c>
      <c r="H637" s="70"/>
      <c r="I637" s="70"/>
      <c r="J637" s="70"/>
      <c r="K637" s="65"/>
      <c r="L637" s="65"/>
      <c r="M637" s="71" t="str">
        <f t="shared" ca="1" si="138"/>
        <v/>
      </c>
      <c r="N637" s="80"/>
      <c r="O637" s="81"/>
    </row>
    <row r="638" spans="1:15" ht="15" customHeight="1">
      <c r="A638" s="59">
        <v>46258</v>
      </c>
      <c r="B638" s="60">
        <f t="shared" si="139"/>
        <v>0.9166666666666663</v>
      </c>
      <c r="C638" s="61"/>
      <c r="D638" s="62"/>
      <c r="E638" s="62"/>
      <c r="F638" s="63"/>
      <c r="G638" s="64" t="str">
        <f t="shared" si="137"/>
        <v/>
      </c>
      <c r="H638" s="61"/>
      <c r="I638" s="61"/>
      <c r="J638" s="61"/>
      <c r="K638" s="65"/>
      <c r="L638" s="65"/>
      <c r="M638" s="66" t="str">
        <f t="shared" ca="1" si="138"/>
        <v/>
      </c>
      <c r="N638" s="80"/>
      <c r="O638" s="81"/>
    </row>
    <row r="639" spans="1:15" ht="15" customHeight="1">
      <c r="A639" s="18">
        <v>46258</v>
      </c>
      <c r="B639" s="68">
        <f t="shared" si="139"/>
        <v>0.95833333333333293</v>
      </c>
      <c r="C639" s="61"/>
      <c r="D639" s="62"/>
      <c r="E639" s="62"/>
      <c r="F639" s="63"/>
      <c r="G639" s="69" t="str">
        <f t="shared" si="137"/>
        <v/>
      </c>
      <c r="H639" s="70"/>
      <c r="I639" s="70"/>
      <c r="J639" s="70"/>
      <c r="K639" s="65"/>
      <c r="L639" s="65"/>
      <c r="M639" s="71" t="str">
        <f t="shared" ca="1" si="138"/>
        <v/>
      </c>
      <c r="N639" s="80"/>
      <c r="O639" s="81"/>
    </row>
    <row r="640" spans="1:15" ht="15" customHeight="1">
      <c r="A640" s="59">
        <v>46258</v>
      </c>
      <c r="B640" s="60">
        <f t="shared" si="139"/>
        <v>0.99999999999999956</v>
      </c>
      <c r="C640" s="61"/>
      <c r="D640" s="62"/>
      <c r="E640" s="62"/>
      <c r="F640" s="63"/>
      <c r="G640" s="64" t="str">
        <f t="shared" si="137"/>
        <v/>
      </c>
      <c r="H640" s="61"/>
      <c r="I640" s="61"/>
      <c r="J640" s="61"/>
      <c r="K640" s="65"/>
      <c r="L640" s="65"/>
      <c r="M640" s="66" t="str">
        <f t="shared" ca="1" si="138"/>
        <v/>
      </c>
      <c r="N640" s="80"/>
      <c r="O640" s="81"/>
    </row>
    <row r="641" spans="1:15" ht="15" customHeight="1">
      <c r="A641" s="18">
        <v>46258</v>
      </c>
      <c r="B641" s="68">
        <f t="shared" si="139"/>
        <v>1.0416666666666663</v>
      </c>
      <c r="C641" s="61"/>
      <c r="D641" s="62"/>
      <c r="E641" s="62"/>
      <c r="F641" s="63"/>
      <c r="G641" s="69" t="str">
        <f t="shared" si="137"/>
        <v/>
      </c>
      <c r="H641" s="70"/>
      <c r="I641" s="70"/>
      <c r="J641" s="70"/>
      <c r="K641" s="65"/>
      <c r="L641" s="65"/>
      <c r="M641" s="71" t="str">
        <f t="shared" ca="1" si="138"/>
        <v/>
      </c>
      <c r="N641" s="80"/>
      <c r="O641" s="81"/>
    </row>
    <row r="642" spans="1:15" ht="15" customHeight="1">
      <c r="A642" s="59">
        <v>46258</v>
      </c>
      <c r="B642" s="60">
        <f t="shared" si="139"/>
        <v>1.083333333333333</v>
      </c>
      <c r="C642" s="61"/>
      <c r="D642" s="62"/>
      <c r="E642" s="62"/>
      <c r="F642" s="63"/>
      <c r="G642" s="64" t="str">
        <f t="shared" si="137"/>
        <v/>
      </c>
      <c r="H642" s="61"/>
      <c r="I642" s="61"/>
      <c r="J642" s="61"/>
      <c r="K642" s="65"/>
      <c r="L642" s="65"/>
      <c r="M642" s="66" t="str">
        <f t="shared" ca="1" si="138"/>
        <v/>
      </c>
      <c r="N642" s="80"/>
      <c r="O642" s="81"/>
    </row>
    <row r="643" spans="1:15" ht="15" customHeight="1">
      <c r="A643" s="18">
        <v>46258</v>
      </c>
      <c r="B643" s="68">
        <f t="shared" si="139"/>
        <v>1.1249999999999998</v>
      </c>
      <c r="C643" s="61"/>
      <c r="D643" s="62"/>
      <c r="E643" s="62"/>
      <c r="F643" s="63"/>
      <c r="G643" s="69" t="str">
        <f t="shared" si="137"/>
        <v/>
      </c>
      <c r="H643" s="70"/>
      <c r="I643" s="70"/>
      <c r="J643" s="70"/>
      <c r="K643" s="65"/>
      <c r="L643" s="65"/>
      <c r="M643" s="71" t="str">
        <f t="shared" ca="1" si="138"/>
        <v/>
      </c>
      <c r="N643" s="80"/>
      <c r="O643" s="81"/>
    </row>
    <row r="644" spans="1:15" ht="15" customHeight="1">
      <c r="A644" s="59">
        <v>46258</v>
      </c>
      <c r="B644" s="60">
        <f t="shared" si="139"/>
        <v>1.1666666666666665</v>
      </c>
      <c r="C644" s="61"/>
      <c r="D644" s="62"/>
      <c r="E644" s="62"/>
      <c r="F644" s="63"/>
      <c r="G644" s="64" t="str">
        <f t="shared" si="137"/>
        <v/>
      </c>
      <c r="H644" s="61"/>
      <c r="I644" s="61"/>
      <c r="J644" s="61"/>
      <c r="K644" s="65"/>
      <c r="L644" s="65"/>
      <c r="M644" s="66" t="str">
        <f t="shared" ca="1" si="138"/>
        <v/>
      </c>
      <c r="N644" s="80"/>
      <c r="O644" s="81"/>
    </row>
    <row r="645" spans="1:15" ht="15" customHeight="1">
      <c r="A645" s="18">
        <v>46258</v>
      </c>
      <c r="B645" s="68">
        <f t="shared" si="139"/>
        <v>1.2083333333333333</v>
      </c>
      <c r="C645" s="61"/>
      <c r="D645" s="62"/>
      <c r="E645" s="62"/>
      <c r="F645" s="63"/>
      <c r="G645" s="69" t="str">
        <f t="shared" si="137"/>
        <v/>
      </c>
      <c r="H645" s="70"/>
      <c r="I645" s="70"/>
      <c r="J645" s="70"/>
      <c r="K645" s="65"/>
      <c r="L645" s="65"/>
      <c r="M645" s="71" t="str">
        <f t="shared" ca="1" si="138"/>
        <v/>
      </c>
      <c r="N645" s="80"/>
      <c r="O645" s="81"/>
    </row>
    <row r="646" spans="1:15" ht="15" customHeight="1">
      <c r="A646" s="59">
        <v>46258</v>
      </c>
      <c r="B646" s="60">
        <f t="shared" si="139"/>
        <v>1.25</v>
      </c>
      <c r="C646" s="61"/>
      <c r="D646" s="62"/>
      <c r="E646" s="62"/>
      <c r="F646" s="63"/>
      <c r="G646" s="64" t="str">
        <f t="shared" si="137"/>
        <v/>
      </c>
      <c r="H646" s="61"/>
      <c r="I646" s="61"/>
      <c r="J646" s="61"/>
      <c r="K646" s="65"/>
      <c r="L646" s="65"/>
      <c r="M646" s="66" t="str">
        <f t="shared" ca="1" si="138"/>
        <v/>
      </c>
      <c r="N646" s="80"/>
      <c r="O646" s="81"/>
    </row>
    <row r="647" spans="1:15" ht="15" customHeight="1">
      <c r="A647" s="18">
        <v>46258</v>
      </c>
      <c r="B647" s="68">
        <f t="shared" si="139"/>
        <v>1.2916666666666667</v>
      </c>
      <c r="C647" s="61"/>
      <c r="D647" s="62"/>
      <c r="E647" s="62"/>
      <c r="F647" s="63"/>
      <c r="G647" s="69" t="str">
        <f t="shared" si="137"/>
        <v/>
      </c>
      <c r="H647" s="70"/>
      <c r="I647" s="70"/>
      <c r="J647" s="70"/>
      <c r="K647" s="65"/>
      <c r="L647" s="65"/>
      <c r="M647" s="71" t="str">
        <f t="shared" ca="1" si="138"/>
        <v/>
      </c>
      <c r="N647" s="80"/>
      <c r="O647" s="81"/>
    </row>
    <row r="648" spans="1:15" ht="15.75" customHeight="1">
      <c r="A648" s="165" t="s">
        <v>263</v>
      </c>
      <c r="B648" s="165"/>
      <c r="C648" s="165"/>
      <c r="D648" s="165"/>
      <c r="E648" s="165"/>
      <c r="F648" s="2">
        <f>SUM(F636:F647)</f>
        <v>0</v>
      </c>
      <c r="G648" s="2">
        <f>SUM(G636:G647)</f>
        <v>0</v>
      </c>
      <c r="H648" s="72"/>
      <c r="I648" s="72"/>
      <c r="J648" s="72"/>
      <c r="K648" s="72"/>
      <c r="L648" s="72"/>
      <c r="M648" s="73">
        <f ca="1">IFERROR(SUM(M636:M647),"")</f>
        <v>0</v>
      </c>
      <c r="N648" s="2" t="s">
        <v>261</v>
      </c>
      <c r="O648" s="74"/>
    </row>
    <row r="649" spans="1:15" ht="18" customHeight="1">
      <c r="A649" s="166" t="s">
        <v>249</v>
      </c>
      <c r="B649" s="166"/>
      <c r="C649" s="166"/>
      <c r="D649" s="166"/>
      <c r="E649" s="166"/>
      <c r="F649" s="1">
        <f>F635+F648</f>
        <v>0</v>
      </c>
      <c r="G649" s="1">
        <f>G635+G648</f>
        <v>0</v>
      </c>
      <c r="H649" s="76"/>
      <c r="I649" s="76"/>
      <c r="J649" s="76"/>
      <c r="K649" s="76"/>
      <c r="L649" s="76"/>
      <c r="M649" s="77">
        <f ca="1">IFERROR(M635+M648,"")</f>
        <v>0</v>
      </c>
      <c r="N649" s="1" t="s">
        <v>264</v>
      </c>
      <c r="O649" s="82">
        <f>IFERROR(O635+O648,"")</f>
        <v>0</v>
      </c>
    </row>
    <row r="650" spans="1:15" ht="15" customHeight="1">
      <c r="A650" s="59">
        <v>46259</v>
      </c>
      <c r="B650" s="60">
        <v>0.33333333333333298</v>
      </c>
      <c r="C650" s="61"/>
      <c r="D650" s="62"/>
      <c r="E650" s="62"/>
      <c r="F650" s="63"/>
      <c r="G650" s="64" t="str">
        <f t="shared" ref="G650:G661" si="140">IF(F650="","",IF(E650="PC 17",F650*4.2,IF(E650="PC 19",F650*5,IF(E650="CB",F650*35,""))))</f>
        <v/>
      </c>
      <c r="H650" s="61"/>
      <c r="I650" s="61"/>
      <c r="J650" s="61"/>
      <c r="K650" s="65"/>
      <c r="L650" s="65"/>
      <c r="M650" s="66" t="str">
        <f t="shared" ref="M650:M661" ca="1" si="141">IFERROR(IF(K650="","",IF(L650="",MOD(NOW()-K650,1),IF(L650&gt;=K650,L650-K650,L650+1-K650))),"")</f>
        <v/>
      </c>
      <c r="N650" s="80"/>
      <c r="O650" s="81"/>
    </row>
    <row r="651" spans="1:15" ht="15" customHeight="1">
      <c r="A651" s="18">
        <v>46259</v>
      </c>
      <c r="B651" s="68">
        <f t="shared" ref="B651:B661" si="142">B650+TIME(0,60,0)</f>
        <v>0.37499999999999967</v>
      </c>
      <c r="C651" s="61"/>
      <c r="D651" s="62"/>
      <c r="E651" s="62"/>
      <c r="F651" s="63"/>
      <c r="G651" s="69" t="str">
        <f t="shared" si="140"/>
        <v/>
      </c>
      <c r="H651" s="70"/>
      <c r="I651" s="70"/>
      <c r="J651" s="70"/>
      <c r="K651" s="65"/>
      <c r="L651" s="65"/>
      <c r="M651" s="71" t="str">
        <f t="shared" ca="1" si="141"/>
        <v/>
      </c>
      <c r="N651" s="80"/>
      <c r="O651" s="81"/>
    </row>
    <row r="652" spans="1:15" ht="15" customHeight="1">
      <c r="A652" s="59">
        <v>46259</v>
      </c>
      <c r="B652" s="60">
        <f t="shared" si="142"/>
        <v>0.41666666666666635</v>
      </c>
      <c r="C652" s="61"/>
      <c r="D652" s="62"/>
      <c r="E652" s="62"/>
      <c r="F652" s="63"/>
      <c r="G652" s="69" t="str">
        <f t="shared" si="140"/>
        <v/>
      </c>
      <c r="H652" s="61"/>
      <c r="I652" s="61"/>
      <c r="J652" s="61"/>
      <c r="K652" s="65"/>
      <c r="L652" s="65"/>
      <c r="M652" s="66" t="str">
        <f t="shared" ca="1" si="141"/>
        <v/>
      </c>
      <c r="N652" s="80"/>
      <c r="O652" s="81"/>
    </row>
    <row r="653" spans="1:15" ht="15" customHeight="1">
      <c r="A653" s="18">
        <v>46259</v>
      </c>
      <c r="B653" s="68">
        <f t="shared" si="142"/>
        <v>0.45833333333333304</v>
      </c>
      <c r="C653" s="61"/>
      <c r="D653" s="62"/>
      <c r="E653" s="62"/>
      <c r="F653" s="63"/>
      <c r="G653" s="69" t="str">
        <f t="shared" si="140"/>
        <v/>
      </c>
      <c r="H653" s="70"/>
      <c r="I653" s="70"/>
      <c r="J653" s="70"/>
      <c r="K653" s="65"/>
      <c r="L653" s="65"/>
      <c r="M653" s="71" t="str">
        <f t="shared" ca="1" si="141"/>
        <v/>
      </c>
      <c r="N653" s="80"/>
      <c r="O653" s="81"/>
    </row>
    <row r="654" spans="1:15" ht="15" customHeight="1">
      <c r="A654" s="59">
        <v>46259</v>
      </c>
      <c r="B654" s="60">
        <f t="shared" si="142"/>
        <v>0.49999999999999972</v>
      </c>
      <c r="C654" s="61"/>
      <c r="D654" s="62"/>
      <c r="E654" s="62"/>
      <c r="F654" s="63"/>
      <c r="G654" s="64" t="str">
        <f t="shared" si="140"/>
        <v/>
      </c>
      <c r="H654" s="61"/>
      <c r="I654" s="61"/>
      <c r="J654" s="61"/>
      <c r="K654" s="65"/>
      <c r="L654" s="65"/>
      <c r="M654" s="66" t="str">
        <f t="shared" ca="1" si="141"/>
        <v/>
      </c>
      <c r="N654" s="80"/>
      <c r="O654" s="81"/>
    </row>
    <row r="655" spans="1:15" ht="15" customHeight="1">
      <c r="A655" s="18">
        <v>46259</v>
      </c>
      <c r="B655" s="68">
        <f t="shared" si="142"/>
        <v>0.54166666666666641</v>
      </c>
      <c r="C655" s="61"/>
      <c r="D655" s="62"/>
      <c r="E655" s="62"/>
      <c r="F655" s="63"/>
      <c r="G655" s="69" t="str">
        <f t="shared" si="140"/>
        <v/>
      </c>
      <c r="H655" s="70"/>
      <c r="I655" s="70"/>
      <c r="J655" s="70"/>
      <c r="K655" s="65"/>
      <c r="L655" s="65"/>
      <c r="M655" s="71" t="str">
        <f t="shared" ca="1" si="141"/>
        <v/>
      </c>
      <c r="N655" s="80"/>
      <c r="O655" s="81"/>
    </row>
    <row r="656" spans="1:15" ht="15" customHeight="1">
      <c r="A656" s="59">
        <v>46259</v>
      </c>
      <c r="B656" s="60">
        <f t="shared" si="142"/>
        <v>0.58333333333333304</v>
      </c>
      <c r="C656" s="61"/>
      <c r="D656" s="62"/>
      <c r="E656" s="62"/>
      <c r="F656" s="63"/>
      <c r="G656" s="64" t="str">
        <f t="shared" si="140"/>
        <v/>
      </c>
      <c r="H656" s="61"/>
      <c r="I656" s="61"/>
      <c r="J656" s="61"/>
      <c r="K656" s="65"/>
      <c r="L656" s="65"/>
      <c r="M656" s="66" t="str">
        <f t="shared" ca="1" si="141"/>
        <v/>
      </c>
      <c r="N656" s="80"/>
      <c r="O656" s="81"/>
    </row>
    <row r="657" spans="1:15" ht="15" customHeight="1">
      <c r="A657" s="18">
        <v>46259</v>
      </c>
      <c r="B657" s="68">
        <f t="shared" si="142"/>
        <v>0.62499999999999967</v>
      </c>
      <c r="C657" s="61"/>
      <c r="D657" s="62"/>
      <c r="E657" s="62"/>
      <c r="F657" s="63"/>
      <c r="G657" s="69" t="str">
        <f t="shared" si="140"/>
        <v/>
      </c>
      <c r="H657" s="70"/>
      <c r="I657" s="70"/>
      <c r="J657" s="70"/>
      <c r="K657" s="65"/>
      <c r="L657" s="65"/>
      <c r="M657" s="71" t="str">
        <f t="shared" ca="1" si="141"/>
        <v/>
      </c>
      <c r="N657" s="80"/>
      <c r="O657" s="81"/>
    </row>
    <row r="658" spans="1:15" ht="15" customHeight="1">
      <c r="A658" s="59">
        <v>46259</v>
      </c>
      <c r="B658" s="60">
        <f t="shared" si="142"/>
        <v>0.6666666666666663</v>
      </c>
      <c r="C658" s="61"/>
      <c r="D658" s="62"/>
      <c r="E658" s="62"/>
      <c r="F658" s="63"/>
      <c r="G658" s="64" t="str">
        <f t="shared" si="140"/>
        <v/>
      </c>
      <c r="H658" s="61"/>
      <c r="I658" s="61"/>
      <c r="J658" s="61"/>
      <c r="K658" s="65"/>
      <c r="L658" s="65"/>
      <c r="M658" s="66" t="str">
        <f t="shared" ca="1" si="141"/>
        <v/>
      </c>
      <c r="N658" s="80"/>
      <c r="O658" s="81"/>
    </row>
    <row r="659" spans="1:15" ht="15" customHeight="1">
      <c r="A659" s="18">
        <v>46259</v>
      </c>
      <c r="B659" s="68">
        <f t="shared" si="142"/>
        <v>0.70833333333333293</v>
      </c>
      <c r="C659" s="61"/>
      <c r="D659" s="62"/>
      <c r="E659" s="62"/>
      <c r="F659" s="63"/>
      <c r="G659" s="69" t="str">
        <f t="shared" si="140"/>
        <v/>
      </c>
      <c r="H659" s="70"/>
      <c r="I659" s="70"/>
      <c r="J659" s="70"/>
      <c r="K659" s="65"/>
      <c r="L659" s="65"/>
      <c r="M659" s="71" t="str">
        <f t="shared" ca="1" si="141"/>
        <v/>
      </c>
      <c r="N659" s="80"/>
      <c r="O659" s="81"/>
    </row>
    <row r="660" spans="1:15" ht="15" customHeight="1">
      <c r="A660" s="59">
        <v>46259</v>
      </c>
      <c r="B660" s="60">
        <f t="shared" si="142"/>
        <v>0.74999999999999956</v>
      </c>
      <c r="C660" s="61"/>
      <c r="D660" s="62"/>
      <c r="E660" s="62"/>
      <c r="F660" s="63"/>
      <c r="G660" s="64" t="str">
        <f t="shared" si="140"/>
        <v/>
      </c>
      <c r="H660" s="61"/>
      <c r="I660" s="61"/>
      <c r="J660" s="61"/>
      <c r="K660" s="65"/>
      <c r="L660" s="65"/>
      <c r="M660" s="66" t="str">
        <f t="shared" ca="1" si="141"/>
        <v/>
      </c>
      <c r="N660" s="80"/>
      <c r="O660" s="81"/>
    </row>
    <row r="661" spans="1:15" ht="15" customHeight="1">
      <c r="A661" s="18">
        <v>46259</v>
      </c>
      <c r="B661" s="68">
        <f t="shared" si="142"/>
        <v>0.79166666666666619</v>
      </c>
      <c r="C661" s="61"/>
      <c r="D661" s="62"/>
      <c r="E661" s="62"/>
      <c r="F661" s="63"/>
      <c r="G661" s="69" t="str">
        <f t="shared" si="140"/>
        <v/>
      </c>
      <c r="H661" s="70"/>
      <c r="I661" s="70"/>
      <c r="J661" s="70"/>
      <c r="K661" s="65"/>
      <c r="L661" s="65"/>
      <c r="M661" s="71" t="str">
        <f t="shared" ca="1" si="141"/>
        <v/>
      </c>
      <c r="N661" s="80"/>
      <c r="O661" s="81"/>
    </row>
    <row r="662" spans="1:15" ht="15.75" customHeight="1">
      <c r="A662" s="165" t="s">
        <v>260</v>
      </c>
      <c r="B662" s="165"/>
      <c r="C662" s="165"/>
      <c r="D662" s="165"/>
      <c r="E662" s="165"/>
      <c r="F662" s="2">
        <f>SUM(F650:F661)</f>
        <v>0</v>
      </c>
      <c r="G662" s="2">
        <f>SUM(G650:G661)</f>
        <v>0</v>
      </c>
      <c r="H662" s="72"/>
      <c r="I662" s="72"/>
      <c r="J662" s="72"/>
      <c r="K662" s="72"/>
      <c r="L662" s="72"/>
      <c r="M662" s="73">
        <f ca="1">IFERROR(SUM(M650:M661),"")</f>
        <v>0</v>
      </c>
      <c r="N662" s="2" t="s">
        <v>261</v>
      </c>
      <c r="O662" s="74"/>
    </row>
    <row r="663" spans="1:15" ht="15" customHeight="1">
      <c r="A663" s="18">
        <v>46259</v>
      </c>
      <c r="B663" s="68">
        <v>0.83333333333333304</v>
      </c>
      <c r="C663" s="70"/>
      <c r="D663" s="75"/>
      <c r="E663" s="75"/>
      <c r="F663" s="63"/>
      <c r="G663" s="69" t="str">
        <f t="shared" ref="G663:G674" si="143">IF(F663="","",IF(E663="PC 17",F663*4.2,IF(E663="PC 19",F663*5,IF(E663="CB",F663*35,""))))</f>
        <v/>
      </c>
      <c r="H663" s="70"/>
      <c r="I663" s="70"/>
      <c r="J663" s="70"/>
      <c r="K663" s="65"/>
      <c r="L663" s="65"/>
      <c r="M663" s="71" t="str">
        <f t="shared" ref="M663:M674" ca="1" si="144">IFERROR(IF(K663="","",IF(L663="",MOD(NOW()-K663,1),IF(L663&gt;=K663,L663-K663,L663+1-K663))),"")</f>
        <v/>
      </c>
      <c r="N663" s="80"/>
      <c r="O663" s="81"/>
    </row>
    <row r="664" spans="1:15" ht="15" customHeight="1">
      <c r="A664" s="59">
        <v>46259</v>
      </c>
      <c r="B664" s="60">
        <f t="shared" ref="B664:B674" si="145">B663+TIME(0,60,0)</f>
        <v>0.87499999999999967</v>
      </c>
      <c r="C664" s="70"/>
      <c r="D664" s="75"/>
      <c r="E664" s="75"/>
      <c r="F664" s="63"/>
      <c r="G664" s="64" t="str">
        <f t="shared" si="143"/>
        <v/>
      </c>
      <c r="H664" s="61"/>
      <c r="I664" s="61"/>
      <c r="J664" s="61"/>
      <c r="K664" s="65"/>
      <c r="L664" s="65"/>
      <c r="M664" s="66" t="str">
        <f t="shared" ca="1" si="144"/>
        <v/>
      </c>
      <c r="N664" s="80"/>
      <c r="O664" s="81"/>
    </row>
    <row r="665" spans="1:15" ht="15" customHeight="1">
      <c r="A665" s="18">
        <v>46259</v>
      </c>
      <c r="B665" s="68">
        <f t="shared" si="145"/>
        <v>0.9166666666666663</v>
      </c>
      <c r="C665" s="70"/>
      <c r="D665" s="75"/>
      <c r="E665" s="75"/>
      <c r="F665" s="63"/>
      <c r="G665" s="69" t="str">
        <f t="shared" si="143"/>
        <v/>
      </c>
      <c r="H665" s="70"/>
      <c r="I665" s="70"/>
      <c r="J665" s="70"/>
      <c r="K665" s="65"/>
      <c r="L665" s="65"/>
      <c r="M665" s="71" t="str">
        <f t="shared" ca="1" si="144"/>
        <v/>
      </c>
      <c r="N665" s="80"/>
      <c r="O665" s="81"/>
    </row>
    <row r="666" spans="1:15" ht="15" customHeight="1">
      <c r="A666" s="59">
        <v>46259</v>
      </c>
      <c r="B666" s="60">
        <f t="shared" si="145"/>
        <v>0.95833333333333293</v>
      </c>
      <c r="C666" s="70"/>
      <c r="D666" s="75"/>
      <c r="E666" s="75"/>
      <c r="F666" s="63"/>
      <c r="G666" s="64" t="str">
        <f t="shared" si="143"/>
        <v/>
      </c>
      <c r="H666" s="61"/>
      <c r="I666" s="61"/>
      <c r="J666" s="61"/>
      <c r="K666" s="65"/>
      <c r="L666" s="65"/>
      <c r="M666" s="66" t="str">
        <f t="shared" ca="1" si="144"/>
        <v/>
      </c>
      <c r="N666" s="80"/>
      <c r="O666" s="81"/>
    </row>
    <row r="667" spans="1:15" ht="15" customHeight="1">
      <c r="A667" s="18">
        <v>46259</v>
      </c>
      <c r="B667" s="68">
        <f t="shared" si="145"/>
        <v>0.99999999999999956</v>
      </c>
      <c r="C667" s="70"/>
      <c r="D667" s="75"/>
      <c r="E667" s="75"/>
      <c r="F667" s="63"/>
      <c r="G667" s="69" t="str">
        <f t="shared" si="143"/>
        <v/>
      </c>
      <c r="H667" s="70"/>
      <c r="I667" s="70"/>
      <c r="J667" s="70"/>
      <c r="K667" s="65"/>
      <c r="L667" s="65"/>
      <c r="M667" s="71" t="str">
        <f t="shared" ca="1" si="144"/>
        <v/>
      </c>
      <c r="N667" s="80"/>
      <c r="O667" s="81"/>
    </row>
    <row r="668" spans="1:15" ht="15" customHeight="1">
      <c r="A668" s="59">
        <v>46259</v>
      </c>
      <c r="B668" s="60">
        <f t="shared" si="145"/>
        <v>1.0416666666666663</v>
      </c>
      <c r="C668" s="70"/>
      <c r="D668" s="75"/>
      <c r="E668" s="75"/>
      <c r="F668" s="63"/>
      <c r="G668" s="64" t="str">
        <f t="shared" si="143"/>
        <v/>
      </c>
      <c r="H668" s="61"/>
      <c r="I668" s="61"/>
      <c r="J668" s="61"/>
      <c r="K668" s="65"/>
      <c r="L668" s="65"/>
      <c r="M668" s="66" t="str">
        <f t="shared" ca="1" si="144"/>
        <v/>
      </c>
      <c r="N668" s="80"/>
      <c r="O668" s="81"/>
    </row>
    <row r="669" spans="1:15" ht="15" customHeight="1">
      <c r="A669" s="18">
        <v>46259</v>
      </c>
      <c r="B669" s="68">
        <f t="shared" si="145"/>
        <v>1.083333333333333</v>
      </c>
      <c r="C669" s="70"/>
      <c r="D669" s="75"/>
      <c r="E669" s="75"/>
      <c r="F669" s="63"/>
      <c r="G669" s="69" t="str">
        <f t="shared" si="143"/>
        <v/>
      </c>
      <c r="H669" s="70"/>
      <c r="I669" s="70"/>
      <c r="J669" s="70"/>
      <c r="K669" s="65"/>
      <c r="L669" s="65"/>
      <c r="M669" s="71" t="str">
        <f t="shared" ca="1" si="144"/>
        <v/>
      </c>
      <c r="N669" s="80"/>
      <c r="O669" s="81"/>
    </row>
    <row r="670" spans="1:15" ht="15" customHeight="1">
      <c r="A670" s="59">
        <v>46259</v>
      </c>
      <c r="B670" s="60">
        <f t="shared" si="145"/>
        <v>1.1249999999999998</v>
      </c>
      <c r="C670" s="70"/>
      <c r="D670" s="75"/>
      <c r="E670" s="75"/>
      <c r="F670" s="63"/>
      <c r="G670" s="64" t="str">
        <f t="shared" si="143"/>
        <v/>
      </c>
      <c r="H670" s="61"/>
      <c r="I670" s="61"/>
      <c r="J670" s="61"/>
      <c r="K670" s="65"/>
      <c r="L670" s="65"/>
      <c r="M670" s="66" t="str">
        <f t="shared" ca="1" si="144"/>
        <v/>
      </c>
      <c r="N670" s="80"/>
      <c r="O670" s="81"/>
    </row>
    <row r="671" spans="1:15" ht="15" customHeight="1">
      <c r="A671" s="18">
        <v>46259</v>
      </c>
      <c r="B671" s="68">
        <f t="shared" si="145"/>
        <v>1.1666666666666665</v>
      </c>
      <c r="C671" s="70"/>
      <c r="D671" s="75"/>
      <c r="E671" s="75"/>
      <c r="F671" s="63"/>
      <c r="G671" s="69" t="str">
        <f t="shared" si="143"/>
        <v/>
      </c>
      <c r="H671" s="70"/>
      <c r="I671" s="70"/>
      <c r="J671" s="70"/>
      <c r="K671" s="65"/>
      <c r="L671" s="65"/>
      <c r="M671" s="71" t="str">
        <f t="shared" ca="1" si="144"/>
        <v/>
      </c>
      <c r="N671" s="80"/>
      <c r="O671" s="81"/>
    </row>
    <row r="672" spans="1:15" ht="15" customHeight="1">
      <c r="A672" s="59">
        <v>46259</v>
      </c>
      <c r="B672" s="60">
        <f t="shared" si="145"/>
        <v>1.2083333333333333</v>
      </c>
      <c r="C672" s="70"/>
      <c r="D672" s="75"/>
      <c r="E672" s="75"/>
      <c r="F672" s="63"/>
      <c r="G672" s="64" t="str">
        <f t="shared" si="143"/>
        <v/>
      </c>
      <c r="H672" s="61"/>
      <c r="I672" s="61"/>
      <c r="J672" s="61"/>
      <c r="K672" s="65"/>
      <c r="L672" s="65"/>
      <c r="M672" s="66" t="str">
        <f t="shared" ca="1" si="144"/>
        <v/>
      </c>
      <c r="N672" s="80"/>
      <c r="O672" s="81"/>
    </row>
    <row r="673" spans="1:15" ht="15" customHeight="1">
      <c r="A673" s="18">
        <v>46259</v>
      </c>
      <c r="B673" s="68">
        <f t="shared" si="145"/>
        <v>1.25</v>
      </c>
      <c r="C673" s="70"/>
      <c r="D673" s="75"/>
      <c r="E673" s="75"/>
      <c r="F673" s="63"/>
      <c r="G673" s="69" t="str">
        <f t="shared" si="143"/>
        <v/>
      </c>
      <c r="H673" s="70"/>
      <c r="I673" s="70"/>
      <c r="J673" s="70"/>
      <c r="K673" s="65"/>
      <c r="L673" s="65"/>
      <c r="M673" s="71" t="str">
        <f t="shared" ca="1" si="144"/>
        <v/>
      </c>
      <c r="N673" s="80"/>
      <c r="O673" s="81"/>
    </row>
    <row r="674" spans="1:15" ht="15" customHeight="1">
      <c r="A674" s="59">
        <v>46259</v>
      </c>
      <c r="B674" s="60">
        <f t="shared" si="145"/>
        <v>1.2916666666666667</v>
      </c>
      <c r="C674" s="61"/>
      <c r="D674" s="62"/>
      <c r="E674" s="62"/>
      <c r="F674" s="63"/>
      <c r="G674" s="64" t="str">
        <f t="shared" si="143"/>
        <v/>
      </c>
      <c r="H674" s="61"/>
      <c r="I674" s="61"/>
      <c r="J674" s="61"/>
      <c r="K674" s="65"/>
      <c r="L674" s="65"/>
      <c r="M674" s="66" t="str">
        <f t="shared" ca="1" si="144"/>
        <v/>
      </c>
      <c r="N674" s="80"/>
      <c r="O674" s="81"/>
    </row>
    <row r="675" spans="1:15" ht="15.75" customHeight="1">
      <c r="A675" s="165" t="s">
        <v>263</v>
      </c>
      <c r="B675" s="165"/>
      <c r="C675" s="165"/>
      <c r="D675" s="165"/>
      <c r="E675" s="165"/>
      <c r="F675" s="2">
        <f>SUM(F663:F674)</f>
        <v>0</v>
      </c>
      <c r="G675" s="2">
        <f>SUM(G663:G674)</f>
        <v>0</v>
      </c>
      <c r="H675" s="72"/>
      <c r="I675" s="72"/>
      <c r="J675" s="72"/>
      <c r="K675" s="72"/>
      <c r="L675" s="72"/>
      <c r="M675" s="73">
        <f ca="1">IFERROR(SUM(M663:M674),"")</f>
        <v>0</v>
      </c>
      <c r="N675" s="2" t="s">
        <v>261</v>
      </c>
      <c r="O675" s="74"/>
    </row>
    <row r="676" spans="1:15" ht="18" customHeight="1">
      <c r="A676" s="166" t="s">
        <v>249</v>
      </c>
      <c r="B676" s="166"/>
      <c r="C676" s="166"/>
      <c r="D676" s="166"/>
      <c r="E676" s="166"/>
      <c r="F676" s="1">
        <f>F662+F675</f>
        <v>0</v>
      </c>
      <c r="G676" s="1">
        <f>G662+G675</f>
        <v>0</v>
      </c>
      <c r="H676" s="76"/>
      <c r="I676" s="76"/>
      <c r="J676" s="76"/>
      <c r="K676" s="76"/>
      <c r="L676" s="76"/>
      <c r="M676" s="77">
        <f ca="1">IFERROR(M662+M675,"")</f>
        <v>0</v>
      </c>
      <c r="N676" s="1" t="s">
        <v>264</v>
      </c>
      <c r="O676" s="82">
        <f>IFERROR(O662+O675,"")</f>
        <v>0</v>
      </c>
    </row>
    <row r="677" spans="1:15" ht="15" customHeight="1">
      <c r="A677" s="18">
        <v>46260</v>
      </c>
      <c r="B677" s="68">
        <v>0.33333333333333298</v>
      </c>
      <c r="C677" s="70"/>
      <c r="D677" s="75"/>
      <c r="E677" s="75"/>
      <c r="F677" s="63"/>
      <c r="G677" s="69" t="str">
        <f t="shared" ref="G677:G688" si="146">IF(F677="","",IF(E677="PC 17",F677*4.2,IF(E677="PC 19",F677*5,IF(E677="CB",F677*35,""))))</f>
        <v/>
      </c>
      <c r="H677" s="70"/>
      <c r="I677" s="70"/>
      <c r="J677" s="70"/>
      <c r="K677" s="65"/>
      <c r="L677" s="65"/>
      <c r="M677" s="71" t="str">
        <f t="shared" ref="M677:M688" ca="1" si="147">IFERROR(IF(K677="","",IF(L677="",MOD(NOW()-K677,1),IF(L677&gt;=K677,L677-K677,L677+1-K677))),"")</f>
        <v/>
      </c>
      <c r="N677" s="80"/>
      <c r="O677" s="81"/>
    </row>
    <row r="678" spans="1:15" ht="15" customHeight="1">
      <c r="A678" s="59">
        <v>46260</v>
      </c>
      <c r="B678" s="60">
        <f t="shared" ref="B678:B688" si="148">B677+TIME(0,60,0)</f>
        <v>0.37499999999999967</v>
      </c>
      <c r="C678" s="70"/>
      <c r="D678" s="75"/>
      <c r="E678" s="75"/>
      <c r="F678" s="63"/>
      <c r="G678" s="64" t="str">
        <f t="shared" si="146"/>
        <v/>
      </c>
      <c r="H678" s="61"/>
      <c r="I678" s="61"/>
      <c r="J678" s="61"/>
      <c r="K678" s="65"/>
      <c r="L678" s="65"/>
      <c r="M678" s="66" t="str">
        <f t="shared" ca="1" si="147"/>
        <v/>
      </c>
      <c r="N678" s="80"/>
      <c r="O678" s="81"/>
    </row>
    <row r="679" spans="1:15" ht="15" customHeight="1">
      <c r="A679" s="18">
        <v>46260</v>
      </c>
      <c r="B679" s="68">
        <f t="shared" si="148"/>
        <v>0.41666666666666635</v>
      </c>
      <c r="C679" s="70"/>
      <c r="D679" s="75"/>
      <c r="E679" s="75"/>
      <c r="F679" s="63"/>
      <c r="G679" s="69" t="str">
        <f t="shared" si="146"/>
        <v/>
      </c>
      <c r="H679" s="70"/>
      <c r="I679" s="70"/>
      <c r="J679" s="70"/>
      <c r="K679" s="65"/>
      <c r="L679" s="65"/>
      <c r="M679" s="71" t="str">
        <f t="shared" ca="1" si="147"/>
        <v/>
      </c>
      <c r="N679" s="80"/>
      <c r="O679" s="81"/>
    </row>
    <row r="680" spans="1:15" ht="15" customHeight="1">
      <c r="A680" s="59">
        <v>46260</v>
      </c>
      <c r="B680" s="60">
        <f t="shared" si="148"/>
        <v>0.45833333333333304</v>
      </c>
      <c r="C680" s="70"/>
      <c r="D680" s="75"/>
      <c r="E680" s="75"/>
      <c r="F680" s="63"/>
      <c r="G680" s="64" t="str">
        <f t="shared" si="146"/>
        <v/>
      </c>
      <c r="H680" s="61"/>
      <c r="I680" s="61"/>
      <c r="J680" s="61"/>
      <c r="K680" s="65"/>
      <c r="L680" s="65"/>
      <c r="M680" s="66" t="str">
        <f t="shared" ca="1" si="147"/>
        <v/>
      </c>
      <c r="N680" s="80"/>
      <c r="O680" s="81"/>
    </row>
    <row r="681" spans="1:15" ht="15" customHeight="1">
      <c r="A681" s="18">
        <v>46260</v>
      </c>
      <c r="B681" s="68">
        <f t="shared" si="148"/>
        <v>0.49999999999999972</v>
      </c>
      <c r="C681" s="70"/>
      <c r="D681" s="75"/>
      <c r="E681" s="75"/>
      <c r="F681" s="63"/>
      <c r="G681" s="69" t="str">
        <f t="shared" si="146"/>
        <v/>
      </c>
      <c r="H681" s="70"/>
      <c r="I681" s="70"/>
      <c r="J681" s="70"/>
      <c r="K681" s="65"/>
      <c r="L681" s="65"/>
      <c r="M681" s="71" t="str">
        <f t="shared" ca="1" si="147"/>
        <v/>
      </c>
      <c r="N681" s="80"/>
      <c r="O681" s="81"/>
    </row>
    <row r="682" spans="1:15" ht="15" customHeight="1">
      <c r="A682" s="59">
        <v>46260</v>
      </c>
      <c r="B682" s="60">
        <f t="shared" si="148"/>
        <v>0.54166666666666641</v>
      </c>
      <c r="C682" s="70"/>
      <c r="D682" s="75"/>
      <c r="E682" s="75"/>
      <c r="F682" s="63"/>
      <c r="G682" s="64" t="str">
        <f t="shared" si="146"/>
        <v/>
      </c>
      <c r="H682" s="61"/>
      <c r="I682" s="61"/>
      <c r="J682" s="61"/>
      <c r="K682" s="65"/>
      <c r="L682" s="65"/>
      <c r="M682" s="66" t="str">
        <f t="shared" ca="1" si="147"/>
        <v/>
      </c>
      <c r="N682" s="80"/>
      <c r="O682" s="81"/>
    </row>
    <row r="683" spans="1:15" ht="15" customHeight="1">
      <c r="A683" s="18">
        <v>46260</v>
      </c>
      <c r="B683" s="68">
        <f t="shared" si="148"/>
        <v>0.58333333333333304</v>
      </c>
      <c r="C683" s="70"/>
      <c r="D683" s="75"/>
      <c r="E683" s="75"/>
      <c r="F683" s="63"/>
      <c r="G683" s="69" t="str">
        <f t="shared" si="146"/>
        <v/>
      </c>
      <c r="H683" s="70"/>
      <c r="I683" s="70"/>
      <c r="J683" s="70"/>
      <c r="K683" s="65"/>
      <c r="L683" s="65"/>
      <c r="M683" s="71" t="str">
        <f t="shared" ca="1" si="147"/>
        <v/>
      </c>
      <c r="N683" s="80"/>
      <c r="O683" s="81"/>
    </row>
    <row r="684" spans="1:15" ht="15" customHeight="1">
      <c r="A684" s="59">
        <v>46260</v>
      </c>
      <c r="B684" s="60">
        <f t="shared" si="148"/>
        <v>0.62499999999999967</v>
      </c>
      <c r="C684" s="70"/>
      <c r="D684" s="75"/>
      <c r="E684" s="75"/>
      <c r="F684" s="63"/>
      <c r="G684" s="64" t="str">
        <f t="shared" si="146"/>
        <v/>
      </c>
      <c r="H684" s="61"/>
      <c r="I684" s="61"/>
      <c r="J684" s="61"/>
      <c r="K684" s="65"/>
      <c r="L684" s="65"/>
      <c r="M684" s="66" t="str">
        <f t="shared" ca="1" si="147"/>
        <v/>
      </c>
      <c r="N684" s="80"/>
      <c r="O684" s="81"/>
    </row>
    <row r="685" spans="1:15" ht="15" customHeight="1">
      <c r="A685" s="18">
        <v>46260</v>
      </c>
      <c r="B685" s="68">
        <f t="shared" si="148"/>
        <v>0.6666666666666663</v>
      </c>
      <c r="C685" s="70"/>
      <c r="D685" s="75"/>
      <c r="E685" s="75"/>
      <c r="F685" s="63"/>
      <c r="G685" s="69" t="str">
        <f t="shared" si="146"/>
        <v/>
      </c>
      <c r="H685" s="70"/>
      <c r="I685" s="70"/>
      <c r="J685" s="70"/>
      <c r="K685" s="65"/>
      <c r="L685" s="65"/>
      <c r="M685" s="71" t="str">
        <f t="shared" ca="1" si="147"/>
        <v/>
      </c>
      <c r="N685" s="80"/>
      <c r="O685" s="81"/>
    </row>
    <row r="686" spans="1:15" ht="15" customHeight="1">
      <c r="A686" s="59">
        <v>46260</v>
      </c>
      <c r="B686" s="60">
        <f t="shared" si="148"/>
        <v>0.70833333333333293</v>
      </c>
      <c r="C686" s="70"/>
      <c r="D686" s="75"/>
      <c r="E686" s="75"/>
      <c r="F686" s="63"/>
      <c r="G686" s="64" t="str">
        <f t="shared" si="146"/>
        <v/>
      </c>
      <c r="H686" s="61"/>
      <c r="I686" s="61"/>
      <c r="J686" s="61"/>
      <c r="K686" s="65"/>
      <c r="L686" s="65"/>
      <c r="M686" s="66" t="str">
        <f t="shared" ca="1" si="147"/>
        <v/>
      </c>
      <c r="N686" s="80"/>
      <c r="O686" s="81"/>
    </row>
    <row r="687" spans="1:15" ht="15" customHeight="1">
      <c r="A687" s="18">
        <v>46260</v>
      </c>
      <c r="B687" s="68">
        <f t="shared" si="148"/>
        <v>0.74999999999999956</v>
      </c>
      <c r="C687" s="70"/>
      <c r="D687" s="75"/>
      <c r="E687" s="75"/>
      <c r="F687" s="63"/>
      <c r="G687" s="69" t="str">
        <f t="shared" si="146"/>
        <v/>
      </c>
      <c r="H687" s="70"/>
      <c r="I687" s="70"/>
      <c r="J687" s="70"/>
      <c r="K687" s="65"/>
      <c r="L687" s="65"/>
      <c r="M687" s="71" t="str">
        <f t="shared" ca="1" si="147"/>
        <v/>
      </c>
      <c r="N687" s="80"/>
      <c r="O687" s="81"/>
    </row>
    <row r="688" spans="1:15" ht="15" customHeight="1">
      <c r="A688" s="59">
        <v>46260</v>
      </c>
      <c r="B688" s="60">
        <f t="shared" si="148"/>
        <v>0.79166666666666619</v>
      </c>
      <c r="C688" s="70"/>
      <c r="D688" s="75"/>
      <c r="E688" s="75"/>
      <c r="F688" s="63"/>
      <c r="G688" s="64" t="str">
        <f t="shared" si="146"/>
        <v/>
      </c>
      <c r="H688" s="61"/>
      <c r="I688" s="61"/>
      <c r="J688" s="61"/>
      <c r="K688" s="65"/>
      <c r="L688" s="65"/>
      <c r="M688" s="66" t="str">
        <f t="shared" ca="1" si="147"/>
        <v/>
      </c>
      <c r="N688" s="80"/>
      <c r="O688" s="81"/>
    </row>
    <row r="689" spans="1:15" ht="15.75" customHeight="1">
      <c r="A689" s="165" t="s">
        <v>260</v>
      </c>
      <c r="B689" s="165"/>
      <c r="C689" s="165"/>
      <c r="D689" s="165"/>
      <c r="E689" s="165"/>
      <c r="F689" s="2">
        <f>SUM(F677:F688)</f>
        <v>0</v>
      </c>
      <c r="G689" s="2">
        <f>SUM(G677:G688)</f>
        <v>0</v>
      </c>
      <c r="H689" s="72"/>
      <c r="I689" s="72"/>
      <c r="J689" s="72"/>
      <c r="K689" s="72"/>
      <c r="L689" s="72"/>
      <c r="M689" s="73">
        <f ca="1">IFERROR(SUM(M677:M688),"")</f>
        <v>0</v>
      </c>
      <c r="N689" s="2" t="s">
        <v>261</v>
      </c>
      <c r="O689" s="74"/>
    </row>
    <row r="690" spans="1:15" ht="15" customHeight="1">
      <c r="A690" s="59">
        <v>46260</v>
      </c>
      <c r="B690" s="60">
        <v>0.83333333333333304</v>
      </c>
      <c r="C690" s="61"/>
      <c r="D690" s="62"/>
      <c r="E690" s="62"/>
      <c r="F690" s="63"/>
      <c r="G690" s="64" t="str">
        <f t="shared" ref="G690:G701" si="149">IF(F690="","",IF(E690="PC 17",F690*4.2,IF(E690="PC 19",F690*5,IF(E690="CB",F690*35,""))))</f>
        <v/>
      </c>
      <c r="H690" s="61"/>
      <c r="I690" s="61"/>
      <c r="J690" s="61"/>
      <c r="K690" s="65"/>
      <c r="L690" s="65"/>
      <c r="M690" s="66" t="str">
        <f t="shared" ref="M690:M701" ca="1" si="150">IFERROR(IF(K690="","",IF(L690="",MOD(NOW()-K690,1),IF(L690&gt;=K690,L690-K690,L690+1-K690))),"")</f>
        <v/>
      </c>
      <c r="N690" s="80"/>
      <c r="O690" s="81"/>
    </row>
    <row r="691" spans="1:15" ht="15" customHeight="1">
      <c r="A691" s="18">
        <v>46260</v>
      </c>
      <c r="B691" s="68">
        <f t="shared" ref="B691:B701" si="151">B690+TIME(0,60,0)</f>
        <v>0.87499999999999967</v>
      </c>
      <c r="C691" s="61"/>
      <c r="D691" s="62"/>
      <c r="E691" s="62"/>
      <c r="F691" s="63"/>
      <c r="G691" s="69" t="str">
        <f t="shared" si="149"/>
        <v/>
      </c>
      <c r="H691" s="70"/>
      <c r="I691" s="70"/>
      <c r="J691" s="70"/>
      <c r="K691" s="65"/>
      <c r="L691" s="65"/>
      <c r="M691" s="71" t="str">
        <f t="shared" ca="1" si="150"/>
        <v/>
      </c>
      <c r="N691" s="80"/>
      <c r="O691" s="81"/>
    </row>
    <row r="692" spans="1:15" ht="15" customHeight="1">
      <c r="A692" s="59">
        <v>46260</v>
      </c>
      <c r="B692" s="60">
        <f t="shared" si="151"/>
        <v>0.9166666666666663</v>
      </c>
      <c r="C692" s="61"/>
      <c r="D692" s="62"/>
      <c r="E692" s="62"/>
      <c r="F692" s="63"/>
      <c r="G692" s="64" t="str">
        <f t="shared" si="149"/>
        <v/>
      </c>
      <c r="H692" s="61"/>
      <c r="I692" s="61"/>
      <c r="J692" s="61"/>
      <c r="K692" s="65"/>
      <c r="L692" s="65"/>
      <c r="M692" s="66" t="str">
        <f t="shared" ca="1" si="150"/>
        <v/>
      </c>
      <c r="N692" s="80"/>
      <c r="O692" s="81"/>
    </row>
    <row r="693" spans="1:15" ht="15" customHeight="1">
      <c r="A693" s="18">
        <v>46260</v>
      </c>
      <c r="B693" s="68">
        <f t="shared" si="151"/>
        <v>0.95833333333333293</v>
      </c>
      <c r="C693" s="61"/>
      <c r="D693" s="62"/>
      <c r="E693" s="62"/>
      <c r="F693" s="63"/>
      <c r="G693" s="69" t="str">
        <f t="shared" si="149"/>
        <v/>
      </c>
      <c r="H693" s="70"/>
      <c r="I693" s="70"/>
      <c r="J693" s="70"/>
      <c r="K693" s="65"/>
      <c r="L693" s="65"/>
      <c r="M693" s="71" t="str">
        <f t="shared" ca="1" si="150"/>
        <v/>
      </c>
      <c r="N693" s="80"/>
      <c r="O693" s="81"/>
    </row>
    <row r="694" spans="1:15" ht="15" customHeight="1">
      <c r="A694" s="59">
        <v>46260</v>
      </c>
      <c r="B694" s="60">
        <f t="shared" si="151"/>
        <v>0.99999999999999956</v>
      </c>
      <c r="C694" s="61"/>
      <c r="D694" s="62"/>
      <c r="E694" s="62"/>
      <c r="F694" s="63"/>
      <c r="G694" s="64" t="str">
        <f t="shared" si="149"/>
        <v/>
      </c>
      <c r="H694" s="61"/>
      <c r="I694" s="61"/>
      <c r="J694" s="61"/>
      <c r="K694" s="65"/>
      <c r="L694" s="65"/>
      <c r="M694" s="66" t="str">
        <f t="shared" ca="1" si="150"/>
        <v/>
      </c>
      <c r="N694" s="80"/>
      <c r="O694" s="81"/>
    </row>
    <row r="695" spans="1:15" ht="15" customHeight="1">
      <c r="A695" s="18">
        <v>46260</v>
      </c>
      <c r="B695" s="68">
        <f t="shared" si="151"/>
        <v>1.0416666666666663</v>
      </c>
      <c r="C695" s="61"/>
      <c r="D695" s="62"/>
      <c r="E695" s="62"/>
      <c r="F695" s="63"/>
      <c r="G695" s="69" t="str">
        <f t="shared" si="149"/>
        <v/>
      </c>
      <c r="H695" s="70"/>
      <c r="I695" s="70"/>
      <c r="J695" s="70"/>
      <c r="K695" s="65"/>
      <c r="L695" s="65"/>
      <c r="M695" s="71" t="str">
        <f t="shared" ca="1" si="150"/>
        <v/>
      </c>
      <c r="N695" s="80"/>
      <c r="O695" s="81"/>
    </row>
    <row r="696" spans="1:15" ht="15" customHeight="1">
      <c r="A696" s="59">
        <v>46260</v>
      </c>
      <c r="B696" s="60">
        <f t="shared" si="151"/>
        <v>1.083333333333333</v>
      </c>
      <c r="C696" s="61"/>
      <c r="D696" s="62"/>
      <c r="E696" s="62"/>
      <c r="F696" s="63"/>
      <c r="G696" s="64" t="str">
        <f t="shared" si="149"/>
        <v/>
      </c>
      <c r="H696" s="61"/>
      <c r="I696" s="61"/>
      <c r="J696" s="61"/>
      <c r="K696" s="65"/>
      <c r="L696" s="65"/>
      <c r="M696" s="66" t="str">
        <f t="shared" ca="1" si="150"/>
        <v/>
      </c>
      <c r="N696" s="80"/>
      <c r="O696" s="81"/>
    </row>
    <row r="697" spans="1:15" ht="15" customHeight="1">
      <c r="A697" s="18">
        <v>46260</v>
      </c>
      <c r="B697" s="68">
        <f t="shared" si="151"/>
        <v>1.1249999999999998</v>
      </c>
      <c r="C697" s="61"/>
      <c r="D697" s="62"/>
      <c r="E697" s="62"/>
      <c r="F697" s="63"/>
      <c r="G697" s="69" t="str">
        <f t="shared" si="149"/>
        <v/>
      </c>
      <c r="H697" s="70"/>
      <c r="I697" s="70"/>
      <c r="J697" s="70"/>
      <c r="K697" s="65"/>
      <c r="L697" s="65"/>
      <c r="M697" s="71" t="str">
        <f t="shared" ca="1" si="150"/>
        <v/>
      </c>
      <c r="N697" s="80"/>
      <c r="O697" s="81"/>
    </row>
    <row r="698" spans="1:15" ht="15" customHeight="1">
      <c r="A698" s="59">
        <v>46260</v>
      </c>
      <c r="B698" s="60">
        <f t="shared" si="151"/>
        <v>1.1666666666666665</v>
      </c>
      <c r="C698" s="61"/>
      <c r="D698" s="62"/>
      <c r="E698" s="62"/>
      <c r="F698" s="63"/>
      <c r="G698" s="64" t="str">
        <f t="shared" si="149"/>
        <v/>
      </c>
      <c r="H698" s="61"/>
      <c r="I698" s="61"/>
      <c r="J698" s="61"/>
      <c r="K698" s="65"/>
      <c r="L698" s="65"/>
      <c r="M698" s="66" t="str">
        <f t="shared" ca="1" si="150"/>
        <v/>
      </c>
      <c r="N698" s="80"/>
      <c r="O698" s="81"/>
    </row>
    <row r="699" spans="1:15" ht="15" customHeight="1">
      <c r="A699" s="18">
        <v>46260</v>
      </c>
      <c r="B699" s="68">
        <f t="shared" si="151"/>
        <v>1.2083333333333333</v>
      </c>
      <c r="C699" s="61"/>
      <c r="D699" s="62"/>
      <c r="E699" s="62"/>
      <c r="F699" s="63"/>
      <c r="G699" s="69" t="str">
        <f t="shared" si="149"/>
        <v/>
      </c>
      <c r="H699" s="70"/>
      <c r="I699" s="70"/>
      <c r="J699" s="70"/>
      <c r="K699" s="65"/>
      <c r="L699" s="65"/>
      <c r="M699" s="71" t="str">
        <f t="shared" ca="1" si="150"/>
        <v/>
      </c>
      <c r="N699" s="80"/>
      <c r="O699" s="81"/>
    </row>
    <row r="700" spans="1:15" ht="15" customHeight="1">
      <c r="A700" s="59">
        <v>46260</v>
      </c>
      <c r="B700" s="60">
        <f t="shared" si="151"/>
        <v>1.25</v>
      </c>
      <c r="C700" s="61"/>
      <c r="D700" s="62"/>
      <c r="E700" s="62"/>
      <c r="F700" s="63"/>
      <c r="G700" s="64" t="str">
        <f t="shared" si="149"/>
        <v/>
      </c>
      <c r="H700" s="61"/>
      <c r="I700" s="61"/>
      <c r="J700" s="61"/>
      <c r="K700" s="65"/>
      <c r="L700" s="65"/>
      <c r="M700" s="66" t="str">
        <f t="shared" ca="1" si="150"/>
        <v/>
      </c>
      <c r="N700" s="80"/>
      <c r="O700" s="81"/>
    </row>
    <row r="701" spans="1:15" ht="15" customHeight="1">
      <c r="A701" s="18">
        <v>46260</v>
      </c>
      <c r="B701" s="68">
        <f t="shared" si="151"/>
        <v>1.2916666666666667</v>
      </c>
      <c r="C701" s="61"/>
      <c r="D701" s="62"/>
      <c r="E701" s="62"/>
      <c r="F701" s="63"/>
      <c r="G701" s="69" t="str">
        <f t="shared" si="149"/>
        <v/>
      </c>
      <c r="H701" s="70"/>
      <c r="I701" s="70"/>
      <c r="J701" s="70"/>
      <c r="K701" s="65"/>
      <c r="L701" s="65"/>
      <c r="M701" s="71" t="str">
        <f t="shared" ca="1" si="150"/>
        <v/>
      </c>
      <c r="N701" s="80"/>
      <c r="O701" s="81"/>
    </row>
    <row r="702" spans="1:15" ht="15.75" customHeight="1">
      <c r="A702" s="165" t="s">
        <v>263</v>
      </c>
      <c r="B702" s="165"/>
      <c r="C702" s="165"/>
      <c r="D702" s="165"/>
      <c r="E702" s="165"/>
      <c r="F702" s="2">
        <f>SUM(F690:F701)</f>
        <v>0</v>
      </c>
      <c r="G702" s="2">
        <f>SUM(G690:G701)</f>
        <v>0</v>
      </c>
      <c r="H702" s="72"/>
      <c r="I702" s="72"/>
      <c r="J702" s="72"/>
      <c r="K702" s="72"/>
      <c r="L702" s="72"/>
      <c r="M702" s="73">
        <f ca="1">IFERROR(SUM(M690:M701),"")</f>
        <v>0</v>
      </c>
      <c r="N702" s="2" t="s">
        <v>261</v>
      </c>
      <c r="O702" s="74"/>
    </row>
    <row r="703" spans="1:15" ht="18" customHeight="1">
      <c r="A703" s="166" t="s">
        <v>249</v>
      </c>
      <c r="B703" s="166"/>
      <c r="C703" s="166"/>
      <c r="D703" s="166"/>
      <c r="E703" s="166"/>
      <c r="F703" s="1">
        <f>F689+F702</f>
        <v>0</v>
      </c>
      <c r="G703" s="1">
        <f>G689+G702</f>
        <v>0</v>
      </c>
      <c r="H703" s="76"/>
      <c r="I703" s="76"/>
      <c r="J703" s="76"/>
      <c r="K703" s="76"/>
      <c r="L703" s="76"/>
      <c r="M703" s="77">
        <f ca="1">IFERROR(M689+M702,"")</f>
        <v>0</v>
      </c>
      <c r="N703" s="1" t="s">
        <v>264</v>
      </c>
      <c r="O703" s="82">
        <f>IFERROR(O689+O702,"")</f>
        <v>0</v>
      </c>
    </row>
    <row r="704" spans="1:15" ht="15" customHeight="1">
      <c r="A704" s="59">
        <v>46261</v>
      </c>
      <c r="B704" s="60">
        <v>0.33333333333333298</v>
      </c>
      <c r="C704" s="61"/>
      <c r="D704" s="62"/>
      <c r="E704" s="62"/>
      <c r="F704" s="63"/>
      <c r="G704" s="64" t="str">
        <f t="shared" ref="G704:G715" si="152">IF(F704="","",IF(E704="PC 17",F704*4.2,IF(E704="PC 19",F704*5,IF(E704="CB",F704*35,""))))</f>
        <v/>
      </c>
      <c r="H704" s="61"/>
      <c r="I704" s="61"/>
      <c r="J704" s="61"/>
      <c r="K704" s="65"/>
      <c r="L704" s="65"/>
      <c r="M704" s="66" t="str">
        <f t="shared" ref="M704:M715" ca="1" si="153">IFERROR(IF(K704="","",IF(L704="",MOD(NOW()-K704,1),IF(L704&gt;=K704,L704-K704,L704+1-K704))),"")</f>
        <v/>
      </c>
      <c r="N704" s="80"/>
      <c r="O704" s="81"/>
    </row>
    <row r="705" spans="1:15" ht="15" customHeight="1">
      <c r="A705" s="18">
        <v>46261</v>
      </c>
      <c r="B705" s="68">
        <f t="shared" ref="B705:B715" si="154">B704+TIME(0,60,0)</f>
        <v>0.37499999999999967</v>
      </c>
      <c r="C705" s="61"/>
      <c r="D705" s="62"/>
      <c r="E705" s="62"/>
      <c r="F705" s="63"/>
      <c r="G705" s="69" t="str">
        <f t="shared" si="152"/>
        <v/>
      </c>
      <c r="H705" s="70"/>
      <c r="I705" s="70"/>
      <c r="J705" s="70"/>
      <c r="K705" s="65"/>
      <c r="L705" s="65"/>
      <c r="M705" s="71" t="str">
        <f t="shared" ca="1" si="153"/>
        <v/>
      </c>
      <c r="N705" s="80"/>
      <c r="O705" s="81"/>
    </row>
    <row r="706" spans="1:15" ht="15" customHeight="1">
      <c r="A706" s="59">
        <v>46261</v>
      </c>
      <c r="B706" s="60">
        <f t="shared" si="154"/>
        <v>0.41666666666666635</v>
      </c>
      <c r="C706" s="61"/>
      <c r="D706" s="62"/>
      <c r="E706" s="62"/>
      <c r="F706" s="63"/>
      <c r="G706" s="64" t="str">
        <f t="shared" si="152"/>
        <v/>
      </c>
      <c r="H706" s="61"/>
      <c r="I706" s="61"/>
      <c r="J706" s="61"/>
      <c r="K706" s="65"/>
      <c r="L706" s="65"/>
      <c r="M706" s="66" t="str">
        <f t="shared" ca="1" si="153"/>
        <v/>
      </c>
      <c r="N706" s="80"/>
      <c r="O706" s="81"/>
    </row>
    <row r="707" spans="1:15" ht="15" customHeight="1">
      <c r="A707" s="18">
        <v>46261</v>
      </c>
      <c r="B707" s="68">
        <f t="shared" si="154"/>
        <v>0.45833333333333304</v>
      </c>
      <c r="C707" s="61"/>
      <c r="D707" s="62"/>
      <c r="E707" s="62"/>
      <c r="F707" s="63"/>
      <c r="G707" s="69" t="str">
        <f t="shared" si="152"/>
        <v/>
      </c>
      <c r="H707" s="70"/>
      <c r="I707" s="70"/>
      <c r="J707" s="70"/>
      <c r="K707" s="65"/>
      <c r="L707" s="65"/>
      <c r="M707" s="71" t="str">
        <f t="shared" ca="1" si="153"/>
        <v/>
      </c>
      <c r="N707" s="80"/>
      <c r="O707" s="81"/>
    </row>
    <row r="708" spans="1:15" ht="15" customHeight="1">
      <c r="A708" s="59">
        <v>46261</v>
      </c>
      <c r="B708" s="60">
        <f t="shared" si="154"/>
        <v>0.49999999999999972</v>
      </c>
      <c r="C708" s="61"/>
      <c r="D708" s="62"/>
      <c r="E708" s="62"/>
      <c r="F708" s="63"/>
      <c r="G708" s="64" t="str">
        <f t="shared" si="152"/>
        <v/>
      </c>
      <c r="H708" s="61"/>
      <c r="I708" s="61"/>
      <c r="J708" s="61"/>
      <c r="K708" s="65"/>
      <c r="L708" s="65"/>
      <c r="M708" s="66" t="str">
        <f t="shared" ca="1" si="153"/>
        <v/>
      </c>
      <c r="N708" s="80"/>
      <c r="O708" s="81"/>
    </row>
    <row r="709" spans="1:15" ht="15" customHeight="1">
      <c r="A709" s="18">
        <v>46261</v>
      </c>
      <c r="B709" s="68">
        <f t="shared" si="154"/>
        <v>0.54166666666666641</v>
      </c>
      <c r="C709" s="61"/>
      <c r="D709" s="62"/>
      <c r="E709" s="62"/>
      <c r="F709" s="63"/>
      <c r="G709" s="69" t="str">
        <f t="shared" si="152"/>
        <v/>
      </c>
      <c r="H709" s="70"/>
      <c r="I709" s="70"/>
      <c r="J709" s="70"/>
      <c r="K709" s="65"/>
      <c r="L709" s="65"/>
      <c r="M709" s="71" t="str">
        <f t="shared" ca="1" si="153"/>
        <v/>
      </c>
      <c r="N709" s="80"/>
      <c r="O709" s="81"/>
    </row>
    <row r="710" spans="1:15" ht="15" customHeight="1">
      <c r="A710" s="59">
        <v>46261</v>
      </c>
      <c r="B710" s="60">
        <f t="shared" si="154"/>
        <v>0.58333333333333304</v>
      </c>
      <c r="C710" s="61"/>
      <c r="D710" s="62"/>
      <c r="E710" s="62"/>
      <c r="F710" s="63"/>
      <c r="G710" s="64" t="str">
        <f t="shared" si="152"/>
        <v/>
      </c>
      <c r="H710" s="61"/>
      <c r="I710" s="61"/>
      <c r="J710" s="61"/>
      <c r="K710" s="65"/>
      <c r="L710" s="65"/>
      <c r="M710" s="66" t="str">
        <f t="shared" ca="1" si="153"/>
        <v/>
      </c>
      <c r="N710" s="80"/>
      <c r="O710" s="81"/>
    </row>
    <row r="711" spans="1:15" ht="15" customHeight="1">
      <c r="A711" s="18">
        <v>46261</v>
      </c>
      <c r="B711" s="68">
        <f t="shared" si="154"/>
        <v>0.62499999999999967</v>
      </c>
      <c r="C711" s="61"/>
      <c r="D711" s="62"/>
      <c r="E711" s="62"/>
      <c r="F711" s="63"/>
      <c r="G711" s="69" t="str">
        <f t="shared" si="152"/>
        <v/>
      </c>
      <c r="H711" s="70"/>
      <c r="I711" s="70"/>
      <c r="J711" s="70"/>
      <c r="K711" s="65"/>
      <c r="L711" s="65"/>
      <c r="M711" s="71" t="str">
        <f t="shared" ca="1" si="153"/>
        <v/>
      </c>
      <c r="N711" s="80"/>
      <c r="O711" s="81"/>
    </row>
    <row r="712" spans="1:15" ht="15" customHeight="1">
      <c r="A712" s="59">
        <v>46261</v>
      </c>
      <c r="B712" s="60">
        <f t="shared" si="154"/>
        <v>0.6666666666666663</v>
      </c>
      <c r="C712" s="61"/>
      <c r="D712" s="62"/>
      <c r="E712" s="62"/>
      <c r="F712" s="63"/>
      <c r="G712" s="64" t="str">
        <f t="shared" si="152"/>
        <v/>
      </c>
      <c r="H712" s="61"/>
      <c r="I712" s="61"/>
      <c r="J712" s="61"/>
      <c r="K712" s="65"/>
      <c r="L712" s="65"/>
      <c r="M712" s="66" t="str">
        <f t="shared" ca="1" si="153"/>
        <v/>
      </c>
      <c r="N712" s="80"/>
      <c r="O712" s="81"/>
    </row>
    <row r="713" spans="1:15" ht="15" customHeight="1">
      <c r="A713" s="18">
        <v>46261</v>
      </c>
      <c r="B713" s="68">
        <f t="shared" si="154"/>
        <v>0.70833333333333293</v>
      </c>
      <c r="C713" s="61"/>
      <c r="D713" s="62"/>
      <c r="E713" s="62"/>
      <c r="F713" s="63"/>
      <c r="G713" s="69" t="str">
        <f t="shared" si="152"/>
        <v/>
      </c>
      <c r="H713" s="70"/>
      <c r="I713" s="70"/>
      <c r="J713" s="70"/>
      <c r="K713" s="65"/>
      <c r="L713" s="65"/>
      <c r="M713" s="71" t="str">
        <f t="shared" ca="1" si="153"/>
        <v/>
      </c>
      <c r="N713" s="80"/>
      <c r="O713" s="81"/>
    </row>
    <row r="714" spans="1:15" ht="15" customHeight="1">
      <c r="A714" s="59">
        <v>46261</v>
      </c>
      <c r="B714" s="60">
        <f t="shared" si="154"/>
        <v>0.74999999999999956</v>
      </c>
      <c r="C714" s="61"/>
      <c r="D714" s="62"/>
      <c r="E714" s="62"/>
      <c r="F714" s="63"/>
      <c r="G714" s="64" t="str">
        <f t="shared" si="152"/>
        <v/>
      </c>
      <c r="H714" s="61"/>
      <c r="I714" s="61"/>
      <c r="J714" s="61"/>
      <c r="K714" s="65"/>
      <c r="L714" s="65"/>
      <c r="M714" s="66" t="str">
        <f t="shared" ca="1" si="153"/>
        <v/>
      </c>
      <c r="N714" s="80"/>
      <c r="O714" s="81"/>
    </row>
    <row r="715" spans="1:15" ht="15" customHeight="1">
      <c r="A715" s="18">
        <v>46261</v>
      </c>
      <c r="B715" s="68">
        <f t="shared" si="154"/>
        <v>0.79166666666666619</v>
      </c>
      <c r="C715" s="61"/>
      <c r="D715" s="62"/>
      <c r="E715" s="62"/>
      <c r="F715" s="63"/>
      <c r="G715" s="69" t="str">
        <f t="shared" si="152"/>
        <v/>
      </c>
      <c r="H715" s="70"/>
      <c r="I715" s="70"/>
      <c r="J715" s="70"/>
      <c r="K715" s="65"/>
      <c r="L715" s="65"/>
      <c r="M715" s="71" t="str">
        <f t="shared" ca="1" si="153"/>
        <v/>
      </c>
      <c r="N715" s="80"/>
      <c r="O715" s="81"/>
    </row>
    <row r="716" spans="1:15" ht="15.75" customHeight="1">
      <c r="A716" s="165" t="s">
        <v>260</v>
      </c>
      <c r="B716" s="165"/>
      <c r="C716" s="165"/>
      <c r="D716" s="165"/>
      <c r="E716" s="165"/>
      <c r="F716" s="2">
        <f>SUM(F704:F715)</f>
        <v>0</v>
      </c>
      <c r="G716" s="2">
        <f>SUM(G704:G715)</f>
        <v>0</v>
      </c>
      <c r="H716" s="72"/>
      <c r="I716" s="72"/>
      <c r="J716" s="72"/>
      <c r="K716" s="72"/>
      <c r="L716" s="72"/>
      <c r="M716" s="73">
        <f ca="1">IFERROR(SUM(M704:M715),"")</f>
        <v>0</v>
      </c>
      <c r="N716" s="2" t="s">
        <v>261</v>
      </c>
      <c r="O716" s="74"/>
    </row>
    <row r="717" spans="1:15" ht="15" customHeight="1">
      <c r="A717" s="18">
        <v>46261</v>
      </c>
      <c r="B717" s="68">
        <v>0.83333333333333304</v>
      </c>
      <c r="C717" s="70"/>
      <c r="D717" s="75"/>
      <c r="E717" s="75"/>
      <c r="F717" s="63"/>
      <c r="G717" s="69" t="str">
        <f t="shared" ref="G717:G728" si="155">IF(F717="","",IF(E717="PC 17",F717*4.2,IF(E717="PC 19",F717*5,IF(E717="CB",F717*35,""))))</f>
        <v/>
      </c>
      <c r="H717" s="70"/>
      <c r="I717" s="70"/>
      <c r="J717" s="70"/>
      <c r="K717" s="65"/>
      <c r="L717" s="65"/>
      <c r="M717" s="71" t="str">
        <f t="shared" ref="M717:M728" ca="1" si="156">IFERROR(IF(K717="","",IF(L717="",MOD(NOW()-K717,1),IF(L717&gt;=K717,L717-K717,L717+1-K717))),"")</f>
        <v/>
      </c>
      <c r="N717" s="80"/>
      <c r="O717" s="81"/>
    </row>
    <row r="718" spans="1:15" ht="15" customHeight="1">
      <c r="A718" s="59">
        <v>46261</v>
      </c>
      <c r="B718" s="60">
        <f t="shared" ref="B718:B728" si="157">B717+TIME(0,60,0)</f>
        <v>0.87499999999999967</v>
      </c>
      <c r="C718" s="61"/>
      <c r="D718" s="62"/>
      <c r="E718" s="62"/>
      <c r="F718" s="63"/>
      <c r="G718" s="64" t="str">
        <f t="shared" si="155"/>
        <v/>
      </c>
      <c r="H718" s="61"/>
      <c r="I718" s="61"/>
      <c r="J718" s="61"/>
      <c r="K718" s="65"/>
      <c r="L718" s="65"/>
      <c r="M718" s="66" t="str">
        <f t="shared" ca="1" si="156"/>
        <v/>
      </c>
      <c r="N718" s="80"/>
      <c r="O718" s="81"/>
    </row>
    <row r="719" spans="1:15" ht="15" customHeight="1">
      <c r="A719" s="18">
        <v>46261</v>
      </c>
      <c r="B719" s="68">
        <f t="shared" si="157"/>
        <v>0.9166666666666663</v>
      </c>
      <c r="C719" s="70"/>
      <c r="D719" s="75"/>
      <c r="E719" s="75"/>
      <c r="F719" s="63"/>
      <c r="G719" s="69" t="str">
        <f t="shared" si="155"/>
        <v/>
      </c>
      <c r="H719" s="70"/>
      <c r="I719" s="70"/>
      <c r="J719" s="70"/>
      <c r="K719" s="65"/>
      <c r="L719" s="65"/>
      <c r="M719" s="71" t="str">
        <f t="shared" ca="1" si="156"/>
        <v/>
      </c>
      <c r="N719" s="80"/>
      <c r="O719" s="81"/>
    </row>
    <row r="720" spans="1:15" ht="15" customHeight="1">
      <c r="A720" s="59">
        <v>46261</v>
      </c>
      <c r="B720" s="60">
        <f t="shared" si="157"/>
        <v>0.95833333333333293</v>
      </c>
      <c r="C720" s="61"/>
      <c r="D720" s="62"/>
      <c r="E720" s="62"/>
      <c r="F720" s="63"/>
      <c r="G720" s="64" t="str">
        <f t="shared" si="155"/>
        <v/>
      </c>
      <c r="H720" s="61"/>
      <c r="I720" s="61"/>
      <c r="J720" s="61"/>
      <c r="K720" s="65"/>
      <c r="L720" s="65"/>
      <c r="M720" s="66" t="str">
        <f t="shared" ca="1" si="156"/>
        <v/>
      </c>
      <c r="N720" s="80"/>
      <c r="O720" s="81"/>
    </row>
    <row r="721" spans="1:15" ht="15" customHeight="1">
      <c r="A721" s="18">
        <v>46261</v>
      </c>
      <c r="B721" s="68">
        <f t="shared" si="157"/>
        <v>0.99999999999999956</v>
      </c>
      <c r="C721" s="70"/>
      <c r="D721" s="75"/>
      <c r="E721" s="75"/>
      <c r="F721" s="63"/>
      <c r="G721" s="69" t="str">
        <f t="shared" si="155"/>
        <v/>
      </c>
      <c r="H721" s="70"/>
      <c r="I721" s="70"/>
      <c r="J721" s="70"/>
      <c r="K721" s="65"/>
      <c r="L721" s="65"/>
      <c r="M721" s="71" t="str">
        <f t="shared" ca="1" si="156"/>
        <v/>
      </c>
      <c r="N721" s="80"/>
      <c r="O721" s="81"/>
    </row>
    <row r="722" spans="1:15" ht="15" customHeight="1">
      <c r="A722" s="59">
        <v>46261</v>
      </c>
      <c r="B722" s="60">
        <f t="shared" si="157"/>
        <v>1.0416666666666663</v>
      </c>
      <c r="C722" s="61"/>
      <c r="D722" s="62"/>
      <c r="E722" s="62"/>
      <c r="F722" s="63"/>
      <c r="G722" s="64" t="str">
        <f t="shared" si="155"/>
        <v/>
      </c>
      <c r="H722" s="61"/>
      <c r="I722" s="61"/>
      <c r="J722" s="61"/>
      <c r="K722" s="65"/>
      <c r="L722" s="65"/>
      <c r="M722" s="66" t="str">
        <f t="shared" ca="1" si="156"/>
        <v/>
      </c>
      <c r="N722" s="80"/>
      <c r="O722" s="81"/>
    </row>
    <row r="723" spans="1:15" ht="15" customHeight="1">
      <c r="A723" s="18">
        <v>46261</v>
      </c>
      <c r="B723" s="68">
        <f t="shared" si="157"/>
        <v>1.083333333333333</v>
      </c>
      <c r="C723" s="70"/>
      <c r="D723" s="75"/>
      <c r="E723" s="75"/>
      <c r="F723" s="63"/>
      <c r="G723" s="69" t="str">
        <f t="shared" si="155"/>
        <v/>
      </c>
      <c r="H723" s="70"/>
      <c r="I723" s="70"/>
      <c r="J723" s="70"/>
      <c r="K723" s="65"/>
      <c r="L723" s="65"/>
      <c r="M723" s="71" t="str">
        <f t="shared" ca="1" si="156"/>
        <v/>
      </c>
      <c r="N723" s="80"/>
      <c r="O723" s="81"/>
    </row>
    <row r="724" spans="1:15" ht="15" customHeight="1">
      <c r="A724" s="59">
        <v>46261</v>
      </c>
      <c r="B724" s="60">
        <f t="shared" si="157"/>
        <v>1.1249999999999998</v>
      </c>
      <c r="C724" s="61"/>
      <c r="D724" s="62"/>
      <c r="E724" s="62"/>
      <c r="F724" s="63"/>
      <c r="G724" s="64" t="str">
        <f t="shared" si="155"/>
        <v/>
      </c>
      <c r="H724" s="61"/>
      <c r="I724" s="61"/>
      <c r="J724" s="61"/>
      <c r="K724" s="65"/>
      <c r="L724" s="65"/>
      <c r="M724" s="66" t="str">
        <f t="shared" ca="1" si="156"/>
        <v/>
      </c>
      <c r="N724" s="80"/>
      <c r="O724" s="81"/>
    </row>
    <row r="725" spans="1:15" ht="15" customHeight="1">
      <c r="A725" s="18">
        <v>46261</v>
      </c>
      <c r="B725" s="68">
        <f t="shared" si="157"/>
        <v>1.1666666666666665</v>
      </c>
      <c r="C725" s="70"/>
      <c r="D725" s="75"/>
      <c r="E725" s="75"/>
      <c r="F725" s="63"/>
      <c r="G725" s="69" t="str">
        <f t="shared" si="155"/>
        <v/>
      </c>
      <c r="H725" s="70"/>
      <c r="I725" s="70"/>
      <c r="J725" s="70"/>
      <c r="K725" s="65"/>
      <c r="L725" s="65"/>
      <c r="M725" s="71" t="str">
        <f t="shared" ca="1" si="156"/>
        <v/>
      </c>
      <c r="N725" s="80"/>
      <c r="O725" s="81"/>
    </row>
    <row r="726" spans="1:15" ht="15" customHeight="1">
      <c r="A726" s="59">
        <v>46261</v>
      </c>
      <c r="B726" s="60">
        <f t="shared" si="157"/>
        <v>1.2083333333333333</v>
      </c>
      <c r="C726" s="61"/>
      <c r="D726" s="62"/>
      <c r="E726" s="62"/>
      <c r="F726" s="63"/>
      <c r="G726" s="64" t="str">
        <f t="shared" si="155"/>
        <v/>
      </c>
      <c r="H726" s="61"/>
      <c r="I726" s="61"/>
      <c r="J726" s="61"/>
      <c r="K726" s="65"/>
      <c r="L726" s="65"/>
      <c r="M726" s="66" t="str">
        <f t="shared" ca="1" si="156"/>
        <v/>
      </c>
      <c r="N726" s="80"/>
      <c r="O726" s="81"/>
    </row>
    <row r="727" spans="1:15" ht="15" customHeight="1">
      <c r="A727" s="18">
        <v>46261</v>
      </c>
      <c r="B727" s="68">
        <f t="shared" si="157"/>
        <v>1.25</v>
      </c>
      <c r="C727" s="70"/>
      <c r="D727" s="75"/>
      <c r="E727" s="75"/>
      <c r="F727" s="63"/>
      <c r="G727" s="69" t="str">
        <f t="shared" si="155"/>
        <v/>
      </c>
      <c r="H727" s="70"/>
      <c r="I727" s="70"/>
      <c r="J727" s="70"/>
      <c r="K727" s="65"/>
      <c r="L727" s="65"/>
      <c r="M727" s="71" t="str">
        <f t="shared" ca="1" si="156"/>
        <v/>
      </c>
      <c r="N727" s="80"/>
      <c r="O727" s="81"/>
    </row>
    <row r="728" spans="1:15" ht="15" customHeight="1">
      <c r="A728" s="59">
        <v>46261</v>
      </c>
      <c r="B728" s="60">
        <f t="shared" si="157"/>
        <v>1.2916666666666667</v>
      </c>
      <c r="C728" s="61"/>
      <c r="D728" s="62"/>
      <c r="E728" s="62"/>
      <c r="F728" s="63"/>
      <c r="G728" s="64" t="str">
        <f t="shared" si="155"/>
        <v/>
      </c>
      <c r="H728" s="61"/>
      <c r="I728" s="61"/>
      <c r="J728" s="61"/>
      <c r="K728" s="65"/>
      <c r="L728" s="65"/>
      <c r="M728" s="66" t="str">
        <f t="shared" ca="1" si="156"/>
        <v/>
      </c>
      <c r="N728" s="80"/>
      <c r="O728" s="81"/>
    </row>
    <row r="729" spans="1:15" ht="15.75" customHeight="1">
      <c r="A729" s="165" t="s">
        <v>263</v>
      </c>
      <c r="B729" s="165"/>
      <c r="C729" s="165"/>
      <c r="D729" s="165"/>
      <c r="E729" s="165"/>
      <c r="F729" s="2">
        <f>SUM(F717:F728)</f>
        <v>0</v>
      </c>
      <c r="G729" s="2">
        <f>SUM(G717:G728)</f>
        <v>0</v>
      </c>
      <c r="H729" s="72"/>
      <c r="I729" s="72"/>
      <c r="J729" s="72"/>
      <c r="K729" s="72"/>
      <c r="L729" s="72"/>
      <c r="M729" s="73">
        <f ca="1">IFERROR(SUM(M717:M728),"")</f>
        <v>0</v>
      </c>
      <c r="N729" s="2" t="s">
        <v>261</v>
      </c>
      <c r="O729" s="74"/>
    </row>
    <row r="730" spans="1:15" ht="18" customHeight="1">
      <c r="A730" s="166" t="s">
        <v>249</v>
      </c>
      <c r="B730" s="166"/>
      <c r="C730" s="166"/>
      <c r="D730" s="166"/>
      <c r="E730" s="166"/>
      <c r="F730" s="1">
        <f>F716+F729</f>
        <v>0</v>
      </c>
      <c r="G730" s="1">
        <f>G716+G729</f>
        <v>0</v>
      </c>
      <c r="H730" s="76"/>
      <c r="I730" s="76"/>
      <c r="J730" s="76"/>
      <c r="K730" s="76"/>
      <c r="L730" s="76"/>
      <c r="M730" s="77">
        <f ca="1">IFERROR(M716+M729,"")</f>
        <v>0</v>
      </c>
      <c r="N730" s="1" t="s">
        <v>264</v>
      </c>
      <c r="O730" s="82">
        <f>IFERROR(O716+O729,"")</f>
        <v>0</v>
      </c>
    </row>
    <row r="731" spans="1:15" ht="15" customHeight="1">
      <c r="A731" s="18">
        <v>46262</v>
      </c>
      <c r="B731" s="68">
        <v>0.33333333333333298</v>
      </c>
      <c r="C731" s="70"/>
      <c r="D731" s="75"/>
      <c r="E731" s="75"/>
      <c r="F731" s="63"/>
      <c r="G731" s="69" t="str">
        <f t="shared" ref="G731:G742" si="158">IF(F731="","",IF(E731="PC 17",F731*4.2,IF(E731="PC 19",F731*5,IF(E731="CB",F731*35,""))))</f>
        <v/>
      </c>
      <c r="H731" s="70"/>
      <c r="I731" s="70"/>
      <c r="J731" s="70"/>
      <c r="K731" s="65"/>
      <c r="L731" s="65"/>
      <c r="M731" s="71" t="str">
        <f t="shared" ref="M731:M742" ca="1" si="159">IFERROR(IF(K731="","",IF(L731="",MOD(NOW()-K731,1),IF(L731&gt;=K731,L731-K731,L731+1-K731))),"")</f>
        <v/>
      </c>
      <c r="N731" s="80"/>
      <c r="O731" s="81"/>
    </row>
    <row r="732" spans="1:15" ht="15" customHeight="1">
      <c r="A732" s="59">
        <v>46262</v>
      </c>
      <c r="B732" s="60">
        <f t="shared" ref="B732:B742" si="160">B731+TIME(0,60,0)</f>
        <v>0.37499999999999967</v>
      </c>
      <c r="C732" s="61"/>
      <c r="D732" s="62"/>
      <c r="E732" s="62"/>
      <c r="F732" s="63"/>
      <c r="G732" s="64" t="str">
        <f t="shared" si="158"/>
        <v/>
      </c>
      <c r="H732" s="61"/>
      <c r="I732" s="61"/>
      <c r="J732" s="61"/>
      <c r="K732" s="65"/>
      <c r="L732" s="65"/>
      <c r="M732" s="66" t="str">
        <f t="shared" ca="1" si="159"/>
        <v/>
      </c>
      <c r="N732" s="80"/>
      <c r="O732" s="81"/>
    </row>
    <row r="733" spans="1:15" ht="15" customHeight="1">
      <c r="A733" s="18">
        <v>46262</v>
      </c>
      <c r="B733" s="68">
        <f t="shared" si="160"/>
        <v>0.41666666666666635</v>
      </c>
      <c r="C733" s="70"/>
      <c r="D733" s="75"/>
      <c r="E733" s="75"/>
      <c r="F733" s="63"/>
      <c r="G733" s="69" t="str">
        <f t="shared" si="158"/>
        <v/>
      </c>
      <c r="H733" s="70"/>
      <c r="I733" s="70"/>
      <c r="J733" s="70"/>
      <c r="K733" s="65"/>
      <c r="L733" s="65"/>
      <c r="M733" s="71" t="str">
        <f t="shared" ca="1" si="159"/>
        <v/>
      </c>
      <c r="N733" s="80"/>
      <c r="O733" s="81"/>
    </row>
    <row r="734" spans="1:15" ht="15" customHeight="1">
      <c r="A734" s="59">
        <v>46262</v>
      </c>
      <c r="B734" s="60">
        <f t="shared" si="160"/>
        <v>0.45833333333333304</v>
      </c>
      <c r="C734" s="61"/>
      <c r="D734" s="62"/>
      <c r="E734" s="62"/>
      <c r="F734" s="63"/>
      <c r="G734" s="64" t="str">
        <f t="shared" si="158"/>
        <v/>
      </c>
      <c r="H734" s="61"/>
      <c r="I734" s="61"/>
      <c r="J734" s="61"/>
      <c r="K734" s="65"/>
      <c r="L734" s="65"/>
      <c r="M734" s="66" t="str">
        <f t="shared" ca="1" si="159"/>
        <v/>
      </c>
      <c r="N734" s="80"/>
      <c r="O734" s="81"/>
    </row>
    <row r="735" spans="1:15" ht="15" customHeight="1">
      <c r="A735" s="18">
        <v>46262</v>
      </c>
      <c r="B735" s="68">
        <f t="shared" si="160"/>
        <v>0.49999999999999972</v>
      </c>
      <c r="C735" s="70"/>
      <c r="D735" s="75"/>
      <c r="E735" s="75"/>
      <c r="F735" s="63"/>
      <c r="G735" s="69" t="str">
        <f t="shared" si="158"/>
        <v/>
      </c>
      <c r="H735" s="70"/>
      <c r="I735" s="70"/>
      <c r="J735" s="70"/>
      <c r="K735" s="65"/>
      <c r="L735" s="65"/>
      <c r="M735" s="71" t="str">
        <f t="shared" ca="1" si="159"/>
        <v/>
      </c>
      <c r="N735" s="80"/>
      <c r="O735" s="81"/>
    </row>
    <row r="736" spans="1:15" ht="15" customHeight="1">
      <c r="A736" s="59">
        <v>46262</v>
      </c>
      <c r="B736" s="60">
        <f t="shared" si="160"/>
        <v>0.54166666666666641</v>
      </c>
      <c r="C736" s="61"/>
      <c r="D736" s="62"/>
      <c r="E736" s="62"/>
      <c r="F736" s="63"/>
      <c r="G736" s="64" t="str">
        <f t="shared" si="158"/>
        <v/>
      </c>
      <c r="H736" s="61"/>
      <c r="I736" s="61"/>
      <c r="J736" s="61"/>
      <c r="K736" s="65"/>
      <c r="L736" s="65"/>
      <c r="M736" s="66" t="str">
        <f t="shared" ca="1" si="159"/>
        <v/>
      </c>
      <c r="N736" s="80"/>
      <c r="O736" s="81"/>
    </row>
    <row r="737" spans="1:15" ht="15" customHeight="1">
      <c r="A737" s="18">
        <v>46262</v>
      </c>
      <c r="B737" s="68">
        <f t="shared" si="160"/>
        <v>0.58333333333333304</v>
      </c>
      <c r="C737" s="70"/>
      <c r="D737" s="75"/>
      <c r="E737" s="75"/>
      <c r="F737" s="63"/>
      <c r="G737" s="69" t="str">
        <f t="shared" si="158"/>
        <v/>
      </c>
      <c r="H737" s="70"/>
      <c r="I737" s="70"/>
      <c r="J737" s="70"/>
      <c r="K737" s="65"/>
      <c r="L737" s="65"/>
      <c r="M737" s="71" t="str">
        <f t="shared" ca="1" si="159"/>
        <v/>
      </c>
      <c r="N737" s="80"/>
      <c r="O737" s="81"/>
    </row>
    <row r="738" spans="1:15" ht="15" customHeight="1">
      <c r="A738" s="59">
        <v>46262</v>
      </c>
      <c r="B738" s="60">
        <f t="shared" si="160"/>
        <v>0.62499999999999967</v>
      </c>
      <c r="C738" s="61"/>
      <c r="D738" s="62"/>
      <c r="E738" s="62"/>
      <c r="F738" s="63"/>
      <c r="G738" s="64" t="str">
        <f t="shared" si="158"/>
        <v/>
      </c>
      <c r="H738" s="61"/>
      <c r="I738" s="61"/>
      <c r="J738" s="61"/>
      <c r="K738" s="65"/>
      <c r="L738" s="65"/>
      <c r="M738" s="66" t="str">
        <f t="shared" ca="1" si="159"/>
        <v/>
      </c>
      <c r="N738" s="80"/>
      <c r="O738" s="81"/>
    </row>
    <row r="739" spans="1:15" ht="15" customHeight="1">
      <c r="A739" s="18">
        <v>46262</v>
      </c>
      <c r="B739" s="68">
        <f t="shared" si="160"/>
        <v>0.6666666666666663</v>
      </c>
      <c r="C739" s="70"/>
      <c r="D739" s="75"/>
      <c r="E739" s="75"/>
      <c r="F739" s="63"/>
      <c r="G739" s="69" t="str">
        <f t="shared" si="158"/>
        <v/>
      </c>
      <c r="H739" s="70"/>
      <c r="I739" s="70"/>
      <c r="J739" s="70"/>
      <c r="K739" s="65"/>
      <c r="L739" s="65"/>
      <c r="M739" s="71" t="str">
        <f t="shared" ca="1" si="159"/>
        <v/>
      </c>
      <c r="N739" s="80"/>
      <c r="O739" s="81"/>
    </row>
    <row r="740" spans="1:15" ht="15" customHeight="1">
      <c r="A740" s="59">
        <v>46262</v>
      </c>
      <c r="B740" s="60">
        <f t="shared" si="160"/>
        <v>0.70833333333333293</v>
      </c>
      <c r="C740" s="61"/>
      <c r="D740" s="62"/>
      <c r="E740" s="62"/>
      <c r="F740" s="63"/>
      <c r="G740" s="64" t="str">
        <f t="shared" si="158"/>
        <v/>
      </c>
      <c r="H740" s="61"/>
      <c r="I740" s="61"/>
      <c r="J740" s="61"/>
      <c r="K740" s="65"/>
      <c r="L740" s="65"/>
      <c r="M740" s="66" t="str">
        <f t="shared" ca="1" si="159"/>
        <v/>
      </c>
      <c r="N740" s="80"/>
      <c r="O740" s="81"/>
    </row>
    <row r="741" spans="1:15" ht="15" customHeight="1">
      <c r="A741" s="18">
        <v>46262</v>
      </c>
      <c r="B741" s="68">
        <f t="shared" si="160"/>
        <v>0.74999999999999956</v>
      </c>
      <c r="C741" s="70"/>
      <c r="D741" s="75"/>
      <c r="E741" s="75"/>
      <c r="F741" s="63"/>
      <c r="G741" s="69" t="str">
        <f t="shared" si="158"/>
        <v/>
      </c>
      <c r="H741" s="70"/>
      <c r="I741" s="70"/>
      <c r="J741" s="70"/>
      <c r="K741" s="65"/>
      <c r="L741" s="65"/>
      <c r="M741" s="71" t="str">
        <f t="shared" ca="1" si="159"/>
        <v/>
      </c>
      <c r="N741" s="80"/>
      <c r="O741" s="81"/>
    </row>
    <row r="742" spans="1:15" ht="15" customHeight="1">
      <c r="A742" s="59">
        <v>46262</v>
      </c>
      <c r="B742" s="60">
        <f t="shared" si="160"/>
        <v>0.79166666666666619</v>
      </c>
      <c r="C742" s="61"/>
      <c r="D742" s="62"/>
      <c r="E742" s="62"/>
      <c r="F742" s="63"/>
      <c r="G742" s="64" t="str">
        <f t="shared" si="158"/>
        <v/>
      </c>
      <c r="H742" s="61"/>
      <c r="I742" s="61"/>
      <c r="J742" s="61"/>
      <c r="K742" s="65"/>
      <c r="L742" s="65"/>
      <c r="M742" s="66" t="str">
        <f t="shared" ca="1" si="159"/>
        <v/>
      </c>
      <c r="N742" s="80"/>
      <c r="O742" s="81"/>
    </row>
    <row r="743" spans="1:15" ht="15.75" customHeight="1">
      <c r="A743" s="165" t="s">
        <v>260</v>
      </c>
      <c r="B743" s="165"/>
      <c r="C743" s="165"/>
      <c r="D743" s="165"/>
      <c r="E743" s="165"/>
      <c r="F743" s="2">
        <f>SUM(F731:F742)</f>
        <v>0</v>
      </c>
      <c r="G743" s="2">
        <f>SUM(G731:G742)</f>
        <v>0</v>
      </c>
      <c r="H743" s="72"/>
      <c r="I743" s="72"/>
      <c r="J743" s="72"/>
      <c r="K743" s="72"/>
      <c r="L743" s="72"/>
      <c r="M743" s="73">
        <f ca="1">IFERROR(SUM(M731:M742),"")</f>
        <v>0</v>
      </c>
      <c r="N743" s="2" t="s">
        <v>261</v>
      </c>
      <c r="O743" s="74"/>
    </row>
    <row r="744" spans="1:15" ht="15" customHeight="1">
      <c r="A744" s="59">
        <v>46262</v>
      </c>
      <c r="B744" s="60">
        <v>0.83333333333333304</v>
      </c>
      <c r="C744" s="61"/>
      <c r="D744" s="62"/>
      <c r="E744" s="62"/>
      <c r="F744" s="63"/>
      <c r="G744" s="64" t="str">
        <f t="shared" ref="G744:G755" si="161">IF(F744="","",IF(E744="PC 17",F744*4.2,IF(E744="PC 19",F744*5,IF(E744="CB",F744*35,""))))</f>
        <v/>
      </c>
      <c r="H744" s="61"/>
      <c r="I744" s="61"/>
      <c r="J744" s="61"/>
      <c r="K744" s="65"/>
      <c r="L744" s="65"/>
      <c r="M744" s="66" t="str">
        <f t="shared" ref="M744:M755" ca="1" si="162">IFERROR(IF(K744="","",IF(L744="",MOD(NOW()-K744,1),IF(L744&gt;=K744,L744-K744,L744+1-K744))),"")</f>
        <v/>
      </c>
      <c r="N744" s="80"/>
      <c r="O744" s="81"/>
    </row>
    <row r="745" spans="1:15" ht="15" customHeight="1">
      <c r="A745" s="18">
        <v>46262</v>
      </c>
      <c r="B745" s="68">
        <f t="shared" ref="B745:B755" si="163">B744+TIME(0,60,0)</f>
        <v>0.87499999999999967</v>
      </c>
      <c r="C745" s="70"/>
      <c r="D745" s="75"/>
      <c r="E745" s="75"/>
      <c r="F745" s="63"/>
      <c r="G745" s="69" t="str">
        <f t="shared" si="161"/>
        <v/>
      </c>
      <c r="H745" s="70"/>
      <c r="I745" s="70"/>
      <c r="J745" s="70"/>
      <c r="K745" s="65"/>
      <c r="L745" s="65"/>
      <c r="M745" s="71" t="str">
        <f t="shared" ca="1" si="162"/>
        <v/>
      </c>
      <c r="N745" s="80"/>
      <c r="O745" s="81"/>
    </row>
    <row r="746" spans="1:15" ht="15" customHeight="1">
      <c r="A746" s="59">
        <v>46262</v>
      </c>
      <c r="B746" s="60">
        <f t="shared" si="163"/>
        <v>0.9166666666666663</v>
      </c>
      <c r="C746" s="61"/>
      <c r="D746" s="62"/>
      <c r="E746" s="62"/>
      <c r="F746" s="63"/>
      <c r="G746" s="64" t="str">
        <f t="shared" si="161"/>
        <v/>
      </c>
      <c r="H746" s="61"/>
      <c r="I746" s="61"/>
      <c r="J746" s="61"/>
      <c r="K746" s="65"/>
      <c r="L746" s="65"/>
      <c r="M746" s="66" t="str">
        <f t="shared" ca="1" si="162"/>
        <v/>
      </c>
      <c r="N746" s="80"/>
      <c r="O746" s="81"/>
    </row>
    <row r="747" spans="1:15" ht="15" customHeight="1">
      <c r="A747" s="18">
        <v>46262</v>
      </c>
      <c r="B747" s="68">
        <f t="shared" si="163"/>
        <v>0.95833333333333293</v>
      </c>
      <c r="C747" s="70"/>
      <c r="D747" s="75"/>
      <c r="E747" s="75"/>
      <c r="F747" s="63"/>
      <c r="G747" s="69" t="str">
        <f t="shared" si="161"/>
        <v/>
      </c>
      <c r="H747" s="70"/>
      <c r="I747" s="70"/>
      <c r="J747" s="70"/>
      <c r="K747" s="65"/>
      <c r="L747" s="65"/>
      <c r="M747" s="71" t="str">
        <f t="shared" ca="1" si="162"/>
        <v/>
      </c>
      <c r="N747" s="80"/>
      <c r="O747" s="81"/>
    </row>
    <row r="748" spans="1:15" ht="15" customHeight="1">
      <c r="A748" s="59">
        <v>46262</v>
      </c>
      <c r="B748" s="60">
        <f t="shared" si="163"/>
        <v>0.99999999999999956</v>
      </c>
      <c r="C748" s="61"/>
      <c r="D748" s="62"/>
      <c r="E748" s="62"/>
      <c r="F748" s="63"/>
      <c r="G748" s="64" t="str">
        <f t="shared" si="161"/>
        <v/>
      </c>
      <c r="H748" s="61"/>
      <c r="I748" s="61"/>
      <c r="J748" s="61"/>
      <c r="K748" s="65"/>
      <c r="L748" s="65"/>
      <c r="M748" s="66" t="str">
        <f t="shared" ca="1" si="162"/>
        <v/>
      </c>
      <c r="N748" s="80"/>
      <c r="O748" s="81"/>
    </row>
    <row r="749" spans="1:15" ht="15" customHeight="1">
      <c r="A749" s="18">
        <v>46262</v>
      </c>
      <c r="B749" s="68">
        <f t="shared" si="163"/>
        <v>1.0416666666666663</v>
      </c>
      <c r="C749" s="70"/>
      <c r="D749" s="75"/>
      <c r="E749" s="75"/>
      <c r="F749" s="63"/>
      <c r="G749" s="69" t="str">
        <f t="shared" si="161"/>
        <v/>
      </c>
      <c r="H749" s="70"/>
      <c r="I749" s="70"/>
      <c r="J749" s="70"/>
      <c r="K749" s="65"/>
      <c r="L749" s="65"/>
      <c r="M749" s="71" t="str">
        <f t="shared" ca="1" si="162"/>
        <v/>
      </c>
      <c r="N749" s="80"/>
      <c r="O749" s="81"/>
    </row>
    <row r="750" spans="1:15" ht="15" customHeight="1">
      <c r="A750" s="59">
        <v>46262</v>
      </c>
      <c r="B750" s="60">
        <f t="shared" si="163"/>
        <v>1.083333333333333</v>
      </c>
      <c r="C750" s="61"/>
      <c r="D750" s="62"/>
      <c r="E750" s="62"/>
      <c r="F750" s="63"/>
      <c r="G750" s="64" t="str">
        <f t="shared" si="161"/>
        <v/>
      </c>
      <c r="H750" s="61"/>
      <c r="I750" s="61"/>
      <c r="J750" s="61"/>
      <c r="K750" s="65"/>
      <c r="L750" s="65"/>
      <c r="M750" s="66" t="str">
        <f t="shared" ca="1" si="162"/>
        <v/>
      </c>
      <c r="N750" s="80"/>
      <c r="O750" s="81"/>
    </row>
    <row r="751" spans="1:15" ht="15" customHeight="1">
      <c r="A751" s="18">
        <v>46262</v>
      </c>
      <c r="B751" s="68">
        <f t="shared" si="163"/>
        <v>1.1249999999999998</v>
      </c>
      <c r="C751" s="70"/>
      <c r="D751" s="75"/>
      <c r="E751" s="75"/>
      <c r="F751" s="63"/>
      <c r="G751" s="69" t="str">
        <f t="shared" si="161"/>
        <v/>
      </c>
      <c r="H751" s="70"/>
      <c r="I751" s="70"/>
      <c r="J751" s="70"/>
      <c r="K751" s="65"/>
      <c r="L751" s="65"/>
      <c r="M751" s="71" t="str">
        <f t="shared" ca="1" si="162"/>
        <v/>
      </c>
      <c r="N751" s="80"/>
      <c r="O751" s="81"/>
    </row>
    <row r="752" spans="1:15" ht="15" customHeight="1">
      <c r="A752" s="59">
        <v>46262</v>
      </c>
      <c r="B752" s="60">
        <f t="shared" si="163"/>
        <v>1.1666666666666665</v>
      </c>
      <c r="C752" s="61"/>
      <c r="D752" s="62"/>
      <c r="E752" s="62"/>
      <c r="F752" s="63"/>
      <c r="G752" s="64" t="str">
        <f t="shared" si="161"/>
        <v/>
      </c>
      <c r="H752" s="61"/>
      <c r="I752" s="61"/>
      <c r="J752" s="61"/>
      <c r="K752" s="65"/>
      <c r="L752" s="65"/>
      <c r="M752" s="66" t="str">
        <f t="shared" ca="1" si="162"/>
        <v/>
      </c>
      <c r="N752" s="80"/>
      <c r="O752" s="81"/>
    </row>
    <row r="753" spans="1:15" ht="15" customHeight="1">
      <c r="A753" s="18">
        <v>46262</v>
      </c>
      <c r="B753" s="68">
        <f t="shared" si="163"/>
        <v>1.2083333333333333</v>
      </c>
      <c r="C753" s="70"/>
      <c r="D753" s="75"/>
      <c r="E753" s="75"/>
      <c r="F753" s="63"/>
      <c r="G753" s="69" t="str">
        <f t="shared" si="161"/>
        <v/>
      </c>
      <c r="H753" s="70"/>
      <c r="I753" s="70"/>
      <c r="J753" s="70"/>
      <c r="K753" s="65"/>
      <c r="L753" s="65"/>
      <c r="M753" s="71" t="str">
        <f t="shared" ca="1" si="162"/>
        <v/>
      </c>
      <c r="N753" s="80"/>
      <c r="O753" s="81"/>
    </row>
    <row r="754" spans="1:15" ht="15" customHeight="1">
      <c r="A754" s="59">
        <v>46262</v>
      </c>
      <c r="B754" s="60">
        <f t="shared" si="163"/>
        <v>1.25</v>
      </c>
      <c r="C754" s="61"/>
      <c r="D754" s="62"/>
      <c r="E754" s="62"/>
      <c r="F754" s="63"/>
      <c r="G754" s="64" t="str">
        <f t="shared" si="161"/>
        <v/>
      </c>
      <c r="H754" s="61"/>
      <c r="I754" s="61"/>
      <c r="J754" s="61"/>
      <c r="K754" s="65"/>
      <c r="L754" s="65"/>
      <c r="M754" s="66" t="str">
        <f t="shared" ca="1" si="162"/>
        <v/>
      </c>
      <c r="N754" s="80"/>
      <c r="O754" s="81"/>
    </row>
    <row r="755" spans="1:15" ht="15" customHeight="1">
      <c r="A755" s="18">
        <v>46262</v>
      </c>
      <c r="B755" s="68">
        <f t="shared" si="163"/>
        <v>1.2916666666666667</v>
      </c>
      <c r="C755" s="70"/>
      <c r="D755" s="75"/>
      <c r="E755" s="75"/>
      <c r="F755" s="63"/>
      <c r="G755" s="69" t="str">
        <f t="shared" si="161"/>
        <v/>
      </c>
      <c r="H755" s="70"/>
      <c r="I755" s="70"/>
      <c r="J755" s="70"/>
      <c r="K755" s="65"/>
      <c r="L755" s="65"/>
      <c r="M755" s="71" t="str">
        <f t="shared" ca="1" si="162"/>
        <v/>
      </c>
      <c r="N755" s="80"/>
      <c r="O755" s="81"/>
    </row>
    <row r="756" spans="1:15" ht="15.75" customHeight="1">
      <c r="A756" s="165" t="s">
        <v>263</v>
      </c>
      <c r="B756" s="165"/>
      <c r="C756" s="165"/>
      <c r="D756" s="165"/>
      <c r="E756" s="165"/>
      <c r="F756" s="2">
        <f>SUM(F744:F755)</f>
        <v>0</v>
      </c>
      <c r="G756" s="2">
        <f>SUM(G744:G755)</f>
        <v>0</v>
      </c>
      <c r="H756" s="72"/>
      <c r="I756" s="72"/>
      <c r="J756" s="72"/>
      <c r="K756" s="72"/>
      <c r="L756" s="72"/>
      <c r="M756" s="73">
        <f ca="1">IFERROR(SUM(M744:M755),"")</f>
        <v>0</v>
      </c>
      <c r="N756" s="2" t="s">
        <v>261</v>
      </c>
      <c r="O756" s="74"/>
    </row>
    <row r="757" spans="1:15" ht="18" customHeight="1">
      <c r="A757" s="166" t="s">
        <v>249</v>
      </c>
      <c r="B757" s="166"/>
      <c r="C757" s="166"/>
      <c r="D757" s="166"/>
      <c r="E757" s="166"/>
      <c r="F757" s="1">
        <f>F743+F756</f>
        <v>0</v>
      </c>
      <c r="G757" s="1">
        <f>G743+G756</f>
        <v>0</v>
      </c>
      <c r="H757" s="76"/>
      <c r="I757" s="76"/>
      <c r="J757" s="76"/>
      <c r="K757" s="76"/>
      <c r="L757" s="76"/>
      <c r="M757" s="77">
        <f ca="1">IFERROR(M743+M756,"")</f>
        <v>0</v>
      </c>
      <c r="N757" s="1" t="s">
        <v>264</v>
      </c>
      <c r="O757" s="82">
        <f>IFERROR(O743+O756,"")</f>
        <v>0</v>
      </c>
    </row>
    <row r="758" spans="1:15" ht="15" customHeight="1">
      <c r="A758" s="59">
        <v>46263</v>
      </c>
      <c r="B758" s="60">
        <v>0.33333333333333298</v>
      </c>
      <c r="C758" s="61"/>
      <c r="D758" s="62"/>
      <c r="E758" s="62"/>
      <c r="F758" s="63"/>
      <c r="G758" s="64" t="str">
        <f t="shared" ref="G758:G769" si="164">IF(F758="","",IF(E758="PC 17",F758*4.2,IF(E758="PC 19",F758*5,IF(E758="CB",F758*35,""))))</f>
        <v/>
      </c>
      <c r="H758" s="61"/>
      <c r="I758" s="61"/>
      <c r="J758" s="61"/>
      <c r="K758" s="65"/>
      <c r="L758" s="65"/>
      <c r="M758" s="66" t="str">
        <f t="shared" ref="M758:M769" ca="1" si="165">IFERROR(IF(K758="","",IF(L758="",MOD(NOW()-K758,1),IF(L758&gt;=K758,L758-K758,L758+1-K758))),"")</f>
        <v/>
      </c>
      <c r="N758" s="80"/>
      <c r="O758" s="81"/>
    </row>
    <row r="759" spans="1:15" ht="15" customHeight="1">
      <c r="A759" s="18">
        <v>46263</v>
      </c>
      <c r="B759" s="68">
        <f t="shared" ref="B759:B769" si="166">B758+TIME(0,60,0)</f>
        <v>0.37499999999999967</v>
      </c>
      <c r="C759" s="70"/>
      <c r="D759" s="75"/>
      <c r="E759" s="75"/>
      <c r="F759" s="63"/>
      <c r="G759" s="69" t="str">
        <f t="shared" si="164"/>
        <v/>
      </c>
      <c r="H759" s="70"/>
      <c r="I759" s="70"/>
      <c r="J759" s="70"/>
      <c r="K759" s="65"/>
      <c r="L759" s="65"/>
      <c r="M759" s="71" t="str">
        <f t="shared" ca="1" si="165"/>
        <v/>
      </c>
      <c r="N759" s="80"/>
      <c r="O759" s="81"/>
    </row>
    <row r="760" spans="1:15" ht="15" customHeight="1">
      <c r="A760" s="59">
        <v>46263</v>
      </c>
      <c r="B760" s="60">
        <f t="shared" si="166"/>
        <v>0.41666666666666635</v>
      </c>
      <c r="C760" s="61"/>
      <c r="D760" s="62"/>
      <c r="E760" s="62"/>
      <c r="F760" s="63"/>
      <c r="G760" s="64" t="str">
        <f t="shared" si="164"/>
        <v/>
      </c>
      <c r="H760" s="61"/>
      <c r="I760" s="61"/>
      <c r="J760" s="61"/>
      <c r="K760" s="65"/>
      <c r="L760" s="65"/>
      <c r="M760" s="66" t="str">
        <f t="shared" ca="1" si="165"/>
        <v/>
      </c>
      <c r="N760" s="80"/>
      <c r="O760" s="81"/>
    </row>
    <row r="761" spans="1:15" ht="15" customHeight="1">
      <c r="A761" s="18">
        <v>46263</v>
      </c>
      <c r="B761" s="68">
        <f t="shared" si="166"/>
        <v>0.45833333333333304</v>
      </c>
      <c r="C761" s="70"/>
      <c r="D761" s="75"/>
      <c r="E761" s="75"/>
      <c r="F761" s="63"/>
      <c r="G761" s="69" t="str">
        <f t="shared" si="164"/>
        <v/>
      </c>
      <c r="H761" s="70"/>
      <c r="I761" s="70"/>
      <c r="J761" s="70"/>
      <c r="K761" s="65"/>
      <c r="L761" s="65"/>
      <c r="M761" s="71" t="str">
        <f t="shared" ca="1" si="165"/>
        <v/>
      </c>
      <c r="N761" s="80"/>
      <c r="O761" s="81"/>
    </row>
    <row r="762" spans="1:15" ht="15" customHeight="1">
      <c r="A762" s="59">
        <v>46263</v>
      </c>
      <c r="B762" s="60">
        <f t="shared" si="166"/>
        <v>0.49999999999999972</v>
      </c>
      <c r="C762" s="61"/>
      <c r="D762" s="62"/>
      <c r="E762" s="62"/>
      <c r="F762" s="63"/>
      <c r="G762" s="64" t="str">
        <f t="shared" si="164"/>
        <v/>
      </c>
      <c r="H762" s="61"/>
      <c r="I762" s="61"/>
      <c r="J762" s="61"/>
      <c r="K762" s="65"/>
      <c r="L762" s="65"/>
      <c r="M762" s="66" t="str">
        <f t="shared" ca="1" si="165"/>
        <v/>
      </c>
      <c r="N762" s="80"/>
      <c r="O762" s="81"/>
    </row>
    <row r="763" spans="1:15" ht="15" customHeight="1">
      <c r="A763" s="18">
        <v>46263</v>
      </c>
      <c r="B763" s="68">
        <f t="shared" si="166"/>
        <v>0.54166666666666641</v>
      </c>
      <c r="C763" s="70"/>
      <c r="D763" s="75"/>
      <c r="E763" s="75"/>
      <c r="F763" s="63"/>
      <c r="G763" s="69" t="str">
        <f t="shared" si="164"/>
        <v/>
      </c>
      <c r="H763" s="70"/>
      <c r="I763" s="70"/>
      <c r="J763" s="70"/>
      <c r="K763" s="65"/>
      <c r="L763" s="65"/>
      <c r="M763" s="71" t="str">
        <f t="shared" ca="1" si="165"/>
        <v/>
      </c>
      <c r="N763" s="80"/>
      <c r="O763" s="81"/>
    </row>
    <row r="764" spans="1:15" ht="15" customHeight="1">
      <c r="A764" s="59">
        <v>46263</v>
      </c>
      <c r="B764" s="60">
        <f t="shared" si="166"/>
        <v>0.58333333333333304</v>
      </c>
      <c r="C764" s="61"/>
      <c r="D764" s="62"/>
      <c r="E764" s="62"/>
      <c r="F764" s="63"/>
      <c r="G764" s="64" t="str">
        <f t="shared" si="164"/>
        <v/>
      </c>
      <c r="H764" s="61"/>
      <c r="I764" s="61"/>
      <c r="J764" s="61"/>
      <c r="K764" s="65"/>
      <c r="L764" s="65"/>
      <c r="M764" s="66" t="str">
        <f t="shared" ca="1" si="165"/>
        <v/>
      </c>
      <c r="N764" s="80"/>
      <c r="O764" s="81"/>
    </row>
    <row r="765" spans="1:15" ht="15" customHeight="1">
      <c r="A765" s="18">
        <v>46263</v>
      </c>
      <c r="B765" s="68">
        <f t="shared" si="166"/>
        <v>0.62499999999999967</v>
      </c>
      <c r="C765" s="70"/>
      <c r="D765" s="75"/>
      <c r="E765" s="75"/>
      <c r="F765" s="63"/>
      <c r="G765" s="69" t="str">
        <f t="shared" si="164"/>
        <v/>
      </c>
      <c r="H765" s="70"/>
      <c r="I765" s="70"/>
      <c r="J765" s="70"/>
      <c r="K765" s="65"/>
      <c r="L765" s="65"/>
      <c r="M765" s="71" t="str">
        <f t="shared" ca="1" si="165"/>
        <v/>
      </c>
      <c r="N765" s="80"/>
      <c r="O765" s="81"/>
    </row>
    <row r="766" spans="1:15" ht="15" customHeight="1">
      <c r="A766" s="59">
        <v>46263</v>
      </c>
      <c r="B766" s="60">
        <f t="shared" si="166"/>
        <v>0.6666666666666663</v>
      </c>
      <c r="C766" s="61"/>
      <c r="D766" s="62"/>
      <c r="E766" s="62"/>
      <c r="F766" s="63"/>
      <c r="G766" s="64" t="str">
        <f t="shared" si="164"/>
        <v/>
      </c>
      <c r="H766" s="61"/>
      <c r="I766" s="61"/>
      <c r="J766" s="61"/>
      <c r="K766" s="65"/>
      <c r="L766" s="65"/>
      <c r="M766" s="66" t="str">
        <f t="shared" ca="1" si="165"/>
        <v/>
      </c>
      <c r="N766" s="80"/>
      <c r="O766" s="81"/>
    </row>
    <row r="767" spans="1:15" ht="15" customHeight="1">
      <c r="A767" s="18">
        <v>46263</v>
      </c>
      <c r="B767" s="68">
        <f t="shared" si="166"/>
        <v>0.70833333333333293</v>
      </c>
      <c r="C767" s="70"/>
      <c r="D767" s="75"/>
      <c r="E767" s="75"/>
      <c r="F767" s="63"/>
      <c r="G767" s="69" t="str">
        <f t="shared" si="164"/>
        <v/>
      </c>
      <c r="H767" s="70"/>
      <c r="I767" s="70"/>
      <c r="J767" s="70"/>
      <c r="K767" s="65"/>
      <c r="L767" s="65"/>
      <c r="M767" s="71" t="str">
        <f t="shared" ca="1" si="165"/>
        <v/>
      </c>
      <c r="N767" s="80"/>
      <c r="O767" s="81"/>
    </row>
    <row r="768" spans="1:15" ht="15" customHeight="1">
      <c r="A768" s="59">
        <v>46263</v>
      </c>
      <c r="B768" s="60">
        <f t="shared" si="166"/>
        <v>0.74999999999999956</v>
      </c>
      <c r="C768" s="61"/>
      <c r="D768" s="62"/>
      <c r="E768" s="62"/>
      <c r="F768" s="63"/>
      <c r="G768" s="64" t="str">
        <f t="shared" si="164"/>
        <v/>
      </c>
      <c r="H768" s="61"/>
      <c r="I768" s="61"/>
      <c r="J768" s="61"/>
      <c r="K768" s="65"/>
      <c r="L768" s="65"/>
      <c r="M768" s="66" t="str">
        <f t="shared" ca="1" si="165"/>
        <v/>
      </c>
      <c r="N768" s="80"/>
      <c r="O768" s="81"/>
    </row>
    <row r="769" spans="1:15" ht="15" customHeight="1">
      <c r="A769" s="18">
        <v>46263</v>
      </c>
      <c r="B769" s="68">
        <f t="shared" si="166"/>
        <v>0.79166666666666619</v>
      </c>
      <c r="C769" s="70"/>
      <c r="D769" s="75"/>
      <c r="E769" s="75"/>
      <c r="F769" s="63"/>
      <c r="G769" s="69" t="str">
        <f t="shared" si="164"/>
        <v/>
      </c>
      <c r="H769" s="70"/>
      <c r="I769" s="70"/>
      <c r="J769" s="70"/>
      <c r="K769" s="65"/>
      <c r="L769" s="65"/>
      <c r="M769" s="71" t="str">
        <f t="shared" ca="1" si="165"/>
        <v/>
      </c>
      <c r="N769" s="80"/>
      <c r="O769" s="81"/>
    </row>
    <row r="770" spans="1:15" ht="15.75" customHeight="1">
      <c r="A770" s="165" t="s">
        <v>260</v>
      </c>
      <c r="B770" s="165"/>
      <c r="C770" s="165"/>
      <c r="D770" s="165"/>
      <c r="E770" s="165"/>
      <c r="F770" s="2">
        <f>SUM(F758:F769)</f>
        <v>0</v>
      </c>
      <c r="G770" s="2">
        <f>SUM(G758:G769)</f>
        <v>0</v>
      </c>
      <c r="H770" s="72"/>
      <c r="I770" s="72"/>
      <c r="J770" s="72"/>
      <c r="K770" s="72"/>
      <c r="L770" s="72"/>
      <c r="M770" s="73">
        <f ca="1">IFERROR(SUM(M758:M769),"")</f>
        <v>0</v>
      </c>
      <c r="N770" s="2" t="s">
        <v>261</v>
      </c>
      <c r="O770" s="74"/>
    </row>
    <row r="771" spans="1:15" ht="15" customHeight="1">
      <c r="A771" s="18">
        <v>46263</v>
      </c>
      <c r="B771" s="68">
        <v>0.83333333333333304</v>
      </c>
      <c r="C771" s="70"/>
      <c r="D771" s="75"/>
      <c r="E771" s="75"/>
      <c r="F771" s="63"/>
      <c r="G771" s="69" t="str">
        <f t="shared" ref="G771:G782" si="167">IF(F771="","",IF(E771="PC 17",F771*4.2,IF(E771="PC 19",F771*5,IF(E771="CB",F771*35,""))))</f>
        <v/>
      </c>
      <c r="H771" s="70"/>
      <c r="I771" s="70"/>
      <c r="J771" s="70"/>
      <c r="K771" s="65"/>
      <c r="L771" s="65"/>
      <c r="M771" s="71" t="str">
        <f t="shared" ref="M771:M782" ca="1" si="168">IFERROR(IF(K771="","",IF(L771="",MOD(NOW()-K771,1),IF(L771&gt;=K771,L771-K771,L771+1-K771))),"")</f>
        <v/>
      </c>
      <c r="N771" s="80"/>
      <c r="O771" s="81"/>
    </row>
    <row r="772" spans="1:15" ht="15" customHeight="1">
      <c r="A772" s="59">
        <v>46263</v>
      </c>
      <c r="B772" s="60">
        <f t="shared" ref="B772:B782" si="169">B771+TIME(0,60,0)</f>
        <v>0.87499999999999967</v>
      </c>
      <c r="C772" s="61"/>
      <c r="D772" s="62"/>
      <c r="E772" s="62"/>
      <c r="F772" s="63"/>
      <c r="G772" s="64" t="str">
        <f t="shared" si="167"/>
        <v/>
      </c>
      <c r="H772" s="61"/>
      <c r="I772" s="61"/>
      <c r="J772" s="61"/>
      <c r="K772" s="65"/>
      <c r="L772" s="65"/>
      <c r="M772" s="66" t="str">
        <f t="shared" ca="1" si="168"/>
        <v/>
      </c>
      <c r="N772" s="80"/>
      <c r="O772" s="81"/>
    </row>
    <row r="773" spans="1:15" ht="15" customHeight="1">
      <c r="A773" s="18">
        <v>46263</v>
      </c>
      <c r="B773" s="68">
        <f t="shared" si="169"/>
        <v>0.9166666666666663</v>
      </c>
      <c r="C773" s="70"/>
      <c r="D773" s="75"/>
      <c r="E773" s="75"/>
      <c r="F773" s="63"/>
      <c r="G773" s="69" t="str">
        <f t="shared" si="167"/>
        <v/>
      </c>
      <c r="H773" s="70"/>
      <c r="I773" s="70"/>
      <c r="J773" s="70"/>
      <c r="K773" s="65"/>
      <c r="L773" s="65"/>
      <c r="M773" s="71" t="str">
        <f t="shared" ca="1" si="168"/>
        <v/>
      </c>
      <c r="N773" s="80"/>
      <c r="O773" s="81"/>
    </row>
    <row r="774" spans="1:15" ht="15" customHeight="1">
      <c r="A774" s="59">
        <v>46263</v>
      </c>
      <c r="B774" s="60">
        <f t="shared" si="169"/>
        <v>0.95833333333333293</v>
      </c>
      <c r="C774" s="61"/>
      <c r="D774" s="62"/>
      <c r="E774" s="62"/>
      <c r="F774" s="63"/>
      <c r="G774" s="64" t="str">
        <f t="shared" si="167"/>
        <v/>
      </c>
      <c r="H774" s="61"/>
      <c r="I774" s="61"/>
      <c r="J774" s="61"/>
      <c r="K774" s="65"/>
      <c r="L774" s="65"/>
      <c r="M774" s="66" t="str">
        <f t="shared" ca="1" si="168"/>
        <v/>
      </c>
      <c r="N774" s="80"/>
      <c r="O774" s="81"/>
    </row>
    <row r="775" spans="1:15" ht="15" customHeight="1">
      <c r="A775" s="18">
        <v>46263</v>
      </c>
      <c r="B775" s="68">
        <f t="shared" si="169"/>
        <v>0.99999999999999956</v>
      </c>
      <c r="C775" s="70"/>
      <c r="D775" s="75"/>
      <c r="E775" s="75"/>
      <c r="F775" s="63"/>
      <c r="G775" s="69" t="str">
        <f t="shared" si="167"/>
        <v/>
      </c>
      <c r="H775" s="70"/>
      <c r="I775" s="70"/>
      <c r="J775" s="70"/>
      <c r="K775" s="65"/>
      <c r="L775" s="65"/>
      <c r="M775" s="71" t="str">
        <f t="shared" ca="1" si="168"/>
        <v/>
      </c>
      <c r="N775" s="80"/>
      <c r="O775" s="81"/>
    </row>
    <row r="776" spans="1:15" ht="15" customHeight="1">
      <c r="A776" s="59">
        <v>46263</v>
      </c>
      <c r="B776" s="60">
        <f t="shared" si="169"/>
        <v>1.0416666666666663</v>
      </c>
      <c r="C776" s="61"/>
      <c r="D776" s="62"/>
      <c r="E776" s="62"/>
      <c r="F776" s="63"/>
      <c r="G776" s="64" t="str">
        <f t="shared" si="167"/>
        <v/>
      </c>
      <c r="H776" s="61"/>
      <c r="I776" s="61"/>
      <c r="J776" s="61"/>
      <c r="K776" s="65"/>
      <c r="L776" s="65"/>
      <c r="M776" s="66" t="str">
        <f t="shared" ca="1" si="168"/>
        <v/>
      </c>
      <c r="N776" s="80"/>
      <c r="O776" s="81"/>
    </row>
    <row r="777" spans="1:15" ht="15" customHeight="1">
      <c r="A777" s="18">
        <v>46263</v>
      </c>
      <c r="B777" s="68">
        <f t="shared" si="169"/>
        <v>1.083333333333333</v>
      </c>
      <c r="C777" s="70"/>
      <c r="D777" s="75"/>
      <c r="E777" s="75"/>
      <c r="F777" s="63"/>
      <c r="G777" s="69" t="str">
        <f t="shared" si="167"/>
        <v/>
      </c>
      <c r="H777" s="70"/>
      <c r="I777" s="70"/>
      <c r="J777" s="70"/>
      <c r="K777" s="65"/>
      <c r="L777" s="65"/>
      <c r="M777" s="71" t="str">
        <f t="shared" ca="1" si="168"/>
        <v/>
      </c>
      <c r="N777" s="80"/>
      <c r="O777" s="81"/>
    </row>
    <row r="778" spans="1:15" ht="15" customHeight="1">
      <c r="A778" s="59">
        <v>46263</v>
      </c>
      <c r="B778" s="60">
        <f t="shared" si="169"/>
        <v>1.1249999999999998</v>
      </c>
      <c r="C778" s="61"/>
      <c r="D778" s="62"/>
      <c r="E778" s="62"/>
      <c r="F778" s="63"/>
      <c r="G778" s="64" t="str">
        <f t="shared" si="167"/>
        <v/>
      </c>
      <c r="H778" s="61"/>
      <c r="I778" s="61"/>
      <c r="J778" s="61"/>
      <c r="K778" s="65"/>
      <c r="L778" s="65"/>
      <c r="M778" s="66" t="str">
        <f t="shared" ca="1" si="168"/>
        <v/>
      </c>
      <c r="N778" s="80"/>
      <c r="O778" s="81"/>
    </row>
    <row r="779" spans="1:15" ht="15" customHeight="1">
      <c r="A779" s="18">
        <v>46263</v>
      </c>
      <c r="B779" s="68">
        <f t="shared" si="169"/>
        <v>1.1666666666666665</v>
      </c>
      <c r="C779" s="70"/>
      <c r="D779" s="75"/>
      <c r="E779" s="75"/>
      <c r="F779" s="63"/>
      <c r="G779" s="69" t="str">
        <f t="shared" si="167"/>
        <v/>
      </c>
      <c r="H779" s="70"/>
      <c r="I779" s="70"/>
      <c r="J779" s="70"/>
      <c r="K779" s="65"/>
      <c r="L779" s="65"/>
      <c r="M779" s="71" t="str">
        <f t="shared" ca="1" si="168"/>
        <v/>
      </c>
      <c r="N779" s="80"/>
      <c r="O779" s="81"/>
    </row>
    <row r="780" spans="1:15" ht="15" customHeight="1">
      <c r="A780" s="59">
        <v>46263</v>
      </c>
      <c r="B780" s="60">
        <f t="shared" si="169"/>
        <v>1.2083333333333333</v>
      </c>
      <c r="C780" s="61"/>
      <c r="D780" s="62"/>
      <c r="E780" s="62"/>
      <c r="F780" s="63"/>
      <c r="G780" s="64" t="str">
        <f t="shared" si="167"/>
        <v/>
      </c>
      <c r="H780" s="61"/>
      <c r="I780" s="61"/>
      <c r="J780" s="61"/>
      <c r="K780" s="65"/>
      <c r="L780" s="65"/>
      <c r="M780" s="66" t="str">
        <f t="shared" ca="1" si="168"/>
        <v/>
      </c>
      <c r="N780" s="80"/>
      <c r="O780" s="81"/>
    </row>
    <row r="781" spans="1:15" ht="15" customHeight="1">
      <c r="A781" s="18">
        <v>46263</v>
      </c>
      <c r="B781" s="68">
        <f t="shared" si="169"/>
        <v>1.25</v>
      </c>
      <c r="C781" s="70"/>
      <c r="D781" s="75"/>
      <c r="E781" s="75"/>
      <c r="F781" s="63"/>
      <c r="G781" s="69" t="str">
        <f t="shared" si="167"/>
        <v/>
      </c>
      <c r="H781" s="70"/>
      <c r="I781" s="70"/>
      <c r="J781" s="70"/>
      <c r="K781" s="65"/>
      <c r="L781" s="65"/>
      <c r="M781" s="71" t="str">
        <f t="shared" ca="1" si="168"/>
        <v/>
      </c>
      <c r="N781" s="80"/>
      <c r="O781" s="81"/>
    </row>
    <row r="782" spans="1:15" ht="15" customHeight="1">
      <c r="A782" s="59">
        <v>46263</v>
      </c>
      <c r="B782" s="60">
        <f t="shared" si="169"/>
        <v>1.2916666666666667</v>
      </c>
      <c r="C782" s="61"/>
      <c r="D782" s="62"/>
      <c r="E782" s="62"/>
      <c r="F782" s="63"/>
      <c r="G782" s="64" t="str">
        <f t="shared" si="167"/>
        <v/>
      </c>
      <c r="H782" s="61"/>
      <c r="I782" s="61"/>
      <c r="J782" s="61"/>
      <c r="K782" s="65"/>
      <c r="L782" s="65"/>
      <c r="M782" s="66" t="str">
        <f t="shared" ca="1" si="168"/>
        <v/>
      </c>
      <c r="N782" s="80"/>
      <c r="O782" s="81"/>
    </row>
    <row r="783" spans="1:15" ht="15.75" customHeight="1">
      <c r="A783" s="165" t="s">
        <v>263</v>
      </c>
      <c r="B783" s="165"/>
      <c r="C783" s="165"/>
      <c r="D783" s="165"/>
      <c r="E783" s="165"/>
      <c r="F783" s="2">
        <f>SUM(F771:F782)</f>
        <v>0</v>
      </c>
      <c r="G783" s="2">
        <f>SUM(G771:G782)</f>
        <v>0</v>
      </c>
      <c r="H783" s="72"/>
      <c r="I783" s="72"/>
      <c r="J783" s="72"/>
      <c r="K783" s="72"/>
      <c r="L783" s="72"/>
      <c r="M783" s="73">
        <f ca="1">IFERROR(SUM(M771:M782),"")</f>
        <v>0</v>
      </c>
      <c r="N783" s="2" t="s">
        <v>261</v>
      </c>
      <c r="O783" s="74"/>
    </row>
    <row r="784" spans="1:15" ht="18" customHeight="1">
      <c r="A784" s="166" t="s">
        <v>249</v>
      </c>
      <c r="B784" s="166"/>
      <c r="C784" s="166"/>
      <c r="D784" s="166"/>
      <c r="E784" s="166"/>
      <c r="F784" s="1">
        <f>F770+F783</f>
        <v>0</v>
      </c>
      <c r="G784" s="1">
        <f>G770+G783</f>
        <v>0</v>
      </c>
      <c r="H784" s="76"/>
      <c r="I784" s="76"/>
      <c r="J784" s="76"/>
      <c r="K784" s="76"/>
      <c r="L784" s="76"/>
      <c r="M784" s="77">
        <f ca="1">IFERROR(M770+M783,"")</f>
        <v>0</v>
      </c>
      <c r="N784" s="1" t="s">
        <v>264</v>
      </c>
      <c r="O784" s="82">
        <f>IFERROR(O770+O783,"")</f>
        <v>0</v>
      </c>
    </row>
    <row r="785" spans="1:15" ht="15" customHeight="1">
      <c r="A785" s="18">
        <v>46264</v>
      </c>
      <c r="B785" s="68">
        <v>0.33333333333333298</v>
      </c>
      <c r="C785" s="70"/>
      <c r="D785" s="75"/>
      <c r="E785" s="75"/>
      <c r="F785" s="63"/>
      <c r="G785" s="69"/>
      <c r="H785" s="70"/>
      <c r="I785" s="70"/>
      <c r="J785" s="70"/>
      <c r="K785" s="65"/>
      <c r="L785" s="65"/>
      <c r="M785" s="71" t="str">
        <f t="shared" ref="M785:M796" ca="1" si="170">IFERROR(IF(K785="","",IF(L785="",MOD(NOW()-K785,1),IF(L785&gt;=K785,L785-K785,L785+1-K785))),"")</f>
        <v/>
      </c>
      <c r="N785" s="80"/>
      <c r="O785" s="81"/>
    </row>
    <row r="786" spans="1:15" ht="15" customHeight="1">
      <c r="A786" s="59">
        <v>46264</v>
      </c>
      <c r="B786" s="60">
        <f t="shared" ref="B786:B796" si="171">B785+TIME(0,60,0)</f>
        <v>0.37499999999999967</v>
      </c>
      <c r="C786" s="61"/>
      <c r="D786" s="62"/>
      <c r="E786" s="62"/>
      <c r="F786" s="63"/>
      <c r="G786" s="64"/>
      <c r="H786" s="61"/>
      <c r="I786" s="61"/>
      <c r="J786" s="61"/>
      <c r="K786" s="65"/>
      <c r="L786" s="65"/>
      <c r="M786" s="66" t="str">
        <f t="shared" ca="1" si="170"/>
        <v/>
      </c>
      <c r="N786" s="80"/>
      <c r="O786" s="81"/>
    </row>
    <row r="787" spans="1:15" ht="15" customHeight="1">
      <c r="A787" s="18">
        <v>46264</v>
      </c>
      <c r="B787" s="68">
        <f t="shared" si="171"/>
        <v>0.41666666666666635</v>
      </c>
      <c r="C787" s="70"/>
      <c r="D787" s="75"/>
      <c r="E787" s="75"/>
      <c r="F787" s="63"/>
      <c r="G787" s="69"/>
      <c r="H787" s="70"/>
      <c r="I787" s="70"/>
      <c r="J787" s="70"/>
      <c r="K787" s="65"/>
      <c r="L787" s="65"/>
      <c r="M787" s="71" t="str">
        <f t="shared" ca="1" si="170"/>
        <v/>
      </c>
      <c r="N787" s="80"/>
      <c r="O787" s="81"/>
    </row>
    <row r="788" spans="1:15" ht="15" customHeight="1">
      <c r="A788" s="59">
        <v>46264</v>
      </c>
      <c r="B788" s="60">
        <f t="shared" si="171"/>
        <v>0.45833333333333304</v>
      </c>
      <c r="C788" s="61"/>
      <c r="D788" s="62"/>
      <c r="E788" s="62"/>
      <c r="F788" s="63"/>
      <c r="G788" s="64"/>
      <c r="H788" s="61"/>
      <c r="I788" s="61"/>
      <c r="J788" s="61"/>
      <c r="K788" s="65"/>
      <c r="L788" s="65"/>
      <c r="M788" s="66" t="str">
        <f t="shared" ca="1" si="170"/>
        <v/>
      </c>
      <c r="N788" s="80"/>
      <c r="O788" s="81"/>
    </row>
    <row r="789" spans="1:15" ht="15" customHeight="1">
      <c r="A789" s="18">
        <v>46264</v>
      </c>
      <c r="B789" s="68">
        <f t="shared" si="171"/>
        <v>0.49999999999999972</v>
      </c>
      <c r="C789" s="70"/>
      <c r="D789" s="75"/>
      <c r="E789" s="75"/>
      <c r="F789" s="63"/>
      <c r="G789" s="69"/>
      <c r="H789" s="70"/>
      <c r="I789" s="70"/>
      <c r="J789" s="70"/>
      <c r="K789" s="65"/>
      <c r="L789" s="65"/>
      <c r="M789" s="71" t="str">
        <f t="shared" ca="1" si="170"/>
        <v/>
      </c>
      <c r="N789" s="80"/>
      <c r="O789" s="81"/>
    </row>
    <row r="790" spans="1:15" ht="15" customHeight="1">
      <c r="A790" s="59">
        <v>46264</v>
      </c>
      <c r="B790" s="60">
        <f t="shared" si="171"/>
        <v>0.54166666666666641</v>
      </c>
      <c r="C790" s="61"/>
      <c r="D790" s="62"/>
      <c r="E790" s="62"/>
      <c r="F790" s="63"/>
      <c r="G790" s="64"/>
      <c r="H790" s="61"/>
      <c r="I790" s="61"/>
      <c r="J790" s="61"/>
      <c r="K790" s="65"/>
      <c r="L790" s="65"/>
      <c r="M790" s="66" t="str">
        <f t="shared" ca="1" si="170"/>
        <v/>
      </c>
      <c r="N790" s="80"/>
      <c r="O790" s="81"/>
    </row>
    <row r="791" spans="1:15" ht="15" customHeight="1">
      <c r="A791" s="18">
        <v>46264</v>
      </c>
      <c r="B791" s="68">
        <f t="shared" si="171"/>
        <v>0.58333333333333304</v>
      </c>
      <c r="C791" s="70"/>
      <c r="D791" s="75"/>
      <c r="E791" s="75"/>
      <c r="F791" s="63"/>
      <c r="G791" s="69"/>
      <c r="H791" s="70"/>
      <c r="I791" s="70"/>
      <c r="J791" s="70"/>
      <c r="K791" s="65"/>
      <c r="L791" s="65"/>
      <c r="M791" s="71" t="str">
        <f t="shared" ca="1" si="170"/>
        <v/>
      </c>
      <c r="N791" s="80"/>
      <c r="O791" s="81"/>
    </row>
    <row r="792" spans="1:15" ht="15" customHeight="1">
      <c r="A792" s="59">
        <v>46264</v>
      </c>
      <c r="B792" s="60">
        <f t="shared" si="171"/>
        <v>0.62499999999999967</v>
      </c>
      <c r="C792" s="61"/>
      <c r="D792" s="62"/>
      <c r="E792" s="62"/>
      <c r="F792" s="63"/>
      <c r="G792" s="64"/>
      <c r="H792" s="61"/>
      <c r="I792" s="61"/>
      <c r="J792" s="61"/>
      <c r="K792" s="65"/>
      <c r="L792" s="65"/>
      <c r="M792" s="66" t="str">
        <f t="shared" ca="1" si="170"/>
        <v/>
      </c>
      <c r="N792" s="80"/>
      <c r="O792" s="81"/>
    </row>
    <row r="793" spans="1:15" ht="15" customHeight="1">
      <c r="A793" s="18">
        <v>46264</v>
      </c>
      <c r="B793" s="68">
        <f t="shared" si="171"/>
        <v>0.6666666666666663</v>
      </c>
      <c r="C793" s="70"/>
      <c r="D793" s="75"/>
      <c r="E793" s="75"/>
      <c r="F793" s="63"/>
      <c r="G793" s="69"/>
      <c r="H793" s="70"/>
      <c r="I793" s="70"/>
      <c r="J793" s="70"/>
      <c r="K793" s="65"/>
      <c r="L793" s="65"/>
      <c r="M793" s="71" t="str">
        <f t="shared" ca="1" si="170"/>
        <v/>
      </c>
      <c r="N793" s="80"/>
      <c r="O793" s="81"/>
    </row>
    <row r="794" spans="1:15" ht="15" customHeight="1">
      <c r="A794" s="59">
        <v>46264</v>
      </c>
      <c r="B794" s="60">
        <f t="shared" si="171"/>
        <v>0.70833333333333293</v>
      </c>
      <c r="C794" s="61"/>
      <c r="D794" s="62"/>
      <c r="E794" s="62"/>
      <c r="F794" s="63"/>
      <c r="G794" s="64"/>
      <c r="H794" s="61"/>
      <c r="I794" s="61"/>
      <c r="J794" s="61"/>
      <c r="K794" s="65"/>
      <c r="L794" s="65"/>
      <c r="M794" s="66" t="str">
        <f t="shared" ca="1" si="170"/>
        <v/>
      </c>
      <c r="N794" s="80"/>
      <c r="O794" s="81"/>
    </row>
    <row r="795" spans="1:15" ht="15" customHeight="1">
      <c r="A795" s="18">
        <v>46264</v>
      </c>
      <c r="B795" s="68">
        <f t="shared" si="171"/>
        <v>0.74999999999999956</v>
      </c>
      <c r="C795" s="70"/>
      <c r="D795" s="75"/>
      <c r="E795" s="75"/>
      <c r="F795" s="63"/>
      <c r="G795" s="69"/>
      <c r="H795" s="70"/>
      <c r="I795" s="70"/>
      <c r="J795" s="70"/>
      <c r="K795" s="65"/>
      <c r="L795" s="65"/>
      <c r="M795" s="71" t="str">
        <f t="shared" ca="1" si="170"/>
        <v/>
      </c>
      <c r="N795" s="80"/>
      <c r="O795" s="81"/>
    </row>
    <row r="796" spans="1:15" ht="15" customHeight="1">
      <c r="A796" s="59">
        <v>46264</v>
      </c>
      <c r="B796" s="60">
        <f t="shared" si="171"/>
        <v>0.79166666666666619</v>
      </c>
      <c r="C796" s="61"/>
      <c r="D796" s="62"/>
      <c r="E796" s="62"/>
      <c r="F796" s="63"/>
      <c r="G796" s="64"/>
      <c r="H796" s="61"/>
      <c r="I796" s="61"/>
      <c r="J796" s="61"/>
      <c r="K796" s="65"/>
      <c r="L796" s="65"/>
      <c r="M796" s="66" t="str">
        <f t="shared" ca="1" si="170"/>
        <v/>
      </c>
      <c r="N796" s="80"/>
      <c r="O796" s="81"/>
    </row>
    <row r="797" spans="1:15" ht="15.75" customHeight="1">
      <c r="A797" s="165" t="s">
        <v>260</v>
      </c>
      <c r="B797" s="165"/>
      <c r="C797" s="165"/>
      <c r="D797" s="165"/>
      <c r="E797" s="165"/>
      <c r="F797" s="2">
        <f>SUM(F785:F796)</f>
        <v>0</v>
      </c>
      <c r="G797" s="2">
        <f>SUM(G785:G796)</f>
        <v>0</v>
      </c>
      <c r="H797" s="72"/>
      <c r="I797" s="72"/>
      <c r="J797" s="72"/>
      <c r="K797" s="72"/>
      <c r="L797" s="72"/>
      <c r="M797" s="73">
        <f ca="1">IFERROR(SUM(M785:M796),"")</f>
        <v>0</v>
      </c>
      <c r="N797" s="2" t="s">
        <v>261</v>
      </c>
      <c r="O797" s="74"/>
    </row>
    <row r="798" spans="1:15" ht="15" customHeight="1">
      <c r="A798" s="59">
        <v>46264</v>
      </c>
      <c r="B798" s="60">
        <v>0.83333333333333304</v>
      </c>
      <c r="C798" s="61"/>
      <c r="D798" s="62"/>
      <c r="E798" s="62"/>
      <c r="F798" s="63"/>
      <c r="G798" s="64"/>
      <c r="H798" s="61"/>
      <c r="I798" s="61"/>
      <c r="J798" s="61"/>
      <c r="K798" s="65"/>
      <c r="L798" s="65"/>
      <c r="M798" s="66" t="str">
        <f t="shared" ref="M798:M809" ca="1" si="172">IFERROR(IF(K798="","",IF(L798="",MOD(NOW()-K798,1),IF(L798&gt;=K798,L798-K798,L798+1-K798))),"")</f>
        <v/>
      </c>
      <c r="N798" s="80"/>
      <c r="O798" s="81"/>
    </row>
    <row r="799" spans="1:15" ht="15" customHeight="1">
      <c r="A799" s="18">
        <v>46264</v>
      </c>
      <c r="B799" s="68">
        <f t="shared" ref="B799:B809" si="173">B798+TIME(0,60,0)</f>
        <v>0.87499999999999967</v>
      </c>
      <c r="C799" s="70"/>
      <c r="D799" s="75"/>
      <c r="E799" s="75"/>
      <c r="F799" s="63"/>
      <c r="G799" s="69"/>
      <c r="H799" s="70"/>
      <c r="I799" s="70"/>
      <c r="J799" s="70"/>
      <c r="K799" s="65"/>
      <c r="L799" s="65"/>
      <c r="M799" s="71" t="str">
        <f t="shared" ca="1" si="172"/>
        <v/>
      </c>
      <c r="N799" s="80"/>
      <c r="O799" s="81"/>
    </row>
    <row r="800" spans="1:15" ht="15" customHeight="1">
      <c r="A800" s="59">
        <v>46264</v>
      </c>
      <c r="B800" s="60">
        <f t="shared" si="173"/>
        <v>0.9166666666666663</v>
      </c>
      <c r="C800" s="61"/>
      <c r="D800" s="62"/>
      <c r="E800" s="62"/>
      <c r="F800" s="63"/>
      <c r="G800" s="64"/>
      <c r="H800" s="61"/>
      <c r="I800" s="61"/>
      <c r="J800" s="61"/>
      <c r="K800" s="65"/>
      <c r="L800" s="65"/>
      <c r="M800" s="66" t="str">
        <f t="shared" ca="1" si="172"/>
        <v/>
      </c>
      <c r="N800" s="80"/>
      <c r="O800" s="81"/>
    </row>
    <row r="801" spans="1:15" ht="15" customHeight="1">
      <c r="A801" s="18">
        <v>46264</v>
      </c>
      <c r="B801" s="68">
        <f t="shared" si="173"/>
        <v>0.95833333333333293</v>
      </c>
      <c r="C801" s="70"/>
      <c r="D801" s="75"/>
      <c r="E801" s="75"/>
      <c r="F801" s="63"/>
      <c r="G801" s="69" t="str">
        <f t="shared" ref="G801:G809" si="174">IF(F801="","",IF(E801="PC 17",F801*4.2,IF(E801="PC 19",F801*5,IF(E801="CB",F801*35,""))))</f>
        <v/>
      </c>
      <c r="H801" s="70"/>
      <c r="I801" s="70"/>
      <c r="J801" s="70"/>
      <c r="K801" s="65"/>
      <c r="L801" s="65"/>
      <c r="M801" s="71" t="str">
        <f t="shared" ca="1" si="172"/>
        <v/>
      </c>
      <c r="N801" s="80"/>
      <c r="O801" s="81"/>
    </row>
    <row r="802" spans="1:15" ht="15" customHeight="1">
      <c r="A802" s="59">
        <v>46264</v>
      </c>
      <c r="B802" s="60">
        <f t="shared" si="173"/>
        <v>0.99999999999999956</v>
      </c>
      <c r="C802" s="61"/>
      <c r="D802" s="62"/>
      <c r="E802" s="62"/>
      <c r="F802" s="63"/>
      <c r="G802" s="64" t="str">
        <f t="shared" si="174"/>
        <v/>
      </c>
      <c r="H802" s="61"/>
      <c r="I802" s="61"/>
      <c r="J802" s="61"/>
      <c r="K802" s="65"/>
      <c r="L802" s="65"/>
      <c r="M802" s="66" t="str">
        <f t="shared" ca="1" si="172"/>
        <v/>
      </c>
      <c r="N802" s="80"/>
      <c r="O802" s="81"/>
    </row>
    <row r="803" spans="1:15" ht="15" customHeight="1">
      <c r="A803" s="18">
        <v>46264</v>
      </c>
      <c r="B803" s="68">
        <f t="shared" si="173"/>
        <v>1.0416666666666663</v>
      </c>
      <c r="C803" s="70"/>
      <c r="D803" s="75"/>
      <c r="E803" s="75"/>
      <c r="F803" s="63"/>
      <c r="G803" s="69" t="str">
        <f t="shared" si="174"/>
        <v/>
      </c>
      <c r="H803" s="70"/>
      <c r="I803" s="70"/>
      <c r="J803" s="70"/>
      <c r="K803" s="65"/>
      <c r="L803" s="65"/>
      <c r="M803" s="71" t="str">
        <f t="shared" ca="1" si="172"/>
        <v/>
      </c>
      <c r="N803" s="80"/>
      <c r="O803" s="81"/>
    </row>
    <row r="804" spans="1:15" ht="15" customHeight="1">
      <c r="A804" s="59">
        <v>46264</v>
      </c>
      <c r="B804" s="60">
        <f t="shared" si="173"/>
        <v>1.083333333333333</v>
      </c>
      <c r="C804" s="61"/>
      <c r="D804" s="62"/>
      <c r="E804" s="62"/>
      <c r="F804" s="63"/>
      <c r="G804" s="64" t="str">
        <f t="shared" si="174"/>
        <v/>
      </c>
      <c r="H804" s="61"/>
      <c r="I804" s="61"/>
      <c r="J804" s="61"/>
      <c r="K804" s="65"/>
      <c r="L804" s="65"/>
      <c r="M804" s="66" t="str">
        <f t="shared" ca="1" si="172"/>
        <v/>
      </c>
      <c r="N804" s="80"/>
      <c r="O804" s="81"/>
    </row>
    <row r="805" spans="1:15" ht="15" customHeight="1">
      <c r="A805" s="18">
        <v>46264</v>
      </c>
      <c r="B805" s="68">
        <f t="shared" si="173"/>
        <v>1.1249999999999998</v>
      </c>
      <c r="C805" s="70"/>
      <c r="D805" s="75"/>
      <c r="E805" s="75"/>
      <c r="F805" s="63"/>
      <c r="G805" s="69" t="str">
        <f t="shared" si="174"/>
        <v/>
      </c>
      <c r="H805" s="70"/>
      <c r="I805" s="70"/>
      <c r="J805" s="70"/>
      <c r="K805" s="65"/>
      <c r="L805" s="65"/>
      <c r="M805" s="71" t="str">
        <f t="shared" ca="1" si="172"/>
        <v/>
      </c>
      <c r="N805" s="80"/>
      <c r="O805" s="81"/>
    </row>
    <row r="806" spans="1:15" ht="15" customHeight="1">
      <c r="A806" s="59">
        <v>46264</v>
      </c>
      <c r="B806" s="60">
        <f t="shared" si="173"/>
        <v>1.1666666666666665</v>
      </c>
      <c r="C806" s="61"/>
      <c r="D806" s="62"/>
      <c r="E806" s="62"/>
      <c r="F806" s="63"/>
      <c r="G806" s="64" t="str">
        <f t="shared" si="174"/>
        <v/>
      </c>
      <c r="H806" s="61"/>
      <c r="I806" s="61"/>
      <c r="J806" s="61"/>
      <c r="K806" s="65"/>
      <c r="L806" s="65"/>
      <c r="M806" s="66" t="str">
        <f t="shared" ca="1" si="172"/>
        <v/>
      </c>
      <c r="N806" s="80"/>
      <c r="O806" s="81"/>
    </row>
    <row r="807" spans="1:15" ht="15" customHeight="1">
      <c r="A807" s="18">
        <v>46264</v>
      </c>
      <c r="B807" s="68">
        <f t="shared" si="173"/>
        <v>1.2083333333333333</v>
      </c>
      <c r="C807" s="70"/>
      <c r="D807" s="75"/>
      <c r="E807" s="75"/>
      <c r="F807" s="63"/>
      <c r="G807" s="69" t="str">
        <f t="shared" si="174"/>
        <v/>
      </c>
      <c r="H807" s="70"/>
      <c r="I807" s="70"/>
      <c r="J807" s="70"/>
      <c r="K807" s="65"/>
      <c r="L807" s="65"/>
      <c r="M807" s="71" t="str">
        <f t="shared" ca="1" si="172"/>
        <v/>
      </c>
      <c r="N807" s="80"/>
      <c r="O807" s="81"/>
    </row>
    <row r="808" spans="1:15" ht="15" customHeight="1">
      <c r="A808" s="59">
        <v>46264</v>
      </c>
      <c r="B808" s="60">
        <f t="shared" si="173"/>
        <v>1.25</v>
      </c>
      <c r="C808" s="61"/>
      <c r="D808" s="62"/>
      <c r="E808" s="62"/>
      <c r="F808" s="63"/>
      <c r="G808" s="64" t="str">
        <f t="shared" si="174"/>
        <v/>
      </c>
      <c r="H808" s="61"/>
      <c r="I808" s="61"/>
      <c r="J808" s="61"/>
      <c r="K808" s="65"/>
      <c r="L808" s="65"/>
      <c r="M808" s="66" t="str">
        <f t="shared" ca="1" si="172"/>
        <v/>
      </c>
      <c r="N808" s="80"/>
      <c r="O808" s="81"/>
    </row>
    <row r="809" spans="1:15" ht="15" customHeight="1">
      <c r="A809" s="18">
        <v>46264</v>
      </c>
      <c r="B809" s="68">
        <f t="shared" si="173"/>
        <v>1.2916666666666667</v>
      </c>
      <c r="C809" s="70"/>
      <c r="D809" s="75"/>
      <c r="E809" s="75"/>
      <c r="F809" s="63"/>
      <c r="G809" s="69" t="str">
        <f t="shared" si="174"/>
        <v/>
      </c>
      <c r="H809" s="70"/>
      <c r="I809" s="70"/>
      <c r="J809" s="70"/>
      <c r="K809" s="65"/>
      <c r="L809" s="65"/>
      <c r="M809" s="71" t="str">
        <f t="shared" ca="1" si="172"/>
        <v/>
      </c>
      <c r="N809" s="80"/>
      <c r="O809" s="81"/>
    </row>
    <row r="810" spans="1:15" ht="15.75" customHeight="1">
      <c r="A810" s="165" t="s">
        <v>263</v>
      </c>
      <c r="B810" s="165"/>
      <c r="C810" s="165"/>
      <c r="D810" s="165"/>
      <c r="E810" s="165"/>
      <c r="F810" s="2">
        <f>SUM(F798:F809)</f>
        <v>0</v>
      </c>
      <c r="G810" s="2">
        <f>SUM(G798:G809)</f>
        <v>0</v>
      </c>
      <c r="H810" s="72"/>
      <c r="I810" s="72"/>
      <c r="J810" s="72"/>
      <c r="K810" s="72"/>
      <c r="L810" s="72"/>
      <c r="M810" s="73">
        <f ca="1">IFERROR(SUM(M798:M809),"")</f>
        <v>0</v>
      </c>
      <c r="N810" s="2" t="s">
        <v>261</v>
      </c>
      <c r="O810" s="74"/>
    </row>
    <row r="811" spans="1:15" ht="18" customHeight="1">
      <c r="A811" s="166" t="s">
        <v>249</v>
      </c>
      <c r="B811" s="166"/>
      <c r="C811" s="166"/>
      <c r="D811" s="166"/>
      <c r="E811" s="166"/>
      <c r="F811" s="1">
        <f>F797+F810</f>
        <v>0</v>
      </c>
      <c r="G811" s="1">
        <f>G797+G810</f>
        <v>0</v>
      </c>
      <c r="H811" s="76"/>
      <c r="I811" s="76"/>
      <c r="J811" s="76"/>
      <c r="K811" s="76"/>
      <c r="L811" s="76"/>
      <c r="M811" s="77">
        <f ca="1">IFERROR(M797+M810,"")</f>
        <v>0</v>
      </c>
      <c r="N811" s="1" t="s">
        <v>264</v>
      </c>
      <c r="O811" s="30">
        <f>IFERROR(O797+O810,"")</f>
        <v>0</v>
      </c>
    </row>
    <row r="812" spans="1:15" ht="15" customHeight="1">
      <c r="A812" s="59">
        <v>46265</v>
      </c>
      <c r="B812" s="60">
        <v>0.33333333333333298</v>
      </c>
      <c r="C812" s="61"/>
      <c r="D812" s="62"/>
      <c r="E812" s="62"/>
      <c r="F812" s="63"/>
      <c r="G812" s="64" t="str">
        <f t="shared" ref="G812:G823" si="175">IF(F812="","",IF(E812="PC 17",F812*4.2,IF(E812="PC 19",F812*5,IF(E812="CB",F812*35,""))))</f>
        <v/>
      </c>
      <c r="H812" s="70"/>
      <c r="I812" s="70"/>
      <c r="J812" s="70"/>
      <c r="K812" s="65"/>
      <c r="L812" s="65"/>
      <c r="M812" s="71" t="str">
        <f t="shared" ref="M812:M823" ca="1" si="176">IFERROR(IF(K812="","",IF(L812="",MOD(NOW()-K812,1),IF(L812&gt;=K812,L812-K812,L812+1-K812))),"")</f>
        <v/>
      </c>
      <c r="N812" s="63"/>
      <c r="O812" s="67"/>
    </row>
    <row r="813" spans="1:15" ht="15" customHeight="1">
      <c r="A813" s="18">
        <v>46265</v>
      </c>
      <c r="B813" s="68">
        <f t="shared" ref="B813:B823" si="177">B812+TIME(0,60,0)</f>
        <v>0.37499999999999967</v>
      </c>
      <c r="C813" s="61"/>
      <c r="D813" s="62"/>
      <c r="E813" s="62"/>
      <c r="F813" s="63"/>
      <c r="G813" s="69" t="str">
        <f t="shared" si="175"/>
        <v/>
      </c>
      <c r="H813" s="61"/>
      <c r="I813" s="61"/>
      <c r="J813" s="61"/>
      <c r="K813" s="65"/>
      <c r="L813" s="65"/>
      <c r="M813" s="66" t="str">
        <f t="shared" ca="1" si="176"/>
        <v/>
      </c>
      <c r="N813" s="63"/>
      <c r="O813" s="67"/>
    </row>
    <row r="814" spans="1:15" ht="15" customHeight="1">
      <c r="A814" s="59">
        <v>46265</v>
      </c>
      <c r="B814" s="60">
        <f t="shared" si="177"/>
        <v>0.41666666666666635</v>
      </c>
      <c r="C814" s="61"/>
      <c r="D814" s="62"/>
      <c r="E814" s="62"/>
      <c r="F814" s="63"/>
      <c r="G814" s="64" t="str">
        <f t="shared" si="175"/>
        <v/>
      </c>
      <c r="H814" s="70"/>
      <c r="I814" s="70"/>
      <c r="J814" s="70"/>
      <c r="K814" s="65"/>
      <c r="L814" s="65"/>
      <c r="M814" s="71" t="str">
        <f t="shared" ca="1" si="176"/>
        <v/>
      </c>
      <c r="N814" s="63"/>
      <c r="O814" s="67"/>
    </row>
    <row r="815" spans="1:15" ht="15" customHeight="1">
      <c r="A815" s="18">
        <v>46265</v>
      </c>
      <c r="B815" s="68">
        <f t="shared" si="177"/>
        <v>0.45833333333333304</v>
      </c>
      <c r="C815" s="61"/>
      <c r="D815" s="62"/>
      <c r="E815" s="62"/>
      <c r="F815" s="63"/>
      <c r="G815" s="69" t="str">
        <f t="shared" si="175"/>
        <v/>
      </c>
      <c r="H815" s="61"/>
      <c r="I815" s="61"/>
      <c r="J815" s="61"/>
      <c r="K815" s="65"/>
      <c r="L815" s="65"/>
      <c r="M815" s="66" t="str">
        <f t="shared" ca="1" si="176"/>
        <v/>
      </c>
      <c r="N815" s="63"/>
      <c r="O815" s="67"/>
    </row>
    <row r="816" spans="1:15" ht="15" customHeight="1">
      <c r="A816" s="59">
        <v>46265</v>
      </c>
      <c r="B816" s="60">
        <f t="shared" si="177"/>
        <v>0.49999999999999972</v>
      </c>
      <c r="C816" s="61"/>
      <c r="D816" s="62"/>
      <c r="E816" s="62"/>
      <c r="F816" s="63"/>
      <c r="G816" s="64" t="str">
        <f t="shared" si="175"/>
        <v/>
      </c>
      <c r="H816" s="70"/>
      <c r="I816" s="70"/>
      <c r="J816" s="70"/>
      <c r="K816" s="65"/>
      <c r="L816" s="65"/>
      <c r="M816" s="71" t="str">
        <f t="shared" ca="1" si="176"/>
        <v/>
      </c>
      <c r="N816" s="63"/>
      <c r="O816" s="67"/>
    </row>
    <row r="817" spans="1:15" ht="15" customHeight="1">
      <c r="A817" s="18">
        <v>46265</v>
      </c>
      <c r="B817" s="68">
        <f t="shared" si="177"/>
        <v>0.54166666666666641</v>
      </c>
      <c r="C817" s="61"/>
      <c r="D817" s="62"/>
      <c r="E817" s="62"/>
      <c r="F817" s="63"/>
      <c r="G817" s="69" t="str">
        <f t="shared" si="175"/>
        <v/>
      </c>
      <c r="H817" s="61"/>
      <c r="I817" s="61"/>
      <c r="J817" s="61"/>
      <c r="K817" s="65"/>
      <c r="L817" s="65"/>
      <c r="M817" s="66" t="str">
        <f t="shared" ca="1" si="176"/>
        <v/>
      </c>
      <c r="N817" s="63"/>
      <c r="O817" s="67"/>
    </row>
    <row r="818" spans="1:15" ht="15" customHeight="1">
      <c r="A818" s="59">
        <v>46265</v>
      </c>
      <c r="B818" s="60">
        <f t="shared" si="177"/>
        <v>0.58333333333333304</v>
      </c>
      <c r="C818" s="61"/>
      <c r="D818" s="62"/>
      <c r="E818" s="62"/>
      <c r="F818" s="63"/>
      <c r="G818" s="64" t="str">
        <f t="shared" si="175"/>
        <v/>
      </c>
      <c r="H818" s="70"/>
      <c r="I818" s="70"/>
      <c r="J818" s="70"/>
      <c r="K818" s="65"/>
      <c r="L818" s="65"/>
      <c r="M818" s="71" t="str">
        <f t="shared" ca="1" si="176"/>
        <v/>
      </c>
      <c r="N818" s="63"/>
      <c r="O818" s="67"/>
    </row>
    <row r="819" spans="1:15" ht="15" customHeight="1">
      <c r="A819" s="18">
        <v>46265</v>
      </c>
      <c r="B819" s="68">
        <f t="shared" si="177"/>
        <v>0.62499999999999967</v>
      </c>
      <c r="C819" s="61"/>
      <c r="D819" s="62"/>
      <c r="E819" s="62"/>
      <c r="F819" s="63"/>
      <c r="G819" s="69" t="str">
        <f t="shared" si="175"/>
        <v/>
      </c>
      <c r="H819" s="61"/>
      <c r="I819" s="61"/>
      <c r="J819" s="61"/>
      <c r="K819" s="65"/>
      <c r="L819" s="65"/>
      <c r="M819" s="66" t="str">
        <f t="shared" ca="1" si="176"/>
        <v/>
      </c>
      <c r="N819" s="63"/>
      <c r="O819" s="67"/>
    </row>
    <row r="820" spans="1:15" ht="15" customHeight="1">
      <c r="A820" s="59">
        <v>46265</v>
      </c>
      <c r="B820" s="60">
        <f t="shared" si="177"/>
        <v>0.6666666666666663</v>
      </c>
      <c r="C820" s="61"/>
      <c r="D820" s="62"/>
      <c r="E820" s="62"/>
      <c r="F820" s="63"/>
      <c r="G820" s="64" t="str">
        <f t="shared" si="175"/>
        <v/>
      </c>
      <c r="H820" s="70"/>
      <c r="I820" s="70"/>
      <c r="J820" s="70"/>
      <c r="K820" s="65"/>
      <c r="L820" s="65"/>
      <c r="M820" s="71" t="str">
        <f t="shared" ca="1" si="176"/>
        <v/>
      </c>
      <c r="N820" s="63"/>
      <c r="O820" s="67"/>
    </row>
    <row r="821" spans="1:15" ht="15" customHeight="1">
      <c r="A821" s="18">
        <v>46265</v>
      </c>
      <c r="B821" s="68">
        <f t="shared" si="177"/>
        <v>0.70833333333333293</v>
      </c>
      <c r="C821" s="61"/>
      <c r="D821" s="62"/>
      <c r="E821" s="62"/>
      <c r="F821" s="63"/>
      <c r="G821" s="69" t="str">
        <f t="shared" si="175"/>
        <v/>
      </c>
      <c r="H821" s="61"/>
      <c r="I821" s="61"/>
      <c r="J821" s="61"/>
      <c r="K821" s="65"/>
      <c r="L821" s="65"/>
      <c r="M821" s="66" t="str">
        <f t="shared" ca="1" si="176"/>
        <v/>
      </c>
      <c r="N821" s="63"/>
      <c r="O821" s="67"/>
    </row>
    <row r="822" spans="1:15" ht="15" customHeight="1">
      <c r="A822" s="59">
        <v>46265</v>
      </c>
      <c r="B822" s="60">
        <f t="shared" si="177"/>
        <v>0.74999999999999956</v>
      </c>
      <c r="C822" s="61"/>
      <c r="D822" s="62"/>
      <c r="E822" s="62"/>
      <c r="F822" s="63"/>
      <c r="G822" s="64" t="str">
        <f t="shared" si="175"/>
        <v/>
      </c>
      <c r="H822" s="70"/>
      <c r="I822" s="70"/>
      <c r="J822" s="70"/>
      <c r="K822" s="65"/>
      <c r="L822" s="65"/>
      <c r="M822" s="71" t="str">
        <f t="shared" ca="1" si="176"/>
        <v/>
      </c>
      <c r="N822" s="63"/>
      <c r="O822" s="67"/>
    </row>
    <row r="823" spans="1:15" ht="15" customHeight="1">
      <c r="A823" s="18">
        <v>46265</v>
      </c>
      <c r="B823" s="68">
        <f t="shared" si="177"/>
        <v>0.79166666666666619</v>
      </c>
      <c r="C823" s="61"/>
      <c r="D823" s="62"/>
      <c r="E823" s="62"/>
      <c r="F823" s="63"/>
      <c r="G823" s="69" t="str">
        <f t="shared" si="175"/>
        <v/>
      </c>
      <c r="H823" s="61"/>
      <c r="I823" s="61"/>
      <c r="J823" s="61"/>
      <c r="K823" s="65"/>
      <c r="L823" s="65"/>
      <c r="M823" s="66" t="str">
        <f t="shared" ca="1" si="176"/>
        <v/>
      </c>
      <c r="N823" s="63"/>
      <c r="O823" s="67"/>
    </row>
    <row r="824" spans="1:15" ht="15.75" customHeight="1">
      <c r="A824" s="165" t="s">
        <v>260</v>
      </c>
      <c r="B824" s="165"/>
      <c r="C824" s="165"/>
      <c r="D824" s="165"/>
      <c r="E824" s="165"/>
      <c r="F824" s="2">
        <f>SUM(F812:F823)</f>
        <v>0</v>
      </c>
      <c r="G824" s="2">
        <f>SUM(G812:G823)</f>
        <v>0</v>
      </c>
      <c r="H824" s="72"/>
      <c r="I824" s="72"/>
      <c r="J824" s="72"/>
      <c r="K824" s="72"/>
      <c r="L824" s="72"/>
      <c r="M824" s="73">
        <f ca="1">IFERROR(SUM(M812:M823),"")</f>
        <v>0</v>
      </c>
      <c r="N824" s="2" t="s">
        <v>261</v>
      </c>
      <c r="O824" s="74"/>
    </row>
    <row r="825" spans="1:15" ht="15" customHeight="1">
      <c r="A825" s="18">
        <v>46265</v>
      </c>
      <c r="B825" s="68">
        <v>0.83333333333333304</v>
      </c>
      <c r="C825" s="70"/>
      <c r="D825" s="75"/>
      <c r="E825" s="75"/>
      <c r="F825" s="63"/>
      <c r="G825" s="69" t="str">
        <f t="shared" ref="G825:G836" si="178">IF(F825="","",IF(E825="PC 17",F825*4.2,IF(E825="PC 19",F825*5,IF(E825="CB",F825*35,""))))</f>
        <v/>
      </c>
      <c r="H825" s="61"/>
      <c r="I825" s="61"/>
      <c r="J825" s="61"/>
      <c r="K825" s="65"/>
      <c r="L825" s="65"/>
      <c r="M825" s="66" t="str">
        <f t="shared" ref="M825:M836" ca="1" si="179">IFERROR(IF(K825="","",IF(L825="",MOD(NOW()-K825,1),IF(L825&gt;=K825,L825-K825,L825+1-K825))),"")</f>
        <v/>
      </c>
      <c r="N825" s="63"/>
      <c r="O825" s="67"/>
    </row>
    <row r="826" spans="1:15" ht="15" customHeight="1">
      <c r="A826" s="59">
        <v>46265</v>
      </c>
      <c r="B826" s="60">
        <f t="shared" ref="B826:B836" si="180">B825+TIME(0,60,0)</f>
        <v>0.87499999999999967</v>
      </c>
      <c r="C826" s="70"/>
      <c r="D826" s="75"/>
      <c r="E826" s="75"/>
      <c r="F826" s="63"/>
      <c r="G826" s="64" t="str">
        <f t="shared" si="178"/>
        <v/>
      </c>
      <c r="H826" s="70"/>
      <c r="I826" s="70"/>
      <c r="J826" s="70"/>
      <c r="K826" s="65"/>
      <c r="L826" s="65"/>
      <c r="M826" s="71" t="str">
        <f t="shared" ca="1" si="179"/>
        <v/>
      </c>
      <c r="N826" s="63"/>
      <c r="O826" s="67"/>
    </row>
    <row r="827" spans="1:15" ht="15" customHeight="1">
      <c r="A827" s="18">
        <v>46265</v>
      </c>
      <c r="B827" s="68">
        <f t="shared" si="180"/>
        <v>0.9166666666666663</v>
      </c>
      <c r="C827" s="70"/>
      <c r="D827" s="75"/>
      <c r="E827" s="75"/>
      <c r="F827" s="63"/>
      <c r="G827" s="69" t="str">
        <f t="shared" si="178"/>
        <v/>
      </c>
      <c r="H827" s="61"/>
      <c r="I827" s="61"/>
      <c r="J827" s="61"/>
      <c r="K827" s="65"/>
      <c r="L827" s="65"/>
      <c r="M827" s="66" t="str">
        <f t="shared" ca="1" si="179"/>
        <v/>
      </c>
      <c r="N827" s="63"/>
      <c r="O827" s="67"/>
    </row>
    <row r="828" spans="1:15" ht="15" customHeight="1">
      <c r="A828" s="59">
        <v>46265</v>
      </c>
      <c r="B828" s="60">
        <f t="shared" si="180"/>
        <v>0.95833333333333293</v>
      </c>
      <c r="C828" s="70"/>
      <c r="D828" s="75"/>
      <c r="E828" s="75"/>
      <c r="F828" s="63"/>
      <c r="G828" s="64" t="str">
        <f t="shared" si="178"/>
        <v/>
      </c>
      <c r="H828" s="70"/>
      <c r="I828" s="70"/>
      <c r="J828" s="70"/>
      <c r="K828" s="65"/>
      <c r="L828" s="65"/>
      <c r="M828" s="71" t="str">
        <f t="shared" ca="1" si="179"/>
        <v/>
      </c>
      <c r="N828" s="63"/>
      <c r="O828" s="67"/>
    </row>
    <row r="829" spans="1:15" ht="15" customHeight="1">
      <c r="A829" s="18">
        <v>46265</v>
      </c>
      <c r="B829" s="68">
        <f t="shared" si="180"/>
        <v>0.99999999999999956</v>
      </c>
      <c r="C829" s="70"/>
      <c r="D829" s="75"/>
      <c r="E829" s="75"/>
      <c r="F829" s="63"/>
      <c r="G829" s="69" t="str">
        <f t="shared" si="178"/>
        <v/>
      </c>
      <c r="H829" s="61"/>
      <c r="I829" s="61"/>
      <c r="J829" s="61"/>
      <c r="K829" s="65"/>
      <c r="L829" s="65"/>
      <c r="M829" s="66" t="str">
        <f t="shared" ca="1" si="179"/>
        <v/>
      </c>
      <c r="N829" s="63"/>
      <c r="O829" s="67"/>
    </row>
    <row r="830" spans="1:15" ht="15" customHeight="1">
      <c r="A830" s="59">
        <v>46265</v>
      </c>
      <c r="B830" s="60">
        <f t="shared" si="180"/>
        <v>1.0416666666666663</v>
      </c>
      <c r="C830" s="70"/>
      <c r="D830" s="75"/>
      <c r="E830" s="75"/>
      <c r="F830" s="63"/>
      <c r="G830" s="64" t="str">
        <f t="shared" si="178"/>
        <v/>
      </c>
      <c r="H830" s="70"/>
      <c r="I830" s="70"/>
      <c r="J830" s="70"/>
      <c r="K830" s="65"/>
      <c r="L830" s="65"/>
      <c r="M830" s="71" t="str">
        <f t="shared" ca="1" si="179"/>
        <v/>
      </c>
      <c r="N830" s="63"/>
      <c r="O830" s="67"/>
    </row>
    <row r="831" spans="1:15" ht="15" customHeight="1">
      <c r="A831" s="18">
        <v>46265</v>
      </c>
      <c r="B831" s="68">
        <f t="shared" si="180"/>
        <v>1.083333333333333</v>
      </c>
      <c r="C831" s="70"/>
      <c r="D831" s="75"/>
      <c r="E831" s="75"/>
      <c r="F831" s="63"/>
      <c r="G831" s="69" t="str">
        <f t="shared" si="178"/>
        <v/>
      </c>
      <c r="H831" s="61"/>
      <c r="I831" s="61"/>
      <c r="J831" s="61"/>
      <c r="K831" s="65"/>
      <c r="L831" s="65"/>
      <c r="M831" s="66" t="str">
        <f t="shared" ca="1" si="179"/>
        <v/>
      </c>
      <c r="N831" s="63"/>
      <c r="O831" s="67"/>
    </row>
    <row r="832" spans="1:15" ht="15" customHeight="1">
      <c r="A832" s="59">
        <v>46265</v>
      </c>
      <c r="B832" s="60">
        <f t="shared" si="180"/>
        <v>1.1249999999999998</v>
      </c>
      <c r="C832" s="70"/>
      <c r="D832" s="75"/>
      <c r="E832" s="75"/>
      <c r="F832" s="63"/>
      <c r="G832" s="64" t="str">
        <f t="shared" si="178"/>
        <v/>
      </c>
      <c r="H832" s="70"/>
      <c r="I832" s="70"/>
      <c r="J832" s="70"/>
      <c r="K832" s="65"/>
      <c r="L832" s="65"/>
      <c r="M832" s="71" t="str">
        <f t="shared" ca="1" si="179"/>
        <v/>
      </c>
      <c r="N832" s="63"/>
      <c r="O832" s="67"/>
    </row>
    <row r="833" spans="1:15" ht="15" customHeight="1">
      <c r="A833" s="18">
        <v>46265</v>
      </c>
      <c r="B833" s="68">
        <f t="shared" si="180"/>
        <v>1.1666666666666665</v>
      </c>
      <c r="C833" s="70"/>
      <c r="D833" s="75"/>
      <c r="E833" s="75"/>
      <c r="F833" s="63"/>
      <c r="G833" s="69" t="str">
        <f t="shared" si="178"/>
        <v/>
      </c>
      <c r="H833" s="61"/>
      <c r="I833" s="61"/>
      <c r="J833" s="61"/>
      <c r="K833" s="65"/>
      <c r="L833" s="65"/>
      <c r="M833" s="66" t="str">
        <f t="shared" ca="1" si="179"/>
        <v/>
      </c>
      <c r="N833" s="63"/>
      <c r="O833" s="67"/>
    </row>
    <row r="834" spans="1:15" ht="15" customHeight="1">
      <c r="A834" s="59">
        <v>46265</v>
      </c>
      <c r="B834" s="60">
        <f t="shared" si="180"/>
        <v>1.2083333333333333</v>
      </c>
      <c r="C834" s="70"/>
      <c r="D834" s="75"/>
      <c r="E834" s="75"/>
      <c r="F834" s="63"/>
      <c r="G834" s="64" t="str">
        <f t="shared" si="178"/>
        <v/>
      </c>
      <c r="H834" s="70"/>
      <c r="I834" s="70"/>
      <c r="J834" s="70"/>
      <c r="K834" s="65"/>
      <c r="L834" s="65"/>
      <c r="M834" s="71" t="str">
        <f t="shared" ca="1" si="179"/>
        <v/>
      </c>
      <c r="N834" s="63"/>
      <c r="O834" s="67"/>
    </row>
    <row r="835" spans="1:15" ht="15" customHeight="1">
      <c r="A835" s="18">
        <v>46265</v>
      </c>
      <c r="B835" s="68">
        <f t="shared" si="180"/>
        <v>1.25</v>
      </c>
      <c r="C835" s="70"/>
      <c r="D835" s="75"/>
      <c r="E835" s="75"/>
      <c r="F835" s="63"/>
      <c r="G835" s="69" t="str">
        <f t="shared" si="178"/>
        <v/>
      </c>
      <c r="H835" s="61"/>
      <c r="I835" s="61"/>
      <c r="J835" s="61"/>
      <c r="K835" s="65"/>
      <c r="L835" s="65"/>
      <c r="M835" s="66" t="str">
        <f t="shared" ca="1" si="179"/>
        <v/>
      </c>
      <c r="N835" s="63"/>
      <c r="O835" s="67"/>
    </row>
    <row r="836" spans="1:15" ht="15" customHeight="1">
      <c r="A836" s="59">
        <v>46265</v>
      </c>
      <c r="B836" s="60">
        <f t="shared" si="180"/>
        <v>1.2916666666666667</v>
      </c>
      <c r="C836" s="70"/>
      <c r="D836" s="75"/>
      <c r="E836" s="75"/>
      <c r="F836" s="63"/>
      <c r="G836" s="64" t="str">
        <f t="shared" si="178"/>
        <v/>
      </c>
      <c r="H836" s="70"/>
      <c r="I836" s="70"/>
      <c r="J836" s="70"/>
      <c r="K836" s="65"/>
      <c r="L836" s="65"/>
      <c r="M836" s="71" t="str">
        <f t="shared" ca="1" si="179"/>
        <v/>
      </c>
      <c r="N836" s="63"/>
      <c r="O836" s="67"/>
    </row>
    <row r="837" spans="1:15" ht="15.75" customHeight="1">
      <c r="A837" s="165" t="s">
        <v>263</v>
      </c>
      <c r="B837" s="165"/>
      <c r="C837" s="165"/>
      <c r="D837" s="165"/>
      <c r="E837" s="165"/>
      <c r="F837" s="2">
        <f>SUM(F825:F836)</f>
        <v>0</v>
      </c>
      <c r="G837" s="2">
        <f>SUM(G825:G836)</f>
        <v>0</v>
      </c>
      <c r="H837" s="72"/>
      <c r="I837" s="72"/>
      <c r="J837" s="72"/>
      <c r="K837" s="72"/>
      <c r="L837" s="72"/>
      <c r="M837" s="73">
        <f ca="1">IFERROR(SUM(M825:M836),"")</f>
        <v>0</v>
      </c>
      <c r="N837" s="2" t="s">
        <v>261</v>
      </c>
      <c r="O837" s="74"/>
    </row>
    <row r="838" spans="1:15" ht="18" customHeight="1">
      <c r="A838" s="166" t="s">
        <v>249</v>
      </c>
      <c r="B838" s="166"/>
      <c r="C838" s="166"/>
      <c r="D838" s="166"/>
      <c r="E838" s="166"/>
      <c r="F838" s="1">
        <f>F824+F837</f>
        <v>0</v>
      </c>
      <c r="G838" s="1">
        <f>G824+G837</f>
        <v>0</v>
      </c>
      <c r="H838" s="76"/>
      <c r="I838" s="76"/>
      <c r="J838" s="76"/>
      <c r="K838" s="76"/>
      <c r="L838" s="76"/>
      <c r="M838" s="77">
        <f ca="1">IFERROR(M824+M837,"")</f>
        <v>0</v>
      </c>
      <c r="N838" s="1" t="s">
        <v>264</v>
      </c>
      <c r="O838" s="30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zoomScale="80" zoomScaleNormal="80" workbookViewId="0">
      <pane ySplit="1" topLeftCell="A520" activePane="bottomLeft" state="frozen"/>
      <selection pane="bottomLeft" activeCell="G546" sqref="G546"/>
    </sheetView>
  </sheetViews>
  <sheetFormatPr defaultColWidth="8.5703125" defaultRowHeight="14.45"/>
  <cols>
    <col min="1" max="1" width="15.5703125" style="85" customWidth="1"/>
    <col min="2" max="2" width="9" style="54" customWidth="1"/>
    <col min="3" max="3" width="14" style="54" customWidth="1"/>
    <col min="4" max="5" width="16.140625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9" width="16.140625" style="54" hidden="1" customWidth="1"/>
    <col min="10" max="10" width="13.85546875" style="54" hidden="1" customWidth="1"/>
    <col min="11" max="11" width="14" style="54" customWidth="1"/>
    <col min="12" max="12" width="31.140625" style="54" customWidth="1"/>
    <col min="13" max="13" width="29.140625" style="54" customWidth="1"/>
    <col min="14" max="14" width="48.5703125" style="54" customWidth="1"/>
    <col min="15" max="15" width="15.42578125" style="54" customWidth="1"/>
    <col min="16" max="16" width="12" style="55" customWidth="1"/>
    <col min="17" max="17" width="15.5703125" style="54" customWidth="1"/>
    <col min="18" max="18" width="48.5703125" style="54" customWidth="1"/>
    <col min="19" max="19" width="29.8554687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296</v>
      </c>
      <c r="I1" s="86" t="s">
        <v>22</v>
      </c>
      <c r="J1" s="86" t="s">
        <v>297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297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170</v>
      </c>
      <c r="N2" s="61" t="s">
        <v>36</v>
      </c>
      <c r="O2" s="65">
        <v>0.33333333333333298</v>
      </c>
      <c r="P2" s="65">
        <v>0.40277777777777801</v>
      </c>
      <c r="Q2" s="71">
        <f t="shared" ref="Q2:Q13" ca="1" si="1">IFERROR(IF(O2="","",IF(P2="",MOD(NOW()-O2,1),IF(P2&gt;=O2,P2-O2,P2+1-O2))),"")</f>
        <v>6.944444444444503E-2</v>
      </c>
      <c r="R2" s="80" t="s">
        <v>298</v>
      </c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11</v>
      </c>
      <c r="H3" s="88"/>
      <c r="I3" s="90"/>
      <c r="J3" s="91"/>
      <c r="K3" s="69">
        <f t="shared" si="0"/>
        <v>46.2</v>
      </c>
      <c r="L3" s="70" t="s">
        <v>29</v>
      </c>
      <c r="M3" s="70"/>
      <c r="N3" s="70" t="s">
        <v>83</v>
      </c>
      <c r="O3" s="65">
        <v>0.45486111111111099</v>
      </c>
      <c r="P3" s="65">
        <v>0.45833333333333298</v>
      </c>
      <c r="Q3" s="66">
        <f t="shared" ca="1" si="1"/>
        <v>3.4722222222219878E-3</v>
      </c>
      <c r="R3" s="80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8</v>
      </c>
      <c r="H4" s="88"/>
      <c r="I4" s="90"/>
      <c r="J4" s="91"/>
      <c r="K4" s="64">
        <f t="shared" si="0"/>
        <v>33.6</v>
      </c>
      <c r="L4" s="61" t="s">
        <v>29</v>
      </c>
      <c r="M4" s="61" t="s">
        <v>40</v>
      </c>
      <c r="N4" s="61" t="s">
        <v>37</v>
      </c>
      <c r="O4" s="65">
        <v>0.49444444444444502</v>
      </c>
      <c r="P4" s="65">
        <v>0.499305555555556</v>
      </c>
      <c r="Q4" s="71">
        <f t="shared" ca="1" si="1"/>
        <v>4.8611111111109828E-3</v>
      </c>
      <c r="R4" s="80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 t="s">
        <v>27</v>
      </c>
      <c r="M5" s="70" t="s">
        <v>48</v>
      </c>
      <c r="N5" s="70" t="s">
        <v>140</v>
      </c>
      <c r="O5" s="65">
        <v>0.56458333333333299</v>
      </c>
      <c r="P5" s="65">
        <v>0.63611111111111096</v>
      </c>
      <c r="Q5" s="66">
        <f t="shared" ca="1" si="1"/>
        <v>7.1527777777777968E-2</v>
      </c>
      <c r="R5" s="80" t="s">
        <v>299</v>
      </c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18</v>
      </c>
      <c r="H6" s="88"/>
      <c r="I6" s="90"/>
      <c r="J6" s="91"/>
      <c r="K6" s="64">
        <f t="shared" si="0"/>
        <v>75.600000000000009</v>
      </c>
      <c r="L6" s="61" t="s">
        <v>25</v>
      </c>
      <c r="M6" s="61"/>
      <c r="N6" s="61" t="s">
        <v>67</v>
      </c>
      <c r="O6" s="65">
        <v>0.64166666666666705</v>
      </c>
      <c r="P6" s="65">
        <v>0.65138888888888902</v>
      </c>
      <c r="Q6" s="71">
        <f t="shared" ca="1" si="1"/>
        <v>9.7222222222219656E-3</v>
      </c>
      <c r="R6" s="80" t="s">
        <v>300</v>
      </c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16</v>
      </c>
      <c r="H7" s="88"/>
      <c r="I7" s="90"/>
      <c r="J7" s="91"/>
      <c r="K7" s="69">
        <f t="shared" si="0"/>
        <v>67.2</v>
      </c>
      <c r="L7" s="70" t="s">
        <v>29</v>
      </c>
      <c r="M7" s="70"/>
      <c r="N7" s="70" t="s">
        <v>141</v>
      </c>
      <c r="O7" s="65">
        <v>0.70833333333333304</v>
      </c>
      <c r="P7" s="65">
        <v>0.72569444444444398</v>
      </c>
      <c r="Q7" s="66">
        <f t="shared" ca="1" si="1"/>
        <v>1.7361111111110938E-2</v>
      </c>
      <c r="R7" s="80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10</v>
      </c>
      <c r="H8" s="88"/>
      <c r="I8" s="90"/>
      <c r="J8" s="91"/>
      <c r="K8" s="64">
        <f t="shared" si="0"/>
        <v>42</v>
      </c>
      <c r="L8" s="61" t="s">
        <v>29</v>
      </c>
      <c r="M8" s="61"/>
      <c r="N8" s="61" t="s">
        <v>141</v>
      </c>
      <c r="O8" s="65">
        <v>0.74722222222222201</v>
      </c>
      <c r="P8" s="65">
        <v>0.77152777777777803</v>
      </c>
      <c r="Q8" s="71">
        <f t="shared" ca="1" si="1"/>
        <v>2.4305555555556024E-2</v>
      </c>
      <c r="R8" s="80"/>
      <c r="S8" s="67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7</v>
      </c>
      <c r="H9" s="88"/>
      <c r="I9" s="90"/>
      <c r="J9" s="91"/>
      <c r="K9" s="64">
        <f t="shared" si="0"/>
        <v>29.400000000000002</v>
      </c>
      <c r="L9" s="70"/>
      <c r="M9" s="70"/>
      <c r="N9" s="70"/>
      <c r="O9" s="65"/>
      <c r="P9" s="65"/>
      <c r="Q9" s="66" t="str">
        <f t="shared" ca="1" si="1"/>
        <v/>
      </c>
      <c r="R9" s="80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71" t="str">
        <f t="shared" ca="1" si="1"/>
        <v/>
      </c>
      <c r="R10" s="80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16</v>
      </c>
      <c r="H11" s="88"/>
      <c r="I11" s="90"/>
      <c r="J11" s="91"/>
      <c r="K11" s="64">
        <f t="shared" si="0"/>
        <v>67.2</v>
      </c>
      <c r="L11" s="70"/>
      <c r="M11" s="70"/>
      <c r="N11" s="70"/>
      <c r="O11" s="65"/>
      <c r="P11" s="65"/>
      <c r="Q11" s="66" t="str">
        <f t="shared" ca="1" si="1"/>
        <v/>
      </c>
      <c r="R11" s="80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9</v>
      </c>
      <c r="H12" s="88"/>
      <c r="I12" s="90"/>
      <c r="J12" s="91"/>
      <c r="K12" s="64">
        <f t="shared" si="0"/>
        <v>37.800000000000004</v>
      </c>
      <c r="L12" s="61"/>
      <c r="M12" s="61"/>
      <c r="N12" s="61"/>
      <c r="O12" s="65"/>
      <c r="P12" s="65"/>
      <c r="Q12" s="71" t="str">
        <f t="shared" ca="1" si="1"/>
        <v/>
      </c>
      <c r="R12" s="80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0</v>
      </c>
      <c r="H13" s="92"/>
      <c r="I13" s="93"/>
      <c r="J13" s="94"/>
      <c r="K13" s="64">
        <f t="shared" si="0"/>
        <v>0</v>
      </c>
      <c r="L13" s="70"/>
      <c r="M13" s="70"/>
      <c r="N13" s="70"/>
      <c r="O13" s="65"/>
      <c r="P13" s="65"/>
      <c r="Q13" s="66" t="str">
        <f t="shared" ca="1" si="1"/>
        <v/>
      </c>
      <c r="R13" s="80"/>
      <c r="S13" s="67"/>
    </row>
    <row r="14" spans="1:20" ht="15.75" customHeight="1">
      <c r="A14" s="156" t="s">
        <v>260</v>
      </c>
      <c r="B14" s="156"/>
      <c r="C14" s="156"/>
      <c r="D14" s="156"/>
      <c r="E14" s="156"/>
      <c r="F14" s="95"/>
      <c r="G14" s="96">
        <f>SUM(G2:G13)</f>
        <v>112</v>
      </c>
      <c r="H14" s="95"/>
      <c r="I14" s="97"/>
      <c r="J14" s="98"/>
      <c r="K14" s="2">
        <f>SUM(K2:K13)</f>
        <v>470.40000000000003</v>
      </c>
      <c r="L14" s="72"/>
      <c r="M14" s="72"/>
      <c r="N14" s="72"/>
      <c r="O14" s="72"/>
      <c r="P14" s="72"/>
      <c r="Q14" s="73">
        <f ca="1">IFERROR(SUM(Q2:Q13),"")</f>
        <v>0.2006944444444449</v>
      </c>
      <c r="R14" s="2" t="s">
        <v>261</v>
      </c>
      <c r="S14" s="74">
        <v>481280</v>
      </c>
      <c r="T14" s="99"/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274</v>
      </c>
      <c r="F15" s="101"/>
      <c r="G15" s="89">
        <v>26</v>
      </c>
      <c r="H15" s="101"/>
      <c r="I15" s="102"/>
      <c r="J15" s="103"/>
      <c r="K15" s="69">
        <f t="shared" ref="K15:K26" si="3">IF(G15="","",IF(E15="PC 17",G15*4.2,IF(E15="PC 19",G15*5,IF(E15="CB",G15*24,""))))</f>
        <v>109.2</v>
      </c>
      <c r="L15" s="70" t="s">
        <v>28</v>
      </c>
      <c r="M15" s="70" t="s">
        <v>40</v>
      </c>
      <c r="N15" s="70" t="s">
        <v>36</v>
      </c>
      <c r="O15" s="65">
        <v>0.84097222222222201</v>
      </c>
      <c r="P15" s="65">
        <v>0.85069444444444398</v>
      </c>
      <c r="Q15" s="71">
        <f t="shared" ref="Q15:Q26" ca="1" si="4">IFERROR(IF(O15="","",IF(P15="",MOD(NOW()-O15,1),IF(P15&gt;=O15,P15-O15,P15+1-O15))),"")</f>
        <v>9.7222222222219656E-3</v>
      </c>
      <c r="R15" s="80"/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100" t="s">
        <v>274</v>
      </c>
      <c r="F16" s="88"/>
      <c r="G16" s="89">
        <v>8</v>
      </c>
      <c r="H16" s="88"/>
      <c r="I16" s="90"/>
      <c r="J16" s="91"/>
      <c r="K16" s="69">
        <f t="shared" si="3"/>
        <v>33.6</v>
      </c>
      <c r="L16" s="61" t="s">
        <v>28</v>
      </c>
      <c r="M16" s="61" t="s">
        <v>48</v>
      </c>
      <c r="N16" s="61" t="s">
        <v>36</v>
      </c>
      <c r="O16" s="65">
        <v>0.85069444444444398</v>
      </c>
      <c r="P16" s="65">
        <v>0.85694444444444395</v>
      </c>
      <c r="Q16" s="71">
        <f t="shared" ca="1" si="4"/>
        <v>6.2499999999999778E-3</v>
      </c>
      <c r="R16" s="80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100" t="s">
        <v>274</v>
      </c>
      <c r="F17" s="88"/>
      <c r="G17" s="89">
        <v>26</v>
      </c>
      <c r="H17" s="88"/>
      <c r="I17" s="90"/>
      <c r="J17" s="91"/>
      <c r="K17" s="69">
        <f t="shared" si="3"/>
        <v>109.2</v>
      </c>
      <c r="L17" s="70" t="s">
        <v>26</v>
      </c>
      <c r="M17" s="70" t="s">
        <v>145</v>
      </c>
      <c r="N17" s="70" t="s">
        <v>58</v>
      </c>
      <c r="O17" s="65">
        <v>2.29166666666667E-2</v>
      </c>
      <c r="P17" s="65">
        <v>2.36111111111111E-2</v>
      </c>
      <c r="Q17" s="71">
        <f t="shared" ca="1" si="4"/>
        <v>6.9444444444440034E-4</v>
      </c>
      <c r="R17" s="80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100" t="s">
        <v>274</v>
      </c>
      <c r="F18" s="88"/>
      <c r="G18" s="89">
        <v>1</v>
      </c>
      <c r="H18" s="88"/>
      <c r="I18" s="90"/>
      <c r="J18" s="91"/>
      <c r="K18" s="69">
        <f t="shared" si="3"/>
        <v>4.2</v>
      </c>
      <c r="L18" s="61" t="s">
        <v>29</v>
      </c>
      <c r="M18" s="61" t="s">
        <v>168</v>
      </c>
      <c r="N18" s="61" t="s">
        <v>83</v>
      </c>
      <c r="O18" s="65">
        <v>2.36111111111111E-2</v>
      </c>
      <c r="P18" s="65">
        <v>2.6388888888888899E-2</v>
      </c>
      <c r="Q18" s="71">
        <f t="shared" ca="1" si="4"/>
        <v>2.7777777777777991E-3</v>
      </c>
      <c r="R18" s="80"/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100" t="s">
        <v>274</v>
      </c>
      <c r="F19" s="88"/>
      <c r="G19" s="89">
        <v>1</v>
      </c>
      <c r="H19" s="88"/>
      <c r="I19" s="90"/>
      <c r="J19" s="91"/>
      <c r="K19" s="69">
        <f t="shared" si="3"/>
        <v>4.2</v>
      </c>
      <c r="L19" s="70" t="s">
        <v>26</v>
      </c>
      <c r="M19" s="70" t="s">
        <v>145</v>
      </c>
      <c r="N19" s="70" t="s">
        <v>58</v>
      </c>
      <c r="O19" s="65">
        <v>3.6111111111111101E-2</v>
      </c>
      <c r="P19" s="65">
        <v>3.8194444444444503E-2</v>
      </c>
      <c r="Q19" s="71">
        <f t="shared" ca="1" si="4"/>
        <v>2.0833333333334023E-3</v>
      </c>
      <c r="R19" s="80" t="s">
        <v>301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100" t="s">
        <v>274</v>
      </c>
      <c r="F20" s="88"/>
      <c r="G20" s="89">
        <v>14</v>
      </c>
      <c r="H20" s="88"/>
      <c r="I20" s="90"/>
      <c r="J20" s="91"/>
      <c r="K20" s="69">
        <f t="shared" si="3"/>
        <v>58.800000000000004</v>
      </c>
      <c r="L20" s="61" t="s">
        <v>29</v>
      </c>
      <c r="M20" s="61" t="s">
        <v>40</v>
      </c>
      <c r="N20" s="61" t="s">
        <v>45</v>
      </c>
      <c r="O20" s="65">
        <v>0.16875000000000001</v>
      </c>
      <c r="P20" s="65">
        <v>0.17361111111111099</v>
      </c>
      <c r="Q20" s="71">
        <f t="shared" ca="1" si="4"/>
        <v>4.8611111111109828E-3</v>
      </c>
      <c r="R20" s="80" t="s">
        <v>302</v>
      </c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100" t="s">
        <v>274</v>
      </c>
      <c r="F21" s="88"/>
      <c r="G21" s="89">
        <v>12</v>
      </c>
      <c r="H21" s="88"/>
      <c r="I21" s="90"/>
      <c r="J21" s="91"/>
      <c r="K21" s="69">
        <f t="shared" si="3"/>
        <v>50.400000000000006</v>
      </c>
      <c r="L21" s="70" t="s">
        <v>28</v>
      </c>
      <c r="M21" s="70" t="s">
        <v>48</v>
      </c>
      <c r="N21" s="70" t="s">
        <v>36</v>
      </c>
      <c r="O21" s="65">
        <v>0.17361111111111099</v>
      </c>
      <c r="P21" s="65">
        <v>0.19097222222222199</v>
      </c>
      <c r="Q21" s="71">
        <f t="shared" ca="1" si="4"/>
        <v>1.7361111111110994E-2</v>
      </c>
      <c r="R21" s="80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100" t="s">
        <v>274</v>
      </c>
      <c r="F22" s="88"/>
      <c r="G22" s="89">
        <v>11</v>
      </c>
      <c r="H22" s="88"/>
      <c r="I22" s="90"/>
      <c r="J22" s="91"/>
      <c r="K22" s="69">
        <f t="shared" si="3"/>
        <v>46.2</v>
      </c>
      <c r="L22" s="61" t="s">
        <v>28</v>
      </c>
      <c r="M22" s="61" t="s">
        <v>40</v>
      </c>
      <c r="N22" s="61" t="s">
        <v>36</v>
      </c>
      <c r="O22" s="65">
        <v>0.19097222222222199</v>
      </c>
      <c r="P22" s="65">
        <v>0.20138888888888901</v>
      </c>
      <c r="Q22" s="71">
        <f t="shared" ca="1" si="4"/>
        <v>1.0416666666667018E-2</v>
      </c>
      <c r="R22" s="80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100" t="s">
        <v>274</v>
      </c>
      <c r="F23" s="88"/>
      <c r="G23" s="104">
        <v>7</v>
      </c>
      <c r="H23" s="88"/>
      <c r="I23" s="90"/>
      <c r="J23" s="91"/>
      <c r="K23" s="69">
        <f t="shared" si="3"/>
        <v>29.400000000000002</v>
      </c>
      <c r="L23" s="70" t="s">
        <v>28</v>
      </c>
      <c r="M23" s="70" t="s">
        <v>40</v>
      </c>
      <c r="N23" s="70" t="s">
        <v>59</v>
      </c>
      <c r="O23" s="65">
        <v>0.20138888888888901</v>
      </c>
      <c r="P23" s="65">
        <v>0.211111111111111</v>
      </c>
      <c r="Q23" s="71">
        <f t="shared" ca="1" si="4"/>
        <v>9.7222222222219934E-3</v>
      </c>
      <c r="R23" s="80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100" t="s">
        <v>274</v>
      </c>
      <c r="F24" s="88"/>
      <c r="G24" s="89">
        <v>0</v>
      </c>
      <c r="H24" s="88"/>
      <c r="I24" s="90"/>
      <c r="J24" s="91"/>
      <c r="K24" s="69">
        <f t="shared" si="3"/>
        <v>0</v>
      </c>
      <c r="L24" s="61"/>
      <c r="M24" s="61"/>
      <c r="N24" s="61"/>
      <c r="O24" s="65"/>
      <c r="P24" s="65"/>
      <c r="Q24" s="71" t="str">
        <f t="shared" ca="1" si="4"/>
        <v/>
      </c>
      <c r="R24" s="80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100" t="s">
        <v>274</v>
      </c>
      <c r="F25" s="88"/>
      <c r="G25" s="89">
        <v>6</v>
      </c>
      <c r="H25" s="88"/>
      <c r="I25" s="90"/>
      <c r="J25" s="91"/>
      <c r="K25" s="69">
        <f t="shared" si="3"/>
        <v>25.200000000000003</v>
      </c>
      <c r="L25" s="70"/>
      <c r="M25" s="70"/>
      <c r="N25" s="70"/>
      <c r="O25" s="65"/>
      <c r="P25" s="65"/>
      <c r="Q25" s="71" t="str">
        <f t="shared" ca="1" si="4"/>
        <v/>
      </c>
      <c r="R25" s="80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100" t="s">
        <v>274</v>
      </c>
      <c r="F26" s="92"/>
      <c r="G26" s="89">
        <v>5</v>
      </c>
      <c r="H26" s="92"/>
      <c r="I26" s="93"/>
      <c r="J26" s="94"/>
      <c r="K26" s="69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80"/>
    </row>
    <row r="27" spans="1:20" ht="15.75" customHeight="1">
      <c r="A27" s="156" t="s">
        <v>263</v>
      </c>
      <c r="B27" s="156"/>
      <c r="C27" s="156"/>
      <c r="D27" s="156"/>
      <c r="E27" s="156"/>
      <c r="F27" s="105"/>
      <c r="G27" s="96">
        <f>SUM(G15:G26)</f>
        <v>117</v>
      </c>
      <c r="H27" s="105"/>
      <c r="I27" s="106"/>
      <c r="J27" s="107"/>
      <c r="K27" s="2">
        <f>SUM(K15:K26)</f>
        <v>491.4</v>
      </c>
      <c r="L27" s="72"/>
      <c r="M27" s="72"/>
      <c r="N27" s="72"/>
      <c r="O27" s="72"/>
      <c r="P27" s="72"/>
      <c r="Q27" s="73">
        <f ca="1">IFERROR(SUM(Q15:Q26),"")</f>
        <v>6.3888888888888537E-2</v>
      </c>
      <c r="R27" s="2" t="s">
        <v>261</v>
      </c>
      <c r="S27" s="74">
        <v>549860</v>
      </c>
      <c r="T27" s="99"/>
    </row>
    <row r="28" spans="1:20" ht="18" customHeight="1">
      <c r="A28" s="157" t="s">
        <v>249</v>
      </c>
      <c r="B28" s="157"/>
      <c r="C28" s="157"/>
      <c r="D28" s="157"/>
      <c r="E28" s="157"/>
      <c r="F28" s="108"/>
      <c r="G28" s="109">
        <f>G14+G27</f>
        <v>229</v>
      </c>
      <c r="H28" s="108"/>
      <c r="I28" s="110"/>
      <c r="J28" s="111">
        <f>IFERROR(J14+J27,"")</f>
        <v>0</v>
      </c>
      <c r="K28" s="1">
        <f>K14+K27</f>
        <v>961.8</v>
      </c>
      <c r="L28" s="76"/>
      <c r="M28" s="76"/>
      <c r="N28" s="76"/>
      <c r="O28" s="76"/>
      <c r="P28" s="76"/>
      <c r="Q28" s="77">
        <f ca="1">IFERROR(Q14+Q27,"")</f>
        <v>0.26458333333333345</v>
      </c>
      <c r="R28" s="1" t="s">
        <v>264</v>
      </c>
      <c r="S28" s="30">
        <f>S14+S27</f>
        <v>1031140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274</v>
      </c>
      <c r="F29" s="101"/>
      <c r="G29" s="89">
        <v>5</v>
      </c>
      <c r="H29" s="101"/>
      <c r="I29" s="102"/>
      <c r="J29" s="103"/>
      <c r="K29" s="64">
        <f>IF(G29="","",IF(E29="PC 17",G29*4.2,IF(E29="PC 19",G29*5,IF(E29="CB",G29*24,""))))</f>
        <v>21</v>
      </c>
      <c r="L29" s="70" t="s">
        <v>29</v>
      </c>
      <c r="M29" s="70" t="s">
        <v>168</v>
      </c>
      <c r="N29" s="70" t="s">
        <v>83</v>
      </c>
      <c r="O29" s="65">
        <v>0.39236111111111099</v>
      </c>
      <c r="P29" s="65">
        <v>0.40625</v>
      </c>
      <c r="Q29" s="66">
        <f ca="1">IFERROR(IF(O29="","",IF(P29="",MOD(NOW()-O29,1),IF(P29&gt;=O29,P29-O29,P29+1-O29))),"")</f>
        <v>1.3888888888889006E-2</v>
      </c>
      <c r="R29" s="80"/>
      <c r="S29" s="67"/>
    </row>
    <row r="30" spans="1:20" ht="15" customHeight="1">
      <c r="A30" s="18">
        <v>46236</v>
      </c>
      <c r="B30" s="68">
        <f t="shared" ref="B30:B40" si="6">B29+TIME(0,60,0)</f>
        <v>0.37499999999999967</v>
      </c>
      <c r="C30" s="61" t="s">
        <v>54</v>
      </c>
      <c r="D30" s="62" t="s">
        <v>31</v>
      </c>
      <c r="E30" s="87" t="s">
        <v>274</v>
      </c>
      <c r="F30" s="88"/>
      <c r="G30" s="89">
        <v>3</v>
      </c>
      <c r="H30" s="88"/>
      <c r="I30" s="90"/>
      <c r="J30" s="91"/>
      <c r="K30" s="69"/>
      <c r="L30" s="61" t="s">
        <v>28</v>
      </c>
      <c r="M30" s="61" t="s">
        <v>48</v>
      </c>
      <c r="N30" s="61" t="s">
        <v>36</v>
      </c>
      <c r="O30" s="65">
        <v>0.63958333333333295</v>
      </c>
      <c r="P30" s="65">
        <v>0.67500000000000004</v>
      </c>
      <c r="Q30" s="112">
        <v>3.54166666666667E-2</v>
      </c>
      <c r="S30" s="67"/>
    </row>
    <row r="31" spans="1:20" ht="15" customHeight="1">
      <c r="A31" s="59">
        <v>46236</v>
      </c>
      <c r="B31" s="60">
        <f t="shared" si="6"/>
        <v>0.41666666666666635</v>
      </c>
      <c r="C31" s="61" t="s">
        <v>54</v>
      </c>
      <c r="D31" s="62" t="s">
        <v>31</v>
      </c>
      <c r="E31" s="87" t="s">
        <v>274</v>
      </c>
      <c r="F31" s="88"/>
      <c r="G31" s="89">
        <v>4</v>
      </c>
      <c r="H31" s="88"/>
      <c r="I31" s="90"/>
      <c r="J31" s="91"/>
      <c r="K31" s="64">
        <f t="shared" ref="K31:K40" si="7">IF(G31="","",IF(E31="PC 17",G31*4.2,IF(E31="PC 19",G31*5,IF(E31="CB",G31*24,""))))</f>
        <v>16.8</v>
      </c>
      <c r="L31" s="70" t="s">
        <v>28</v>
      </c>
      <c r="M31" s="70" t="s">
        <v>48</v>
      </c>
      <c r="N31" s="70" t="s">
        <v>59</v>
      </c>
      <c r="O31" s="65">
        <v>0.63958333333333295</v>
      </c>
      <c r="P31" s="65">
        <v>0.67500000000000004</v>
      </c>
      <c r="Q31" s="71">
        <f ca="1">IFERROR(IF(O31="","",IF(P31="",MOD(NOW()-O31,1),IF(P31&gt;=O31,P31-O31,P31+1-O31))),"")</f>
        <v>3.5416666666667096E-2</v>
      </c>
      <c r="R31" s="80"/>
      <c r="S31" s="67"/>
    </row>
    <row r="32" spans="1:20" ht="15" customHeight="1">
      <c r="A32" s="18">
        <v>46236</v>
      </c>
      <c r="B32" s="68">
        <f t="shared" si="6"/>
        <v>0.45833333333333304</v>
      </c>
      <c r="C32" s="61" t="s">
        <v>54</v>
      </c>
      <c r="D32" s="62" t="s">
        <v>31</v>
      </c>
      <c r="E32" s="87" t="s">
        <v>274</v>
      </c>
      <c r="F32" s="88"/>
      <c r="G32" s="89">
        <v>4</v>
      </c>
      <c r="H32" s="88"/>
      <c r="I32" s="90"/>
      <c r="J32" s="91"/>
      <c r="K32" s="69">
        <f t="shared" si="7"/>
        <v>16.8</v>
      </c>
      <c r="L32" s="61"/>
      <c r="M32" s="61"/>
      <c r="N32" s="61"/>
      <c r="O32" s="65"/>
      <c r="P32" s="65"/>
      <c r="Q32" s="66"/>
      <c r="R32" s="80"/>
      <c r="S32" s="67"/>
    </row>
    <row r="33" spans="1:20" ht="15" customHeight="1">
      <c r="A33" s="59">
        <v>46236</v>
      </c>
      <c r="B33" s="60">
        <f t="shared" si="6"/>
        <v>0.49999999999999972</v>
      </c>
      <c r="C33" s="61" t="s">
        <v>54</v>
      </c>
      <c r="D33" s="62" t="s">
        <v>31</v>
      </c>
      <c r="E33" s="87" t="s">
        <v>274</v>
      </c>
      <c r="F33" s="88"/>
      <c r="G33" s="89">
        <v>5</v>
      </c>
      <c r="H33" s="88"/>
      <c r="I33" s="90"/>
      <c r="J33" s="91"/>
      <c r="K33" s="64">
        <f t="shared" si="7"/>
        <v>21</v>
      </c>
      <c r="L33" s="70"/>
      <c r="O33" s="65"/>
      <c r="P33" s="65"/>
      <c r="Q33" s="71" t="str">
        <f t="shared" ref="Q33:Q40" ca="1" si="8">IFERROR(IF(O33="","",IF(P33="",MOD(NOW()-O33,1),IF(P33&gt;=O33,P33-O33,P33+1-O33))),"")</f>
        <v/>
      </c>
      <c r="R33" s="80"/>
      <c r="S33" s="67"/>
    </row>
    <row r="34" spans="1:20" ht="15" customHeight="1">
      <c r="A34" s="18">
        <v>46236</v>
      </c>
      <c r="B34" s="68">
        <f t="shared" si="6"/>
        <v>0.54166666666666641</v>
      </c>
      <c r="C34" s="61" t="s">
        <v>54</v>
      </c>
      <c r="D34" s="62" t="s">
        <v>31</v>
      </c>
      <c r="E34" s="87" t="s">
        <v>274</v>
      </c>
      <c r="F34" s="88"/>
      <c r="G34" s="89">
        <v>19</v>
      </c>
      <c r="H34" s="88"/>
      <c r="I34" s="90"/>
      <c r="J34" s="91"/>
      <c r="K34" s="69">
        <f t="shared" si="7"/>
        <v>79.8</v>
      </c>
      <c r="L34" s="61"/>
      <c r="M34" s="61"/>
      <c r="N34" s="61"/>
      <c r="O34" s="65"/>
      <c r="P34" s="65"/>
      <c r="Q34" s="66" t="str">
        <f t="shared" ca="1" si="8"/>
        <v/>
      </c>
      <c r="R34" s="80"/>
      <c r="S34" s="67"/>
    </row>
    <row r="35" spans="1:20" ht="15" customHeight="1">
      <c r="A35" s="59">
        <v>46236</v>
      </c>
      <c r="B35" s="60">
        <f t="shared" si="6"/>
        <v>0.58333333333333304</v>
      </c>
      <c r="C35" s="61" t="s">
        <v>54</v>
      </c>
      <c r="D35" s="62" t="s">
        <v>31</v>
      </c>
      <c r="E35" s="87" t="s">
        <v>274</v>
      </c>
      <c r="F35" s="88"/>
      <c r="G35" s="89">
        <v>15</v>
      </c>
      <c r="H35" s="88"/>
      <c r="I35" s="90"/>
      <c r="J35" s="91"/>
      <c r="K35" s="64">
        <f t="shared" si="7"/>
        <v>63</v>
      </c>
      <c r="L35" s="70"/>
      <c r="M35" s="70"/>
      <c r="N35" s="70"/>
      <c r="O35" s="65"/>
      <c r="P35" s="65"/>
      <c r="Q35" s="71" t="str">
        <f t="shared" ca="1" si="8"/>
        <v/>
      </c>
      <c r="R35" s="80"/>
      <c r="S35" s="67"/>
    </row>
    <row r="36" spans="1:20" ht="15" customHeight="1">
      <c r="A36" s="18">
        <v>46236</v>
      </c>
      <c r="B36" s="68">
        <f t="shared" si="6"/>
        <v>0.62499999999999967</v>
      </c>
      <c r="C36" s="61" t="s">
        <v>54</v>
      </c>
      <c r="D36" s="62" t="s">
        <v>31</v>
      </c>
      <c r="E36" s="87" t="s">
        <v>274</v>
      </c>
      <c r="F36" s="88"/>
      <c r="G36" s="89">
        <v>3</v>
      </c>
      <c r="H36" s="88"/>
      <c r="I36" s="90"/>
      <c r="J36" s="91"/>
      <c r="K36" s="69">
        <f t="shared" si="7"/>
        <v>12.600000000000001</v>
      </c>
      <c r="L36" s="61"/>
      <c r="M36" s="61"/>
      <c r="N36" s="61"/>
      <c r="O36" s="65"/>
      <c r="P36" s="65"/>
      <c r="Q36" s="66" t="str">
        <f t="shared" ca="1" si="8"/>
        <v/>
      </c>
      <c r="R36" s="80"/>
      <c r="S36" s="67"/>
    </row>
    <row r="37" spans="1:20" ht="15" customHeight="1">
      <c r="A37" s="59">
        <v>46236</v>
      </c>
      <c r="B37" s="60">
        <f t="shared" si="6"/>
        <v>0.6666666666666663</v>
      </c>
      <c r="C37" s="61" t="s">
        <v>54</v>
      </c>
      <c r="D37" s="62" t="s">
        <v>31</v>
      </c>
      <c r="E37" s="87" t="s">
        <v>274</v>
      </c>
      <c r="F37" s="88"/>
      <c r="G37" s="89">
        <v>3</v>
      </c>
      <c r="H37" s="88"/>
      <c r="I37" s="90"/>
      <c r="J37" s="91"/>
      <c r="K37" s="64">
        <f t="shared" si="7"/>
        <v>12.600000000000001</v>
      </c>
      <c r="L37" s="70"/>
      <c r="M37" s="70"/>
      <c r="N37" s="70"/>
      <c r="O37" s="65"/>
      <c r="P37" s="65"/>
      <c r="Q37" s="71" t="str">
        <f t="shared" ca="1" si="8"/>
        <v/>
      </c>
      <c r="R37" s="80"/>
      <c r="S37" s="67"/>
    </row>
    <row r="38" spans="1:20" ht="15" customHeight="1">
      <c r="A38" s="18">
        <v>46236</v>
      </c>
      <c r="B38" s="68">
        <f t="shared" si="6"/>
        <v>0.70833333333333293</v>
      </c>
      <c r="C38" s="61" t="s">
        <v>54</v>
      </c>
      <c r="D38" s="62" t="s">
        <v>31</v>
      </c>
      <c r="E38" s="87" t="s">
        <v>274</v>
      </c>
      <c r="F38" s="88"/>
      <c r="G38" s="89">
        <v>12</v>
      </c>
      <c r="H38" s="88"/>
      <c r="I38" s="90"/>
      <c r="J38" s="91"/>
      <c r="K38" s="69">
        <f t="shared" si="7"/>
        <v>50.400000000000006</v>
      </c>
      <c r="L38" s="61"/>
      <c r="M38" s="61"/>
      <c r="N38" s="61"/>
      <c r="O38" s="65"/>
      <c r="P38" s="65"/>
      <c r="Q38" s="66" t="str">
        <f t="shared" ca="1" si="8"/>
        <v/>
      </c>
      <c r="R38" s="80"/>
      <c r="S38" s="67"/>
    </row>
    <row r="39" spans="1:20" ht="15" customHeight="1">
      <c r="A39" s="59">
        <v>46236</v>
      </c>
      <c r="B39" s="60">
        <f t="shared" si="6"/>
        <v>0.74999999999999956</v>
      </c>
      <c r="C39" s="61" t="s">
        <v>54</v>
      </c>
      <c r="D39" s="62" t="s">
        <v>31</v>
      </c>
      <c r="E39" s="87" t="s">
        <v>274</v>
      </c>
      <c r="F39" s="88"/>
      <c r="G39" s="89">
        <v>7</v>
      </c>
      <c r="H39" s="88"/>
      <c r="I39" s="90"/>
      <c r="J39" s="91"/>
      <c r="K39" s="64">
        <f t="shared" si="7"/>
        <v>29.400000000000002</v>
      </c>
      <c r="L39" s="70"/>
      <c r="M39" s="70"/>
      <c r="N39" s="70"/>
      <c r="O39" s="65"/>
      <c r="P39" s="65"/>
      <c r="Q39" s="71" t="str">
        <f t="shared" ca="1" si="8"/>
        <v/>
      </c>
      <c r="R39" s="80"/>
      <c r="S39" s="67"/>
    </row>
    <row r="40" spans="1:20" ht="15" customHeight="1">
      <c r="A40" s="18">
        <v>46236</v>
      </c>
      <c r="B40" s="68">
        <f t="shared" si="6"/>
        <v>0.79166666666666619</v>
      </c>
      <c r="C40" s="61" t="s">
        <v>54</v>
      </c>
      <c r="D40" s="62" t="s">
        <v>31</v>
      </c>
      <c r="E40" s="87" t="s">
        <v>274</v>
      </c>
      <c r="F40" s="92"/>
      <c r="G40" s="89"/>
      <c r="H40" s="92"/>
      <c r="I40" s="93"/>
      <c r="J40" s="94"/>
      <c r="K40" s="69" t="str">
        <f t="shared" si="7"/>
        <v/>
      </c>
      <c r="L40" s="61"/>
      <c r="M40" s="61"/>
      <c r="N40" s="61"/>
      <c r="O40" s="65"/>
      <c r="P40" s="65"/>
      <c r="Q40" s="66" t="str">
        <f t="shared" ca="1" si="8"/>
        <v/>
      </c>
      <c r="R40" s="80"/>
      <c r="S40" s="67"/>
    </row>
    <row r="41" spans="1:20" ht="15.75" customHeight="1">
      <c r="A41" s="156" t="s">
        <v>260</v>
      </c>
      <c r="B41" s="156"/>
      <c r="C41" s="156"/>
      <c r="D41" s="156"/>
      <c r="E41" s="156"/>
      <c r="F41" s="95"/>
      <c r="G41" s="96">
        <f>SUM(G29:G40)</f>
        <v>80</v>
      </c>
      <c r="H41" s="95"/>
      <c r="I41" s="97"/>
      <c r="J41" s="98"/>
      <c r="K41" s="2">
        <f>SUM(K29:K40)</f>
        <v>323.39999999999998</v>
      </c>
      <c r="L41" s="72"/>
      <c r="M41" s="72"/>
      <c r="N41" s="72"/>
      <c r="O41" s="72"/>
      <c r="P41" s="72"/>
      <c r="Q41" s="73">
        <f ca="1">IFERROR(SUM(Q29:Q40),"")</f>
        <v>8.4722222222222809E-2</v>
      </c>
      <c r="R41" s="2" t="s">
        <v>261</v>
      </c>
      <c r="S41" s="113">
        <v>311070</v>
      </c>
      <c r="T41" s="114"/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18</v>
      </c>
      <c r="H42" s="101"/>
      <c r="I42" s="102"/>
      <c r="J42" s="103"/>
      <c r="K42" s="69">
        <f t="shared" ref="K42:K53" si="9">IF(G42="","",IF(E42="PC 17",G42*4.2,IF(E42="PC 19",G42*5,IF(E42="CB",G42*24,""))))</f>
        <v>75.600000000000009</v>
      </c>
      <c r="L42" s="61" t="s">
        <v>29</v>
      </c>
      <c r="M42" s="61" t="s">
        <v>48</v>
      </c>
      <c r="N42" s="61" t="s">
        <v>60</v>
      </c>
      <c r="O42" s="65">
        <v>0.84097222222222201</v>
      </c>
      <c r="P42" s="65">
        <v>0.84722222222222199</v>
      </c>
      <c r="Q42" s="66">
        <f t="shared" ref="Q42:Q53" ca="1" si="10">IFERROR(IF(O42="","",IF(P42="",MOD(NOW()-O42,1),IF(P42&gt;=O42,P42-O42,P42+1-O42))),"")</f>
        <v>6.2499999999999778E-3</v>
      </c>
      <c r="R42" s="80"/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6</v>
      </c>
      <c r="H43" s="88"/>
      <c r="I43" s="90"/>
      <c r="J43" s="91"/>
      <c r="K43" s="64">
        <f t="shared" si="9"/>
        <v>25.200000000000003</v>
      </c>
      <c r="L43" s="70" t="s">
        <v>29</v>
      </c>
      <c r="M43" s="70" t="s">
        <v>48</v>
      </c>
      <c r="N43" s="70" t="s">
        <v>60</v>
      </c>
      <c r="O43" s="65">
        <v>0.84861111111111098</v>
      </c>
      <c r="P43" s="65">
        <v>0.85069444444444398</v>
      </c>
      <c r="Q43" s="66">
        <f t="shared" ca="1" si="10"/>
        <v>2.0833333333329929E-3</v>
      </c>
      <c r="R43" s="80"/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3</v>
      </c>
      <c r="H44" s="88"/>
      <c r="I44" s="90"/>
      <c r="J44" s="91"/>
      <c r="K44" s="69">
        <f t="shared" si="9"/>
        <v>12.600000000000001</v>
      </c>
      <c r="L44" s="61" t="s">
        <v>29</v>
      </c>
      <c r="M44" s="61" t="s">
        <v>40</v>
      </c>
      <c r="N44" s="61" t="s">
        <v>60</v>
      </c>
      <c r="O44" s="65">
        <v>0.85763888888888895</v>
      </c>
      <c r="P44" s="65">
        <v>0.86875000000000002</v>
      </c>
      <c r="Q44" s="66">
        <f t="shared" ca="1" si="10"/>
        <v>1.1111111111111072E-2</v>
      </c>
      <c r="R44" s="80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170</v>
      </c>
      <c r="N45" s="70" t="s">
        <v>60</v>
      </c>
      <c r="O45" s="65">
        <v>0.87152777777777801</v>
      </c>
      <c r="P45" s="65">
        <v>0.87847222222222199</v>
      </c>
      <c r="Q45" s="66">
        <f t="shared" ca="1" si="10"/>
        <v>6.9444444444439757E-3</v>
      </c>
      <c r="R45" s="80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20</v>
      </c>
      <c r="H46" s="88"/>
      <c r="I46" s="90"/>
      <c r="J46" s="91"/>
      <c r="K46" s="69">
        <f t="shared" si="9"/>
        <v>84</v>
      </c>
      <c r="L46" s="61" t="s">
        <v>29</v>
      </c>
      <c r="M46" s="61" t="s">
        <v>48</v>
      </c>
      <c r="N46" s="61" t="s">
        <v>60</v>
      </c>
      <c r="O46" s="65">
        <v>0.88958333333333295</v>
      </c>
      <c r="P46" s="65">
        <v>0.89375000000000004</v>
      </c>
      <c r="Q46" s="66">
        <f t="shared" ca="1" si="10"/>
        <v>4.166666666667096E-3</v>
      </c>
      <c r="R46" s="80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0</v>
      </c>
      <c r="H47" s="88"/>
      <c r="I47" s="90"/>
      <c r="J47" s="91"/>
      <c r="K47" s="64">
        <f t="shared" si="9"/>
        <v>0</v>
      </c>
      <c r="L47" s="70" t="s">
        <v>29</v>
      </c>
      <c r="M47" s="70" t="s">
        <v>170</v>
      </c>
      <c r="N47" s="70" t="s">
        <v>60</v>
      </c>
      <c r="O47" s="65">
        <v>0.90763888888888899</v>
      </c>
      <c r="P47" s="65">
        <v>0.91944444444444395</v>
      </c>
      <c r="Q47" s="66">
        <f t="shared" ca="1" si="10"/>
        <v>1.1805555555554959E-2</v>
      </c>
      <c r="R47" s="80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2</v>
      </c>
      <c r="H48" s="88"/>
      <c r="I48" s="90"/>
      <c r="J48" s="91"/>
      <c r="K48" s="69">
        <f t="shared" si="9"/>
        <v>8.4</v>
      </c>
      <c r="L48" s="61" t="s">
        <v>29</v>
      </c>
      <c r="M48" s="61" t="s">
        <v>48</v>
      </c>
      <c r="N48" s="61" t="s">
        <v>60</v>
      </c>
      <c r="O48" s="65">
        <v>0.96666666666666701</v>
      </c>
      <c r="P48" s="65">
        <v>0.98263888888888895</v>
      </c>
      <c r="Q48" s="66">
        <f t="shared" ca="1" si="10"/>
        <v>1.5972222222221943E-2</v>
      </c>
      <c r="R48" s="80" t="s">
        <v>303</v>
      </c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8</v>
      </c>
      <c r="H49" s="88"/>
      <c r="I49" s="90"/>
      <c r="J49" s="91"/>
      <c r="K49" s="64">
        <f t="shared" si="9"/>
        <v>33.6</v>
      </c>
      <c r="L49" s="70" t="s">
        <v>28</v>
      </c>
      <c r="M49" s="70" t="s">
        <v>48</v>
      </c>
      <c r="N49" s="70" t="s">
        <v>36</v>
      </c>
      <c r="O49" s="65">
        <v>1.0416666666666701E-2</v>
      </c>
      <c r="P49" s="65">
        <v>2.7777777777777801E-2</v>
      </c>
      <c r="Q49" s="66">
        <f t="shared" ca="1" si="10"/>
        <v>1.7361111111111098E-2</v>
      </c>
      <c r="R49" s="80" t="s">
        <v>304</v>
      </c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10</v>
      </c>
      <c r="H50" s="88"/>
      <c r="I50" s="90"/>
      <c r="J50" s="91"/>
      <c r="K50" s="69">
        <f t="shared" si="9"/>
        <v>42</v>
      </c>
      <c r="L50" s="61" t="s">
        <v>28</v>
      </c>
      <c r="M50" s="61" t="s">
        <v>48</v>
      </c>
      <c r="N50" s="61" t="s">
        <v>44</v>
      </c>
      <c r="O50" s="65">
        <v>3.54166666666667E-2</v>
      </c>
      <c r="P50" s="65">
        <v>5.9722222222222197E-2</v>
      </c>
      <c r="Q50" s="66">
        <f t="shared" ca="1" si="10"/>
        <v>2.4305555555555497E-2</v>
      </c>
      <c r="R50" s="80"/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48</v>
      </c>
      <c r="N51" s="70" t="s">
        <v>60</v>
      </c>
      <c r="O51" s="65">
        <v>6.18055555555556E-2</v>
      </c>
      <c r="P51" s="65">
        <v>7.6388888888888895E-2</v>
      </c>
      <c r="Q51" s="66">
        <f t="shared" ca="1" si="10"/>
        <v>1.4583333333333295E-2</v>
      </c>
      <c r="R51" s="80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14</v>
      </c>
      <c r="H52" s="88"/>
      <c r="I52" s="90"/>
      <c r="J52" s="91"/>
      <c r="K52" s="69">
        <f t="shared" si="9"/>
        <v>58.800000000000004</v>
      </c>
      <c r="L52" s="61" t="s">
        <v>27</v>
      </c>
      <c r="M52" s="61" t="s">
        <v>48</v>
      </c>
      <c r="N52" s="61" t="s">
        <v>140</v>
      </c>
      <c r="O52" s="65">
        <v>9.7222222222222196E-2</v>
      </c>
      <c r="P52" s="65">
        <v>0.121527777777778</v>
      </c>
      <c r="Q52" s="66">
        <f t="shared" ca="1" si="10"/>
        <v>2.4305555555555802E-2</v>
      </c>
      <c r="R52" s="80" t="s">
        <v>305</v>
      </c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>
        <v>0</v>
      </c>
      <c r="H53" s="92"/>
      <c r="I53" s="93"/>
      <c r="J53" s="94"/>
      <c r="K53" s="64">
        <f t="shared" si="9"/>
        <v>0</v>
      </c>
      <c r="L53" s="70" t="s">
        <v>27</v>
      </c>
      <c r="M53" s="70"/>
      <c r="N53" s="70" t="s">
        <v>140</v>
      </c>
      <c r="O53" s="65">
        <v>0.121527777777778</v>
      </c>
      <c r="P53" s="65"/>
      <c r="Q53" s="66">
        <f t="shared" ca="1" si="10"/>
        <v>0.36256898147985339</v>
      </c>
      <c r="R53" s="80" t="s">
        <v>306</v>
      </c>
      <c r="S53" s="67"/>
    </row>
    <row r="54" spans="1:20" ht="15.75" customHeight="1">
      <c r="A54" s="156" t="s">
        <v>263</v>
      </c>
      <c r="B54" s="156"/>
      <c r="C54" s="156"/>
      <c r="D54" s="156"/>
      <c r="E54" s="156"/>
      <c r="F54" s="105"/>
      <c r="G54" s="96">
        <f>SUM(G42:G53)</f>
        <v>84</v>
      </c>
      <c r="H54" s="105"/>
      <c r="I54" s="106"/>
      <c r="J54" s="107"/>
      <c r="K54" s="2">
        <f>SUM(K42:K53)</f>
        <v>352.8</v>
      </c>
      <c r="L54" s="72"/>
      <c r="M54" s="72"/>
      <c r="N54" s="72"/>
      <c r="O54" s="72"/>
      <c r="P54" s="72"/>
      <c r="Q54" s="73">
        <f ca="1">IFERROR(SUM(Q42:Q53),"")</f>
        <v>0.50145787036874112</v>
      </c>
      <c r="R54" s="2" t="s">
        <v>261</v>
      </c>
      <c r="S54" s="113">
        <v>352430</v>
      </c>
      <c r="T54" s="114"/>
    </row>
    <row r="55" spans="1:20" ht="18" customHeight="1">
      <c r="A55" s="157" t="s">
        <v>249</v>
      </c>
      <c r="B55" s="157"/>
      <c r="C55" s="157"/>
      <c r="D55" s="157"/>
      <c r="E55" s="157"/>
      <c r="F55" s="108"/>
      <c r="G55" s="109">
        <f>G41+G54</f>
        <v>164</v>
      </c>
      <c r="H55" s="108"/>
      <c r="I55" s="110"/>
      <c r="J55" s="111">
        <f>IFERROR(J41+J54,"")</f>
        <v>0</v>
      </c>
      <c r="K55" s="1">
        <f>K41+K54</f>
        <v>676.2</v>
      </c>
      <c r="L55" s="76"/>
      <c r="M55" s="76"/>
      <c r="N55" s="76"/>
      <c r="O55" s="76"/>
      <c r="P55" s="76"/>
      <c r="Q55" s="77">
        <f ca="1">IFERROR(Q41+Q54,"")</f>
        <v>0.58618009259096393</v>
      </c>
      <c r="R55" s="1" t="s">
        <v>264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12</v>
      </c>
      <c r="H56" s="101"/>
      <c r="I56" s="102"/>
      <c r="J56" s="103"/>
      <c r="K56" s="64">
        <f t="shared" ref="K56:K67" si="12">IF(G56="","",IF(E56="PC 17",G56*4.2,IF(E56="PC 19",G56*5,IF(E56="CB",G56*24,""))))</f>
        <v>50.400000000000006</v>
      </c>
      <c r="L56" s="61" t="s">
        <v>28</v>
      </c>
      <c r="M56" s="61" t="s">
        <v>40</v>
      </c>
      <c r="N56" s="61" t="s">
        <v>36</v>
      </c>
      <c r="O56" s="65">
        <v>0.30416666666666697</v>
      </c>
      <c r="P56" s="65">
        <v>0.31736111111111098</v>
      </c>
      <c r="Q56" s="71">
        <f ca="1">IFERROR(IF(O56="","",IF(P56="",MOD(NOW()-O56,1),IF(P56&gt;=O56,P56-O56,P56+1-O56))),"")</f>
        <v>1.3194444444444009E-2</v>
      </c>
      <c r="R56" s="80"/>
      <c r="S56" s="67"/>
    </row>
    <row r="57" spans="1:20" ht="15" customHeight="1">
      <c r="A57" s="18">
        <v>46237</v>
      </c>
      <c r="B57" s="68">
        <f t="shared" ref="B57:B67" si="13">B56+TIME(0,60,0)</f>
        <v>0.37499999999999967</v>
      </c>
      <c r="C57" s="61" t="s">
        <v>54</v>
      </c>
      <c r="D57" s="62" t="s">
        <v>47</v>
      </c>
      <c r="E57" s="87" t="s">
        <v>274</v>
      </c>
      <c r="F57" s="88"/>
      <c r="G57" s="89">
        <v>17</v>
      </c>
      <c r="H57" s="88"/>
      <c r="I57" s="90"/>
      <c r="J57" s="91"/>
      <c r="K57" s="69">
        <f t="shared" si="12"/>
        <v>71.400000000000006</v>
      </c>
      <c r="L57" s="70" t="s">
        <v>29</v>
      </c>
      <c r="M57" s="70" t="s">
        <v>133</v>
      </c>
      <c r="N57" s="61" t="s">
        <v>123</v>
      </c>
      <c r="O57" s="65">
        <v>0.38541666666666702</v>
      </c>
      <c r="P57" s="65">
        <v>0.390277777777778</v>
      </c>
      <c r="Q57" s="66">
        <v>1.7361111111111101E-2</v>
      </c>
      <c r="R57" s="80"/>
      <c r="S57" s="67"/>
    </row>
    <row r="58" spans="1:20" ht="15" customHeight="1">
      <c r="A58" s="59">
        <v>46237</v>
      </c>
      <c r="B58" s="60">
        <f t="shared" si="13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10</v>
      </c>
      <c r="H58" s="88"/>
      <c r="I58" s="90"/>
      <c r="J58" s="91"/>
      <c r="K58" s="64">
        <f t="shared" si="12"/>
        <v>42</v>
      </c>
      <c r="L58" s="61" t="s">
        <v>29</v>
      </c>
      <c r="M58" s="70" t="s">
        <v>133</v>
      </c>
      <c r="N58" s="61" t="s">
        <v>123</v>
      </c>
      <c r="O58" s="65">
        <v>0.40277777777777801</v>
      </c>
      <c r="P58" s="65">
        <v>0.41041666666666698</v>
      </c>
      <c r="Q58" s="71"/>
      <c r="R58" s="80"/>
      <c r="S58" s="67"/>
    </row>
    <row r="59" spans="1:20" ht="15" customHeight="1">
      <c r="A59" s="18">
        <v>46237</v>
      </c>
      <c r="B59" s="68">
        <f t="shared" si="13"/>
        <v>0.45833333333333304</v>
      </c>
      <c r="C59" s="61" t="s">
        <v>54</v>
      </c>
      <c r="D59" s="62" t="s">
        <v>47</v>
      </c>
      <c r="E59" s="87" t="s">
        <v>274</v>
      </c>
      <c r="F59" s="88"/>
      <c r="G59" s="89">
        <v>10</v>
      </c>
      <c r="H59" s="88"/>
      <c r="I59" s="90"/>
      <c r="J59" s="91"/>
      <c r="K59" s="69">
        <f t="shared" si="12"/>
        <v>42</v>
      </c>
      <c r="L59" s="70" t="s">
        <v>29</v>
      </c>
      <c r="M59" s="70" t="s">
        <v>133</v>
      </c>
      <c r="N59" s="70" t="s">
        <v>123</v>
      </c>
      <c r="O59" s="65">
        <v>0.422222222222222</v>
      </c>
      <c r="P59" s="65">
        <v>0.42847222222222198</v>
      </c>
      <c r="Q59" s="66">
        <f t="shared" ref="Q59:Q67" ca="1" si="14">IFERROR(IF(O59="","",IF(P59="",MOD(NOW()-O59,1),IF(P59&gt;=O59,P59-O59,P59+1-O59))),"")</f>
        <v>6.2499999999999778E-3</v>
      </c>
      <c r="R59" s="80"/>
      <c r="S59" s="67"/>
    </row>
    <row r="60" spans="1:20" ht="15" customHeight="1">
      <c r="A60" s="59">
        <v>46237</v>
      </c>
      <c r="B60" s="60">
        <f t="shared" si="13"/>
        <v>0.49999999999999972</v>
      </c>
      <c r="C60" s="61" t="s">
        <v>54</v>
      </c>
      <c r="D60" s="62" t="s">
        <v>47</v>
      </c>
      <c r="E60" s="87" t="s">
        <v>274</v>
      </c>
      <c r="F60" s="88"/>
      <c r="G60" s="89">
        <v>6</v>
      </c>
      <c r="H60" s="88"/>
      <c r="I60" s="90"/>
      <c r="J60" s="91"/>
      <c r="K60" s="64">
        <f t="shared" si="12"/>
        <v>25.200000000000003</v>
      </c>
      <c r="L60" s="61" t="s">
        <v>29</v>
      </c>
      <c r="M60" s="61" t="s">
        <v>133</v>
      </c>
      <c r="N60" s="61" t="s">
        <v>123</v>
      </c>
      <c r="O60" s="65">
        <v>0.46666666666666701</v>
      </c>
      <c r="P60" s="65">
        <v>0.484722222222222</v>
      </c>
      <c r="Q60" s="71">
        <f t="shared" ca="1" si="14"/>
        <v>1.8055555555554992E-2</v>
      </c>
      <c r="R60" s="80"/>
      <c r="S60" s="67"/>
    </row>
    <row r="61" spans="1:20" ht="15" customHeight="1">
      <c r="A61" s="18">
        <v>46237</v>
      </c>
      <c r="B61" s="68">
        <f t="shared" si="13"/>
        <v>0.54166666666666641</v>
      </c>
      <c r="C61" s="61" t="s">
        <v>54</v>
      </c>
      <c r="D61" s="62" t="s">
        <v>47</v>
      </c>
      <c r="E61" s="87" t="s">
        <v>274</v>
      </c>
      <c r="F61" s="88"/>
      <c r="G61" s="89">
        <v>14</v>
      </c>
      <c r="H61" s="88"/>
      <c r="I61" s="90"/>
      <c r="J61" s="91"/>
      <c r="K61" s="69">
        <f t="shared" si="12"/>
        <v>58.800000000000004</v>
      </c>
      <c r="L61" s="70" t="s">
        <v>29</v>
      </c>
      <c r="M61" s="70" t="s">
        <v>133</v>
      </c>
      <c r="N61" s="70" t="s">
        <v>123</v>
      </c>
      <c r="O61" s="65">
        <v>0.5</v>
      </c>
      <c r="P61" s="65">
        <v>0.50694444444444398</v>
      </c>
      <c r="Q61" s="66">
        <f t="shared" ca="1" si="14"/>
        <v>6.9444444444439757E-3</v>
      </c>
      <c r="R61" s="80"/>
      <c r="S61" s="67"/>
    </row>
    <row r="62" spans="1:20" ht="15" customHeight="1">
      <c r="A62" s="59">
        <v>46237</v>
      </c>
      <c r="B62" s="60">
        <f t="shared" si="13"/>
        <v>0.58333333333333304</v>
      </c>
      <c r="C62" s="61" t="s">
        <v>54</v>
      </c>
      <c r="D62" s="62" t="s">
        <v>47</v>
      </c>
      <c r="E62" s="87" t="s">
        <v>274</v>
      </c>
      <c r="F62" s="88"/>
      <c r="G62" s="89">
        <v>19</v>
      </c>
      <c r="H62" s="88"/>
      <c r="I62" s="90"/>
      <c r="J62" s="91"/>
      <c r="K62" s="64">
        <f t="shared" si="12"/>
        <v>79.8</v>
      </c>
      <c r="L62" s="61" t="s">
        <v>29</v>
      </c>
      <c r="M62" s="61" t="s">
        <v>133</v>
      </c>
      <c r="N62" s="61" t="s">
        <v>123</v>
      </c>
      <c r="O62" s="65">
        <v>0.51249999999999996</v>
      </c>
      <c r="P62" s="65">
        <v>0.52777777777777801</v>
      </c>
      <c r="Q62" s="71">
        <f t="shared" ca="1" si="14"/>
        <v>1.5277777777778057E-2</v>
      </c>
      <c r="R62" s="80"/>
      <c r="S62" s="67"/>
    </row>
    <row r="63" spans="1:20" ht="15" customHeight="1">
      <c r="A63" s="18">
        <v>46237</v>
      </c>
      <c r="B63" s="68">
        <f t="shared" si="13"/>
        <v>0.62499999999999967</v>
      </c>
      <c r="C63" s="61" t="s">
        <v>54</v>
      </c>
      <c r="D63" s="62" t="s">
        <v>47</v>
      </c>
      <c r="E63" s="87" t="s">
        <v>274</v>
      </c>
      <c r="F63" s="88"/>
      <c r="G63" s="89">
        <v>12</v>
      </c>
      <c r="H63" s="88"/>
      <c r="I63" s="90"/>
      <c r="J63" s="91"/>
      <c r="K63" s="69">
        <f t="shared" si="12"/>
        <v>50.400000000000006</v>
      </c>
      <c r="L63" s="70" t="s">
        <v>28</v>
      </c>
      <c r="M63" s="70" t="s">
        <v>48</v>
      </c>
      <c r="N63" s="70" t="s">
        <v>36</v>
      </c>
      <c r="O63" s="65">
        <v>0.68541666666666701</v>
      </c>
      <c r="P63" s="65">
        <v>0.72430555555555598</v>
      </c>
      <c r="Q63" s="66">
        <f t="shared" ca="1" si="14"/>
        <v>3.8888888888888973E-2</v>
      </c>
      <c r="R63" s="80" t="s">
        <v>298</v>
      </c>
      <c r="S63" s="67"/>
    </row>
    <row r="64" spans="1:20" ht="15" customHeight="1">
      <c r="A64" s="59">
        <v>46237</v>
      </c>
      <c r="B64" s="60">
        <f t="shared" si="13"/>
        <v>0.6666666666666663</v>
      </c>
      <c r="C64" s="61" t="s">
        <v>54</v>
      </c>
      <c r="D64" s="62" t="s">
        <v>47</v>
      </c>
      <c r="E64" s="87" t="s">
        <v>274</v>
      </c>
      <c r="F64" s="88"/>
      <c r="G64" s="89">
        <v>14</v>
      </c>
      <c r="H64" s="88"/>
      <c r="I64" s="90"/>
      <c r="J64" s="91"/>
      <c r="K64" s="64">
        <f t="shared" si="12"/>
        <v>58.800000000000004</v>
      </c>
      <c r="L64" s="61"/>
      <c r="M64" s="61"/>
      <c r="N64" s="61"/>
      <c r="O64" s="65"/>
      <c r="P64" s="65"/>
      <c r="Q64" s="71" t="str">
        <f t="shared" ca="1" si="14"/>
        <v/>
      </c>
      <c r="R64" s="80"/>
      <c r="S64" s="67"/>
    </row>
    <row r="65" spans="1:20" ht="15" customHeight="1">
      <c r="A65" s="18">
        <v>46237</v>
      </c>
      <c r="B65" s="68">
        <f t="shared" si="13"/>
        <v>0.70833333333333293</v>
      </c>
      <c r="C65" s="61" t="s">
        <v>54</v>
      </c>
      <c r="D65" s="62" t="s">
        <v>47</v>
      </c>
      <c r="E65" s="87" t="s">
        <v>274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66" t="str">
        <f t="shared" ca="1" si="14"/>
        <v/>
      </c>
      <c r="R65" s="80"/>
      <c r="S65" s="67"/>
    </row>
    <row r="66" spans="1:20" ht="15" customHeight="1">
      <c r="A66" s="59">
        <v>46237</v>
      </c>
      <c r="B66" s="60">
        <f t="shared" si="13"/>
        <v>0.74999999999999956</v>
      </c>
      <c r="C66" s="61" t="s">
        <v>54</v>
      </c>
      <c r="D66" s="62" t="s">
        <v>47</v>
      </c>
      <c r="E66" s="87" t="s">
        <v>274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71" t="str">
        <f t="shared" ca="1" si="14"/>
        <v/>
      </c>
      <c r="R66" s="80"/>
      <c r="S66" s="67"/>
    </row>
    <row r="67" spans="1:20" ht="15" customHeight="1">
      <c r="A67" s="18">
        <v>46237</v>
      </c>
      <c r="B67" s="68">
        <f t="shared" si="13"/>
        <v>0.79166666666666619</v>
      </c>
      <c r="C67" s="61" t="s">
        <v>54</v>
      </c>
      <c r="D67" s="62" t="s">
        <v>47</v>
      </c>
      <c r="E67" s="87" t="s">
        <v>274</v>
      </c>
      <c r="F67" s="92"/>
      <c r="G67" s="89">
        <v>11</v>
      </c>
      <c r="H67" s="92"/>
      <c r="I67" s="93"/>
      <c r="J67" s="94"/>
      <c r="K67" s="69">
        <f t="shared" si="12"/>
        <v>46.2</v>
      </c>
      <c r="L67" s="70"/>
      <c r="M67" s="70"/>
      <c r="N67" s="70"/>
      <c r="O67" s="65"/>
      <c r="P67" s="65"/>
      <c r="Q67" s="66" t="str">
        <f t="shared" ca="1" si="14"/>
        <v/>
      </c>
      <c r="R67" s="80"/>
      <c r="S67" s="67"/>
    </row>
    <row r="68" spans="1:20" ht="15.75" customHeight="1">
      <c r="A68" s="156" t="s">
        <v>260</v>
      </c>
      <c r="B68" s="156"/>
      <c r="C68" s="156"/>
      <c r="D68" s="156"/>
      <c r="E68" s="156"/>
      <c r="F68" s="95"/>
      <c r="G68" s="96">
        <f>SUM(G56:G67)</f>
        <v>136</v>
      </c>
      <c r="H68" s="95"/>
      <c r="I68" s="97"/>
      <c r="J68" s="98"/>
      <c r="K68" s="2">
        <f>SUM(K56:K67)</f>
        <v>571.20000000000005</v>
      </c>
      <c r="L68" s="72"/>
      <c r="M68" s="72"/>
      <c r="N68" s="72"/>
      <c r="O68" s="72"/>
      <c r="P68" s="72"/>
      <c r="Q68" s="73">
        <f ca="1">IFERROR(SUM(Q56:Q67),"")</f>
        <v>0.11597222222222109</v>
      </c>
      <c r="R68" s="2" t="s">
        <v>261</v>
      </c>
      <c r="S68" s="115">
        <v>565230</v>
      </c>
      <c r="T68" s="116"/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21</v>
      </c>
      <c r="H69" s="101"/>
      <c r="I69" s="102"/>
      <c r="J69" s="103"/>
      <c r="K69" s="69">
        <f t="shared" ref="K69:K80" si="15">IF(G69="","",IF(E69="PC 17",G69*4.2,IF(E69="PC 19",G69*5,IF(E69="CB",G69*24,""))))</f>
        <v>88.2</v>
      </c>
      <c r="L69" s="70" t="s">
        <v>29</v>
      </c>
      <c r="M69" s="70" t="s">
        <v>159</v>
      </c>
      <c r="N69" s="61" t="s">
        <v>197</v>
      </c>
      <c r="O69" s="70"/>
      <c r="P69" s="65">
        <v>0.82638888888888895</v>
      </c>
      <c r="Q69" s="66" t="str">
        <f ca="1">IFERROR(IF(#REF!="","",IF(P69="",MOD(NOW()-#REF!,1),IF(P69&gt;=#REF!,P69-#REF!,P69+1-#REF!))),"")</f>
        <v/>
      </c>
      <c r="R69" s="80"/>
      <c r="S69" s="67"/>
    </row>
    <row r="70" spans="1:20" ht="15" customHeight="1">
      <c r="A70" s="59">
        <v>46237</v>
      </c>
      <c r="B70" s="60">
        <f t="shared" ref="B70:B80" si="16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14</v>
      </c>
      <c r="H70" s="88"/>
      <c r="I70" s="90"/>
      <c r="J70" s="91"/>
      <c r="K70" s="64">
        <f t="shared" si="15"/>
        <v>58.800000000000004</v>
      </c>
      <c r="L70" s="61" t="s">
        <v>26</v>
      </c>
      <c r="M70" s="61" t="s">
        <v>145</v>
      </c>
      <c r="N70" s="61" t="s">
        <v>58</v>
      </c>
      <c r="O70" s="65">
        <v>0.85833333333333295</v>
      </c>
      <c r="P70" s="65">
        <v>0.85972222222222205</v>
      </c>
      <c r="Q70" s="71">
        <f t="shared" ref="Q70:Q80" ca="1" si="17">IFERROR(IF(O70="","",IF(P70="",MOD(NOW()-O70,1),IF(P70&gt;=O70,P70-O70,P70+1-O70))),"")</f>
        <v>1.388888888889106E-3</v>
      </c>
      <c r="R70" s="80"/>
      <c r="S70" s="67"/>
    </row>
    <row r="71" spans="1:20" ht="15" customHeight="1">
      <c r="A71" s="18">
        <v>46237</v>
      </c>
      <c r="B71" s="68">
        <f t="shared" si="16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1</v>
      </c>
      <c r="H71" s="88"/>
      <c r="I71" s="90"/>
      <c r="J71" s="91"/>
      <c r="K71" s="69">
        <f t="shared" si="15"/>
        <v>4.2</v>
      </c>
      <c r="L71" s="70" t="s">
        <v>29</v>
      </c>
      <c r="M71" s="70" t="s">
        <v>168</v>
      </c>
      <c r="N71" s="70" t="s">
        <v>83</v>
      </c>
      <c r="O71" s="65">
        <v>0.85277777777777797</v>
      </c>
      <c r="P71" s="65">
        <v>0.86597222222222203</v>
      </c>
      <c r="Q71" s="66">
        <f t="shared" ca="1" si="17"/>
        <v>1.3194444444444065E-2</v>
      </c>
      <c r="R71" s="80"/>
      <c r="S71" s="67"/>
    </row>
    <row r="72" spans="1:20" ht="15" customHeight="1">
      <c r="A72" s="59">
        <v>46237</v>
      </c>
      <c r="B72" s="60">
        <f t="shared" si="16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5</v>
      </c>
      <c r="H72" s="88"/>
      <c r="I72" s="90"/>
      <c r="J72" s="91"/>
      <c r="K72" s="64">
        <f t="shared" si="15"/>
        <v>21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71">
        <f t="shared" ca="1" si="17"/>
        <v>3.4722222222219878E-3</v>
      </c>
      <c r="R72" s="80"/>
      <c r="S72" s="67"/>
    </row>
    <row r="73" spans="1:20" ht="15" customHeight="1">
      <c r="A73" s="18">
        <v>46237</v>
      </c>
      <c r="B73" s="68">
        <f t="shared" si="16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14</v>
      </c>
      <c r="H73" s="88"/>
      <c r="I73" s="90"/>
      <c r="J73" s="91"/>
      <c r="K73" s="69">
        <f t="shared" si="15"/>
        <v>58.800000000000004</v>
      </c>
      <c r="L73" s="70" t="s">
        <v>28</v>
      </c>
      <c r="M73" s="70" t="s">
        <v>40</v>
      </c>
      <c r="N73" s="70" t="s">
        <v>36</v>
      </c>
      <c r="O73" s="65">
        <v>0.91527777777777797</v>
      </c>
      <c r="P73" s="65">
        <v>0.92222222222222205</v>
      </c>
      <c r="Q73" s="66">
        <f t="shared" ca="1" si="17"/>
        <v>6.9444444444440867E-3</v>
      </c>
      <c r="R73" s="80"/>
      <c r="S73" s="67"/>
    </row>
    <row r="74" spans="1:20" ht="15" customHeight="1">
      <c r="A74" s="59">
        <v>46237</v>
      </c>
      <c r="B74" s="60">
        <f t="shared" si="16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19</v>
      </c>
      <c r="H74" s="88"/>
      <c r="I74" s="90"/>
      <c r="J74" s="91"/>
      <c r="K74" s="64">
        <f t="shared" si="15"/>
        <v>79.8</v>
      </c>
      <c r="L74" s="61" t="s">
        <v>29</v>
      </c>
      <c r="M74" s="61" t="s">
        <v>168</v>
      </c>
      <c r="N74" s="61" t="s">
        <v>83</v>
      </c>
      <c r="O74" s="65">
        <v>0.95972222222222203</v>
      </c>
      <c r="P74" s="65">
        <v>0.96388888888888902</v>
      </c>
      <c r="Q74" s="71">
        <f t="shared" ca="1" si="17"/>
        <v>4.1666666666669849E-3</v>
      </c>
      <c r="R74" s="80"/>
      <c r="S74" s="67"/>
    </row>
    <row r="75" spans="1:20" ht="15" customHeight="1">
      <c r="A75" s="18">
        <v>46237</v>
      </c>
      <c r="B75" s="68">
        <f t="shared" si="16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16</v>
      </c>
      <c r="H75" s="88"/>
      <c r="I75" s="90"/>
      <c r="J75" s="91"/>
      <c r="K75" s="69">
        <f t="shared" si="15"/>
        <v>67.2</v>
      </c>
      <c r="L75" s="70" t="s">
        <v>28</v>
      </c>
      <c r="M75" s="70" t="s">
        <v>48</v>
      </c>
      <c r="N75" s="70" t="s">
        <v>36</v>
      </c>
      <c r="O75" s="65">
        <v>0.12916666666666701</v>
      </c>
      <c r="P75" s="65">
        <v>0.140277777777778</v>
      </c>
      <c r="Q75" s="66">
        <f t="shared" ca="1" si="17"/>
        <v>1.1111111111110988E-2</v>
      </c>
      <c r="R75" s="80"/>
      <c r="S75" s="67"/>
    </row>
    <row r="76" spans="1:20" ht="15" customHeight="1">
      <c r="A76" s="59">
        <v>46237</v>
      </c>
      <c r="B76" s="60">
        <f t="shared" si="16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 t="s">
        <v>29</v>
      </c>
      <c r="M76" s="61" t="s">
        <v>40</v>
      </c>
      <c r="N76" s="61" t="s">
        <v>212</v>
      </c>
      <c r="O76" s="65">
        <v>0.26250000000000001</v>
      </c>
      <c r="P76" s="65">
        <v>0.27569444444444502</v>
      </c>
      <c r="Q76" s="71">
        <f t="shared" ca="1" si="17"/>
        <v>1.3194444444445008E-2</v>
      </c>
      <c r="R76" s="80" t="s">
        <v>307</v>
      </c>
      <c r="S76" s="67"/>
    </row>
    <row r="77" spans="1:20" ht="15" customHeight="1">
      <c r="A77" s="18">
        <v>46237</v>
      </c>
      <c r="B77" s="68">
        <f t="shared" si="16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66" t="str">
        <f t="shared" ca="1" si="17"/>
        <v/>
      </c>
      <c r="R77" s="80"/>
      <c r="S77" s="67"/>
    </row>
    <row r="78" spans="1:20" ht="15" customHeight="1">
      <c r="A78" s="59">
        <v>46237</v>
      </c>
      <c r="B78" s="60">
        <f t="shared" si="16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13</v>
      </c>
      <c r="H78" s="88"/>
      <c r="I78" s="90"/>
      <c r="J78" s="91"/>
      <c r="K78" s="64">
        <f t="shared" si="15"/>
        <v>54.6</v>
      </c>
      <c r="L78" s="61"/>
      <c r="M78" s="61"/>
      <c r="N78" s="61"/>
      <c r="O78" s="65"/>
      <c r="P78" s="65"/>
      <c r="Q78" s="71" t="str">
        <f t="shared" ca="1" si="17"/>
        <v/>
      </c>
      <c r="R78" s="80"/>
      <c r="S78" s="67"/>
    </row>
    <row r="79" spans="1:20" ht="15" customHeight="1">
      <c r="A79" s="18">
        <v>46237</v>
      </c>
      <c r="B79" s="68">
        <f t="shared" si="16"/>
        <v>1.25</v>
      </c>
      <c r="C79" s="70" t="s">
        <v>38</v>
      </c>
      <c r="D79" s="75" t="s">
        <v>39</v>
      </c>
      <c r="E79" s="100" t="s">
        <v>274</v>
      </c>
      <c r="F79" s="88"/>
      <c r="G79" s="89">
        <v>15</v>
      </c>
      <c r="H79" s="88"/>
      <c r="I79" s="90"/>
      <c r="J79" s="91"/>
      <c r="K79" s="69">
        <f t="shared" si="15"/>
        <v>63</v>
      </c>
      <c r="L79" s="70"/>
      <c r="M79" s="70"/>
      <c r="N79" s="70"/>
      <c r="O79" s="65"/>
      <c r="P79" s="65"/>
      <c r="Q79" s="66" t="str">
        <f t="shared" ca="1" si="17"/>
        <v/>
      </c>
      <c r="R79" s="80"/>
      <c r="S79" s="67"/>
    </row>
    <row r="80" spans="1:20" ht="15" customHeight="1">
      <c r="A80" s="59">
        <v>46237</v>
      </c>
      <c r="B80" s="60">
        <f t="shared" si="16"/>
        <v>1.2916666666666667</v>
      </c>
      <c r="C80" s="70" t="s">
        <v>38</v>
      </c>
      <c r="D80" s="75" t="s">
        <v>39</v>
      </c>
      <c r="E80" s="100" t="s">
        <v>274</v>
      </c>
      <c r="F80" s="92"/>
      <c r="G80" s="89">
        <v>10</v>
      </c>
      <c r="H80" s="92"/>
      <c r="I80" s="93"/>
      <c r="J80" s="94"/>
      <c r="K80" s="64">
        <f t="shared" si="15"/>
        <v>42</v>
      </c>
      <c r="L80" s="61"/>
      <c r="M80" s="61"/>
      <c r="N80" s="61"/>
      <c r="O80" s="65"/>
      <c r="P80" s="65"/>
      <c r="Q80" s="71" t="str">
        <f t="shared" ca="1" si="17"/>
        <v/>
      </c>
      <c r="R80" s="80"/>
      <c r="S80" s="67"/>
    </row>
    <row r="81" spans="1:20" ht="15.75" customHeight="1">
      <c r="A81" s="156" t="s">
        <v>263</v>
      </c>
      <c r="B81" s="156"/>
      <c r="C81" s="156"/>
      <c r="D81" s="156"/>
      <c r="E81" s="156"/>
      <c r="F81" s="105"/>
      <c r="G81" s="96">
        <f>SUM(G69:G80)</f>
        <v>152</v>
      </c>
      <c r="H81" s="105"/>
      <c r="I81" s="106"/>
      <c r="J81" s="107"/>
      <c r="K81" s="2">
        <f>SUM(K69:K80)</f>
        <v>638.4</v>
      </c>
      <c r="L81" s="72"/>
      <c r="M81" s="72"/>
      <c r="N81" s="72"/>
      <c r="O81" s="72"/>
      <c r="P81" s="72"/>
      <c r="Q81" s="73">
        <f ca="1">IFERROR(SUM(Q69:Q80),"")</f>
        <v>5.3472222222222227E-2</v>
      </c>
      <c r="R81" s="2" t="s">
        <v>261</v>
      </c>
      <c r="S81" s="115">
        <v>634210</v>
      </c>
      <c r="T81" s="116"/>
    </row>
    <row r="82" spans="1:20" ht="18" customHeight="1">
      <c r="A82" s="157" t="s">
        <v>249</v>
      </c>
      <c r="B82" s="157"/>
      <c r="C82" s="157"/>
      <c r="D82" s="157"/>
      <c r="E82" s="157"/>
      <c r="F82" s="108"/>
      <c r="G82" s="109">
        <f>G68+G81</f>
        <v>288</v>
      </c>
      <c r="H82" s="108"/>
      <c r="I82" s="110"/>
      <c r="J82" s="111">
        <f>IFERROR(J68+J81,"")</f>
        <v>0</v>
      </c>
      <c r="K82" s="1">
        <f>K68+K81</f>
        <v>1209.5999999999999</v>
      </c>
      <c r="L82" s="76"/>
      <c r="M82" s="76"/>
      <c r="N82" s="76"/>
      <c r="O82" s="76"/>
      <c r="P82" s="76"/>
      <c r="Q82" s="77">
        <f ca="1">IFERROR(Q68+Q81,"")</f>
        <v>0.16944444444444332</v>
      </c>
      <c r="R82" s="1" t="s">
        <v>264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54" t="s">
        <v>39</v>
      </c>
      <c r="E83" s="87" t="s">
        <v>274</v>
      </c>
      <c r="F83" s="101"/>
      <c r="G83" s="89">
        <v>12</v>
      </c>
      <c r="H83" s="101"/>
      <c r="I83" s="102"/>
      <c r="J83" s="103"/>
      <c r="K83" s="64">
        <f t="shared" ref="K83:K94" si="18">IF(G83="","",IF(E83="PC 17",G83*4.2,IF(E83="PC 19",G83*5,IF(E83="CB",G83*24,""))))</f>
        <v>50.400000000000006</v>
      </c>
      <c r="L83" s="70" t="s">
        <v>27</v>
      </c>
      <c r="M83" s="70" t="s">
        <v>148</v>
      </c>
      <c r="N83" s="70" t="s">
        <v>223</v>
      </c>
      <c r="O83" s="65">
        <v>0.34097222222222201</v>
      </c>
      <c r="P83" s="65">
        <v>0.360416666666667</v>
      </c>
      <c r="Q83" s="71">
        <f t="shared" ref="Q83:Q94" ca="1" si="19">IFERROR(IF(O83="","",IF(P83="",MOD(NOW()-O83,1),IF(P83&gt;=O83,P83-O83,P83+1-O83))),"")</f>
        <v>1.9444444444444986E-2</v>
      </c>
      <c r="R83" s="80"/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6</v>
      </c>
      <c r="H84" s="88"/>
      <c r="I84" s="90"/>
      <c r="J84" s="91"/>
      <c r="K84" s="69">
        <f t="shared" si="18"/>
        <v>25.200000000000003</v>
      </c>
      <c r="L84" s="61" t="s">
        <v>28</v>
      </c>
      <c r="M84" s="61" t="s">
        <v>48</v>
      </c>
      <c r="N84" s="61" t="s">
        <v>36</v>
      </c>
      <c r="O84" s="65">
        <v>0.406944444444444</v>
      </c>
      <c r="P84" s="65">
        <v>0.42013888888888901</v>
      </c>
      <c r="Q84" s="66">
        <f t="shared" ca="1" si="19"/>
        <v>1.3194444444445008E-2</v>
      </c>
      <c r="R84" s="80"/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15</v>
      </c>
      <c r="H85" s="88"/>
      <c r="I85" s="90"/>
      <c r="J85" s="91"/>
      <c r="K85" s="64">
        <f t="shared" si="18"/>
        <v>63</v>
      </c>
      <c r="L85" s="70" t="s">
        <v>29</v>
      </c>
      <c r="M85" s="70" t="s">
        <v>48</v>
      </c>
      <c r="N85" s="70" t="s">
        <v>45</v>
      </c>
      <c r="O85" s="65">
        <v>0.42430555555555599</v>
      </c>
      <c r="P85" s="65">
        <v>0.43125000000000002</v>
      </c>
      <c r="Q85" s="71">
        <f t="shared" ca="1" si="19"/>
        <v>6.9444444444440312E-3</v>
      </c>
      <c r="R85" s="80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13</v>
      </c>
      <c r="H86" s="88"/>
      <c r="I86" s="90"/>
      <c r="J86" s="91"/>
      <c r="K86" s="69">
        <f t="shared" si="18"/>
        <v>54.6</v>
      </c>
      <c r="L86" s="61" t="s">
        <v>29</v>
      </c>
      <c r="M86" s="61" t="s">
        <v>48</v>
      </c>
      <c r="N86" s="61" t="s">
        <v>45</v>
      </c>
      <c r="O86" s="65">
        <v>0.53958333333333297</v>
      </c>
      <c r="P86" s="65">
        <v>0.54513888888888895</v>
      </c>
      <c r="Q86" s="66">
        <f t="shared" ca="1" si="19"/>
        <v>5.5555555555559799E-3</v>
      </c>
      <c r="R86" s="80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14</v>
      </c>
      <c r="H87" s="88"/>
      <c r="I87" s="90"/>
      <c r="J87" s="91"/>
      <c r="K87" s="64">
        <f t="shared" si="18"/>
        <v>58.800000000000004</v>
      </c>
      <c r="L87" s="70" t="s">
        <v>27</v>
      </c>
      <c r="M87" s="70" t="s">
        <v>148</v>
      </c>
      <c r="N87" s="70" t="s">
        <v>127</v>
      </c>
      <c r="O87" s="65">
        <v>0.56666666666666698</v>
      </c>
      <c r="P87" s="65">
        <v>0.73819444444444504</v>
      </c>
      <c r="Q87" s="71">
        <f t="shared" ca="1" si="19"/>
        <v>0.17152777777777806</v>
      </c>
      <c r="R87" s="80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18</v>
      </c>
      <c r="H88" s="88"/>
      <c r="I88" s="90"/>
      <c r="J88" s="91"/>
      <c r="K88" s="69">
        <f t="shared" si="18"/>
        <v>75.600000000000009</v>
      </c>
      <c r="L88" s="61"/>
      <c r="M88" s="61"/>
      <c r="N88" s="61"/>
      <c r="O88" s="65"/>
      <c r="P88" s="65"/>
      <c r="Q88" s="66" t="str">
        <f t="shared" ca="1" si="19"/>
        <v/>
      </c>
      <c r="R88" s="80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12</v>
      </c>
      <c r="H89" s="88"/>
      <c r="I89" s="90"/>
      <c r="J89" s="91"/>
      <c r="K89" s="64">
        <f t="shared" si="18"/>
        <v>50.400000000000006</v>
      </c>
      <c r="L89" s="70"/>
      <c r="M89" s="70"/>
      <c r="N89" s="70"/>
      <c r="O89" s="65"/>
      <c r="P89" s="65"/>
      <c r="Q89" s="71" t="str">
        <f t="shared" ca="1" si="19"/>
        <v/>
      </c>
      <c r="R89" s="80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80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80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0</v>
      </c>
      <c r="H92" s="88"/>
      <c r="I92" s="90"/>
      <c r="J92" s="91"/>
      <c r="K92" s="69">
        <f t="shared" si="18"/>
        <v>0</v>
      </c>
      <c r="L92" s="61"/>
      <c r="M92" s="61"/>
      <c r="N92" s="61"/>
      <c r="O92" s="65"/>
      <c r="P92" s="65"/>
      <c r="Q92" s="66" t="str">
        <f t="shared" ca="1" si="19"/>
        <v/>
      </c>
      <c r="R92" s="80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2</v>
      </c>
      <c r="H93" s="88"/>
      <c r="I93" s="90"/>
      <c r="J93" s="91"/>
      <c r="K93" s="64">
        <f t="shared" si="18"/>
        <v>8.4</v>
      </c>
      <c r="L93" s="70"/>
      <c r="M93" s="70"/>
      <c r="N93" s="70"/>
      <c r="O93" s="65"/>
      <c r="P93" s="65"/>
      <c r="Q93" s="71" t="str">
        <f t="shared" ca="1" si="19"/>
        <v/>
      </c>
      <c r="R93" s="80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4</v>
      </c>
      <c r="H94" s="92"/>
      <c r="I94" s="93"/>
      <c r="J94" s="94"/>
      <c r="K94" s="69">
        <f t="shared" si="18"/>
        <v>16.8</v>
      </c>
      <c r="L94" s="61"/>
      <c r="M94" s="61"/>
      <c r="N94" s="61"/>
      <c r="O94" s="65"/>
      <c r="P94" s="65"/>
      <c r="Q94" s="66" t="str">
        <f t="shared" ca="1" si="19"/>
        <v/>
      </c>
      <c r="R94" s="80"/>
      <c r="S94" s="67"/>
    </row>
    <row r="95" spans="1:20" ht="15.75" customHeight="1">
      <c r="A95" s="156" t="s">
        <v>260</v>
      </c>
      <c r="B95" s="156"/>
      <c r="C95" s="156"/>
      <c r="D95" s="156"/>
      <c r="E95" s="156"/>
      <c r="F95" s="95"/>
      <c r="G95" s="96">
        <f>SUM(G83:G94)</f>
        <v>96</v>
      </c>
      <c r="H95" s="95"/>
      <c r="I95" s="97"/>
      <c r="J95" s="98"/>
      <c r="K95" s="2">
        <f>SUM(K83:K94)</f>
        <v>403.2</v>
      </c>
      <c r="L95" s="72"/>
      <c r="M95" s="72"/>
      <c r="N95" s="72"/>
      <c r="O95" s="72"/>
      <c r="P95" s="72"/>
      <c r="Q95" s="73">
        <f ca="1">IFERROR(SUM(Q83:Q94),"")</f>
        <v>0.21666666666666806</v>
      </c>
      <c r="R95" s="2" t="s">
        <v>261</v>
      </c>
      <c r="S95" s="115">
        <v>449600</v>
      </c>
      <c r="T95" s="116"/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3</v>
      </c>
      <c r="H96" s="101"/>
      <c r="I96" s="102"/>
      <c r="J96" s="103"/>
      <c r="K96" s="69">
        <f t="shared" ref="K96:K107" si="21">IF(G96="","",IF(E96="PC 17",G96*4.2,IF(E96="PC 19",G96*5,IF(E96="CB",G96*24,""))))</f>
        <v>12.600000000000001</v>
      </c>
      <c r="L96" s="61" t="s">
        <v>27</v>
      </c>
      <c r="M96" s="61" t="s">
        <v>151</v>
      </c>
      <c r="N96" s="61" t="s">
        <v>127</v>
      </c>
      <c r="O96" s="65">
        <v>0.79166666666666696</v>
      </c>
      <c r="P96" s="65" t="s">
        <v>308</v>
      </c>
      <c r="Q96" s="66" t="str">
        <f t="shared" ref="Q96:Q107" ca="1" si="22">IFERROR(IF(O96="","",IF(P96="",MOD(NOW()-O96,1),IF(P96&gt;=O96,P96-O96,P96+1-O96))),"")</f>
        <v/>
      </c>
      <c r="R96" s="80" t="s">
        <v>309</v>
      </c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28</v>
      </c>
      <c r="M97" s="70" t="s">
        <v>40</v>
      </c>
      <c r="N97" s="70" t="s">
        <v>59</v>
      </c>
      <c r="O97" s="65">
        <v>2.0833333333333301E-2</v>
      </c>
      <c r="P97" s="65">
        <v>5.2777777777777798E-2</v>
      </c>
      <c r="Q97" s="71">
        <f t="shared" ca="1" si="22"/>
        <v>3.1944444444444497E-2</v>
      </c>
      <c r="R97" s="80" t="s">
        <v>262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0</v>
      </c>
      <c r="H98" s="88"/>
      <c r="I98" s="90"/>
      <c r="J98" s="91"/>
      <c r="K98" s="69">
        <f t="shared" si="21"/>
        <v>0</v>
      </c>
      <c r="L98" s="61" t="s">
        <v>26</v>
      </c>
      <c r="M98" s="61" t="s">
        <v>40</v>
      </c>
      <c r="N98" s="61"/>
      <c r="O98" s="65">
        <v>0.124305555555556</v>
      </c>
      <c r="P98" s="65">
        <v>0.12847222222222199</v>
      </c>
      <c r="Q98" s="66">
        <f t="shared" ca="1" si="22"/>
        <v>4.1666666666659857E-3</v>
      </c>
      <c r="R98" s="80" t="s">
        <v>310</v>
      </c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0</v>
      </c>
      <c r="H99" s="88"/>
      <c r="I99" s="90"/>
      <c r="J99" s="91"/>
      <c r="K99" s="64">
        <f t="shared" si="21"/>
        <v>0</v>
      </c>
      <c r="L99" s="70" t="s">
        <v>29</v>
      </c>
      <c r="M99" s="70" t="s">
        <v>48</v>
      </c>
      <c r="N99" s="70" t="s">
        <v>195</v>
      </c>
      <c r="O99" s="65">
        <v>0.12847222222222199</v>
      </c>
      <c r="P99" s="65">
        <v>0.13819444444444501</v>
      </c>
      <c r="Q99" s="71">
        <f t="shared" ca="1" si="22"/>
        <v>9.7222222222230203E-3</v>
      </c>
      <c r="R99" s="80" t="s">
        <v>311</v>
      </c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25</v>
      </c>
      <c r="H100" s="88"/>
      <c r="I100" s="90"/>
      <c r="J100" s="91"/>
      <c r="K100" s="69">
        <f t="shared" si="21"/>
        <v>105</v>
      </c>
      <c r="L100" s="61" t="s">
        <v>28</v>
      </c>
      <c r="M100" s="61" t="s">
        <v>40</v>
      </c>
      <c r="N100" s="61" t="s">
        <v>59</v>
      </c>
      <c r="O100" s="65">
        <v>0.147916666666667</v>
      </c>
      <c r="P100" s="65">
        <v>0.16666666666666699</v>
      </c>
      <c r="Q100" s="66">
        <f t="shared" ca="1" si="22"/>
        <v>1.8749999999999989E-2</v>
      </c>
      <c r="R100" s="80" t="s">
        <v>262</v>
      </c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3</v>
      </c>
      <c r="H101" s="88"/>
      <c r="I101" s="90"/>
      <c r="J101" s="91"/>
      <c r="K101" s="64">
        <f t="shared" si="21"/>
        <v>12.600000000000001</v>
      </c>
      <c r="L101" s="70" t="s">
        <v>29</v>
      </c>
      <c r="M101" s="70" t="s">
        <v>48</v>
      </c>
      <c r="N101" s="70" t="s">
        <v>45</v>
      </c>
      <c r="O101" s="65">
        <v>0.25624999999999998</v>
      </c>
      <c r="P101" s="65">
        <v>0.25833333333333303</v>
      </c>
      <c r="Q101" s="71">
        <f t="shared" ca="1" si="22"/>
        <v>2.0833333333330484E-3</v>
      </c>
      <c r="R101" s="80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11</v>
      </c>
      <c r="H102" s="88"/>
      <c r="I102" s="90"/>
      <c r="J102" s="91"/>
      <c r="K102" s="69">
        <f t="shared" si="21"/>
        <v>46.2</v>
      </c>
      <c r="L102" s="61"/>
      <c r="M102" s="61"/>
      <c r="N102" s="61"/>
      <c r="O102" s="65"/>
      <c r="P102" s="65"/>
      <c r="Q102" s="66" t="str">
        <f t="shared" ca="1" si="22"/>
        <v/>
      </c>
      <c r="R102" s="80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18</v>
      </c>
      <c r="H103" s="88"/>
      <c r="I103" s="90"/>
      <c r="J103" s="91"/>
      <c r="K103" s="64">
        <f t="shared" si="21"/>
        <v>75.600000000000009</v>
      </c>
      <c r="L103" s="70"/>
      <c r="M103" s="70"/>
      <c r="N103" s="70"/>
      <c r="O103" s="65"/>
      <c r="P103" s="65"/>
      <c r="Q103" s="71" t="str">
        <f t="shared" ca="1" si="22"/>
        <v/>
      </c>
      <c r="R103" s="80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9</v>
      </c>
      <c r="H104" s="88"/>
      <c r="I104" s="90"/>
      <c r="J104" s="91"/>
      <c r="K104" s="69">
        <f t="shared" si="21"/>
        <v>37.800000000000004</v>
      </c>
      <c r="L104" s="61"/>
      <c r="M104" s="61"/>
      <c r="N104" s="61"/>
      <c r="O104" s="65"/>
      <c r="P104" s="65"/>
      <c r="Q104" s="66" t="str">
        <f t="shared" ca="1" si="22"/>
        <v/>
      </c>
      <c r="R104" s="80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71" t="str">
        <f t="shared" ca="1" si="22"/>
        <v/>
      </c>
      <c r="R105" s="80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6</v>
      </c>
      <c r="H106" s="88"/>
      <c r="I106" s="90"/>
      <c r="J106" s="91"/>
      <c r="K106" s="69">
        <f t="shared" si="21"/>
        <v>25.200000000000003</v>
      </c>
      <c r="L106" s="61"/>
      <c r="M106" s="61"/>
      <c r="N106" s="61"/>
      <c r="O106" s="65"/>
      <c r="P106" s="65"/>
      <c r="Q106" s="66" t="str">
        <f t="shared" ca="1" si="22"/>
        <v/>
      </c>
      <c r="R106" s="80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80"/>
      <c r="S107" s="67"/>
    </row>
    <row r="108" spans="1:20" ht="15.75" customHeight="1">
      <c r="A108" s="156" t="s">
        <v>263</v>
      </c>
      <c r="B108" s="156"/>
      <c r="C108" s="156"/>
      <c r="D108" s="156"/>
      <c r="E108" s="156"/>
      <c r="F108" s="105"/>
      <c r="G108" s="96">
        <f>SUM(G96:G107)</f>
        <v>97</v>
      </c>
      <c r="H108" s="105"/>
      <c r="I108" s="106"/>
      <c r="J108" s="107"/>
      <c r="K108" s="2">
        <f>SUM(K96:K107)</f>
        <v>407.40000000000003</v>
      </c>
      <c r="L108" s="72"/>
      <c r="M108" s="72"/>
      <c r="N108" s="72"/>
      <c r="O108" s="72"/>
      <c r="P108" s="72"/>
      <c r="Q108" s="73">
        <f ca="1">IFERROR(SUM(Q96:Q107),"")</f>
        <v>6.6666666666666541E-2</v>
      </c>
      <c r="R108" s="2" t="s">
        <v>261</v>
      </c>
      <c r="S108" s="115">
        <v>456830</v>
      </c>
      <c r="T108" s="116"/>
    </row>
    <row r="109" spans="1:20" ht="18" customHeight="1">
      <c r="A109" s="157" t="s">
        <v>249</v>
      </c>
      <c r="B109" s="157"/>
      <c r="C109" s="157"/>
      <c r="D109" s="157"/>
      <c r="E109" s="157"/>
      <c r="F109" s="108"/>
      <c r="G109" s="109">
        <f>G95+G108</f>
        <v>193</v>
      </c>
      <c r="H109" s="108"/>
      <c r="I109" s="110"/>
      <c r="J109" s="111">
        <f>IFERROR(J95+J108,"")</f>
        <v>0</v>
      </c>
      <c r="K109" s="1">
        <f>K95+K108</f>
        <v>810.6</v>
      </c>
      <c r="L109" s="76"/>
      <c r="M109" s="76"/>
      <c r="N109" s="76"/>
      <c r="O109" s="76"/>
      <c r="P109" s="76"/>
      <c r="Q109" s="77">
        <f ca="1">IFERROR(Q95+Q108,"")</f>
        <v>0.2833333333333346</v>
      </c>
      <c r="R109" s="1" t="s">
        <v>264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27</v>
      </c>
      <c r="M110" s="61" t="s">
        <v>40</v>
      </c>
      <c r="N110" s="61" t="s">
        <v>167</v>
      </c>
      <c r="O110" s="65">
        <v>0.45972222222222198</v>
      </c>
      <c r="P110" s="65">
        <v>0.49305555555555602</v>
      </c>
      <c r="Q110" s="71">
        <f t="shared" ref="Q110:Q121" ca="1" si="25">IFERROR(IF(O110="","",IF(P110="",MOD(NOW()-O110,1),IF(P110&gt;=O110,P110-O110,P110+1-O110))),"")</f>
        <v>3.3333333333334048E-2</v>
      </c>
      <c r="R110" s="80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17</v>
      </c>
      <c r="H111" s="88"/>
      <c r="I111" s="90"/>
      <c r="J111" s="91"/>
      <c r="K111" s="69">
        <f t="shared" si="24"/>
        <v>71.400000000000006</v>
      </c>
      <c r="L111" s="70" t="s">
        <v>29</v>
      </c>
      <c r="M111" s="70" t="s">
        <v>48</v>
      </c>
      <c r="N111" s="70" t="s">
        <v>45</v>
      </c>
      <c r="O111" s="65">
        <v>0.42847222222222198</v>
      </c>
      <c r="P111" s="65">
        <v>0.44444444444444398</v>
      </c>
      <c r="Q111" s="66">
        <f t="shared" ca="1" si="25"/>
        <v>1.5972222222221999E-2</v>
      </c>
      <c r="R111" s="80" t="s">
        <v>312</v>
      </c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23</v>
      </c>
      <c r="H112" s="88"/>
      <c r="I112" s="90"/>
      <c r="J112" s="91"/>
      <c r="K112" s="64">
        <f t="shared" si="24"/>
        <v>96.600000000000009</v>
      </c>
      <c r="L112" s="61" t="s">
        <v>27</v>
      </c>
      <c r="M112" s="61" t="s">
        <v>48</v>
      </c>
      <c r="N112" s="61" t="s">
        <v>167</v>
      </c>
      <c r="O112" s="65">
        <v>0.54722222222222205</v>
      </c>
      <c r="P112" s="65">
        <v>0.58194444444444504</v>
      </c>
      <c r="Q112" s="71">
        <f t="shared" ca="1" si="25"/>
        <v>3.4722222222222987E-2</v>
      </c>
      <c r="R112" s="80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 t="s">
        <v>29</v>
      </c>
      <c r="M113" s="70" t="s">
        <v>48</v>
      </c>
      <c r="N113" s="70" t="s">
        <v>45</v>
      </c>
      <c r="O113" s="65">
        <v>0.67500000000000004</v>
      </c>
      <c r="P113" s="65">
        <v>0.68611111111111101</v>
      </c>
      <c r="Q113" s="66">
        <f t="shared" ca="1" si="25"/>
        <v>1.1111111111110961E-2</v>
      </c>
      <c r="R113" s="80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3</v>
      </c>
      <c r="H114" s="88"/>
      <c r="I114" s="90"/>
      <c r="J114" s="91"/>
      <c r="K114" s="64">
        <f t="shared" si="24"/>
        <v>12.600000000000001</v>
      </c>
      <c r="L114" s="61"/>
      <c r="M114" s="61"/>
      <c r="N114" s="61"/>
      <c r="O114" s="65"/>
      <c r="P114" s="65"/>
      <c r="Q114" s="71" t="str">
        <f t="shared" ca="1" si="25"/>
        <v/>
      </c>
      <c r="R114" s="80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23</v>
      </c>
      <c r="H115" s="88"/>
      <c r="I115" s="90"/>
      <c r="J115" s="91"/>
      <c r="K115" s="69">
        <f t="shared" si="24"/>
        <v>96.600000000000009</v>
      </c>
      <c r="L115" s="70"/>
      <c r="M115" s="70"/>
      <c r="N115" s="70"/>
      <c r="O115" s="65"/>
      <c r="P115" s="65"/>
      <c r="Q115" s="66" t="str">
        <f t="shared" ca="1" si="25"/>
        <v/>
      </c>
      <c r="R115" s="80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</v>
      </c>
      <c r="H116" s="88"/>
      <c r="I116" s="90"/>
      <c r="J116" s="91"/>
      <c r="K116" s="64">
        <f t="shared" si="24"/>
        <v>4.2</v>
      </c>
      <c r="L116" s="61"/>
      <c r="M116" s="61"/>
      <c r="N116" s="61"/>
      <c r="O116" s="65"/>
      <c r="P116" s="65"/>
      <c r="Q116" s="71" t="str">
        <f t="shared" ca="1" si="25"/>
        <v/>
      </c>
      <c r="R116" s="80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14</v>
      </c>
      <c r="H117" s="88"/>
      <c r="I117" s="90"/>
      <c r="J117" s="91"/>
      <c r="K117" s="69">
        <f t="shared" si="24"/>
        <v>58.800000000000004</v>
      </c>
      <c r="L117" s="70"/>
      <c r="M117" s="70"/>
      <c r="N117" s="70"/>
      <c r="O117" s="65"/>
      <c r="P117" s="65"/>
      <c r="Q117" s="66" t="str">
        <f t="shared" ca="1" si="25"/>
        <v/>
      </c>
      <c r="R117" s="80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23</v>
      </c>
      <c r="H118" s="88"/>
      <c r="I118" s="90"/>
      <c r="J118" s="91"/>
      <c r="K118" s="64">
        <f t="shared" si="24"/>
        <v>96.600000000000009</v>
      </c>
      <c r="L118" s="61"/>
      <c r="M118" s="61"/>
      <c r="N118" s="61"/>
      <c r="O118" s="65"/>
      <c r="P118" s="65"/>
      <c r="Q118" s="71" t="str">
        <f t="shared" ca="1" si="25"/>
        <v/>
      </c>
      <c r="R118" s="80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21</v>
      </c>
      <c r="H119" s="88"/>
      <c r="I119" s="90"/>
      <c r="J119" s="91"/>
      <c r="K119" s="69">
        <f t="shared" si="24"/>
        <v>88.2</v>
      </c>
      <c r="L119" s="70"/>
      <c r="M119" s="70"/>
      <c r="N119" s="70"/>
      <c r="O119" s="65"/>
      <c r="P119" s="65"/>
      <c r="Q119" s="66" t="str">
        <f t="shared" ca="1" si="25"/>
        <v/>
      </c>
      <c r="R119" s="80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18</v>
      </c>
      <c r="H120" s="88"/>
      <c r="I120" s="90"/>
      <c r="J120" s="91"/>
      <c r="K120" s="64">
        <f t="shared" si="24"/>
        <v>75.600000000000009</v>
      </c>
      <c r="L120" s="61"/>
      <c r="M120" s="61"/>
      <c r="N120" s="61"/>
      <c r="O120" s="65"/>
      <c r="P120" s="65"/>
      <c r="Q120" s="71" t="str">
        <f t="shared" ca="1" si="25"/>
        <v/>
      </c>
      <c r="R120" s="80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66" t="str">
        <f t="shared" ca="1" si="25"/>
        <v/>
      </c>
      <c r="R121" s="80"/>
      <c r="S121" s="67"/>
    </row>
    <row r="122" spans="1:20" ht="15.75" customHeight="1">
      <c r="A122" s="156" t="s">
        <v>260</v>
      </c>
      <c r="B122" s="156"/>
      <c r="C122" s="156"/>
      <c r="D122" s="156"/>
      <c r="E122" s="156"/>
      <c r="F122" s="95"/>
      <c r="G122" s="96">
        <f>SUM(G110:G121)</f>
        <v>184</v>
      </c>
      <c r="H122" s="95"/>
      <c r="I122" s="97"/>
      <c r="J122" s="98"/>
      <c r="K122" s="2">
        <f>SUM(K110:K121)</f>
        <v>772.80000000000007</v>
      </c>
      <c r="L122" s="72"/>
      <c r="M122" s="72"/>
      <c r="N122" s="72"/>
      <c r="O122" s="72"/>
      <c r="P122" s="72"/>
      <c r="Q122" s="73">
        <f ca="1">IFERROR(SUM(Q110:Q121),"")</f>
        <v>9.5138888888889994E-2</v>
      </c>
      <c r="R122" s="2" t="s">
        <v>261</v>
      </c>
      <c r="S122" s="115">
        <v>791070</v>
      </c>
      <c r="T122" s="116"/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19</v>
      </c>
      <c r="H123" s="101"/>
      <c r="I123" s="102"/>
      <c r="J123" s="103"/>
      <c r="K123" s="69">
        <f t="shared" ref="K123:K134" si="27">IF(G123="","",IF(E123="PC 17",G123*4.2,IF(E123="PC 19",G123*5,IF(E123="CB",G123*24,""))))</f>
        <v>79.8</v>
      </c>
      <c r="L123" s="70" t="s">
        <v>28</v>
      </c>
      <c r="M123" s="70" t="s">
        <v>170</v>
      </c>
      <c r="N123" s="70" t="s">
        <v>36</v>
      </c>
      <c r="O123" s="65">
        <v>0.79236111111111096</v>
      </c>
      <c r="P123" s="65">
        <v>0.80416666666666703</v>
      </c>
      <c r="Q123" s="66">
        <f t="shared" ref="Q123:Q134" ca="1" si="28">IFERROR(IF(O123="","",IF(P123="",MOD(NOW()-O123,1),IF(P123&gt;=O123,P123-O123,P123+1-O123))),"")</f>
        <v>1.1805555555556069E-2</v>
      </c>
      <c r="R123" s="80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14</v>
      </c>
      <c r="H124" s="88"/>
      <c r="I124" s="90"/>
      <c r="J124" s="91"/>
      <c r="K124" s="64">
        <f t="shared" si="27"/>
        <v>58.800000000000004</v>
      </c>
      <c r="L124" s="61" t="s">
        <v>27</v>
      </c>
      <c r="M124" s="61" t="s">
        <v>40</v>
      </c>
      <c r="N124" s="61" t="s">
        <v>167</v>
      </c>
      <c r="O124" s="65">
        <v>0.86458333333333304</v>
      </c>
      <c r="P124" s="65">
        <v>0.875694444444444</v>
      </c>
      <c r="Q124" s="71">
        <f t="shared" ca="1" si="28"/>
        <v>1.1111111111110961E-2</v>
      </c>
      <c r="R124" s="80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12</v>
      </c>
      <c r="H125" s="88"/>
      <c r="I125" s="90"/>
      <c r="J125" s="91"/>
      <c r="K125" s="69">
        <f t="shared" si="27"/>
        <v>50.400000000000006</v>
      </c>
      <c r="L125" s="70" t="s">
        <v>26</v>
      </c>
      <c r="M125" s="70" t="s">
        <v>145</v>
      </c>
      <c r="N125" s="70" t="s">
        <v>58</v>
      </c>
      <c r="O125" s="65">
        <v>0.95</v>
      </c>
      <c r="P125" s="65">
        <v>0.95138888888888895</v>
      </c>
      <c r="Q125" s="66">
        <f t="shared" ca="1" si="28"/>
        <v>1.388888888888995E-3</v>
      </c>
      <c r="R125" s="80"/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26</v>
      </c>
      <c r="M126" s="61" t="s">
        <v>145</v>
      </c>
      <c r="N126" s="61" t="s">
        <v>58</v>
      </c>
      <c r="O126" s="65">
        <v>0.96597222222222201</v>
      </c>
      <c r="P126" s="65">
        <v>0.96736111111111101</v>
      </c>
      <c r="Q126" s="71">
        <f t="shared" ca="1" si="28"/>
        <v>1.388888888888995E-3</v>
      </c>
      <c r="R126" s="80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18</v>
      </c>
      <c r="H127" s="88"/>
      <c r="I127" s="90"/>
      <c r="J127" s="91"/>
      <c r="K127" s="69">
        <f t="shared" si="27"/>
        <v>75.600000000000009</v>
      </c>
      <c r="L127" s="70" t="s">
        <v>29</v>
      </c>
      <c r="M127" s="70" t="s">
        <v>133</v>
      </c>
      <c r="N127" s="70" t="s">
        <v>123</v>
      </c>
      <c r="O127" s="65">
        <v>4.1666666666666699E-2</v>
      </c>
      <c r="P127" s="65">
        <v>0.12291666666666699</v>
      </c>
      <c r="Q127" s="66">
        <f t="shared" ca="1" si="28"/>
        <v>8.1250000000000294E-2</v>
      </c>
      <c r="R127" s="80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17</v>
      </c>
      <c r="H128" s="88"/>
      <c r="I128" s="90"/>
      <c r="J128" s="91"/>
      <c r="K128" s="64">
        <f t="shared" si="27"/>
        <v>71.400000000000006</v>
      </c>
      <c r="L128" s="61" t="s">
        <v>28</v>
      </c>
      <c r="M128" s="61" t="s">
        <v>48</v>
      </c>
      <c r="N128" s="61" t="s">
        <v>36</v>
      </c>
      <c r="O128" s="65">
        <v>0.20138888888888901</v>
      </c>
      <c r="P128" s="65">
        <v>0.21249999999999999</v>
      </c>
      <c r="Q128" s="71">
        <f t="shared" ca="1" si="28"/>
        <v>1.1111111111110988E-2</v>
      </c>
      <c r="R128" s="117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6</v>
      </c>
      <c r="H129" s="88"/>
      <c r="I129" s="90"/>
      <c r="J129" s="91"/>
      <c r="K129" s="69">
        <f t="shared" si="27"/>
        <v>25.200000000000003</v>
      </c>
      <c r="L129" s="70" t="s">
        <v>28</v>
      </c>
      <c r="M129" s="70" t="s">
        <v>40</v>
      </c>
      <c r="N129" s="70" t="s">
        <v>36</v>
      </c>
      <c r="O129" s="65">
        <v>0.21249999999999999</v>
      </c>
      <c r="P129" s="65">
        <v>0.22222222222222199</v>
      </c>
      <c r="Q129" s="66">
        <f t="shared" ca="1" si="28"/>
        <v>9.7222222222219934E-3</v>
      </c>
      <c r="R129" s="80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6</v>
      </c>
      <c r="H130" s="88"/>
      <c r="I130" s="90"/>
      <c r="J130" s="91"/>
      <c r="K130" s="64">
        <f t="shared" si="27"/>
        <v>25.200000000000003</v>
      </c>
      <c r="L130" s="61"/>
      <c r="M130" s="61"/>
      <c r="N130" s="61"/>
      <c r="O130" s="65"/>
      <c r="P130" s="65"/>
      <c r="Q130" s="71" t="str">
        <f t="shared" ca="1" si="28"/>
        <v/>
      </c>
      <c r="R130" s="80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20</v>
      </c>
      <c r="H131" s="88"/>
      <c r="I131" s="90"/>
      <c r="J131" s="91"/>
      <c r="K131" s="69">
        <f t="shared" si="27"/>
        <v>84</v>
      </c>
      <c r="L131" s="70"/>
      <c r="M131" s="70"/>
      <c r="N131" s="70"/>
      <c r="O131" s="65"/>
      <c r="P131" s="65"/>
      <c r="Q131" s="66" t="str">
        <f t="shared" ca="1" si="28"/>
        <v/>
      </c>
      <c r="R131" s="80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10</v>
      </c>
      <c r="H132" s="88"/>
      <c r="I132" s="90"/>
      <c r="J132" s="91"/>
      <c r="K132" s="64">
        <f t="shared" si="27"/>
        <v>42</v>
      </c>
      <c r="L132" s="61"/>
      <c r="M132" s="61"/>
      <c r="N132" s="61"/>
      <c r="O132" s="65"/>
      <c r="P132" s="65"/>
      <c r="Q132" s="71" t="str">
        <f t="shared" ca="1" si="28"/>
        <v/>
      </c>
      <c r="R132" s="80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5</v>
      </c>
      <c r="H133" s="88"/>
      <c r="I133" s="90"/>
      <c r="J133" s="91"/>
      <c r="K133" s="69">
        <f t="shared" si="27"/>
        <v>21</v>
      </c>
      <c r="L133" s="70"/>
      <c r="M133" s="70"/>
      <c r="N133" s="70"/>
      <c r="O133" s="65"/>
      <c r="P133" s="65"/>
      <c r="Q133" s="66" t="str">
        <f t="shared" ca="1" si="28"/>
        <v/>
      </c>
      <c r="R133" s="80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17</v>
      </c>
      <c r="H134" s="92"/>
      <c r="I134" s="93"/>
      <c r="J134" s="94"/>
      <c r="K134" s="64">
        <f t="shared" si="27"/>
        <v>71.400000000000006</v>
      </c>
      <c r="L134" s="61"/>
      <c r="M134" s="61"/>
      <c r="N134" s="61"/>
      <c r="O134" s="65"/>
      <c r="P134" s="65"/>
      <c r="Q134" s="71" t="str">
        <f t="shared" ca="1" si="28"/>
        <v/>
      </c>
      <c r="R134" s="80"/>
      <c r="S134" s="67"/>
    </row>
    <row r="135" spans="1:20" ht="15.75" customHeight="1">
      <c r="A135" s="156" t="s">
        <v>263</v>
      </c>
      <c r="B135" s="156"/>
      <c r="C135" s="156"/>
      <c r="D135" s="156"/>
      <c r="E135" s="156"/>
      <c r="F135" s="105"/>
      <c r="G135" s="96">
        <f>SUM(G123:G134)</f>
        <v>164</v>
      </c>
      <c r="H135" s="105"/>
      <c r="I135" s="106"/>
      <c r="J135" s="107"/>
      <c r="K135" s="2">
        <f>SUM(K123:K134)</f>
        <v>688.8</v>
      </c>
      <c r="L135" s="72"/>
      <c r="M135" s="72"/>
      <c r="N135" s="72"/>
      <c r="O135" s="72"/>
      <c r="P135" s="72"/>
      <c r="Q135" s="73">
        <f ca="1">IFERROR(SUM(Q123:Q134),"")</f>
        <v>0.1277777777777783</v>
      </c>
      <c r="R135" s="2" t="s">
        <v>261</v>
      </c>
      <c r="S135" s="115">
        <v>756720</v>
      </c>
      <c r="T135" s="116"/>
    </row>
    <row r="136" spans="1:20" ht="18" customHeight="1">
      <c r="A136" s="157" t="s">
        <v>249</v>
      </c>
      <c r="B136" s="157"/>
      <c r="C136" s="157"/>
      <c r="D136" s="157"/>
      <c r="E136" s="157"/>
      <c r="F136" s="108"/>
      <c r="G136" s="109">
        <f>G122+G135</f>
        <v>348</v>
      </c>
      <c r="H136" s="108"/>
      <c r="I136" s="110"/>
      <c r="J136" s="111">
        <f>IFERROR(J122+J135,"")</f>
        <v>0</v>
      </c>
      <c r="K136" s="1">
        <f>K122+K135</f>
        <v>1461.6</v>
      </c>
      <c r="L136" s="76"/>
      <c r="M136" s="76"/>
      <c r="N136" s="76"/>
      <c r="O136" s="76"/>
      <c r="P136" s="76"/>
      <c r="Q136" s="77">
        <f ca="1">IFERROR(Q122+Q135,"")</f>
        <v>0.22291666666666829</v>
      </c>
      <c r="R136" s="1" t="s">
        <v>264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21</v>
      </c>
      <c r="H137" s="101"/>
      <c r="I137" s="102"/>
      <c r="J137" s="103"/>
      <c r="K137" s="69">
        <f t="shared" ref="K137:K148" si="30">IF(G137="","",IF(E137="PC 17",G137*4.2,IF(E137="PC 19",G137*5,IF(E137="CB",G137*24,""))))</f>
        <v>88.2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80"/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13</v>
      </c>
      <c r="H138" s="88"/>
      <c r="I138" s="90"/>
      <c r="J138" s="91"/>
      <c r="K138" s="64">
        <f t="shared" si="30"/>
        <v>54.6</v>
      </c>
      <c r="L138" s="61" t="s">
        <v>29</v>
      </c>
      <c r="M138" s="61" t="s">
        <v>48</v>
      </c>
      <c r="N138" s="61" t="s">
        <v>60</v>
      </c>
      <c r="O138" s="65">
        <v>0.33472222222222198</v>
      </c>
      <c r="P138" s="65">
        <v>0.33750000000000002</v>
      </c>
      <c r="Q138" s="66">
        <f t="shared" ca="1" si="31"/>
        <v>2.7777777777780455E-3</v>
      </c>
      <c r="R138" s="80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13</v>
      </c>
      <c r="H139" s="88"/>
      <c r="I139" s="90"/>
      <c r="J139" s="91"/>
      <c r="K139" s="69">
        <f t="shared" si="30"/>
        <v>54.6</v>
      </c>
      <c r="L139" s="70" t="s">
        <v>29</v>
      </c>
      <c r="M139" s="70" t="s">
        <v>48</v>
      </c>
      <c r="N139" s="70" t="s">
        <v>65</v>
      </c>
      <c r="O139" s="65">
        <v>0.35763888888888901</v>
      </c>
      <c r="P139" s="65">
        <v>0.38194444444444398</v>
      </c>
      <c r="Q139" s="71">
        <f t="shared" ca="1" si="31"/>
        <v>2.430555555555497E-2</v>
      </c>
      <c r="R139" s="80" t="s">
        <v>313</v>
      </c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11</v>
      </c>
      <c r="H140" s="88"/>
      <c r="I140" s="90"/>
      <c r="J140" s="91"/>
      <c r="K140" s="64">
        <f t="shared" si="30"/>
        <v>46.2</v>
      </c>
      <c r="L140" s="61" t="s">
        <v>29</v>
      </c>
      <c r="M140" s="61" t="s">
        <v>48</v>
      </c>
      <c r="N140" s="61" t="s">
        <v>45</v>
      </c>
      <c r="O140" s="65">
        <v>0.39930555555555602</v>
      </c>
      <c r="P140" s="65">
        <v>0.405555555555556</v>
      </c>
      <c r="Q140" s="66">
        <f t="shared" ca="1" si="31"/>
        <v>6.2499999999999778E-3</v>
      </c>
      <c r="R140" s="80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20</v>
      </c>
      <c r="H141" s="88"/>
      <c r="I141" s="90"/>
      <c r="J141" s="91"/>
      <c r="K141" s="69">
        <f t="shared" si="30"/>
        <v>84</v>
      </c>
      <c r="L141" s="70" t="s">
        <v>29</v>
      </c>
      <c r="M141" s="70" t="s">
        <v>48</v>
      </c>
      <c r="N141" s="70" t="s">
        <v>45</v>
      </c>
      <c r="O141" s="65">
        <v>0.44444444444444398</v>
      </c>
      <c r="P141" s="65">
        <v>0.45138888888888901</v>
      </c>
      <c r="Q141" s="71">
        <f t="shared" ca="1" si="31"/>
        <v>6.9444444444450304E-3</v>
      </c>
      <c r="R141" s="80" t="s">
        <v>314</v>
      </c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15</v>
      </c>
      <c r="H142" s="88"/>
      <c r="I142" s="90"/>
      <c r="J142" s="91"/>
      <c r="K142" s="64">
        <f t="shared" si="30"/>
        <v>63</v>
      </c>
      <c r="L142" s="61" t="s">
        <v>27</v>
      </c>
      <c r="M142" s="61"/>
      <c r="N142" s="61" t="s">
        <v>127</v>
      </c>
      <c r="O142" s="65">
        <v>0.52638888888888902</v>
      </c>
      <c r="P142" s="65">
        <v>0.63333333333333297</v>
      </c>
      <c r="Q142" s="66">
        <f t="shared" ca="1" si="31"/>
        <v>0.10694444444444395</v>
      </c>
      <c r="R142" s="80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0</v>
      </c>
      <c r="H143" s="88"/>
      <c r="I143" s="90"/>
      <c r="J143" s="91"/>
      <c r="K143" s="69">
        <f t="shared" si="30"/>
        <v>0</v>
      </c>
      <c r="L143" s="70" t="s">
        <v>29</v>
      </c>
      <c r="M143" s="70" t="s">
        <v>40</v>
      </c>
      <c r="N143" s="70" t="s">
        <v>45</v>
      </c>
      <c r="O143" s="65">
        <v>0.63888888888888895</v>
      </c>
      <c r="P143" s="65">
        <v>0.64444444444444504</v>
      </c>
      <c r="Q143" s="71">
        <f t="shared" ca="1" si="31"/>
        <v>5.5555555555560909E-3</v>
      </c>
      <c r="R143" s="80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10</v>
      </c>
      <c r="H144" s="88"/>
      <c r="I144" s="90"/>
      <c r="J144" s="91"/>
      <c r="K144" s="64">
        <f t="shared" si="30"/>
        <v>42</v>
      </c>
      <c r="L144" s="61" t="s">
        <v>25</v>
      </c>
      <c r="M144" s="61" t="s">
        <v>170</v>
      </c>
      <c r="N144" s="61" t="s">
        <v>119</v>
      </c>
      <c r="O144" s="65">
        <v>0.64513888888888904</v>
      </c>
      <c r="P144" s="65">
        <v>0.65763888888888899</v>
      </c>
      <c r="Q144" s="66">
        <f t="shared" ca="1" si="31"/>
        <v>1.2499999999999956E-2</v>
      </c>
      <c r="R144" s="80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12</v>
      </c>
      <c r="H145" s="88"/>
      <c r="I145" s="90"/>
      <c r="J145" s="91"/>
      <c r="K145" s="69">
        <f t="shared" si="30"/>
        <v>50.400000000000006</v>
      </c>
      <c r="L145" s="70"/>
      <c r="M145" s="70"/>
      <c r="N145" s="70"/>
      <c r="O145" s="65"/>
      <c r="P145" s="65"/>
      <c r="Q145" s="71" t="str">
        <f t="shared" ca="1" si="31"/>
        <v/>
      </c>
      <c r="R145" s="80" t="s">
        <v>315</v>
      </c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10</v>
      </c>
      <c r="H146" s="88"/>
      <c r="I146" s="90"/>
      <c r="J146" s="91"/>
      <c r="K146" s="64">
        <f t="shared" si="30"/>
        <v>42</v>
      </c>
      <c r="L146" s="61"/>
      <c r="M146" s="61"/>
      <c r="N146" s="61"/>
      <c r="O146" s="65"/>
      <c r="P146" s="65"/>
      <c r="Q146" s="66" t="str">
        <f t="shared" ca="1" si="31"/>
        <v/>
      </c>
      <c r="R146" s="80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80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5</v>
      </c>
      <c r="H148" s="92"/>
      <c r="I148" s="93"/>
      <c r="J148" s="94"/>
      <c r="K148" s="64">
        <f t="shared" si="30"/>
        <v>21</v>
      </c>
      <c r="L148" s="61"/>
      <c r="M148" s="61"/>
      <c r="N148" s="61"/>
      <c r="O148" s="65"/>
      <c r="P148" s="65"/>
      <c r="Q148" s="66" t="str">
        <f t="shared" ca="1" si="31"/>
        <v/>
      </c>
      <c r="R148" s="80"/>
      <c r="S148" s="67"/>
    </row>
    <row r="149" spans="1:20" ht="15.75" customHeight="1">
      <c r="A149" s="156" t="s">
        <v>260</v>
      </c>
      <c r="B149" s="156"/>
      <c r="C149" s="156"/>
      <c r="D149" s="156"/>
      <c r="E149" s="156"/>
      <c r="F149" s="95"/>
      <c r="G149" s="96">
        <f>SUM(G137:G148)</f>
        <v>140</v>
      </c>
      <c r="H149" s="95"/>
      <c r="I149" s="97"/>
      <c r="J149" s="98"/>
      <c r="K149" s="2">
        <f>SUM(K137:K148)</f>
        <v>588</v>
      </c>
      <c r="L149" s="72"/>
      <c r="M149" s="72"/>
      <c r="N149" s="72"/>
      <c r="O149" s="72"/>
      <c r="P149" s="72"/>
      <c r="Q149" s="73">
        <f ca="1">IFERROR(SUM(Q137:Q148),"")</f>
        <v>0.17569444444444399</v>
      </c>
      <c r="R149" s="2" t="s">
        <v>261</v>
      </c>
      <c r="S149" s="115">
        <v>533860</v>
      </c>
      <c r="T149" s="116"/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17</v>
      </c>
      <c r="H150" s="101"/>
      <c r="I150" s="102"/>
      <c r="J150" s="103"/>
      <c r="K150" s="64">
        <f t="shared" ref="K150:K161" si="33">IF(G150="","",IF(E150="PC 17",G150*4.2,IF(E150="PC 19",G150*5,IF(E150="CB",G150*24,""))))</f>
        <v>71.400000000000006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80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7</v>
      </c>
      <c r="H151" s="88"/>
      <c r="I151" s="90"/>
      <c r="J151" s="91"/>
      <c r="K151" s="69">
        <f t="shared" si="33"/>
        <v>29.400000000000002</v>
      </c>
      <c r="L151" s="70" t="s">
        <v>26</v>
      </c>
      <c r="M151" s="70" t="s">
        <v>129</v>
      </c>
      <c r="N151" s="70" t="s">
        <v>96</v>
      </c>
      <c r="O151" s="65">
        <v>0.85555555555555596</v>
      </c>
      <c r="P151" s="65">
        <v>0.86527777777777803</v>
      </c>
      <c r="Q151" s="71">
        <f t="shared" ca="1" si="34"/>
        <v>9.7222222222220767E-3</v>
      </c>
      <c r="R151" s="80" t="s">
        <v>316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14</v>
      </c>
      <c r="H152" s="88"/>
      <c r="I152" s="90"/>
      <c r="J152" s="91"/>
      <c r="K152" s="64">
        <f t="shared" si="33"/>
        <v>58.800000000000004</v>
      </c>
      <c r="L152" s="61" t="s">
        <v>28</v>
      </c>
      <c r="M152" s="61" t="s">
        <v>48</v>
      </c>
      <c r="N152" s="61" t="s">
        <v>36</v>
      </c>
      <c r="O152" s="65">
        <v>0.95138888888888895</v>
      </c>
      <c r="P152" s="65">
        <v>0.96736111111111101</v>
      </c>
      <c r="Q152" s="66">
        <f t="shared" ca="1" si="34"/>
        <v>1.5972222222222054E-2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 t="s">
        <v>27</v>
      </c>
      <c r="M153" s="70" t="s">
        <v>48</v>
      </c>
      <c r="N153" s="70" t="s">
        <v>43</v>
      </c>
      <c r="O153" s="65">
        <v>0.25416666666666698</v>
      </c>
      <c r="P153" s="65">
        <v>0.28611111111111098</v>
      </c>
      <c r="Q153" s="71">
        <f t="shared" ca="1" si="34"/>
        <v>3.1944444444443998E-2</v>
      </c>
      <c r="R153" s="80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80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18</v>
      </c>
      <c r="H155" s="88"/>
      <c r="I155" s="90"/>
      <c r="J155" s="91"/>
      <c r="K155" s="69">
        <f t="shared" si="33"/>
        <v>75.600000000000009</v>
      </c>
      <c r="L155" s="70"/>
      <c r="M155" s="70"/>
      <c r="N155" s="70"/>
      <c r="O155" s="65"/>
      <c r="P155" s="65"/>
      <c r="Q155" s="71" t="str">
        <f t="shared" ca="1" si="34"/>
        <v/>
      </c>
      <c r="R155" s="80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9</v>
      </c>
      <c r="H156" s="88"/>
      <c r="I156" s="90"/>
      <c r="J156" s="91"/>
      <c r="K156" s="64">
        <f t="shared" si="33"/>
        <v>37.800000000000004</v>
      </c>
      <c r="L156" s="61"/>
      <c r="M156" s="61"/>
      <c r="N156" s="61"/>
      <c r="O156" s="65"/>
      <c r="P156" s="65"/>
      <c r="Q156" s="66" t="str">
        <f t="shared" ca="1" si="34"/>
        <v/>
      </c>
      <c r="R156" s="80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15</v>
      </c>
      <c r="H157" s="88"/>
      <c r="I157" s="90"/>
      <c r="J157" s="91"/>
      <c r="K157" s="69">
        <f t="shared" si="33"/>
        <v>63</v>
      </c>
      <c r="L157" s="70"/>
      <c r="M157" s="70"/>
      <c r="N157" s="70"/>
      <c r="O157" s="65"/>
      <c r="P157" s="65"/>
      <c r="Q157" s="71" t="str">
        <f t="shared" ca="1" si="34"/>
        <v/>
      </c>
      <c r="R157" s="80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11</v>
      </c>
      <c r="H158" s="88"/>
      <c r="I158" s="90"/>
      <c r="J158" s="91"/>
      <c r="K158" s="64">
        <f t="shared" si="33"/>
        <v>46.2</v>
      </c>
      <c r="L158" s="61"/>
      <c r="M158" s="61"/>
      <c r="N158" s="61"/>
      <c r="O158" s="65"/>
      <c r="P158" s="65"/>
      <c r="Q158" s="66" t="str">
        <f t="shared" ca="1" si="34"/>
        <v/>
      </c>
      <c r="R158" s="80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13</v>
      </c>
      <c r="H159" s="88"/>
      <c r="I159" s="90"/>
      <c r="J159" s="91"/>
      <c r="K159" s="69">
        <f t="shared" si="33"/>
        <v>54.6</v>
      </c>
      <c r="L159" s="70"/>
      <c r="M159" s="70"/>
      <c r="N159" s="70"/>
      <c r="O159" s="65"/>
      <c r="P159" s="65"/>
      <c r="Q159" s="71" t="str">
        <f t="shared" ca="1" si="34"/>
        <v/>
      </c>
      <c r="R159" s="80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13</v>
      </c>
      <c r="H160" s="88"/>
      <c r="I160" s="90"/>
      <c r="J160" s="91"/>
      <c r="K160" s="64">
        <f t="shared" si="33"/>
        <v>54.6</v>
      </c>
      <c r="L160" s="61"/>
      <c r="M160" s="61"/>
      <c r="N160" s="61"/>
      <c r="O160" s="65"/>
      <c r="P160" s="65"/>
      <c r="Q160" s="66" t="str">
        <f t="shared" ca="1" si="34"/>
        <v/>
      </c>
      <c r="R160" s="80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80"/>
      <c r="S161" s="67"/>
    </row>
    <row r="162" spans="1:20" ht="15.75" customHeight="1">
      <c r="A162" s="156" t="s">
        <v>263</v>
      </c>
      <c r="B162" s="156"/>
      <c r="C162" s="156"/>
      <c r="D162" s="156"/>
      <c r="E162" s="156"/>
      <c r="F162" s="105"/>
      <c r="G162" s="96">
        <f>SUM(G150:G161)</f>
        <v>134</v>
      </c>
      <c r="H162" s="105"/>
      <c r="I162" s="106"/>
      <c r="J162" s="107"/>
      <c r="K162" s="2">
        <f>SUM(K150:K161)</f>
        <v>562.80000000000007</v>
      </c>
      <c r="L162" s="72"/>
      <c r="M162" s="72"/>
      <c r="N162" s="72"/>
      <c r="O162" s="72"/>
      <c r="P162" s="72"/>
      <c r="Q162" s="73">
        <f ca="1">IFERROR(SUM(Q150:Q161),"")</f>
        <v>7.7777777777777168E-2</v>
      </c>
      <c r="R162" s="2" t="s">
        <v>261</v>
      </c>
      <c r="S162" s="115">
        <v>501750</v>
      </c>
      <c r="T162" s="116"/>
    </row>
    <row r="163" spans="1:20" ht="18" customHeight="1">
      <c r="A163" s="157" t="s">
        <v>249</v>
      </c>
      <c r="B163" s="157"/>
      <c r="C163" s="157"/>
      <c r="D163" s="157"/>
      <c r="E163" s="157"/>
      <c r="F163" s="108"/>
      <c r="G163" s="109">
        <f>G149+G162</f>
        <v>274</v>
      </c>
      <c r="H163" s="108"/>
      <c r="I163" s="110"/>
      <c r="J163" s="111">
        <f>IFERROR(J149+J162,"")</f>
        <v>0</v>
      </c>
      <c r="K163" s="1">
        <f>K149+K162</f>
        <v>1150.8000000000002</v>
      </c>
      <c r="L163" s="76"/>
      <c r="M163" s="76"/>
      <c r="N163" s="76"/>
      <c r="O163" s="76"/>
      <c r="P163" s="76"/>
      <c r="Q163" s="77">
        <f ca="1">IFERROR(Q149+Q162,"")</f>
        <v>0.25347222222222116</v>
      </c>
      <c r="R163" s="1" t="s">
        <v>264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2</v>
      </c>
      <c r="H164" s="101"/>
      <c r="I164" s="102"/>
      <c r="J164" s="103"/>
      <c r="K164" s="64">
        <f t="shared" ref="K164:K175" si="36">IF(G164="","",IF(E164="PC 17",G164*4.2,IF(E164="PC 19",G164*5,IF(E164="CB",G164*24,""))))</f>
        <v>8.4</v>
      </c>
      <c r="L164" s="61" t="s">
        <v>27</v>
      </c>
      <c r="M164" s="61" t="s">
        <v>48</v>
      </c>
      <c r="N164" s="61" t="s">
        <v>43</v>
      </c>
      <c r="O164" s="65">
        <v>0.29166666666666702</v>
      </c>
      <c r="P164" s="65">
        <v>0.32291666666666702</v>
      </c>
      <c r="Q164" s="66">
        <f t="shared" ref="Q164:Q175" ca="1" si="37">IFERROR(IF(O164="","",IF(P164="",MOD(NOW()-O164,1),IF(P164&gt;=O164,P164-O164,P164+1-O164))),"")</f>
        <v>3.125E-2</v>
      </c>
      <c r="R164" s="80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100" t="s">
        <v>274</v>
      </c>
      <c r="F165" s="88"/>
      <c r="G165" s="89">
        <v>8</v>
      </c>
      <c r="H165" s="88"/>
      <c r="I165" s="90"/>
      <c r="J165" s="91"/>
      <c r="K165" s="69">
        <f t="shared" si="36"/>
        <v>33.6</v>
      </c>
      <c r="L165" s="70" t="s">
        <v>28</v>
      </c>
      <c r="M165" s="70" t="s">
        <v>40</v>
      </c>
      <c r="N165" s="70" t="s">
        <v>36</v>
      </c>
      <c r="O165" s="65">
        <v>0.39305555555555599</v>
      </c>
      <c r="P165" s="65">
        <v>0.421527777777778</v>
      </c>
      <c r="Q165" s="71">
        <f t="shared" ca="1" si="37"/>
        <v>2.847222222222201E-2</v>
      </c>
      <c r="R165" s="80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100" t="s">
        <v>274</v>
      </c>
      <c r="F166" s="88"/>
      <c r="G166" s="89">
        <v>2</v>
      </c>
      <c r="H166" s="88"/>
      <c r="I166" s="90"/>
      <c r="J166" s="91"/>
      <c r="K166" s="64">
        <f t="shared" si="36"/>
        <v>8.4</v>
      </c>
      <c r="L166" s="61" t="s">
        <v>29</v>
      </c>
      <c r="M166" s="61" t="s">
        <v>40</v>
      </c>
      <c r="N166" s="61" t="s">
        <v>45</v>
      </c>
      <c r="O166" s="65">
        <v>0.53819444444444398</v>
      </c>
      <c r="P166" s="65">
        <v>0.54861111111111105</v>
      </c>
      <c r="Q166" s="66">
        <f t="shared" ca="1" si="37"/>
        <v>1.0416666666667074E-2</v>
      </c>
      <c r="R166" s="80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100" t="s">
        <v>274</v>
      </c>
      <c r="F167" s="88"/>
      <c r="G167" s="89">
        <v>6</v>
      </c>
      <c r="H167" s="88"/>
      <c r="I167" s="90"/>
      <c r="J167" s="91"/>
      <c r="K167" s="69">
        <f t="shared" si="36"/>
        <v>25.200000000000003</v>
      </c>
      <c r="L167" s="70" t="s">
        <v>29</v>
      </c>
      <c r="M167" s="70" t="s">
        <v>168</v>
      </c>
      <c r="N167" s="70" t="s">
        <v>83</v>
      </c>
      <c r="O167" s="65">
        <v>0.63194444444444398</v>
      </c>
      <c r="P167" s="65">
        <v>0.63611111111111096</v>
      </c>
      <c r="Q167" s="71">
        <f t="shared" ca="1" si="37"/>
        <v>4.1666666666669849E-3</v>
      </c>
      <c r="R167" s="80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100" t="s">
        <v>274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168</v>
      </c>
      <c r="N168" s="61" t="s">
        <v>83</v>
      </c>
      <c r="O168" s="65">
        <v>0.72222222222222199</v>
      </c>
      <c r="P168" s="65">
        <v>0.73055555555555596</v>
      </c>
      <c r="Q168" s="66">
        <f t="shared" ca="1" si="37"/>
        <v>8.3333333333339699E-3</v>
      </c>
      <c r="R168" s="80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100" t="s">
        <v>274</v>
      </c>
      <c r="F169" s="88"/>
      <c r="G169" s="89">
        <v>9</v>
      </c>
      <c r="H169" s="88"/>
      <c r="I169" s="90"/>
      <c r="J169" s="91"/>
      <c r="K169" s="69">
        <f t="shared" si="36"/>
        <v>37.800000000000004</v>
      </c>
      <c r="L169" s="70"/>
      <c r="M169" s="70"/>
      <c r="N169" s="70"/>
      <c r="O169" s="65"/>
      <c r="P169" s="65"/>
      <c r="Q169" s="71" t="str">
        <f t="shared" ca="1" si="37"/>
        <v/>
      </c>
      <c r="R169" s="80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100" t="s">
        <v>274</v>
      </c>
      <c r="F170" s="88"/>
      <c r="G170" s="89">
        <v>6</v>
      </c>
      <c r="H170" s="88"/>
      <c r="I170" s="90"/>
      <c r="J170" s="91"/>
      <c r="K170" s="64">
        <f t="shared" si="36"/>
        <v>25.200000000000003</v>
      </c>
      <c r="L170" s="61"/>
      <c r="M170" s="61"/>
      <c r="N170" s="61"/>
      <c r="O170" s="65"/>
      <c r="P170" s="65"/>
      <c r="Q170" s="66" t="str">
        <f t="shared" ca="1" si="37"/>
        <v/>
      </c>
      <c r="R170" s="80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100" t="s">
        <v>274</v>
      </c>
      <c r="F171" s="88"/>
      <c r="G171" s="89">
        <v>7</v>
      </c>
      <c r="H171" s="88"/>
      <c r="I171" s="90"/>
      <c r="J171" s="91"/>
      <c r="K171" s="69">
        <f t="shared" si="36"/>
        <v>29.400000000000002</v>
      </c>
      <c r="L171" s="70"/>
      <c r="M171" s="70"/>
      <c r="N171" s="70"/>
      <c r="O171" s="65"/>
      <c r="P171" s="65"/>
      <c r="Q171" s="71" t="str">
        <f t="shared" ca="1" si="37"/>
        <v/>
      </c>
      <c r="R171" s="80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100" t="s">
        <v>274</v>
      </c>
      <c r="F172" s="88"/>
      <c r="G172" s="89">
        <v>6</v>
      </c>
      <c r="H172" s="88"/>
      <c r="I172" s="90"/>
      <c r="J172" s="91"/>
      <c r="K172" s="64">
        <f t="shared" si="36"/>
        <v>25.200000000000003</v>
      </c>
      <c r="L172" s="61"/>
      <c r="M172" s="61"/>
      <c r="N172" s="61"/>
      <c r="O172" s="65"/>
      <c r="P172" s="65"/>
      <c r="Q172" s="66" t="str">
        <f t="shared" ca="1" si="37"/>
        <v/>
      </c>
      <c r="R172" s="80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100" t="s">
        <v>274</v>
      </c>
      <c r="F173" s="88"/>
      <c r="G173" s="89">
        <v>8</v>
      </c>
      <c r="H173" s="88"/>
      <c r="I173" s="90"/>
      <c r="J173" s="91"/>
      <c r="K173" s="69">
        <f t="shared" si="36"/>
        <v>33.6</v>
      </c>
      <c r="L173" s="70"/>
      <c r="M173" s="70"/>
      <c r="N173" s="70"/>
      <c r="O173" s="65"/>
      <c r="P173" s="65"/>
      <c r="Q173" s="71" t="str">
        <f t="shared" ca="1" si="37"/>
        <v/>
      </c>
      <c r="R173" s="80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100" t="s">
        <v>274</v>
      </c>
      <c r="F174" s="88"/>
      <c r="G174" s="89">
        <v>5</v>
      </c>
      <c r="H174" s="88"/>
      <c r="I174" s="90"/>
      <c r="J174" s="91"/>
      <c r="K174" s="64">
        <f t="shared" si="36"/>
        <v>21</v>
      </c>
      <c r="L174" s="61"/>
      <c r="M174" s="61"/>
      <c r="N174" s="61"/>
      <c r="O174" s="65"/>
      <c r="P174" s="65"/>
      <c r="Q174" s="66" t="str">
        <f t="shared" ca="1" si="37"/>
        <v/>
      </c>
      <c r="R174" s="80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100" t="s">
        <v>274</v>
      </c>
      <c r="F175" s="92"/>
      <c r="G175" s="89">
        <v>2</v>
      </c>
      <c r="H175" s="92"/>
      <c r="I175" s="93"/>
      <c r="J175" s="94"/>
      <c r="K175" s="69">
        <f t="shared" si="36"/>
        <v>8.4</v>
      </c>
      <c r="L175" s="70"/>
      <c r="M175" s="70"/>
      <c r="N175" s="70"/>
      <c r="O175" s="65"/>
      <c r="P175" s="65"/>
      <c r="Q175" s="71" t="str">
        <f t="shared" ca="1" si="37"/>
        <v/>
      </c>
      <c r="R175" s="80"/>
      <c r="S175" s="67"/>
    </row>
    <row r="176" spans="1:20" ht="15.75" customHeight="1">
      <c r="A176" s="156" t="s">
        <v>260</v>
      </c>
      <c r="B176" s="156"/>
      <c r="C176" s="156"/>
      <c r="D176" s="156"/>
      <c r="E176" s="156"/>
      <c r="F176" s="95"/>
      <c r="G176" s="96">
        <f>SUM(G164:G175)</f>
        <v>69</v>
      </c>
      <c r="H176" s="95"/>
      <c r="I176" s="97"/>
      <c r="J176" s="98"/>
      <c r="K176" s="2">
        <f>SUM(K164:K175)</f>
        <v>289.8</v>
      </c>
      <c r="L176" s="72"/>
      <c r="M176" s="72"/>
      <c r="N176" s="72"/>
      <c r="O176" s="72"/>
      <c r="P176" s="72"/>
      <c r="Q176" s="73">
        <f ca="1">IFERROR(SUM(Q164:Q175),"")</f>
        <v>8.2638888888890039E-2</v>
      </c>
      <c r="R176" s="2" t="s">
        <v>261</v>
      </c>
      <c r="S176" s="74">
        <v>366290</v>
      </c>
      <c r="T176" s="99"/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40</v>
      </c>
      <c r="N177" s="70" t="s">
        <v>36</v>
      </c>
      <c r="O177" s="65">
        <v>0.79166666666666696</v>
      </c>
      <c r="P177" s="65">
        <v>0.83680555555555602</v>
      </c>
      <c r="Q177" s="71">
        <f t="shared" ref="Q177:Q188" ca="1" si="40">IFERROR(IF(O177="","",IF(P177="",MOD(NOW()-O177,1),IF(P177&gt;=O177,P177-O177,P177+1-O177))),"")</f>
        <v>4.5138888888889062E-2</v>
      </c>
      <c r="R177" s="80" t="s">
        <v>126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87" t="s">
        <v>274</v>
      </c>
      <c r="F178" s="88"/>
      <c r="G178" s="89">
        <v>7</v>
      </c>
      <c r="H178" s="88"/>
      <c r="I178" s="90"/>
      <c r="J178" s="91"/>
      <c r="K178" s="64">
        <f t="shared" si="39"/>
        <v>29.400000000000002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80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19</v>
      </c>
      <c r="H179" s="88"/>
      <c r="I179" s="90"/>
      <c r="J179" s="91"/>
      <c r="K179" s="69">
        <f t="shared" si="39"/>
        <v>79.8</v>
      </c>
      <c r="L179" s="70" t="s">
        <v>29</v>
      </c>
      <c r="M179" s="70" t="s">
        <v>133</v>
      </c>
      <c r="N179" s="70" t="s">
        <v>123</v>
      </c>
      <c r="O179" s="65">
        <v>6.2500000000000003E-3</v>
      </c>
      <c r="P179" s="65">
        <v>2.5694444444444402E-2</v>
      </c>
      <c r="Q179" s="71">
        <f t="shared" ca="1" si="40"/>
        <v>1.9444444444444403E-2</v>
      </c>
      <c r="R179" s="80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87" t="s">
        <v>274</v>
      </c>
      <c r="F180" s="88"/>
      <c r="G180" s="89">
        <v>2</v>
      </c>
      <c r="H180" s="88"/>
      <c r="I180" s="90"/>
      <c r="J180" s="91"/>
      <c r="K180" s="64">
        <f t="shared" si="39"/>
        <v>8.4</v>
      </c>
      <c r="L180" s="61" t="s">
        <v>29</v>
      </c>
      <c r="M180" s="61" t="s">
        <v>159</v>
      </c>
      <c r="N180" s="61" t="s">
        <v>144</v>
      </c>
      <c r="O180" s="65">
        <v>4.5138888888888902E-2</v>
      </c>
      <c r="P180" s="65">
        <v>7.0138888888888903E-2</v>
      </c>
      <c r="Q180" s="66">
        <f t="shared" ca="1" si="40"/>
        <v>2.5000000000000001E-2</v>
      </c>
      <c r="R180" s="80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22</v>
      </c>
      <c r="H181" s="88"/>
      <c r="I181" s="90"/>
      <c r="J181" s="91"/>
      <c r="K181" s="69">
        <f t="shared" si="39"/>
        <v>92.4</v>
      </c>
      <c r="L181" s="70" t="s">
        <v>29</v>
      </c>
      <c r="M181" s="70"/>
      <c r="N181" s="70" t="s">
        <v>83</v>
      </c>
      <c r="O181" s="65">
        <v>8.3333333333333301E-2</v>
      </c>
      <c r="P181" s="65">
        <v>0.15486111111111101</v>
      </c>
      <c r="Q181" s="71">
        <f t="shared" ca="1" si="40"/>
        <v>7.1527777777777704E-2</v>
      </c>
      <c r="R181" s="80" t="s">
        <v>317</v>
      </c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87" t="s">
        <v>274</v>
      </c>
      <c r="F182" s="88"/>
      <c r="G182" s="89">
        <v>6</v>
      </c>
      <c r="H182" s="88"/>
      <c r="I182" s="90"/>
      <c r="J182" s="91"/>
      <c r="K182" s="64">
        <f t="shared" si="39"/>
        <v>25.200000000000003</v>
      </c>
      <c r="L182" s="61" t="s">
        <v>29</v>
      </c>
      <c r="M182" s="61"/>
      <c r="N182" s="61" t="s">
        <v>83</v>
      </c>
      <c r="O182" s="65">
        <v>0.18958333333333299</v>
      </c>
      <c r="P182" s="65">
        <v>0.23263888888888901</v>
      </c>
      <c r="Q182" s="66">
        <f t="shared" ca="1" si="40"/>
        <v>4.3055555555556013E-2</v>
      </c>
      <c r="R182" s="80" t="s">
        <v>314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13</v>
      </c>
      <c r="H183" s="88"/>
      <c r="I183" s="90"/>
      <c r="J183" s="91"/>
      <c r="K183" s="69">
        <f t="shared" si="39"/>
        <v>54.6</v>
      </c>
      <c r="L183" s="70" t="s">
        <v>29</v>
      </c>
      <c r="M183" s="70"/>
      <c r="N183" s="70" t="s">
        <v>83</v>
      </c>
      <c r="O183" s="65">
        <v>0.23958333333333301</v>
      </c>
      <c r="P183" s="65">
        <v>0.28611111111111098</v>
      </c>
      <c r="Q183" s="71">
        <f t="shared" ca="1" si="40"/>
        <v>4.6527777777777973E-2</v>
      </c>
      <c r="R183" s="80" t="s">
        <v>318</v>
      </c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87" t="s">
        <v>274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/>
      <c r="M184" s="61"/>
      <c r="N184" s="61"/>
      <c r="O184" s="65"/>
      <c r="P184" s="65"/>
      <c r="Q184" s="66" t="str">
        <f t="shared" ca="1" si="40"/>
        <v/>
      </c>
      <c r="R184" s="80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3</v>
      </c>
      <c r="H185" s="88"/>
      <c r="I185" s="90"/>
      <c r="J185" s="91"/>
      <c r="K185" s="69">
        <f t="shared" si="39"/>
        <v>12.600000000000001</v>
      </c>
      <c r="L185" s="70"/>
      <c r="M185" s="70"/>
      <c r="N185" s="70"/>
      <c r="O185" s="65"/>
      <c r="P185" s="65"/>
      <c r="Q185" s="71" t="str">
        <f t="shared" ca="1" si="40"/>
        <v/>
      </c>
      <c r="R185" s="80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87" t="s">
        <v>274</v>
      </c>
      <c r="F186" s="88"/>
      <c r="G186" s="89">
        <v>10</v>
      </c>
      <c r="H186" s="88"/>
      <c r="I186" s="90"/>
      <c r="J186" s="91"/>
      <c r="K186" s="64">
        <f t="shared" si="39"/>
        <v>42</v>
      </c>
      <c r="L186" s="61"/>
      <c r="M186" s="61"/>
      <c r="N186" s="61"/>
      <c r="O186" s="65"/>
      <c r="P186" s="65"/>
      <c r="Q186" s="66" t="str">
        <f t="shared" ca="1" si="40"/>
        <v/>
      </c>
      <c r="R186" s="80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0</v>
      </c>
      <c r="H187" s="88"/>
      <c r="I187" s="90"/>
      <c r="J187" s="91"/>
      <c r="K187" s="69">
        <f t="shared" si="39"/>
        <v>0</v>
      </c>
      <c r="L187" s="70"/>
      <c r="M187" s="70"/>
      <c r="N187" s="70"/>
      <c r="O187" s="65"/>
      <c r="P187" s="65"/>
      <c r="Q187" s="71" t="str">
        <f t="shared" ca="1" si="40"/>
        <v/>
      </c>
      <c r="R187" s="80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87" t="s">
        <v>274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80"/>
      <c r="S188" s="67"/>
    </row>
    <row r="189" spans="1:20" ht="15.75" customHeight="1">
      <c r="A189" s="156" t="s">
        <v>263</v>
      </c>
      <c r="B189" s="156"/>
      <c r="C189" s="156"/>
      <c r="D189" s="156"/>
      <c r="E189" s="156"/>
      <c r="F189" s="105"/>
      <c r="G189" s="96">
        <f>SUM(G177:G188)</f>
        <v>84</v>
      </c>
      <c r="H189" s="105"/>
      <c r="I189" s="106"/>
      <c r="J189" s="107"/>
      <c r="K189" s="2">
        <f>SUM(K177:K188)</f>
        <v>352.80000000000007</v>
      </c>
      <c r="L189" s="72"/>
      <c r="M189" s="72"/>
      <c r="N189" s="72"/>
      <c r="O189" s="72"/>
      <c r="P189" s="72"/>
      <c r="Q189" s="73">
        <f ca="1">IFERROR(SUM(Q177:Q188),"")</f>
        <v>0.2881944444444452</v>
      </c>
      <c r="R189" s="2" t="s">
        <v>261</v>
      </c>
      <c r="S189" s="74">
        <v>362530</v>
      </c>
      <c r="T189" s="99"/>
    </row>
    <row r="190" spans="1:20" ht="18" customHeight="1">
      <c r="A190" s="157" t="s">
        <v>249</v>
      </c>
      <c r="B190" s="157"/>
      <c r="C190" s="157"/>
      <c r="D190" s="157"/>
      <c r="E190" s="157"/>
      <c r="F190" s="108"/>
      <c r="G190" s="109">
        <f>G176+G189</f>
        <v>153</v>
      </c>
      <c r="H190" s="108"/>
      <c r="I190" s="110"/>
      <c r="J190" s="111">
        <f>IFERROR(J176+J189,"")</f>
        <v>0</v>
      </c>
      <c r="K190" s="1">
        <f>K176+K189</f>
        <v>642.60000000000014</v>
      </c>
      <c r="L190" s="76"/>
      <c r="M190" s="76"/>
      <c r="N190" s="76"/>
      <c r="O190" s="76"/>
      <c r="P190" s="76"/>
      <c r="Q190" s="77">
        <f ca="1">IFERROR(Q176+Q189,"")</f>
        <v>0.37083333333333524</v>
      </c>
      <c r="R190" s="1" t="s">
        <v>264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2</v>
      </c>
      <c r="H191" s="101"/>
      <c r="I191" s="102"/>
      <c r="J191" s="103"/>
      <c r="K191" s="69">
        <f t="shared" ref="K191:K202" si="42">IF(G191="","",IF(E191="PC 17",G191*4.2,IF(E191="PC 19",G191*5,IF(E191="CB",G191*24,""))))</f>
        <v>8.4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80" t="s">
        <v>319</v>
      </c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17</v>
      </c>
      <c r="H192" s="88"/>
      <c r="I192" s="90"/>
      <c r="J192" s="91"/>
      <c r="K192" s="64">
        <f t="shared" si="42"/>
        <v>71.400000000000006</v>
      </c>
      <c r="L192" s="61" t="s">
        <v>29</v>
      </c>
      <c r="M192" s="61" t="s">
        <v>159</v>
      </c>
      <c r="N192" s="61" t="s">
        <v>193</v>
      </c>
      <c r="O192" s="65">
        <v>0.47499999999999998</v>
      </c>
      <c r="P192" s="65">
        <v>0.48611111111111099</v>
      </c>
      <c r="Q192" s="66">
        <f t="shared" ca="1" si="43"/>
        <v>1.1111111111111016E-2</v>
      </c>
      <c r="R192" s="80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16</v>
      </c>
      <c r="H193" s="88"/>
      <c r="I193" s="90"/>
      <c r="J193" s="91"/>
      <c r="K193" s="69">
        <f t="shared" si="42"/>
        <v>67.2</v>
      </c>
      <c r="L193" s="70" t="s">
        <v>29</v>
      </c>
      <c r="M193" s="70" t="s">
        <v>159</v>
      </c>
      <c r="N193" s="61" t="s">
        <v>193</v>
      </c>
      <c r="O193" s="65">
        <v>0.50694444444444398</v>
      </c>
      <c r="P193" s="65">
        <v>0.53333333333333299</v>
      </c>
      <c r="Q193" s="71">
        <f t="shared" ca="1" si="43"/>
        <v>2.6388888888889017E-2</v>
      </c>
      <c r="R193" s="80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20</v>
      </c>
      <c r="H194" s="88"/>
      <c r="I194" s="90"/>
      <c r="J194" s="91"/>
      <c r="K194" s="64">
        <f t="shared" si="42"/>
        <v>84</v>
      </c>
      <c r="L194" s="61" t="s">
        <v>29</v>
      </c>
      <c r="M194" s="61" t="s">
        <v>48</v>
      </c>
      <c r="N194" s="61" t="s">
        <v>45</v>
      </c>
      <c r="O194" s="65">
        <v>0.5625</v>
      </c>
      <c r="P194" s="65">
        <v>0.56944444444444398</v>
      </c>
      <c r="Q194" s="66">
        <f t="shared" ca="1" si="43"/>
        <v>6.9444444444439757E-3</v>
      </c>
      <c r="R194" s="80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5</v>
      </c>
      <c r="H195" s="88"/>
      <c r="I195" s="90"/>
      <c r="J195" s="91"/>
      <c r="K195" s="69">
        <f t="shared" si="42"/>
        <v>21</v>
      </c>
      <c r="L195" s="70" t="s">
        <v>29</v>
      </c>
      <c r="M195" s="70" t="s">
        <v>48</v>
      </c>
      <c r="N195" s="70" t="s">
        <v>45</v>
      </c>
      <c r="O195" s="65">
        <v>0.60416666666666696</v>
      </c>
      <c r="P195" s="65">
        <v>0.63472222222222197</v>
      </c>
      <c r="Q195" s="71">
        <f t="shared" ca="1" si="43"/>
        <v>3.0555555555555003E-2</v>
      </c>
      <c r="R195" s="80" t="s">
        <v>312</v>
      </c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13</v>
      </c>
      <c r="H196" s="88"/>
      <c r="I196" s="90"/>
      <c r="J196" s="91"/>
      <c r="K196" s="64">
        <f t="shared" si="42"/>
        <v>54.6</v>
      </c>
      <c r="L196" s="61" t="s">
        <v>27</v>
      </c>
      <c r="M196" s="61" t="s">
        <v>48</v>
      </c>
      <c r="N196" s="61" t="s">
        <v>177</v>
      </c>
      <c r="O196" s="65">
        <v>0.67361111111111105</v>
      </c>
      <c r="P196" s="65">
        <v>0.68125000000000002</v>
      </c>
      <c r="Q196" s="66">
        <f t="shared" ca="1" si="43"/>
        <v>7.6388888888889728E-3</v>
      </c>
      <c r="R196" s="80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10</v>
      </c>
      <c r="H197" s="88"/>
      <c r="I197" s="90"/>
      <c r="J197" s="91"/>
      <c r="K197" s="69">
        <f t="shared" si="42"/>
        <v>42</v>
      </c>
      <c r="L197" s="70" t="s">
        <v>29</v>
      </c>
      <c r="M197" s="70" t="s">
        <v>133</v>
      </c>
      <c r="N197" s="70" t="s">
        <v>123</v>
      </c>
      <c r="O197" s="65">
        <v>0.71666666666666701</v>
      </c>
      <c r="P197" s="65">
        <v>0.72499999999999998</v>
      </c>
      <c r="Q197" s="71">
        <f t="shared" ca="1" si="43"/>
        <v>8.3333333333329707E-3</v>
      </c>
      <c r="R197" s="80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9</v>
      </c>
      <c r="H198" s="88"/>
      <c r="I198" s="90"/>
      <c r="J198" s="91"/>
      <c r="K198" s="64">
        <f t="shared" si="42"/>
        <v>37.800000000000004</v>
      </c>
      <c r="L198" s="61" t="s">
        <v>29</v>
      </c>
      <c r="M198" s="61" t="s">
        <v>133</v>
      </c>
      <c r="N198" s="70" t="s">
        <v>123</v>
      </c>
      <c r="O198" s="65">
        <v>0.73680555555555605</v>
      </c>
      <c r="P198" s="65">
        <v>0.74444444444444502</v>
      </c>
      <c r="Q198" s="66">
        <f t="shared" ca="1" si="43"/>
        <v>7.6388888888889728E-3</v>
      </c>
      <c r="R198" s="80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9</v>
      </c>
      <c r="H199" s="88"/>
      <c r="I199" s="90"/>
      <c r="J199" s="91"/>
      <c r="K199" s="69">
        <f t="shared" si="42"/>
        <v>37.800000000000004</v>
      </c>
      <c r="L199" s="70"/>
      <c r="M199" s="70"/>
      <c r="N199" s="70"/>
      <c r="O199" s="65"/>
      <c r="P199" s="65"/>
      <c r="Q199" s="71" t="str">
        <f t="shared" ca="1" si="43"/>
        <v/>
      </c>
      <c r="R199" s="80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19</v>
      </c>
      <c r="H200" s="88"/>
      <c r="I200" s="90"/>
      <c r="J200" s="91"/>
      <c r="K200" s="64">
        <f t="shared" si="42"/>
        <v>79.8</v>
      </c>
      <c r="L200" s="61"/>
      <c r="M200" s="61"/>
      <c r="N200" s="61"/>
      <c r="O200" s="65"/>
      <c r="P200" s="65"/>
      <c r="Q200" s="66" t="str">
        <f t="shared" ca="1" si="43"/>
        <v/>
      </c>
      <c r="R200" s="80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6</v>
      </c>
      <c r="H201" s="88"/>
      <c r="I201" s="90"/>
      <c r="J201" s="91"/>
      <c r="K201" s="69">
        <f t="shared" si="42"/>
        <v>25.200000000000003</v>
      </c>
      <c r="L201" s="70"/>
      <c r="M201" s="70"/>
      <c r="N201" s="70"/>
      <c r="O201" s="65"/>
      <c r="P201" s="65"/>
      <c r="Q201" s="71" t="str">
        <f t="shared" ca="1" si="43"/>
        <v/>
      </c>
      <c r="R201" s="80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7</v>
      </c>
      <c r="H202" s="92"/>
      <c r="I202" s="93"/>
      <c r="J202" s="94"/>
      <c r="K202" s="64">
        <f t="shared" si="42"/>
        <v>29.400000000000002</v>
      </c>
      <c r="L202" s="61"/>
      <c r="M202" s="61"/>
      <c r="N202" s="61"/>
      <c r="O202" s="65"/>
      <c r="P202" s="65"/>
      <c r="Q202" s="66" t="str">
        <f t="shared" ca="1" si="43"/>
        <v/>
      </c>
      <c r="R202" s="80"/>
      <c r="S202" s="67"/>
    </row>
    <row r="203" spans="1:20" ht="15.75" customHeight="1">
      <c r="A203" s="156" t="s">
        <v>260</v>
      </c>
      <c r="B203" s="156"/>
      <c r="C203" s="156"/>
      <c r="D203" s="156"/>
      <c r="E203" s="156"/>
      <c r="F203" s="95"/>
      <c r="G203" s="96">
        <f>SUM(G191:G202)</f>
        <v>133</v>
      </c>
      <c r="H203" s="95"/>
      <c r="I203" s="97"/>
      <c r="J203" s="98"/>
      <c r="K203" s="2">
        <f>SUM(K191:K202)</f>
        <v>558.6</v>
      </c>
      <c r="L203" s="72"/>
      <c r="M203" s="72"/>
      <c r="N203" s="72"/>
      <c r="O203" s="72"/>
      <c r="P203" s="72"/>
      <c r="Q203" s="73">
        <f ca="1">IFERROR(SUM(Q191:Q202),"")</f>
        <v>0.14027777777777589</v>
      </c>
      <c r="R203" s="2" t="s">
        <v>261</v>
      </c>
      <c r="S203" s="74">
        <v>601390</v>
      </c>
      <c r="T203" s="99"/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16</v>
      </c>
      <c r="H204" s="101"/>
      <c r="I204" s="102"/>
      <c r="J204" s="103"/>
      <c r="K204" s="64">
        <f t="shared" ref="K204:K215" si="45">IF(G204="","",IF(E204="PC 17",G204*4.2,IF(E204="PC 19",G204*5,IF(E204="CB",G204*24,""))))</f>
        <v>67.2</v>
      </c>
      <c r="L204" s="61" t="s">
        <v>29</v>
      </c>
      <c r="M204" s="61"/>
      <c r="N204" s="61" t="s">
        <v>83</v>
      </c>
      <c r="O204" s="65">
        <v>0.88680555555555596</v>
      </c>
      <c r="P204" s="65">
        <v>0.89930555555555602</v>
      </c>
      <c r="Q204" s="66">
        <f t="shared" ref="Q204:Q215" ca="1" si="46">IFERROR(IF(O204="","",IF(P204="",MOD(NOW()-O204,1),IF(P204&gt;=O204,P204-O204,P204+1-O204))),"")</f>
        <v>1.2500000000000067E-2</v>
      </c>
      <c r="R204" s="80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11</v>
      </c>
      <c r="H205" s="88"/>
      <c r="I205" s="90"/>
      <c r="J205" s="91"/>
      <c r="K205" s="69">
        <f t="shared" si="45"/>
        <v>46.2</v>
      </c>
      <c r="L205" s="70" t="s">
        <v>28</v>
      </c>
      <c r="M205" s="70" t="s">
        <v>170</v>
      </c>
      <c r="N205" s="70" t="s">
        <v>36</v>
      </c>
      <c r="O205" s="65">
        <v>0.93263888888888902</v>
      </c>
      <c r="P205" s="65">
        <v>0.96666666666666701</v>
      </c>
      <c r="Q205" s="71">
        <f t="shared" ca="1" si="46"/>
        <v>3.402777777777799E-2</v>
      </c>
      <c r="R205" s="80"/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10</v>
      </c>
      <c r="H206" s="88"/>
      <c r="I206" s="90"/>
      <c r="J206" s="91"/>
      <c r="K206" s="64">
        <f t="shared" si="45"/>
        <v>42</v>
      </c>
      <c r="L206" s="61" t="s">
        <v>28</v>
      </c>
      <c r="M206" s="61" t="s">
        <v>170</v>
      </c>
      <c r="N206" s="61" t="s">
        <v>36</v>
      </c>
      <c r="O206" s="65">
        <v>0.227083333333333</v>
      </c>
      <c r="P206" s="65">
        <v>0.25</v>
      </c>
      <c r="Q206" s="66">
        <f t="shared" ca="1" si="46"/>
        <v>2.2916666666667002E-2</v>
      </c>
      <c r="R206" s="80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8</v>
      </c>
      <c r="H207" s="88"/>
      <c r="I207" s="90"/>
      <c r="J207" s="91"/>
      <c r="K207" s="69">
        <f t="shared" si="45"/>
        <v>33.6</v>
      </c>
      <c r="L207" s="70"/>
      <c r="M207" s="70"/>
      <c r="N207" s="70"/>
      <c r="O207" s="65"/>
      <c r="P207" s="65"/>
      <c r="Q207" s="71" t="str">
        <f t="shared" ca="1" si="46"/>
        <v/>
      </c>
      <c r="R207" s="80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17</v>
      </c>
      <c r="H208" s="88"/>
      <c r="I208" s="90"/>
      <c r="J208" s="91"/>
      <c r="K208" s="64">
        <f t="shared" si="45"/>
        <v>71.400000000000006</v>
      </c>
      <c r="L208" s="61"/>
      <c r="M208" s="61"/>
      <c r="N208" s="61"/>
      <c r="O208" s="65"/>
      <c r="P208" s="65"/>
      <c r="Q208" s="66" t="str">
        <f t="shared" ca="1" si="46"/>
        <v/>
      </c>
      <c r="R208" s="80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12</v>
      </c>
      <c r="H209" s="88"/>
      <c r="I209" s="90"/>
      <c r="J209" s="91"/>
      <c r="K209" s="69">
        <f t="shared" si="45"/>
        <v>50.400000000000006</v>
      </c>
      <c r="L209" s="70"/>
      <c r="M209" s="70"/>
      <c r="N209" s="70"/>
      <c r="O209" s="65"/>
      <c r="P209" s="65"/>
      <c r="Q209" s="71" t="str">
        <f t="shared" ca="1" si="46"/>
        <v/>
      </c>
      <c r="R209" s="80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12</v>
      </c>
      <c r="H210" s="88"/>
      <c r="I210" s="90"/>
      <c r="J210" s="91"/>
      <c r="K210" s="64">
        <f t="shared" si="45"/>
        <v>50.400000000000006</v>
      </c>
      <c r="L210" s="61"/>
      <c r="M210" s="61"/>
      <c r="N210" s="61"/>
      <c r="O210" s="65"/>
      <c r="P210" s="65"/>
      <c r="Q210" s="66" t="str">
        <f t="shared" ca="1" si="46"/>
        <v/>
      </c>
      <c r="R210" s="80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15</v>
      </c>
      <c r="H211" s="88"/>
      <c r="I211" s="90"/>
      <c r="J211" s="91"/>
      <c r="K211" s="69">
        <f t="shared" si="45"/>
        <v>63</v>
      </c>
      <c r="L211" s="70"/>
      <c r="M211" s="70"/>
      <c r="N211" s="70"/>
      <c r="O211" s="65"/>
      <c r="P211" s="65"/>
      <c r="Q211" s="71" t="str">
        <f t="shared" ca="1" si="46"/>
        <v/>
      </c>
      <c r="R211" s="80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16</v>
      </c>
      <c r="H212" s="88"/>
      <c r="I212" s="90"/>
      <c r="J212" s="91"/>
      <c r="K212" s="64">
        <f t="shared" si="45"/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80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15</v>
      </c>
      <c r="H213" s="88"/>
      <c r="I213" s="90"/>
      <c r="J213" s="91"/>
      <c r="K213" s="69">
        <f t="shared" si="45"/>
        <v>63</v>
      </c>
      <c r="L213" s="70"/>
      <c r="M213" s="70"/>
      <c r="N213" s="70"/>
      <c r="O213" s="65"/>
      <c r="P213" s="65"/>
      <c r="Q213" s="71" t="str">
        <f t="shared" ca="1" si="46"/>
        <v/>
      </c>
      <c r="R213" s="80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0</v>
      </c>
      <c r="H214" s="88"/>
      <c r="I214" s="90"/>
      <c r="J214" s="91"/>
      <c r="K214" s="64">
        <f t="shared" si="45"/>
        <v>0</v>
      </c>
      <c r="L214" s="61"/>
      <c r="M214" s="61"/>
      <c r="N214" s="61"/>
      <c r="O214" s="65"/>
      <c r="P214" s="65"/>
      <c r="Q214" s="66" t="str">
        <f t="shared" ca="1" si="46"/>
        <v/>
      </c>
      <c r="R214" s="80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9</v>
      </c>
      <c r="H215" s="92"/>
      <c r="I215" s="93"/>
      <c r="J215" s="94"/>
      <c r="K215" s="69">
        <f t="shared" si="45"/>
        <v>37.800000000000004</v>
      </c>
      <c r="L215" s="70"/>
      <c r="M215" s="70"/>
      <c r="N215" s="70"/>
      <c r="O215" s="65"/>
      <c r="P215" s="65"/>
      <c r="Q215" s="71" t="str">
        <f t="shared" ca="1" si="46"/>
        <v/>
      </c>
      <c r="R215" s="80"/>
      <c r="S215" s="81"/>
    </row>
    <row r="216" spans="1:20" ht="15.75" customHeight="1">
      <c r="A216" s="156" t="s">
        <v>263</v>
      </c>
      <c r="B216" s="156"/>
      <c r="C216" s="156"/>
      <c r="D216" s="156"/>
      <c r="E216" s="156"/>
      <c r="F216" s="105"/>
      <c r="G216" s="96">
        <f>SUM(G204:G215)</f>
        <v>141</v>
      </c>
      <c r="H216" s="105"/>
      <c r="I216" s="106"/>
      <c r="J216" s="107"/>
      <c r="K216" s="2">
        <f>SUM(K204:K215)</f>
        <v>592.19999999999982</v>
      </c>
      <c r="L216" s="72"/>
      <c r="M216" s="72"/>
      <c r="N216" s="72"/>
      <c r="O216" s="72"/>
      <c r="P216" s="72"/>
      <c r="Q216" s="73">
        <f ca="1">IFERROR(SUM(Q204:Q215),"")</f>
        <v>6.9444444444445058E-2</v>
      </c>
      <c r="R216" s="2" t="s">
        <v>261</v>
      </c>
      <c r="S216" s="74">
        <v>609740</v>
      </c>
      <c r="T216" s="99"/>
    </row>
    <row r="217" spans="1:20" ht="18" customHeight="1">
      <c r="A217" s="157" t="s">
        <v>249</v>
      </c>
      <c r="B217" s="157"/>
      <c r="C217" s="157"/>
      <c r="D217" s="157"/>
      <c r="E217" s="157"/>
      <c r="F217" s="108"/>
      <c r="G217" s="109">
        <f>G203+G216</f>
        <v>274</v>
      </c>
      <c r="H217" s="108"/>
      <c r="I217" s="110"/>
      <c r="J217" s="111">
        <f>IFERROR(J203+J216,"")</f>
        <v>0</v>
      </c>
      <c r="K217" s="1">
        <f>K203+K216</f>
        <v>1150.7999999999997</v>
      </c>
      <c r="L217" s="76"/>
      <c r="M217" s="76"/>
      <c r="N217" s="76"/>
      <c r="O217" s="76"/>
      <c r="P217" s="76"/>
      <c r="Q217" s="77">
        <f ca="1">IFERROR(Q203+Q216,"")</f>
        <v>0.20972222222222095</v>
      </c>
      <c r="R217" s="1" t="s">
        <v>264</v>
      </c>
      <c r="S217" s="82">
        <f>IFERROR(S203+S216,"")</f>
        <v>1211130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18</v>
      </c>
      <c r="H218" s="101"/>
      <c r="I218" s="102"/>
      <c r="J218" s="103"/>
      <c r="K218" s="64">
        <f t="shared" ref="K218:K229" si="48">IF(G218="","",IF(E218="PC 17",G218*4.2,IF(E218="PC 19",G218*5,IF(E218="CB",G218*24,""))))</f>
        <v>75.600000000000009</v>
      </c>
      <c r="L218" s="61" t="s">
        <v>27</v>
      </c>
      <c r="M218" s="61" t="s">
        <v>40</v>
      </c>
      <c r="N218" s="70" t="s">
        <v>182</v>
      </c>
      <c r="O218" s="65">
        <v>0.29166666666666702</v>
      </c>
      <c r="P218" s="65">
        <v>0.32291666666666702</v>
      </c>
      <c r="Q218" s="66">
        <f t="shared" ref="Q218:Q229" ca="1" si="49">IFERROR(IF(O218="","",IF(P218="",MOD(NOW()-O218,1),IF(P218&gt;=O218,P218-O218,P218+1-O218))),"")</f>
        <v>3.125E-2</v>
      </c>
      <c r="R218" s="80" t="s">
        <v>307</v>
      </c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8</v>
      </c>
      <c r="H219" s="88"/>
      <c r="I219" s="90"/>
      <c r="J219" s="91"/>
      <c r="K219" s="69">
        <f t="shared" si="48"/>
        <v>33.6</v>
      </c>
      <c r="L219" s="70" t="s">
        <v>28</v>
      </c>
      <c r="M219" s="70" t="s">
        <v>40</v>
      </c>
      <c r="N219" s="70" t="s">
        <v>44</v>
      </c>
      <c r="O219" s="65">
        <v>0.32291666666666702</v>
      </c>
      <c r="P219" s="65">
        <v>0.36111111111111099</v>
      </c>
      <c r="Q219" s="71">
        <f t="shared" ca="1" si="49"/>
        <v>3.8194444444443976E-2</v>
      </c>
      <c r="R219" s="80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7</v>
      </c>
      <c r="H220" s="88"/>
      <c r="I220" s="90"/>
      <c r="J220" s="91"/>
      <c r="K220" s="64">
        <f t="shared" si="48"/>
        <v>29.400000000000002</v>
      </c>
      <c r="L220" s="61" t="s">
        <v>28</v>
      </c>
      <c r="M220" s="61" t="s">
        <v>40</v>
      </c>
      <c r="N220" s="61" t="s">
        <v>59</v>
      </c>
      <c r="O220" s="65">
        <v>0.50833333333333297</v>
      </c>
      <c r="P220" s="65">
        <v>0.52083333333333304</v>
      </c>
      <c r="Q220" s="66">
        <f t="shared" ca="1" si="49"/>
        <v>1.2500000000000067E-2</v>
      </c>
      <c r="R220" s="80" t="s">
        <v>262</v>
      </c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17</v>
      </c>
      <c r="H221" s="88"/>
      <c r="I221" s="90"/>
      <c r="J221" s="91"/>
      <c r="K221" s="69">
        <f t="shared" si="48"/>
        <v>71.400000000000006</v>
      </c>
      <c r="L221" s="70" t="s">
        <v>28</v>
      </c>
      <c r="M221" s="70" t="s">
        <v>40</v>
      </c>
      <c r="N221" s="70" t="s">
        <v>87</v>
      </c>
      <c r="O221" s="65">
        <v>0.52083333333333304</v>
      </c>
      <c r="P221" s="65">
        <v>0.55486111111111103</v>
      </c>
      <c r="Q221" s="71">
        <f t="shared" ca="1" si="49"/>
        <v>3.402777777777799E-2</v>
      </c>
      <c r="R221" s="80" t="s">
        <v>320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28</v>
      </c>
      <c r="M222" s="61" t="s">
        <v>48</v>
      </c>
      <c r="N222" s="61" t="s">
        <v>36</v>
      </c>
      <c r="O222" s="65">
        <v>0.63819444444444395</v>
      </c>
      <c r="P222" s="65">
        <v>0.65277777777777801</v>
      </c>
      <c r="Q222" s="66">
        <f t="shared" ca="1" si="49"/>
        <v>1.4583333333334059E-2</v>
      </c>
      <c r="R222" s="80"/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13</v>
      </c>
      <c r="H223" s="88"/>
      <c r="I223" s="90"/>
      <c r="J223" s="91"/>
      <c r="K223" s="69">
        <f t="shared" si="48"/>
        <v>54.6</v>
      </c>
      <c r="L223" s="70" t="s">
        <v>27</v>
      </c>
      <c r="M223" s="70" t="s">
        <v>145</v>
      </c>
      <c r="N223" s="70"/>
      <c r="O223" s="65">
        <v>0.67777777777777803</v>
      </c>
      <c r="P223" s="65">
        <v>0.68472222222222201</v>
      </c>
      <c r="Q223" s="71">
        <f t="shared" ca="1" si="49"/>
        <v>6.9444444444439757E-3</v>
      </c>
      <c r="R223" s="80" t="s">
        <v>321</v>
      </c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 t="s">
        <v>27</v>
      </c>
      <c r="M224" s="61" t="s">
        <v>145</v>
      </c>
      <c r="N224" s="61" t="s">
        <v>70</v>
      </c>
      <c r="O224" s="65">
        <v>0.69930555555555596</v>
      </c>
      <c r="P224" s="65">
        <v>0.71111111111111103</v>
      </c>
      <c r="Q224" s="66">
        <f t="shared" ca="1" si="49"/>
        <v>1.180555555555507E-2</v>
      </c>
      <c r="R224" s="80" t="s">
        <v>322</v>
      </c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80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12</v>
      </c>
      <c r="H226" s="88"/>
      <c r="I226" s="90"/>
      <c r="J226" s="91"/>
      <c r="K226" s="64">
        <f t="shared" si="48"/>
        <v>50.400000000000006</v>
      </c>
      <c r="L226" s="61"/>
      <c r="M226" s="61"/>
      <c r="N226" s="61"/>
      <c r="O226" s="65"/>
      <c r="P226" s="65"/>
      <c r="Q226" s="66" t="str">
        <f t="shared" ca="1" si="49"/>
        <v/>
      </c>
      <c r="R226" s="80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10</v>
      </c>
      <c r="H227" s="88"/>
      <c r="I227" s="90"/>
      <c r="J227" s="91"/>
      <c r="K227" s="69">
        <f t="shared" si="48"/>
        <v>42</v>
      </c>
      <c r="L227" s="70"/>
      <c r="M227" s="70"/>
      <c r="N227" s="70"/>
      <c r="O227" s="65"/>
      <c r="P227" s="65"/>
      <c r="Q227" s="71" t="str">
        <f t="shared" ca="1" si="49"/>
        <v/>
      </c>
      <c r="R227" s="80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10</v>
      </c>
      <c r="H228" s="88"/>
      <c r="I228" s="90"/>
      <c r="J228" s="91"/>
      <c r="K228" s="64">
        <f t="shared" si="48"/>
        <v>42</v>
      </c>
      <c r="L228" s="61"/>
      <c r="M228" s="61"/>
      <c r="N228" s="61"/>
      <c r="O228" s="65"/>
      <c r="P228" s="65"/>
      <c r="Q228" s="66" t="str">
        <f t="shared" ca="1" si="49"/>
        <v/>
      </c>
      <c r="R228" s="80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80"/>
      <c r="S229" s="81"/>
    </row>
    <row r="230" spans="1:20" ht="15.75" customHeight="1">
      <c r="A230" s="156" t="s">
        <v>260</v>
      </c>
      <c r="B230" s="156"/>
      <c r="C230" s="156"/>
      <c r="D230" s="156"/>
      <c r="E230" s="156"/>
      <c r="F230" s="95"/>
      <c r="G230" s="96">
        <f>SUM(G218:G229)</f>
        <v>134</v>
      </c>
      <c r="H230" s="95"/>
      <c r="I230" s="97"/>
      <c r="J230" s="98"/>
      <c r="K230" s="2">
        <f>SUM(K218:K229)</f>
        <v>566.80000000000007</v>
      </c>
      <c r="L230" s="72"/>
      <c r="M230" s="72"/>
      <c r="N230" s="72"/>
      <c r="O230" s="72"/>
      <c r="P230" s="72"/>
      <c r="Q230" s="73">
        <f ca="1">IFERROR(SUM(Q218:Q229),"")</f>
        <v>0.14930555555555514</v>
      </c>
      <c r="R230" s="2" t="s">
        <v>261</v>
      </c>
      <c r="S230" s="74">
        <v>503310</v>
      </c>
      <c r="T230" s="99"/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15</v>
      </c>
      <c r="H231" s="101"/>
      <c r="I231" s="102"/>
      <c r="J231" s="103"/>
      <c r="K231" s="69">
        <f t="shared" ref="K231:K242" si="51">IF(G231="","",IF(E231="PC 17",G231*4.2,IF(E231="PC 19",G231*5,IF(E231="CB",G231*24,""))))</f>
        <v>63</v>
      </c>
      <c r="L231" s="70" t="s">
        <v>29</v>
      </c>
      <c r="M231" s="70" t="s">
        <v>48</v>
      </c>
      <c r="N231" s="70" t="s">
        <v>45</v>
      </c>
      <c r="O231" s="65">
        <v>0.81111111111111101</v>
      </c>
      <c r="P231" s="65">
        <v>0.83680555555555602</v>
      </c>
      <c r="Q231" s="71">
        <f t="shared" ref="Q231:Q242" ca="1" si="52">IFERROR(IF(O231="","",IF(P231="",MOD(NOW()-O231,1),IF(P231&gt;=O231,P231-O231,P231+1-O231))),"")</f>
        <v>2.5694444444445019E-2</v>
      </c>
      <c r="R231" s="80" t="s">
        <v>262</v>
      </c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11</v>
      </c>
      <c r="H232" s="88"/>
      <c r="I232" s="90"/>
      <c r="J232" s="91"/>
      <c r="K232" s="64">
        <f t="shared" si="51"/>
        <v>55</v>
      </c>
      <c r="L232" s="61" t="s">
        <v>28</v>
      </c>
      <c r="M232" s="61" t="s">
        <v>170</v>
      </c>
      <c r="N232" s="61" t="s">
        <v>36</v>
      </c>
      <c r="O232" s="65">
        <v>0.94722222222222197</v>
      </c>
      <c r="P232" s="65">
        <v>0.968055555555556</v>
      </c>
      <c r="Q232" s="66">
        <f t="shared" ca="1" si="52"/>
        <v>2.0833333333334036E-2</v>
      </c>
      <c r="R232" s="80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13</v>
      </c>
      <c r="H233" s="88"/>
      <c r="I233" s="90"/>
      <c r="J233" s="91"/>
      <c r="K233" s="69">
        <f t="shared" si="51"/>
        <v>54.6</v>
      </c>
      <c r="L233" s="70" t="s">
        <v>29</v>
      </c>
      <c r="M233" s="70" t="s">
        <v>48</v>
      </c>
      <c r="N233" s="70" t="s">
        <v>45</v>
      </c>
      <c r="O233" s="65">
        <v>0.16111111111111101</v>
      </c>
      <c r="P233" s="65">
        <v>0.17013888888888901</v>
      </c>
      <c r="Q233" s="71">
        <f t="shared" ca="1" si="52"/>
        <v>9.0277777777779955E-3</v>
      </c>
      <c r="R233" s="80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8</v>
      </c>
      <c r="H234" s="88"/>
      <c r="I234" s="90"/>
      <c r="J234" s="91"/>
      <c r="K234" s="64">
        <f t="shared" si="51"/>
        <v>40</v>
      </c>
      <c r="L234" s="61" t="s">
        <v>28</v>
      </c>
      <c r="M234" s="61" t="s">
        <v>170</v>
      </c>
      <c r="N234" s="61" t="s">
        <v>36</v>
      </c>
      <c r="O234" s="65">
        <v>0.22083333333333299</v>
      </c>
      <c r="P234" s="65">
        <v>0.23611111111111099</v>
      </c>
      <c r="Q234" s="66">
        <f t="shared" ca="1" si="52"/>
        <v>1.5277777777778001E-2</v>
      </c>
      <c r="R234" s="80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10</v>
      </c>
      <c r="H235" s="88"/>
      <c r="I235" s="90"/>
      <c r="J235" s="91"/>
      <c r="K235" s="69">
        <f t="shared" si="51"/>
        <v>50</v>
      </c>
      <c r="L235" s="70"/>
      <c r="M235" s="70"/>
      <c r="N235" s="70"/>
      <c r="O235" s="65"/>
      <c r="P235" s="65"/>
      <c r="Q235" s="71" t="str">
        <f t="shared" ca="1" si="52"/>
        <v/>
      </c>
      <c r="R235" s="80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80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16</v>
      </c>
      <c r="H237" s="88"/>
      <c r="I237" s="90"/>
      <c r="J237" s="91"/>
      <c r="K237" s="69">
        <f t="shared" si="51"/>
        <v>80</v>
      </c>
      <c r="L237" s="70"/>
      <c r="M237" s="70"/>
      <c r="N237" s="70"/>
      <c r="O237" s="65"/>
      <c r="P237" s="65"/>
      <c r="Q237" s="71" t="str">
        <f t="shared" ca="1" si="52"/>
        <v/>
      </c>
      <c r="R237" s="80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18</v>
      </c>
      <c r="H238" s="88"/>
      <c r="I238" s="90"/>
      <c r="J238" s="91"/>
      <c r="K238" s="64">
        <f t="shared" si="51"/>
        <v>90</v>
      </c>
      <c r="L238" s="61"/>
      <c r="M238" s="61"/>
      <c r="N238" s="61"/>
      <c r="O238" s="65"/>
      <c r="P238" s="65"/>
      <c r="Q238" s="66" t="str">
        <f t="shared" ca="1" si="52"/>
        <v/>
      </c>
      <c r="R238" s="80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14</v>
      </c>
      <c r="H239" s="88"/>
      <c r="I239" s="90"/>
      <c r="J239" s="91"/>
      <c r="K239" s="69">
        <f t="shared" si="51"/>
        <v>70</v>
      </c>
      <c r="L239" s="70"/>
      <c r="M239" s="70"/>
      <c r="N239" s="70"/>
      <c r="O239" s="65"/>
      <c r="P239" s="65"/>
      <c r="Q239" s="71" t="str">
        <f t="shared" ca="1" si="52"/>
        <v/>
      </c>
      <c r="R239" s="80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80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6</v>
      </c>
      <c r="H241" s="88"/>
      <c r="I241" s="90"/>
      <c r="J241" s="91"/>
      <c r="K241" s="69">
        <f t="shared" si="51"/>
        <v>30</v>
      </c>
      <c r="L241" s="70"/>
      <c r="M241" s="70"/>
      <c r="N241" s="70"/>
      <c r="O241" s="65"/>
      <c r="P241" s="65"/>
      <c r="Q241" s="71" t="str">
        <f t="shared" ca="1" si="52"/>
        <v/>
      </c>
      <c r="R241" s="80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3</v>
      </c>
      <c r="H242" s="92"/>
      <c r="I242" s="93"/>
      <c r="J242" s="94"/>
      <c r="K242" s="64">
        <f t="shared" si="51"/>
        <v>15</v>
      </c>
      <c r="L242" s="61"/>
      <c r="M242" s="61"/>
      <c r="N242" s="61"/>
      <c r="O242" s="65"/>
      <c r="P242" s="65"/>
      <c r="Q242" s="66" t="str">
        <f t="shared" ca="1" si="52"/>
        <v/>
      </c>
      <c r="R242" s="80"/>
      <c r="S242" s="81"/>
    </row>
    <row r="243" spans="1:20" ht="15.75" customHeight="1">
      <c r="A243" s="156" t="s">
        <v>263</v>
      </c>
      <c r="B243" s="156"/>
      <c r="C243" s="156"/>
      <c r="D243" s="156"/>
      <c r="E243" s="156"/>
      <c r="F243" s="105"/>
      <c r="G243" s="96">
        <f>SUM(G231:G242)</f>
        <v>137</v>
      </c>
      <c r="H243" s="105"/>
      <c r="I243" s="106"/>
      <c r="J243" s="107"/>
      <c r="K243" s="2">
        <f>SUM(K231:K242)</f>
        <v>662.6</v>
      </c>
      <c r="L243" s="72"/>
      <c r="M243" s="72"/>
      <c r="N243" s="72"/>
      <c r="O243" s="72"/>
      <c r="P243" s="72"/>
      <c r="Q243" s="73">
        <f ca="1">IFERROR(SUM(Q231:Q242),"")</f>
        <v>7.0833333333335052E-2</v>
      </c>
      <c r="R243" s="2" t="s">
        <v>261</v>
      </c>
      <c r="S243" s="74">
        <v>825930</v>
      </c>
      <c r="T243" s="99"/>
    </row>
    <row r="244" spans="1:20" ht="18" customHeight="1">
      <c r="A244" s="157" t="s">
        <v>249</v>
      </c>
      <c r="B244" s="157"/>
      <c r="C244" s="157"/>
      <c r="D244" s="157"/>
      <c r="E244" s="157"/>
      <c r="F244" s="108"/>
      <c r="G244" s="109">
        <f>G230+G243</f>
        <v>271</v>
      </c>
      <c r="H244" s="108"/>
      <c r="I244" s="110"/>
      <c r="J244" s="111">
        <f>IFERROR(J230+J243,"")</f>
        <v>0</v>
      </c>
      <c r="K244" s="1">
        <f>K230+K243</f>
        <v>1229.4000000000001</v>
      </c>
      <c r="L244" s="76"/>
      <c r="M244" s="76"/>
      <c r="N244" s="76"/>
      <c r="O244" s="76"/>
      <c r="P244" s="76"/>
      <c r="Q244" s="77">
        <f ca="1">IFERROR(Q230+Q243,"")</f>
        <v>0.22013888888889019</v>
      </c>
      <c r="R244" s="1" t="s">
        <v>264</v>
      </c>
      <c r="S244" s="82">
        <f>IFERROR(S230+S243,"")</f>
        <v>1329240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23</v>
      </c>
      <c r="H245" s="101"/>
      <c r="I245" s="102"/>
      <c r="J245" s="103"/>
      <c r="K245" s="64">
        <f t="shared" ref="K245:K256" si="54">IF(G245="","",IF(E245="PC 17",G245*4.2,IF(E245="PC 19",G245*5,IF(E245="CB",G245*24,""))))</f>
        <v>115</v>
      </c>
      <c r="L245" s="70" t="s">
        <v>27</v>
      </c>
      <c r="M245" s="70" t="s">
        <v>40</v>
      </c>
      <c r="N245" s="70" t="s">
        <v>177</v>
      </c>
      <c r="O245" s="65">
        <v>0.45624999999999999</v>
      </c>
      <c r="P245" s="65">
        <v>0.45833333333333298</v>
      </c>
      <c r="Q245" s="71">
        <f t="shared" ref="Q245:Q256" ca="1" si="55">IFERROR(IF(O245="","",IF(P245="",MOD(NOW()-O245,1),IF(P245&gt;=O245,P245-O245,P245+1-O245))),"")</f>
        <v>2.0833333333329929E-3</v>
      </c>
      <c r="R245" s="80"/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>
        <v>18</v>
      </c>
      <c r="H246" s="88"/>
      <c r="I246" s="90"/>
      <c r="J246" s="91"/>
      <c r="K246" s="69">
        <f t="shared" si="54"/>
        <v>90</v>
      </c>
      <c r="L246" s="70" t="s">
        <v>28</v>
      </c>
      <c r="M246" s="61" t="s">
        <v>48</v>
      </c>
      <c r="N246" s="70" t="s">
        <v>36</v>
      </c>
      <c r="O246" s="65">
        <v>0.45624999999999999</v>
      </c>
      <c r="P246" s="65">
        <v>0.46388888888888902</v>
      </c>
      <c r="Q246" s="66">
        <f t="shared" ca="1" si="55"/>
        <v>7.6388888888890283E-3</v>
      </c>
      <c r="R246" s="80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16</v>
      </c>
      <c r="H247" s="88"/>
      <c r="I247" s="90"/>
      <c r="J247" s="91"/>
      <c r="K247" s="64">
        <f t="shared" si="54"/>
        <v>80</v>
      </c>
      <c r="L247" s="70" t="s">
        <v>28</v>
      </c>
      <c r="M247" s="70" t="s">
        <v>48</v>
      </c>
      <c r="N247" s="70" t="s">
        <v>36</v>
      </c>
      <c r="O247" s="65">
        <v>0.56458333333333299</v>
      </c>
      <c r="P247" s="65">
        <v>0.57569444444444395</v>
      </c>
      <c r="Q247" s="71">
        <f t="shared" ca="1" si="55"/>
        <v>1.1111111111110961E-2</v>
      </c>
      <c r="R247" s="80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14</v>
      </c>
      <c r="H248" s="88"/>
      <c r="I248" s="90"/>
      <c r="J248" s="91"/>
      <c r="K248" s="69">
        <f t="shared" si="54"/>
        <v>70</v>
      </c>
      <c r="L248" s="61" t="s">
        <v>28</v>
      </c>
      <c r="M248" s="61" t="s">
        <v>40</v>
      </c>
      <c r="N248" s="61" t="s">
        <v>36</v>
      </c>
      <c r="O248" s="65">
        <v>0.57569444444444395</v>
      </c>
      <c r="P248" s="65">
        <v>0.58194444444444504</v>
      </c>
      <c r="Q248" s="66">
        <f t="shared" ca="1" si="55"/>
        <v>6.250000000001088E-3</v>
      </c>
      <c r="R248" s="80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12</v>
      </c>
      <c r="H249" s="88"/>
      <c r="I249" s="90"/>
      <c r="J249" s="91"/>
      <c r="K249" s="64">
        <f t="shared" si="54"/>
        <v>50.400000000000006</v>
      </c>
      <c r="L249" s="70"/>
      <c r="M249" s="70"/>
      <c r="N249" s="70"/>
      <c r="O249" s="65"/>
      <c r="P249" s="65"/>
      <c r="Q249" s="71" t="str">
        <f t="shared" ca="1" si="55"/>
        <v/>
      </c>
      <c r="R249" s="80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12</v>
      </c>
      <c r="H250" s="88"/>
      <c r="I250" s="90"/>
      <c r="J250" s="91"/>
      <c r="K250" s="69">
        <f t="shared" si="54"/>
        <v>50.400000000000006</v>
      </c>
      <c r="L250" s="61"/>
      <c r="M250" s="61"/>
      <c r="N250" s="61"/>
      <c r="O250" s="65"/>
      <c r="P250" s="65"/>
      <c r="Q250" s="66" t="str">
        <f t="shared" ca="1" si="55"/>
        <v/>
      </c>
      <c r="R250" s="80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7</v>
      </c>
      <c r="H251" s="88"/>
      <c r="I251" s="90"/>
      <c r="J251" s="91"/>
      <c r="K251" s="64">
        <f t="shared" si="54"/>
        <v>29.400000000000002</v>
      </c>
      <c r="L251" s="70"/>
      <c r="M251" s="70"/>
      <c r="N251" s="70"/>
      <c r="O251" s="65"/>
      <c r="P251" s="65"/>
      <c r="Q251" s="71" t="str">
        <f t="shared" ca="1" si="55"/>
        <v/>
      </c>
      <c r="R251" s="80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66" t="str">
        <f t="shared" ca="1" si="55"/>
        <v/>
      </c>
      <c r="R252" s="80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80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15</v>
      </c>
      <c r="H254" s="88"/>
      <c r="I254" s="90"/>
      <c r="J254" s="91"/>
      <c r="K254" s="69">
        <f t="shared" si="54"/>
        <v>63</v>
      </c>
      <c r="L254" s="61"/>
      <c r="M254" s="61"/>
      <c r="N254" s="61"/>
      <c r="O254" s="65"/>
      <c r="P254" s="65"/>
      <c r="Q254" s="66" t="str">
        <f t="shared" ca="1" si="55"/>
        <v/>
      </c>
      <c r="R254" s="80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274</v>
      </c>
      <c r="F255" s="88"/>
      <c r="G255" s="63">
        <v>20</v>
      </c>
      <c r="H255" s="88"/>
      <c r="I255" s="90"/>
      <c r="J255" s="91"/>
      <c r="K255" s="64">
        <f t="shared" si="54"/>
        <v>84</v>
      </c>
      <c r="L255" s="70"/>
      <c r="M255" s="70"/>
      <c r="N255" s="70"/>
      <c r="O255" s="65"/>
      <c r="P255" s="65"/>
      <c r="Q255" s="71" t="str">
        <f t="shared" ca="1" si="55"/>
        <v/>
      </c>
      <c r="R255" s="80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274</v>
      </c>
      <c r="F256" s="92"/>
      <c r="G256" s="63">
        <v>13</v>
      </c>
      <c r="H256" s="92"/>
      <c r="I256" s="93"/>
      <c r="J256" s="94"/>
      <c r="K256" s="69">
        <f t="shared" si="54"/>
        <v>54.6</v>
      </c>
      <c r="L256" s="61"/>
      <c r="M256" s="61"/>
      <c r="N256" s="61"/>
      <c r="O256" s="65"/>
      <c r="P256" s="65"/>
      <c r="Q256" s="66" t="str">
        <f t="shared" ca="1" si="55"/>
        <v/>
      </c>
      <c r="R256" s="80"/>
      <c r="S256" s="81"/>
    </row>
    <row r="257" spans="1:20" ht="15.75" customHeight="1">
      <c r="A257" s="156" t="s">
        <v>260</v>
      </c>
      <c r="B257" s="156"/>
      <c r="C257" s="156"/>
      <c r="D257" s="156"/>
      <c r="E257" s="156"/>
      <c r="F257" s="95"/>
      <c r="G257" s="2">
        <f>SUM(G245:G256)</f>
        <v>183</v>
      </c>
      <c r="H257" s="95"/>
      <c r="I257" s="97"/>
      <c r="J257" s="98"/>
      <c r="K257" s="2">
        <f>SUM(K245:K256)</f>
        <v>825.4</v>
      </c>
      <c r="L257" s="72"/>
      <c r="M257" s="72"/>
      <c r="N257" s="72"/>
      <c r="O257" s="72"/>
      <c r="P257" s="72"/>
      <c r="Q257" s="73">
        <f ca="1">IFERROR(SUM(Q245:Q256),"")</f>
        <v>2.708333333333407E-2</v>
      </c>
      <c r="R257" s="2" t="s">
        <v>261</v>
      </c>
      <c r="S257" s="74">
        <v>898190</v>
      </c>
      <c r="T257" s="99"/>
    </row>
    <row r="258" spans="1:20" ht="15" customHeight="1">
      <c r="A258" s="18">
        <v>46244</v>
      </c>
      <c r="B258" s="68">
        <v>0.83333333333333304</v>
      </c>
      <c r="C258" s="70"/>
      <c r="D258" s="75" t="s">
        <v>39</v>
      </c>
      <c r="E258" s="75" t="s">
        <v>274</v>
      </c>
      <c r="F258" s="101"/>
      <c r="G258" s="63">
        <v>14</v>
      </c>
      <c r="H258" s="101"/>
      <c r="I258" s="102"/>
      <c r="J258" s="103"/>
      <c r="K258" s="69">
        <f t="shared" ref="K258:K269" si="57">IF(G258="","",IF(E258="PC 17",G258*4.2,IF(E258="PC 19",G258*5,IF(E258="CB",G258*24,""))))</f>
        <v>58.800000000000004</v>
      </c>
      <c r="L258" s="61"/>
      <c r="M258" s="61"/>
      <c r="N258" s="61"/>
      <c r="O258" s="65"/>
      <c r="P258" s="65"/>
      <c r="Q258" s="66" t="str">
        <f t="shared" ref="Q258:Q269" ca="1" si="58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39</v>
      </c>
      <c r="E259" s="75" t="s">
        <v>274</v>
      </c>
      <c r="F259" s="88"/>
      <c r="G259" s="63">
        <v>15</v>
      </c>
      <c r="H259" s="88"/>
      <c r="I259" s="90"/>
      <c r="J259" s="91"/>
      <c r="K259" s="64">
        <f t="shared" si="57"/>
        <v>63</v>
      </c>
      <c r="L259" s="61"/>
      <c r="M259" s="61"/>
      <c r="N259" s="61"/>
      <c r="O259" s="65"/>
      <c r="P259" s="65"/>
      <c r="Q259" s="71" t="str">
        <f t="shared" ca="1" si="58"/>
        <v/>
      </c>
      <c r="R259" s="80"/>
      <c r="S259" s="81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39</v>
      </c>
      <c r="E260" s="75" t="s">
        <v>274</v>
      </c>
      <c r="F260" s="88"/>
      <c r="G260" s="63">
        <v>7</v>
      </c>
      <c r="H260" s="88"/>
      <c r="I260" s="90"/>
      <c r="J260" s="91"/>
      <c r="K260" s="69">
        <f t="shared" si="57"/>
        <v>29.400000000000002</v>
      </c>
      <c r="L260" s="70"/>
      <c r="M260" s="61"/>
      <c r="N260" s="70"/>
      <c r="O260" s="65"/>
      <c r="P260" s="65"/>
      <c r="Q260" s="66" t="str">
        <f t="shared" ca="1" si="58"/>
        <v/>
      </c>
      <c r="R260" s="63"/>
      <c r="S260" s="81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39</v>
      </c>
      <c r="E261" s="75" t="s">
        <v>274</v>
      </c>
      <c r="F261" s="88"/>
      <c r="G261" s="63">
        <v>13</v>
      </c>
      <c r="H261" s="88"/>
      <c r="I261" s="90"/>
      <c r="J261" s="91"/>
      <c r="K261" s="64">
        <f t="shared" si="57"/>
        <v>54.6</v>
      </c>
      <c r="L261" s="70"/>
      <c r="M261" s="70"/>
      <c r="N261" s="70"/>
      <c r="O261" s="65"/>
      <c r="P261" s="65"/>
      <c r="Q261" s="71" t="str">
        <f t="shared" ca="1" si="58"/>
        <v/>
      </c>
      <c r="R261" s="80"/>
      <c r="S261" s="81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39</v>
      </c>
      <c r="E262" s="75" t="s">
        <v>274</v>
      </c>
      <c r="F262" s="88"/>
      <c r="G262" s="63">
        <v>24</v>
      </c>
      <c r="H262" s="88"/>
      <c r="I262" s="90"/>
      <c r="J262" s="91"/>
      <c r="K262" s="69">
        <f t="shared" si="57"/>
        <v>100.80000000000001</v>
      </c>
      <c r="L262" s="70"/>
      <c r="M262" s="61"/>
      <c r="N262" s="70"/>
      <c r="O262" s="65"/>
      <c r="P262" s="65"/>
      <c r="Q262" s="66" t="str">
        <f t="shared" ca="1" si="58"/>
        <v/>
      </c>
      <c r="R262" s="63"/>
      <c r="S262" s="81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39</v>
      </c>
      <c r="E263" s="75" t="s">
        <v>274</v>
      </c>
      <c r="F263" s="88"/>
      <c r="G263" s="63">
        <v>12</v>
      </c>
      <c r="H263" s="88"/>
      <c r="I263" s="90"/>
      <c r="J263" s="91"/>
      <c r="K263" s="64">
        <f t="shared" si="57"/>
        <v>50.400000000000006</v>
      </c>
      <c r="L263" s="70"/>
      <c r="M263" s="70"/>
      <c r="N263" s="70"/>
      <c r="O263" s="65"/>
      <c r="P263" s="65"/>
      <c r="Q263" s="71" t="str">
        <f t="shared" ca="1" si="58"/>
        <v/>
      </c>
      <c r="R263" s="80"/>
      <c r="S263" s="81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39</v>
      </c>
      <c r="E264" s="75" t="s">
        <v>274</v>
      </c>
      <c r="F264" s="88"/>
      <c r="G264" s="63">
        <v>22</v>
      </c>
      <c r="H264" s="88"/>
      <c r="I264" s="90"/>
      <c r="J264" s="91"/>
      <c r="K264" s="69">
        <f t="shared" si="57"/>
        <v>92.4</v>
      </c>
      <c r="L264" s="70"/>
      <c r="M264" s="61"/>
      <c r="N264" s="70"/>
      <c r="O264" s="65"/>
      <c r="P264" s="65"/>
      <c r="Q264" s="66" t="str">
        <f t="shared" ca="1" si="58"/>
        <v/>
      </c>
      <c r="R264" s="80"/>
      <c r="S264" s="81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39</v>
      </c>
      <c r="E265" s="75" t="s">
        <v>274</v>
      </c>
      <c r="F265" s="88"/>
      <c r="G265" s="63">
        <v>0</v>
      </c>
      <c r="H265" s="88"/>
      <c r="I265" s="90"/>
      <c r="J265" s="91"/>
      <c r="K265" s="64">
        <f t="shared" si="57"/>
        <v>0</v>
      </c>
      <c r="L265" s="70"/>
      <c r="M265" s="70"/>
      <c r="N265" s="70"/>
      <c r="O265" s="65"/>
      <c r="P265" s="65"/>
      <c r="Q265" s="71" t="str">
        <f t="shared" ca="1" si="58"/>
        <v/>
      </c>
      <c r="R265" s="63"/>
      <c r="S265" s="81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39</v>
      </c>
      <c r="E266" s="75" t="s">
        <v>274</v>
      </c>
      <c r="F266" s="88"/>
      <c r="G266" s="63">
        <v>23</v>
      </c>
      <c r="H266" s="88"/>
      <c r="I266" s="90"/>
      <c r="J266" s="91"/>
      <c r="K266" s="69">
        <f t="shared" si="57"/>
        <v>96.600000000000009</v>
      </c>
      <c r="L266" s="61"/>
      <c r="M266" s="61"/>
      <c r="N266" s="61"/>
      <c r="O266" s="65"/>
      <c r="P266" s="65"/>
      <c r="Q266" s="66" t="str">
        <f t="shared" ca="1" si="58"/>
        <v/>
      </c>
      <c r="R266" s="80"/>
      <c r="S266" s="81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39</v>
      </c>
      <c r="E267" s="75" t="s">
        <v>274</v>
      </c>
      <c r="F267" s="88"/>
      <c r="G267" s="63">
        <v>13</v>
      </c>
      <c r="H267" s="88"/>
      <c r="I267" s="90"/>
      <c r="J267" s="91"/>
      <c r="K267" s="64">
        <f t="shared" si="57"/>
        <v>54.6</v>
      </c>
      <c r="L267" s="70"/>
      <c r="M267" s="70"/>
      <c r="N267" s="70"/>
      <c r="O267" s="65"/>
      <c r="P267" s="65"/>
      <c r="Q267" s="71" t="str">
        <f t="shared" ca="1" si="58"/>
        <v/>
      </c>
      <c r="R267" s="80"/>
      <c r="S267" s="81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39</v>
      </c>
      <c r="E268" s="75" t="s">
        <v>274</v>
      </c>
      <c r="F268" s="88"/>
      <c r="G268" s="63">
        <v>17</v>
      </c>
      <c r="H268" s="88"/>
      <c r="I268" s="90"/>
      <c r="J268" s="91"/>
      <c r="K268" s="69">
        <f t="shared" si="57"/>
        <v>71.400000000000006</v>
      </c>
      <c r="L268" s="61"/>
      <c r="M268" s="61"/>
      <c r="N268" s="61"/>
      <c r="O268" s="65"/>
      <c r="P268" s="65"/>
      <c r="Q268" s="66" t="str">
        <f t="shared" ca="1" si="58"/>
        <v/>
      </c>
      <c r="R268" s="80"/>
      <c r="S268" s="81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39</v>
      </c>
      <c r="E269" s="75" t="s">
        <v>274</v>
      </c>
      <c r="F269" s="92"/>
      <c r="G269" s="63">
        <v>4</v>
      </c>
      <c r="H269" s="92"/>
      <c r="I269" s="93"/>
      <c r="J269" s="94"/>
      <c r="K269" s="64">
        <f t="shared" si="57"/>
        <v>16.8</v>
      </c>
      <c r="L269" s="70"/>
      <c r="M269" s="70"/>
      <c r="N269" s="70"/>
      <c r="O269" s="65"/>
      <c r="P269" s="65"/>
      <c r="Q269" s="71" t="str">
        <f t="shared" ca="1" si="58"/>
        <v/>
      </c>
      <c r="R269" s="80"/>
      <c r="S269" s="81"/>
    </row>
    <row r="270" spans="1:20" ht="15.75" customHeight="1">
      <c r="A270" s="156" t="s">
        <v>263</v>
      </c>
      <c r="B270" s="156"/>
      <c r="C270" s="156"/>
      <c r="D270" s="156"/>
      <c r="E270" s="156"/>
      <c r="F270" s="105"/>
      <c r="G270" s="96">
        <f>SUM(G258:G269)</f>
        <v>164</v>
      </c>
      <c r="H270" s="105"/>
      <c r="I270" s="106"/>
      <c r="J270" s="107"/>
      <c r="K270" s="2">
        <f>SUM(K258:K269)</f>
        <v>688.8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261</v>
      </c>
      <c r="S270" s="74">
        <v>732130</v>
      </c>
      <c r="T270" s="99"/>
    </row>
    <row r="271" spans="1:20" ht="18" customHeight="1">
      <c r="A271" s="157" t="s">
        <v>249</v>
      </c>
      <c r="B271" s="157"/>
      <c r="C271" s="157"/>
      <c r="D271" s="157"/>
      <c r="E271" s="157"/>
      <c r="F271" s="108"/>
      <c r="G271" s="109">
        <f>G257+G270</f>
        <v>347</v>
      </c>
      <c r="H271" s="108"/>
      <c r="I271" s="110"/>
      <c r="J271" s="111">
        <f>IFERROR(J257+J270,"")</f>
        <v>0</v>
      </c>
      <c r="K271" s="1">
        <f>K257+K270</f>
        <v>1514.1999999999998</v>
      </c>
      <c r="L271" s="76"/>
      <c r="M271" s="76"/>
      <c r="N271" s="76"/>
      <c r="O271" s="76"/>
      <c r="P271" s="76"/>
      <c r="Q271" s="77">
        <f ca="1">IFERROR(Q257+Q270,"")</f>
        <v>2.708333333333407E-2</v>
      </c>
      <c r="R271" s="1" t="s">
        <v>264</v>
      </c>
      <c r="S271" s="82">
        <f>IFERROR(S257+S270,"")</f>
        <v>1630320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7</v>
      </c>
      <c r="H272" s="101"/>
      <c r="I272" s="102"/>
      <c r="J272" s="103"/>
      <c r="K272" s="64">
        <f t="shared" ref="K272:K283" si="60">IF(G272="","",IF(E272="PC 17",G272*4.2,IF(E272="PC 19",G272*5,IF(E272="CB",G272*24,""))))</f>
        <v>29.400000000000002</v>
      </c>
      <c r="L272" s="61"/>
      <c r="M272" s="61"/>
      <c r="N272" s="61"/>
      <c r="O272" s="65"/>
      <c r="P272" s="65"/>
      <c r="Q272" s="66" t="str">
        <f t="shared" ref="Q272:Q283" ca="1" si="61">IFERROR(IF(O272="","",IF(P272="",MOD(NOW()-O272,1),IF(P272&gt;=O272,P272-O272,P272+1-O272))),"")</f>
        <v/>
      </c>
      <c r="R272" s="80"/>
      <c r="S272" s="81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6</v>
      </c>
      <c r="H273" s="88"/>
      <c r="I273" s="90"/>
      <c r="J273" s="91"/>
      <c r="K273" s="64">
        <f t="shared" si="60"/>
        <v>25.200000000000003</v>
      </c>
      <c r="L273" s="70"/>
      <c r="M273" s="70"/>
      <c r="N273" s="70"/>
      <c r="O273" s="65"/>
      <c r="P273" s="65"/>
      <c r="Q273" s="71" t="str">
        <f t="shared" ca="1" si="61"/>
        <v/>
      </c>
      <c r="R273" s="80"/>
      <c r="S273" s="81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10</v>
      </c>
      <c r="H274" s="88"/>
      <c r="I274" s="90"/>
      <c r="J274" s="91"/>
      <c r="K274" s="64">
        <f t="shared" si="60"/>
        <v>42</v>
      </c>
      <c r="L274" s="61"/>
      <c r="M274" s="61"/>
      <c r="N274" s="61"/>
      <c r="O274" s="65"/>
      <c r="P274" s="65"/>
      <c r="Q274" s="66" t="str">
        <f t="shared" ca="1" si="61"/>
        <v/>
      </c>
      <c r="R274" s="80"/>
      <c r="S274" s="81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16</v>
      </c>
      <c r="H275" s="88"/>
      <c r="I275" s="90"/>
      <c r="J275" s="91"/>
      <c r="K275" s="64">
        <f t="shared" si="60"/>
        <v>67.2</v>
      </c>
      <c r="L275" s="70"/>
      <c r="M275" s="70"/>
      <c r="N275" s="70"/>
      <c r="O275" s="65"/>
      <c r="P275" s="65"/>
      <c r="Q275" s="71" t="str">
        <f t="shared" ca="1" si="61"/>
        <v/>
      </c>
      <c r="R275" s="80"/>
      <c r="S275" s="81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9</v>
      </c>
      <c r="H276" s="88"/>
      <c r="I276" s="90"/>
      <c r="J276" s="91"/>
      <c r="K276" s="64">
        <f t="shared" si="60"/>
        <v>37.800000000000004</v>
      </c>
      <c r="L276" s="61"/>
      <c r="M276" s="61"/>
      <c r="N276" s="61"/>
      <c r="O276" s="65"/>
      <c r="P276" s="65"/>
      <c r="Q276" s="66" t="str">
        <f t="shared" ca="1" si="61"/>
        <v/>
      </c>
      <c r="R276" s="80"/>
      <c r="S276" s="81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6</v>
      </c>
      <c r="H277" s="88"/>
      <c r="I277" s="90"/>
      <c r="J277" s="91"/>
      <c r="K277" s="64">
        <f t="shared" si="60"/>
        <v>25.200000000000003</v>
      </c>
      <c r="L277" s="70"/>
      <c r="M277" s="70"/>
      <c r="N277" s="70"/>
      <c r="O277" s="65"/>
      <c r="P277" s="65"/>
      <c r="Q277" s="71" t="str">
        <f t="shared" ca="1" si="61"/>
        <v/>
      </c>
      <c r="R277" s="80"/>
      <c r="S277" s="81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47</v>
      </c>
      <c r="E278" s="62" t="s">
        <v>274</v>
      </c>
      <c r="F278" s="88"/>
      <c r="G278" s="63">
        <v>15</v>
      </c>
      <c r="H278" s="88"/>
      <c r="I278" s="90"/>
      <c r="J278" s="91"/>
      <c r="K278" s="64">
        <f t="shared" si="60"/>
        <v>63</v>
      </c>
      <c r="L278" s="61"/>
      <c r="M278" s="61"/>
      <c r="N278" s="61"/>
      <c r="O278" s="65"/>
      <c r="P278" s="65"/>
      <c r="Q278" s="66" t="str">
        <f t="shared" ca="1" si="61"/>
        <v/>
      </c>
      <c r="R278" s="80"/>
      <c r="S278" s="81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47</v>
      </c>
      <c r="E279" s="62" t="s">
        <v>274</v>
      </c>
      <c r="F279" s="88"/>
      <c r="G279" s="63">
        <v>6</v>
      </c>
      <c r="H279" s="88"/>
      <c r="I279" s="90"/>
      <c r="J279" s="91"/>
      <c r="K279" s="64">
        <f t="shared" si="60"/>
        <v>25.200000000000003</v>
      </c>
      <c r="L279" s="70"/>
      <c r="M279" s="70"/>
      <c r="N279" s="70"/>
      <c r="O279" s="65"/>
      <c r="P279" s="65"/>
      <c r="Q279" s="71" t="str">
        <f t="shared" ca="1" si="61"/>
        <v/>
      </c>
      <c r="R279" s="80"/>
      <c r="S279" s="81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47</v>
      </c>
      <c r="E280" s="62" t="s">
        <v>274</v>
      </c>
      <c r="F280" s="88"/>
      <c r="G280" s="63">
        <v>7</v>
      </c>
      <c r="H280" s="88"/>
      <c r="I280" s="90"/>
      <c r="J280" s="91"/>
      <c r="K280" s="64">
        <f t="shared" si="60"/>
        <v>29.400000000000002</v>
      </c>
      <c r="L280" s="61"/>
      <c r="M280" s="61"/>
      <c r="N280" s="61"/>
      <c r="O280" s="65"/>
      <c r="P280" s="65"/>
      <c r="Q280" s="66" t="str">
        <f t="shared" ca="1" si="61"/>
        <v/>
      </c>
      <c r="R280" s="80"/>
      <c r="S280" s="81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47</v>
      </c>
      <c r="E281" s="62" t="s">
        <v>274</v>
      </c>
      <c r="F281" s="88"/>
      <c r="G281" s="63">
        <v>18</v>
      </c>
      <c r="H281" s="88"/>
      <c r="I281" s="90"/>
      <c r="J281" s="91"/>
      <c r="K281" s="64">
        <f t="shared" si="60"/>
        <v>75.600000000000009</v>
      </c>
      <c r="L281" s="70"/>
      <c r="M281" s="70"/>
      <c r="N281" s="70"/>
      <c r="O281" s="65"/>
      <c r="P281" s="65"/>
      <c r="Q281" s="71" t="str">
        <f t="shared" ca="1" si="61"/>
        <v/>
      </c>
      <c r="R281" s="80"/>
      <c r="S281" s="81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47</v>
      </c>
      <c r="E282" s="62" t="s">
        <v>259</v>
      </c>
      <c r="F282" s="88"/>
      <c r="G282" s="63">
        <v>7</v>
      </c>
      <c r="H282" s="88"/>
      <c r="I282" s="90"/>
      <c r="J282" s="91"/>
      <c r="K282" s="64">
        <f t="shared" si="60"/>
        <v>35</v>
      </c>
      <c r="L282" s="61"/>
      <c r="M282" s="61"/>
      <c r="N282" s="61"/>
      <c r="O282" s="65"/>
      <c r="P282" s="65"/>
      <c r="Q282" s="66" t="str">
        <f t="shared" ca="1" si="61"/>
        <v/>
      </c>
      <c r="R282" s="80"/>
      <c r="S282" s="81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47</v>
      </c>
      <c r="E283" s="62" t="s">
        <v>274</v>
      </c>
      <c r="F283" s="92"/>
      <c r="G283" s="63">
        <v>15</v>
      </c>
      <c r="H283" s="92"/>
      <c r="I283" s="93"/>
      <c r="J283" s="94"/>
      <c r="K283" s="64">
        <f t="shared" si="60"/>
        <v>63</v>
      </c>
      <c r="L283" s="70"/>
      <c r="M283" s="70"/>
      <c r="N283" s="70"/>
      <c r="O283" s="65"/>
      <c r="P283" s="65"/>
      <c r="Q283" s="71" t="str">
        <f t="shared" ca="1" si="61"/>
        <v/>
      </c>
      <c r="R283" s="80"/>
      <c r="S283" s="81"/>
    </row>
    <row r="284" spans="1:20" ht="15.75" customHeight="1">
      <c r="A284" s="156" t="s">
        <v>260</v>
      </c>
      <c r="B284" s="156"/>
      <c r="C284" s="156"/>
      <c r="D284" s="156"/>
      <c r="E284" s="156"/>
      <c r="F284" s="95"/>
      <c r="G284" s="2">
        <f>SUM(G272:G283)</f>
        <v>122</v>
      </c>
      <c r="H284" s="95"/>
      <c r="I284" s="97"/>
      <c r="J284" s="98"/>
      <c r="K284" s="2">
        <f>SUM(K272:K283)</f>
        <v>518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261</v>
      </c>
      <c r="S284" s="74">
        <v>571950</v>
      </c>
      <c r="T284" s="99"/>
    </row>
    <row r="285" spans="1:20" ht="15" customHeight="1">
      <c r="A285" s="18">
        <v>46245</v>
      </c>
      <c r="B285" s="68">
        <v>0.83333333333333304</v>
      </c>
      <c r="C285" s="70" t="s">
        <v>46</v>
      </c>
      <c r="D285" s="75" t="s">
        <v>55</v>
      </c>
      <c r="E285" s="75" t="s">
        <v>259</v>
      </c>
      <c r="F285" s="101"/>
      <c r="G285" s="63">
        <v>8</v>
      </c>
      <c r="H285" s="101"/>
      <c r="I285" s="102"/>
      <c r="J285" s="103"/>
      <c r="K285" s="69">
        <f t="shared" ref="K285:K296" si="63">IF(G285="","",IF(E285="PC 17",G285*4.2,IF(E285="PC 19",G285*5,IF(E285="CB",G285*24,""))))</f>
        <v>40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80"/>
      <c r="S285" s="81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46</v>
      </c>
      <c r="D286" s="75" t="s">
        <v>55</v>
      </c>
      <c r="E286" s="75" t="s">
        <v>259</v>
      </c>
      <c r="F286" s="88"/>
      <c r="G286" s="63">
        <v>12</v>
      </c>
      <c r="H286" s="88"/>
      <c r="I286" s="90"/>
      <c r="J286" s="91"/>
      <c r="K286" s="64">
        <f t="shared" si="63"/>
        <v>60</v>
      </c>
      <c r="L286" s="70"/>
      <c r="M286" s="70"/>
      <c r="N286" s="70"/>
      <c r="O286" s="65"/>
      <c r="P286" s="65"/>
      <c r="Q286" s="66" t="str">
        <f t="shared" ca="1" si="64"/>
        <v/>
      </c>
      <c r="R286" s="80"/>
      <c r="S286" s="81"/>
    </row>
    <row r="287" spans="1:20" ht="15" customHeight="1">
      <c r="A287" s="18">
        <v>46245</v>
      </c>
      <c r="B287" s="68">
        <f t="shared" si="65"/>
        <v>0.9166666666666663</v>
      </c>
      <c r="C287" s="70" t="s">
        <v>46</v>
      </c>
      <c r="D287" s="75" t="s">
        <v>39</v>
      </c>
      <c r="E287" s="75" t="s">
        <v>274</v>
      </c>
      <c r="F287" s="88"/>
      <c r="G287" s="63">
        <v>17</v>
      </c>
      <c r="H287" s="88"/>
      <c r="I287" s="90"/>
      <c r="J287" s="91"/>
      <c r="K287" s="69">
        <f t="shared" si="63"/>
        <v>71.400000000000006</v>
      </c>
      <c r="L287" s="70"/>
      <c r="M287" s="70"/>
      <c r="N287" s="70"/>
      <c r="O287" s="65"/>
      <c r="P287" s="65"/>
      <c r="Q287" s="71" t="str">
        <f t="shared" ca="1" si="64"/>
        <v/>
      </c>
      <c r="R287" s="80"/>
      <c r="S287" s="81"/>
    </row>
    <row r="288" spans="1:20" ht="15" customHeight="1">
      <c r="A288" s="59">
        <v>46245</v>
      </c>
      <c r="B288" s="60">
        <f t="shared" si="65"/>
        <v>0.95833333333333293</v>
      </c>
      <c r="C288" s="70" t="s">
        <v>46</v>
      </c>
      <c r="D288" s="75" t="s">
        <v>39</v>
      </c>
      <c r="E288" s="75" t="s">
        <v>274</v>
      </c>
      <c r="F288" s="88"/>
      <c r="G288" s="63">
        <v>25</v>
      </c>
      <c r="H288" s="88"/>
      <c r="I288" s="90"/>
      <c r="J288" s="91"/>
      <c r="K288" s="64">
        <f t="shared" si="63"/>
        <v>105</v>
      </c>
      <c r="L288" s="61"/>
      <c r="M288" s="61"/>
      <c r="N288" s="61"/>
      <c r="O288" s="65"/>
      <c r="P288" s="65"/>
      <c r="Q288" s="66" t="str">
        <f t="shared" ca="1" si="64"/>
        <v/>
      </c>
      <c r="R288" s="80"/>
      <c r="S288" s="81"/>
    </row>
    <row r="289" spans="1:20" ht="15" customHeight="1">
      <c r="A289" s="18">
        <v>46245</v>
      </c>
      <c r="B289" s="68">
        <f t="shared" si="65"/>
        <v>0.99999999999999956</v>
      </c>
      <c r="C289" s="70" t="s">
        <v>46</v>
      </c>
      <c r="D289" s="75" t="s">
        <v>39</v>
      </c>
      <c r="E289" s="75" t="s">
        <v>259</v>
      </c>
      <c r="F289" s="88"/>
      <c r="G289" s="63">
        <v>10</v>
      </c>
      <c r="H289" s="88"/>
      <c r="I289" s="90"/>
      <c r="J289" s="91"/>
      <c r="K289" s="69">
        <f t="shared" si="63"/>
        <v>50</v>
      </c>
      <c r="L289" s="70"/>
      <c r="M289" s="70"/>
      <c r="N289" s="70"/>
      <c r="O289" s="65"/>
      <c r="P289" s="65"/>
      <c r="Q289" s="71" t="str">
        <f t="shared" ca="1" si="64"/>
        <v/>
      </c>
      <c r="R289" s="80"/>
      <c r="S289" s="81"/>
    </row>
    <row r="290" spans="1:20" ht="15" customHeight="1">
      <c r="A290" s="59">
        <v>46245</v>
      </c>
      <c r="B290" s="60">
        <f t="shared" si="65"/>
        <v>1.0416666666666663</v>
      </c>
      <c r="C290" s="70" t="s">
        <v>46</v>
      </c>
      <c r="D290" s="75" t="s">
        <v>39</v>
      </c>
      <c r="E290" s="75" t="s">
        <v>259</v>
      </c>
      <c r="F290" s="88"/>
      <c r="G290" s="119">
        <v>8</v>
      </c>
      <c r="H290" s="88"/>
      <c r="I290" s="90"/>
      <c r="J290" s="91"/>
      <c r="K290" s="64">
        <f t="shared" si="63"/>
        <v>40</v>
      </c>
      <c r="L290" s="61"/>
      <c r="M290" s="61"/>
      <c r="N290" s="61"/>
      <c r="O290" s="65"/>
      <c r="P290" s="65"/>
      <c r="Q290" s="66" t="str">
        <f t="shared" ca="1" si="64"/>
        <v/>
      </c>
      <c r="R290" s="80"/>
      <c r="S290" s="81"/>
    </row>
    <row r="291" spans="1:20" ht="15" customHeight="1">
      <c r="A291" s="18">
        <v>46245</v>
      </c>
      <c r="B291" s="68">
        <f t="shared" si="65"/>
        <v>1.083333333333333</v>
      </c>
      <c r="C291" s="70" t="s">
        <v>46</v>
      </c>
      <c r="D291" s="75" t="s">
        <v>39</v>
      </c>
      <c r="E291" s="75" t="s">
        <v>259</v>
      </c>
      <c r="F291" s="88"/>
      <c r="G291" s="63">
        <v>13</v>
      </c>
      <c r="H291" s="88"/>
      <c r="I291" s="90"/>
      <c r="J291" s="91"/>
      <c r="K291" s="69">
        <f t="shared" si="63"/>
        <v>65</v>
      </c>
      <c r="L291" s="70"/>
      <c r="M291" s="70"/>
      <c r="N291" s="70"/>
      <c r="O291" s="65"/>
      <c r="P291" s="65"/>
      <c r="Q291" s="71" t="str">
        <f t="shared" ca="1" si="64"/>
        <v/>
      </c>
      <c r="R291" s="80"/>
      <c r="S291" s="81"/>
    </row>
    <row r="292" spans="1:20" ht="15" customHeight="1">
      <c r="A292" s="59">
        <v>46245</v>
      </c>
      <c r="B292" s="60">
        <f t="shared" si="65"/>
        <v>1.1249999999999998</v>
      </c>
      <c r="C292" s="70" t="s">
        <v>46</v>
      </c>
      <c r="D292" s="75" t="s">
        <v>39</v>
      </c>
      <c r="E292" s="75" t="s">
        <v>259</v>
      </c>
      <c r="F292" s="88"/>
      <c r="G292" s="63">
        <v>12</v>
      </c>
      <c r="H292" s="88"/>
      <c r="I292" s="90"/>
      <c r="J292" s="91"/>
      <c r="K292" s="64">
        <f t="shared" si="63"/>
        <v>60</v>
      </c>
      <c r="L292" s="61"/>
      <c r="M292" s="61"/>
      <c r="N292" s="61"/>
      <c r="O292" s="65"/>
      <c r="P292" s="65"/>
      <c r="Q292" s="66" t="str">
        <f t="shared" ca="1" si="64"/>
        <v/>
      </c>
      <c r="R292" s="80"/>
      <c r="S292" s="81"/>
    </row>
    <row r="293" spans="1:20" ht="15" customHeight="1">
      <c r="A293" s="18">
        <v>46245</v>
      </c>
      <c r="B293" s="68">
        <f t="shared" si="65"/>
        <v>1.1666666666666665</v>
      </c>
      <c r="C293" s="70" t="s">
        <v>46</v>
      </c>
      <c r="D293" s="75" t="s">
        <v>39</v>
      </c>
      <c r="E293" s="75" t="s">
        <v>259</v>
      </c>
      <c r="F293" s="88"/>
      <c r="G293" s="63">
        <v>9</v>
      </c>
      <c r="H293" s="88"/>
      <c r="I293" s="90"/>
      <c r="J293" s="91"/>
      <c r="K293" s="69">
        <f t="shared" si="63"/>
        <v>45</v>
      </c>
      <c r="L293" s="70"/>
      <c r="M293" s="70"/>
      <c r="N293" s="70"/>
      <c r="O293" s="65"/>
      <c r="P293" s="65"/>
      <c r="Q293" s="71" t="str">
        <f t="shared" ca="1" si="64"/>
        <v/>
      </c>
      <c r="R293" s="80"/>
      <c r="S293" s="81"/>
    </row>
    <row r="294" spans="1:20" ht="15" customHeight="1">
      <c r="A294" s="59">
        <v>46245</v>
      </c>
      <c r="B294" s="60">
        <f t="shared" si="65"/>
        <v>1.2083333333333333</v>
      </c>
      <c r="C294" s="70" t="s">
        <v>46</v>
      </c>
      <c r="D294" s="75" t="s">
        <v>39</v>
      </c>
      <c r="E294" s="75" t="s">
        <v>259</v>
      </c>
      <c r="F294" s="88"/>
      <c r="G294" s="63">
        <v>8</v>
      </c>
      <c r="H294" s="88"/>
      <c r="I294" s="90"/>
      <c r="J294" s="91"/>
      <c r="K294" s="64">
        <f t="shared" si="63"/>
        <v>40</v>
      </c>
      <c r="L294" s="61"/>
      <c r="M294" s="61"/>
      <c r="N294" s="61"/>
      <c r="O294" s="65"/>
      <c r="P294" s="65"/>
      <c r="Q294" s="66" t="str">
        <f t="shared" ca="1" si="64"/>
        <v/>
      </c>
      <c r="R294" s="80"/>
      <c r="S294" s="81"/>
    </row>
    <row r="295" spans="1:20" ht="15" customHeight="1">
      <c r="A295" s="18">
        <v>46245</v>
      </c>
      <c r="B295" s="68">
        <f t="shared" si="65"/>
        <v>1.25</v>
      </c>
      <c r="C295" s="70" t="s">
        <v>46</v>
      </c>
      <c r="D295" s="75" t="s">
        <v>39</v>
      </c>
      <c r="E295" s="75" t="s">
        <v>259</v>
      </c>
      <c r="F295" s="88"/>
      <c r="G295" s="63">
        <v>16</v>
      </c>
      <c r="H295" s="88"/>
      <c r="I295" s="90"/>
      <c r="J295" s="91"/>
      <c r="K295" s="69">
        <f t="shared" si="63"/>
        <v>80</v>
      </c>
      <c r="L295" s="70"/>
      <c r="M295" s="70"/>
      <c r="N295" s="70"/>
      <c r="O295" s="65"/>
      <c r="P295" s="65"/>
      <c r="Q295" s="71" t="str">
        <f t="shared" ca="1" si="64"/>
        <v/>
      </c>
      <c r="R295" s="80"/>
      <c r="S295" s="81"/>
    </row>
    <row r="296" spans="1:20" ht="15" customHeight="1">
      <c r="A296" s="59">
        <v>46245</v>
      </c>
      <c r="B296" s="60">
        <f t="shared" si="65"/>
        <v>1.2916666666666667</v>
      </c>
      <c r="C296" s="70" t="s">
        <v>46</v>
      </c>
      <c r="D296" s="75" t="s">
        <v>39</v>
      </c>
      <c r="E296" s="75" t="s">
        <v>259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80"/>
      <c r="S296" s="81"/>
    </row>
    <row r="297" spans="1:20" ht="15.75" customHeight="1">
      <c r="A297" s="156" t="s">
        <v>263</v>
      </c>
      <c r="B297" s="156"/>
      <c r="C297" s="156"/>
      <c r="D297" s="156"/>
      <c r="E297" s="156"/>
      <c r="F297" s="105"/>
      <c r="G297" s="96">
        <f>SUM(G285:G296)</f>
        <v>150</v>
      </c>
      <c r="H297" s="105"/>
      <c r="I297" s="106"/>
      <c r="J297" s="107"/>
      <c r="K297" s="2">
        <f>SUM(K285:K296)</f>
        <v>716.4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261</v>
      </c>
      <c r="S297" s="74">
        <v>990260</v>
      </c>
      <c r="T297" s="99"/>
    </row>
    <row r="298" spans="1:20" ht="18" customHeight="1">
      <c r="A298" s="157" t="s">
        <v>249</v>
      </c>
      <c r="B298" s="157"/>
      <c r="C298" s="157"/>
      <c r="D298" s="157"/>
      <c r="E298" s="157"/>
      <c r="F298" s="108"/>
      <c r="G298" s="109">
        <f>G284+G297</f>
        <v>272</v>
      </c>
      <c r="H298" s="108"/>
      <c r="I298" s="110"/>
      <c r="J298" s="111">
        <f>IFERROR(J284+J297,"")</f>
        <v>0</v>
      </c>
      <c r="K298" s="1">
        <f>K284+K297</f>
        <v>1234.4000000000001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264</v>
      </c>
      <c r="S298" s="82">
        <f>IFERROR(S284+S297,"")</f>
        <v>1562210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274</v>
      </c>
      <c r="F299" s="101">
        <f>IFERROR(IF($D299="","",VLOOKUP($D299,Cadastro!$C$4:$E$7,3,FALSE())),"")</f>
        <v>0.24</v>
      </c>
      <c r="G299" s="63">
        <v>9</v>
      </c>
      <c r="H299" s="101">
        <f>IFERROR(IF($G299="","",$G299*$S$311/$G$311/Cadastro!$E$33),"")</f>
        <v>40.200177514792898</v>
      </c>
      <c r="I299" s="102">
        <f>IFERROR(IF($D299="","",VLOOKUP($D299,Cadastro!$C$4:$G$7,5,FALSE())),"")</f>
        <v>0.6</v>
      </c>
      <c r="J299" s="103">
        <f t="shared" ref="J299:J310" si="66">IFERROR(IF($H299="","",$H299*$F299*$I299),"")</f>
        <v>5.7888255621301763</v>
      </c>
      <c r="K299" s="69">
        <f t="shared" ref="K299:K310" si="67">IF(G299="","",IF(E299="PC 17",G299*4.2,IF(E299="PC 19",G299*5,IF(E299="CB",G299*24,""))))</f>
        <v>37.800000000000004</v>
      </c>
      <c r="L299" s="70" t="s">
        <v>26</v>
      </c>
      <c r="M299" s="70" t="s">
        <v>145</v>
      </c>
      <c r="N299" s="70" t="s">
        <v>58</v>
      </c>
      <c r="O299" s="65">
        <v>0.32083333333333303</v>
      </c>
      <c r="P299" s="65">
        <v>0.32152777777777802</v>
      </c>
      <c r="Q299" s="71">
        <f t="shared" ref="Q299:Q310" ca="1" si="68">IFERROR(IF(O299="","",IF(P299="",MOD(NOW()-O299,1),IF(P299&gt;=O299,P299-O299,P299+1-O299))),"")</f>
        <v>6.9444444444499709E-4</v>
      </c>
      <c r="R299" s="80"/>
      <c r="S299" s="81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75" t="s">
        <v>274</v>
      </c>
      <c r="F300" s="88">
        <f>IFERROR(IF($D300="","",VLOOKUP($D300,Cadastro!$C$4:$E$7,3,FALSE())),"")</f>
        <v>0.24</v>
      </c>
      <c r="G300" s="63">
        <v>20</v>
      </c>
      <c r="H300" s="101">
        <f>IFERROR(IF($G300="","",$G300*$S$311/$G$311/Cadastro!$E$33),"")</f>
        <v>89.333727810650885</v>
      </c>
      <c r="I300" s="90">
        <f>IFERROR(IF($D300="","",VLOOKUP($D300,Cadastro!$C$4:$G$7,5,FALSE())),"")</f>
        <v>0.6</v>
      </c>
      <c r="J300" s="91">
        <f t="shared" si="66"/>
        <v>12.864056804733726</v>
      </c>
      <c r="K300" s="64">
        <f t="shared" si="67"/>
        <v>84</v>
      </c>
      <c r="L300" s="61" t="s">
        <v>28</v>
      </c>
      <c r="M300" s="61" t="s">
        <v>48</v>
      </c>
      <c r="N300" s="61" t="s">
        <v>87</v>
      </c>
      <c r="O300" s="65">
        <v>0.50277777777777799</v>
      </c>
      <c r="P300" s="65">
        <v>0.51736111111111105</v>
      </c>
      <c r="Q300" s="66">
        <f t="shared" ca="1" si="68"/>
        <v>1.4583333333333059E-2</v>
      </c>
      <c r="R300" s="80"/>
      <c r="S300" s="81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75" t="s">
        <v>274</v>
      </c>
      <c r="F301" s="88">
        <f>IFERROR(IF($D301="","",VLOOKUP($D301,Cadastro!$C$4:$E$7,3,FALSE())),"")</f>
        <v>0.24</v>
      </c>
      <c r="G301" s="63">
        <v>20</v>
      </c>
      <c r="H301" s="101">
        <f>IFERROR(IF($G301="","",$G301*$S$311/$G$311/Cadastro!$E$33),"")</f>
        <v>89.333727810650885</v>
      </c>
      <c r="I301" s="90">
        <f>IFERROR(IF($D301="","",VLOOKUP($D301,Cadastro!$C$4:$G$7,5,FALSE())),"")</f>
        <v>0.6</v>
      </c>
      <c r="J301" s="91">
        <f t="shared" si="66"/>
        <v>12.864056804733726</v>
      </c>
      <c r="K301" s="69">
        <f t="shared" si="67"/>
        <v>84</v>
      </c>
      <c r="L301" s="70" t="s">
        <v>28</v>
      </c>
      <c r="M301" s="70" t="s">
        <v>40</v>
      </c>
      <c r="N301" s="70" t="s">
        <v>36</v>
      </c>
      <c r="O301" s="65">
        <v>0.51736111111111105</v>
      </c>
      <c r="P301" s="65">
        <v>0.52569444444444502</v>
      </c>
      <c r="Q301" s="71">
        <f t="shared" ca="1" si="68"/>
        <v>8.3333333333339699E-3</v>
      </c>
      <c r="R301" s="80"/>
      <c r="S301" s="81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75" t="s">
        <v>274</v>
      </c>
      <c r="F302" s="88">
        <f>IFERROR(IF($D302="","",VLOOKUP($D302,Cadastro!$C$4:$E$7,3,FALSE())),"")</f>
        <v>0.24</v>
      </c>
      <c r="G302" s="63">
        <v>17</v>
      </c>
      <c r="H302" s="101">
        <f>IFERROR(IF($G302="","",$G302*$S$311/$G$311/Cadastro!$E$33),"")</f>
        <v>75.933668639053252</v>
      </c>
      <c r="I302" s="90">
        <f>IFERROR(IF($D302="","",VLOOKUP($D302,Cadastro!$C$4:$G$7,5,FALSE())),"")</f>
        <v>0.6</v>
      </c>
      <c r="J302" s="91">
        <f t="shared" si="66"/>
        <v>10.934448284023668</v>
      </c>
      <c r="K302" s="64">
        <f t="shared" si="67"/>
        <v>71.400000000000006</v>
      </c>
      <c r="L302" s="61" t="s">
        <v>29</v>
      </c>
      <c r="M302" s="61" t="s">
        <v>40</v>
      </c>
      <c r="N302" s="61" t="s">
        <v>45</v>
      </c>
      <c r="O302" s="65">
        <v>0.53402777777777799</v>
      </c>
      <c r="P302" s="65">
        <v>0.54027777777777797</v>
      </c>
      <c r="Q302" s="66">
        <f t="shared" ca="1" si="68"/>
        <v>6.2499999999999778E-3</v>
      </c>
      <c r="R302" s="80"/>
      <c r="S302" s="81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75" t="s">
        <v>274</v>
      </c>
      <c r="F303" s="88">
        <f>IFERROR(IF($D303="","",VLOOKUP($D303,Cadastro!$C$4:$E$7,3,FALSE())),"")</f>
        <v>0.24</v>
      </c>
      <c r="G303" s="63">
        <v>15</v>
      </c>
      <c r="H303" s="101">
        <f>IFERROR(IF($G303="","",$G303*$S$311/$G$311/Cadastro!$E$33),"")</f>
        <v>67.000295857988164</v>
      </c>
      <c r="I303" s="90">
        <f>IFERROR(IF($D303="","",VLOOKUP($D303,Cadastro!$C$4:$G$7,5,FALSE())),"")</f>
        <v>0.6</v>
      </c>
      <c r="J303" s="91">
        <f t="shared" si="66"/>
        <v>9.6480426035502944</v>
      </c>
      <c r="K303" s="69">
        <f t="shared" si="67"/>
        <v>63</v>
      </c>
      <c r="L303" s="70" t="s">
        <v>28</v>
      </c>
      <c r="M303" s="70" t="s">
        <v>48</v>
      </c>
      <c r="N303" s="70" t="s">
        <v>36</v>
      </c>
      <c r="O303" s="65">
        <v>0.73958333333333304</v>
      </c>
      <c r="P303" s="65">
        <v>0.75624999999999998</v>
      </c>
      <c r="Q303" s="71">
        <f t="shared" ca="1" si="68"/>
        <v>1.6666666666666941E-2</v>
      </c>
      <c r="R303" s="80"/>
      <c r="S303" s="81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75" t="s">
        <v>274</v>
      </c>
      <c r="F304" s="88">
        <f>IFERROR(IF($D304="","",VLOOKUP($D304,Cadastro!$C$4:$E$7,3,FALSE())),"")</f>
        <v>0.24</v>
      </c>
      <c r="G304" s="63">
        <v>16</v>
      </c>
      <c r="H304" s="101">
        <f>IFERROR(IF($G304="","",$G304*$S$311/$G$311/Cadastro!$E$33),"")</f>
        <v>71.466982248520708</v>
      </c>
      <c r="I304" s="90">
        <f>IFERROR(IF($D304="","",VLOOKUP($D304,Cadastro!$C$4:$G$7,5,FALSE())),"")</f>
        <v>0.6</v>
      </c>
      <c r="J304" s="91">
        <f t="shared" si="66"/>
        <v>10.291245443786982</v>
      </c>
      <c r="K304" s="64">
        <f t="shared" si="67"/>
        <v>67.2</v>
      </c>
      <c r="L304" s="61" t="s">
        <v>26</v>
      </c>
      <c r="M304" s="61"/>
      <c r="N304" s="61" t="s">
        <v>34</v>
      </c>
      <c r="O304" s="65">
        <v>0.75624999999999998</v>
      </c>
      <c r="P304" s="65">
        <v>0.76319444444444395</v>
      </c>
      <c r="Q304" s="66">
        <f t="shared" ca="1" si="68"/>
        <v>6.9444444444439757E-3</v>
      </c>
      <c r="R304" s="80"/>
      <c r="S304" s="81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75" t="s">
        <v>274</v>
      </c>
      <c r="F305" s="88">
        <f>IFERROR(IF($D305="","",VLOOKUP($D305,Cadastro!$C$4:$E$7,3,FALSE())),"")</f>
        <v>0.35</v>
      </c>
      <c r="G305" s="63">
        <v>13</v>
      </c>
      <c r="H305" s="101">
        <f>IFERROR(IF($G305="","",$G305*$S$311/$G$311/Cadastro!$E$33),"")</f>
        <v>58.066923076923075</v>
      </c>
      <c r="I305" s="90">
        <f>IFERROR(IF($D305="","",VLOOKUP($D305,Cadastro!$C$4:$G$7,5,FALSE())),"")</f>
        <v>0.6</v>
      </c>
      <c r="J305" s="91">
        <f t="shared" si="66"/>
        <v>12.194053846153844</v>
      </c>
      <c r="K305" s="69">
        <f t="shared" si="67"/>
        <v>54.6</v>
      </c>
      <c r="L305" s="70"/>
      <c r="M305" s="70"/>
      <c r="N305" s="70"/>
      <c r="O305" s="65"/>
      <c r="P305" s="65"/>
      <c r="Q305" s="71" t="str">
        <f t="shared" ca="1" si="68"/>
        <v/>
      </c>
      <c r="R305" s="80"/>
      <c r="S305" s="81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75" t="s">
        <v>274</v>
      </c>
      <c r="F306" s="88">
        <f>IFERROR(IF($D306="","",VLOOKUP($D306,Cadastro!$C$4:$E$7,3,FALSE())),"")</f>
        <v>0.35</v>
      </c>
      <c r="G306" s="63">
        <v>20</v>
      </c>
      <c r="H306" s="101">
        <f>IFERROR(IF($G306="","",$G306*$S$311/$G$311/Cadastro!$E$33),"")</f>
        <v>89.333727810650885</v>
      </c>
      <c r="I306" s="90">
        <f>IFERROR(IF($D306="","",VLOOKUP($D306,Cadastro!$C$4:$G$7,5,FALSE())),"")</f>
        <v>0.6</v>
      </c>
      <c r="J306" s="91">
        <f t="shared" si="66"/>
        <v>18.760082840236684</v>
      </c>
      <c r="K306" s="64">
        <f t="shared" si="67"/>
        <v>84</v>
      </c>
      <c r="L306" s="61"/>
      <c r="M306" s="61"/>
      <c r="N306" s="61"/>
      <c r="O306" s="65"/>
      <c r="P306" s="65"/>
      <c r="Q306" s="66" t="str">
        <f t="shared" ca="1" si="68"/>
        <v/>
      </c>
      <c r="R306" s="80"/>
      <c r="S306" s="81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75" t="s">
        <v>274</v>
      </c>
      <c r="F307" s="88">
        <f>IFERROR(IF($D307="","",VLOOKUP($D307,Cadastro!$C$4:$E$7,3,FALSE())),"")</f>
        <v>0.35</v>
      </c>
      <c r="G307" s="63">
        <v>16</v>
      </c>
      <c r="H307" s="101">
        <f>IFERROR(IF($G307="","",$G307*$S$311/$G$311/Cadastro!$E$33),"")</f>
        <v>71.466982248520708</v>
      </c>
      <c r="I307" s="90">
        <f>IFERROR(IF($D307="","",VLOOKUP($D307,Cadastro!$C$4:$G$7,5,FALSE())),"")</f>
        <v>0.6</v>
      </c>
      <c r="J307" s="91">
        <f t="shared" si="66"/>
        <v>15.008066272189348</v>
      </c>
      <c r="K307" s="69">
        <f t="shared" si="67"/>
        <v>67.2</v>
      </c>
      <c r="L307" s="70"/>
      <c r="M307" s="70"/>
      <c r="N307" s="70"/>
      <c r="O307" s="65"/>
      <c r="P307" s="65"/>
      <c r="Q307" s="71" t="str">
        <f t="shared" ca="1" si="68"/>
        <v/>
      </c>
      <c r="R307" s="80"/>
      <c r="S307" s="81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75" t="s">
        <v>274</v>
      </c>
      <c r="F308" s="88">
        <f>IFERROR(IF($D308="","",VLOOKUP($D308,Cadastro!$C$4:$E$7,3,FALSE())),"")</f>
        <v>0.35</v>
      </c>
      <c r="G308" s="63">
        <v>14</v>
      </c>
      <c r="H308" s="101">
        <f>IFERROR(IF($G308="","",$G308*$S$311/$G$311/Cadastro!$E$33),"")</f>
        <v>62.533609467455619</v>
      </c>
      <c r="I308" s="90">
        <f>IFERROR(IF($D308="","",VLOOKUP($D308,Cadastro!$C$4:$G$7,5,FALSE())),"")</f>
        <v>0.6</v>
      </c>
      <c r="J308" s="91">
        <f t="shared" si="66"/>
        <v>13.132057988165679</v>
      </c>
      <c r="K308" s="64">
        <f t="shared" si="67"/>
        <v>58.800000000000004</v>
      </c>
      <c r="L308" s="61"/>
      <c r="M308" s="61"/>
      <c r="N308" s="61"/>
      <c r="O308" s="65"/>
      <c r="P308" s="65"/>
      <c r="Q308" s="66" t="str">
        <f t="shared" ca="1" si="68"/>
        <v/>
      </c>
      <c r="R308" s="80"/>
      <c r="S308" s="81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75" t="s">
        <v>274</v>
      </c>
      <c r="F309" s="88">
        <f>IFERROR(IF($D309="","",VLOOKUP($D309,Cadastro!$C$4:$E$7,3,FALSE())),"")</f>
        <v>0.35</v>
      </c>
      <c r="G309" s="63">
        <v>4</v>
      </c>
      <c r="H309" s="101">
        <f>IFERROR(IF($G309="","",$G309*$S$311/$G$311/Cadastro!$E$33),"")</f>
        <v>17.866745562130177</v>
      </c>
      <c r="I309" s="90">
        <f>IFERROR(IF($D309="","",VLOOKUP($D309,Cadastro!$C$4:$G$7,5,FALSE())),"")</f>
        <v>0.6</v>
      </c>
      <c r="J309" s="91">
        <f t="shared" si="66"/>
        <v>3.752016568047337</v>
      </c>
      <c r="K309" s="69">
        <f t="shared" si="67"/>
        <v>16.8</v>
      </c>
      <c r="L309" s="70"/>
      <c r="M309" s="70"/>
      <c r="N309" s="70"/>
      <c r="O309" s="65"/>
      <c r="P309" s="65"/>
      <c r="Q309" s="71" t="str">
        <f t="shared" ca="1" si="68"/>
        <v/>
      </c>
      <c r="R309" s="80"/>
      <c r="S309" s="81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75" t="s">
        <v>274</v>
      </c>
      <c r="F310" s="92">
        <f>IFERROR(IF($D310="","",VLOOKUP($D310,Cadastro!$C$4:$E$7,3,FALSE())),"")</f>
        <v>0.35</v>
      </c>
      <c r="G310" s="63">
        <v>5</v>
      </c>
      <c r="H310" s="101">
        <f>IFERROR(IF($G310="","",$G310*$S$311/$G$311/Cadastro!$E$33),"")</f>
        <v>22.333431952662721</v>
      </c>
      <c r="I310" s="93">
        <f>IFERROR(IF($D310="","",VLOOKUP($D310,Cadastro!$C$4:$G$7,5,FALSE())),"")</f>
        <v>0.6</v>
      </c>
      <c r="J310" s="94">
        <f t="shared" si="66"/>
        <v>4.6900207100591711</v>
      </c>
      <c r="K310" s="64">
        <f t="shared" si="67"/>
        <v>21</v>
      </c>
      <c r="L310" s="61"/>
      <c r="M310" s="61"/>
      <c r="N310" s="61"/>
      <c r="O310" s="65"/>
      <c r="P310" s="65"/>
      <c r="Q310" s="66" t="str">
        <f t="shared" ca="1" si="68"/>
        <v/>
      </c>
      <c r="R310" s="80"/>
      <c r="S310" s="81"/>
    </row>
    <row r="311" spans="1:20" ht="15.75" customHeight="1">
      <c r="A311" s="156" t="s">
        <v>260</v>
      </c>
      <c r="B311" s="156"/>
      <c r="C311" s="156"/>
      <c r="D311" s="156"/>
      <c r="E311" s="156"/>
      <c r="F311" s="95"/>
      <c r="G311" s="96">
        <f>SUM(G299:G310)</f>
        <v>169</v>
      </c>
      <c r="H311" s="95">
        <f>IFERROR(SUM(H299:H310),"")</f>
        <v>754.87</v>
      </c>
      <c r="I311" s="97"/>
      <c r="J311" s="98">
        <f>IFERROR(SUM(J299:J310),"")</f>
        <v>129.92697372781066</v>
      </c>
      <c r="K311" s="2">
        <f>SUM(K299:K310)</f>
        <v>709.8</v>
      </c>
      <c r="L311" s="72"/>
      <c r="M311" s="72"/>
      <c r="N311" s="72"/>
      <c r="O311" s="72"/>
      <c r="P311" s="72"/>
      <c r="Q311" s="73">
        <f ca="1">IFERROR(SUM(Q299:Q310),"")</f>
        <v>5.347222222222292E-2</v>
      </c>
      <c r="R311" s="2" t="s">
        <v>261</v>
      </c>
      <c r="S311" s="74">
        <v>754870</v>
      </c>
      <c r="T311" s="99">
        <f>IFERROR(J311,"")</f>
        <v>129.92697372781066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75" t="s">
        <v>39</v>
      </c>
      <c r="E312" s="75" t="s">
        <v>274</v>
      </c>
      <c r="F312" s="101">
        <f>IFERROR(IF($D312="","",VLOOKUP($D312,Cadastro!$C$4:$E$7,3,FALSE())),"")</f>
        <v>0.24</v>
      </c>
      <c r="G312" s="63">
        <v>22</v>
      </c>
      <c r="H312" s="64">
        <f>IFERROR(IF($G312="","",$G312*$S$324/$G$324/Cadastro!$E$33),"")</f>
        <v>94.944404761904764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13.671994285714284</v>
      </c>
      <c r="K312" s="64">
        <f t="shared" ref="K312:K323" si="71">IF(G312="","",IF(E312="PC 17",G312*4.2,IF(E312="PC 19",G312*5,IF(E312="CB",G312*24,""))))</f>
        <v>92.4</v>
      </c>
      <c r="L312" s="61" t="s">
        <v>28</v>
      </c>
      <c r="M312" s="61" t="s">
        <v>170</v>
      </c>
      <c r="N312" s="61" t="s">
        <v>36</v>
      </c>
      <c r="O312" s="65">
        <v>0.84722222222222199</v>
      </c>
      <c r="P312" s="65">
        <v>0.85694444444444395</v>
      </c>
      <c r="Q312" s="66">
        <f t="shared" ref="Q312:Q323" ca="1" si="72">IFERROR(IF(O312="","",IF(P312="",MOD(NOW()-O312,1),IF(P312&gt;=O312,P312-O312,P312+1-O312))),"")</f>
        <v>9.7222222222219656E-3</v>
      </c>
      <c r="R312" s="80"/>
      <c r="S312" s="81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75" t="s">
        <v>39</v>
      </c>
      <c r="E313" s="75" t="s">
        <v>274</v>
      </c>
      <c r="F313" s="88">
        <f>IFERROR(IF($D313="","",VLOOKUP($D313,Cadastro!$C$4:$E$7,3,FALSE())),"")</f>
        <v>0.24</v>
      </c>
      <c r="G313" s="63">
        <v>13</v>
      </c>
      <c r="H313" s="64">
        <f>IFERROR(IF($G313="","",$G313*$S$324/$G$324/Cadastro!$E$33),"")</f>
        <v>56.103511904761909</v>
      </c>
      <c r="I313" s="90">
        <f>IFERROR(IF($D313="","",VLOOKUP($D313,Cadastro!$C$4:$G$7,5,FALSE())),"")</f>
        <v>0.6</v>
      </c>
      <c r="J313" s="91">
        <f t="shared" si="70"/>
        <v>8.0789057142857139</v>
      </c>
      <c r="K313" s="69">
        <f t="shared" si="71"/>
        <v>54.6</v>
      </c>
      <c r="L313" s="70" t="s">
        <v>29</v>
      </c>
      <c r="M313" s="70" t="s">
        <v>48</v>
      </c>
      <c r="N313" s="70" t="s">
        <v>45</v>
      </c>
      <c r="O313" s="65">
        <v>0.90277777777777801</v>
      </c>
      <c r="P313" s="65">
        <v>0.91666666666666696</v>
      </c>
      <c r="Q313" s="71">
        <f t="shared" ca="1" si="72"/>
        <v>1.3888888888888951E-2</v>
      </c>
      <c r="R313" s="80"/>
      <c r="S313" s="81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75" t="s">
        <v>39</v>
      </c>
      <c r="E314" s="75" t="s">
        <v>274</v>
      </c>
      <c r="F314" s="88">
        <f>IFERROR(IF($D314="","",VLOOKUP($D314,Cadastro!$C$4:$E$7,3,FALSE())),"")</f>
        <v>0.24</v>
      </c>
      <c r="G314" s="63">
        <v>16</v>
      </c>
      <c r="H314" s="64">
        <f>IFERROR(IF($G314="","",$G314*$S$324/$G$324/Cadastro!$E$33),"")</f>
        <v>69.050476190476189</v>
      </c>
      <c r="I314" s="90">
        <f>IFERROR(IF($D314="","",VLOOKUP($D314,Cadastro!$C$4:$G$7,5,FALSE())),"")</f>
        <v>0.6</v>
      </c>
      <c r="J314" s="91">
        <f t="shared" si="70"/>
        <v>9.94326857142857</v>
      </c>
      <c r="K314" s="64">
        <f t="shared" si="71"/>
        <v>67.2</v>
      </c>
      <c r="L314" s="61" t="s">
        <v>27</v>
      </c>
      <c r="M314" s="61" t="s">
        <v>48</v>
      </c>
      <c r="N314" s="61" t="s">
        <v>167</v>
      </c>
      <c r="O314" s="65">
        <v>0.93402777777777801</v>
      </c>
      <c r="P314" s="65">
        <v>0.95138888888888895</v>
      </c>
      <c r="Q314" s="66">
        <f t="shared" ca="1" si="72"/>
        <v>1.7361111111110938E-2</v>
      </c>
      <c r="R314" s="80"/>
      <c r="S314" s="81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75" t="s">
        <v>39</v>
      </c>
      <c r="E315" s="75" t="s">
        <v>274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25.893928571428571</v>
      </c>
      <c r="I315" s="90">
        <f>IFERROR(IF($D315="","",VLOOKUP($D315,Cadastro!$C$4:$G$7,5,FALSE())),"")</f>
        <v>0.6</v>
      </c>
      <c r="J315" s="91">
        <f t="shared" si="70"/>
        <v>3.728725714285714</v>
      </c>
      <c r="K315" s="69">
        <f t="shared" si="71"/>
        <v>25.200000000000003</v>
      </c>
      <c r="L315" s="70" t="s">
        <v>29</v>
      </c>
      <c r="M315" s="70" t="s">
        <v>48</v>
      </c>
      <c r="N315" s="70" t="s">
        <v>45</v>
      </c>
      <c r="O315" s="65">
        <v>2.6388888888888899E-2</v>
      </c>
      <c r="P315" s="65">
        <v>2.9861111111111099E-2</v>
      </c>
      <c r="Q315" s="71">
        <f t="shared" ca="1" si="72"/>
        <v>3.4722222222221995E-3</v>
      </c>
      <c r="R315" s="80"/>
      <c r="S315" s="81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75" t="s">
        <v>39</v>
      </c>
      <c r="E316" s="75" t="s">
        <v>274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86.313095238095244</v>
      </c>
      <c r="I316" s="90">
        <f>IFERROR(IF($D316="","",VLOOKUP($D316,Cadastro!$C$4:$G$7,5,FALSE())),"")</f>
        <v>0.6</v>
      </c>
      <c r="J316" s="91">
        <f t="shared" si="70"/>
        <v>12.429085714285714</v>
      </c>
      <c r="K316" s="64">
        <f t="shared" si="71"/>
        <v>84</v>
      </c>
      <c r="L316" s="61" t="s">
        <v>28</v>
      </c>
      <c r="M316" s="61" t="s">
        <v>170</v>
      </c>
      <c r="N316" s="61" t="s">
        <v>36</v>
      </c>
      <c r="O316" s="65">
        <v>9.30555555555556E-2</v>
      </c>
      <c r="P316" s="65">
        <v>0.113194444444444</v>
      </c>
      <c r="Q316" s="66">
        <f t="shared" ca="1" si="72"/>
        <v>2.0138888888888401E-2</v>
      </c>
      <c r="R316" s="80"/>
      <c r="S316" s="81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75" t="s">
        <v>39</v>
      </c>
      <c r="E317" s="75" t="s">
        <v>274</v>
      </c>
      <c r="F317" s="88">
        <f>IFERROR(IF($D317="","",VLOOKUP($D317,Cadastro!$C$4:$E$7,3,FALSE())),"")</f>
        <v>0.24</v>
      </c>
      <c r="G317" s="63">
        <v>18</v>
      </c>
      <c r="H317" s="64">
        <f>IFERROR(IF($G317="","",$G317*$S$324/$G$324/Cadastro!$E$33),"")</f>
        <v>77.681785714285709</v>
      </c>
      <c r="I317" s="90">
        <f>IFERROR(IF($D317="","",VLOOKUP($D317,Cadastro!$C$4:$G$7,5,FALSE())),"")</f>
        <v>0.6</v>
      </c>
      <c r="J317" s="91">
        <f t="shared" si="70"/>
        <v>11.18617714285714</v>
      </c>
      <c r="K317" s="69">
        <f t="shared" si="71"/>
        <v>75.600000000000009</v>
      </c>
      <c r="L317" s="70" t="s">
        <v>27</v>
      </c>
      <c r="M317" s="70" t="s">
        <v>148</v>
      </c>
      <c r="N317" s="70" t="s">
        <v>109</v>
      </c>
      <c r="O317" s="65">
        <v>0.18402777777777801</v>
      </c>
      <c r="P317" s="65">
        <v>0.19097222222222199</v>
      </c>
      <c r="Q317" s="71">
        <f t="shared" ca="1" si="72"/>
        <v>6.9444444444439757E-3</v>
      </c>
      <c r="R317" s="80"/>
      <c r="S317" s="81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75" t="s">
        <v>39</v>
      </c>
      <c r="E318" s="75" t="s">
        <v>274</v>
      </c>
      <c r="F318" s="88">
        <f>IFERROR(IF($D318="","",VLOOKUP($D318,Cadastro!$C$4:$E$7,3,FALSE())),"")</f>
        <v>0.24</v>
      </c>
      <c r="G318" s="63">
        <v>16</v>
      </c>
      <c r="H318" s="64">
        <f>IFERROR(IF($G318="","",$G318*$S$324/$G$324/Cadastro!$E$33),"")</f>
        <v>69.050476190476189</v>
      </c>
      <c r="I318" s="90">
        <f>IFERROR(IF($D318="","",VLOOKUP($D318,Cadastro!$C$4:$G$7,5,FALSE())),"")</f>
        <v>0.6</v>
      </c>
      <c r="J318" s="91">
        <f t="shared" si="70"/>
        <v>9.94326857142857</v>
      </c>
      <c r="K318" s="64">
        <f t="shared" si="71"/>
        <v>67.2</v>
      </c>
      <c r="L318" s="61" t="s">
        <v>26</v>
      </c>
      <c r="M318" s="61"/>
      <c r="N318" s="61" t="s">
        <v>34</v>
      </c>
      <c r="O318" s="65">
        <v>0.22083333333333299</v>
      </c>
      <c r="P318" s="65">
        <v>0.22847222222222199</v>
      </c>
      <c r="Q318" s="66">
        <f t="shared" ca="1" si="72"/>
        <v>7.6388888888890005E-3</v>
      </c>
      <c r="R318" s="80"/>
      <c r="S318" s="81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75" t="s">
        <v>39</v>
      </c>
      <c r="E319" s="75" t="s">
        <v>274</v>
      </c>
      <c r="F319" s="88">
        <f>IFERROR(IF($D319="","",VLOOKUP($D319,Cadastro!$C$4:$E$7,3,FALSE())),"")</f>
        <v>0.24</v>
      </c>
      <c r="G319" s="63">
        <v>15</v>
      </c>
      <c r="H319" s="64">
        <f>IFERROR(IF($G319="","",$G319*$S$324/$G$324/Cadastro!$E$33),"")</f>
        <v>64.734821428571422</v>
      </c>
      <c r="I319" s="90">
        <f>IFERROR(IF($D319="","",VLOOKUP($D319,Cadastro!$C$4:$G$7,5,FALSE())),"")</f>
        <v>0.6</v>
      </c>
      <c r="J319" s="91">
        <f t="shared" si="70"/>
        <v>9.3218142857142841</v>
      </c>
      <c r="K319" s="69">
        <f t="shared" si="71"/>
        <v>63</v>
      </c>
      <c r="L319" s="70" t="s">
        <v>26</v>
      </c>
      <c r="M319" s="70" t="s">
        <v>40</v>
      </c>
      <c r="N319" s="70" t="s">
        <v>58</v>
      </c>
      <c r="O319" s="65">
        <v>0.23263888888888901</v>
      </c>
      <c r="P319" s="65">
        <v>0.241666666666667</v>
      </c>
      <c r="Q319" s="71">
        <f t="shared" ca="1" si="72"/>
        <v>9.0277777777779955E-3</v>
      </c>
      <c r="R319" s="80"/>
      <c r="S319" s="81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75" t="s">
        <v>39</v>
      </c>
      <c r="E320" s="75" t="s">
        <v>274</v>
      </c>
      <c r="F320" s="88">
        <f>IFERROR(IF($D320="","",VLOOKUP($D320,Cadastro!$C$4:$E$7,3,FALSE())),"")</f>
        <v>0.24</v>
      </c>
      <c r="G320" s="63">
        <v>16</v>
      </c>
      <c r="H320" s="64">
        <f>IFERROR(IF($G320="","",$G320*$S$324/$G$324/Cadastro!$E$33),"")</f>
        <v>69.050476190476189</v>
      </c>
      <c r="I320" s="90">
        <f>IFERROR(IF($D320="","",VLOOKUP($D320,Cadastro!$C$4:$G$7,5,FALSE())),"")</f>
        <v>0.6</v>
      </c>
      <c r="J320" s="91">
        <f t="shared" si="70"/>
        <v>9.94326857142857</v>
      </c>
      <c r="K320" s="64">
        <f t="shared" si="71"/>
        <v>67.2</v>
      </c>
      <c r="L320" s="61" t="s">
        <v>26</v>
      </c>
      <c r="M320" s="61" t="s">
        <v>145</v>
      </c>
      <c r="N320" s="61" t="s">
        <v>58</v>
      </c>
      <c r="O320" s="65">
        <v>0.250694444444444</v>
      </c>
      <c r="P320" s="65">
        <v>0.27430555555555602</v>
      </c>
      <c r="Q320" s="66">
        <f t="shared" ca="1" si="72"/>
        <v>2.3611111111112026E-2</v>
      </c>
      <c r="R320" s="80"/>
      <c r="S320" s="81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75" t="s">
        <v>39</v>
      </c>
      <c r="E321" s="75" t="s">
        <v>274</v>
      </c>
      <c r="F321" s="88">
        <f>IFERROR(IF($D321="","",VLOOKUP($D321,Cadastro!$C$4:$E$7,3,FALSE())),"")</f>
        <v>0.24</v>
      </c>
      <c r="G321" s="63">
        <v>12</v>
      </c>
      <c r="H321" s="64">
        <f>IFERROR(IF($G321="","",$G321*$S$324/$G$324/Cadastro!$E$33),"")</f>
        <v>51.787857142857142</v>
      </c>
      <c r="I321" s="90">
        <f>IFERROR(IF($D321="","",VLOOKUP($D321,Cadastro!$C$4:$G$7,5,FALSE())),"")</f>
        <v>0.6</v>
      </c>
      <c r="J321" s="91">
        <f t="shared" si="70"/>
        <v>7.457451428571428</v>
      </c>
      <c r="K321" s="69">
        <f t="shared" si="71"/>
        <v>50.400000000000006</v>
      </c>
      <c r="L321" s="70"/>
      <c r="M321" s="70"/>
      <c r="N321" s="70"/>
      <c r="O321" s="65"/>
      <c r="P321" s="65"/>
      <c r="Q321" s="71" t="str">
        <f t="shared" ca="1" si="72"/>
        <v/>
      </c>
      <c r="R321" s="80"/>
      <c r="S321" s="81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75" t="s">
        <v>39</v>
      </c>
      <c r="E322" s="75" t="s">
        <v>274</v>
      </c>
      <c r="F322" s="88">
        <f>IFERROR(IF($D322="","",VLOOKUP($D322,Cadastro!$C$4:$E$7,3,FALSE())),"")</f>
        <v>0.24</v>
      </c>
      <c r="G322" s="63">
        <v>10</v>
      </c>
      <c r="H322" s="64">
        <f>IFERROR(IF($G322="","",$G322*$S$324/$G$324/Cadastro!$E$33),"")</f>
        <v>43.156547619047622</v>
      </c>
      <c r="I322" s="90">
        <f>IFERROR(IF($D322="","",VLOOKUP($D322,Cadastro!$C$4:$G$7,5,FALSE())),"")</f>
        <v>0.6</v>
      </c>
      <c r="J322" s="91">
        <f t="shared" si="70"/>
        <v>6.2145428571428569</v>
      </c>
      <c r="K322" s="64">
        <f t="shared" si="71"/>
        <v>42</v>
      </c>
      <c r="L322" s="61"/>
      <c r="M322" s="61"/>
      <c r="N322" s="61"/>
      <c r="O322" s="65"/>
      <c r="P322" s="65"/>
      <c r="Q322" s="66" t="str">
        <f t="shared" ca="1" si="72"/>
        <v/>
      </c>
      <c r="R322" s="80"/>
      <c r="S322" s="81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75" t="s">
        <v>39</v>
      </c>
      <c r="E323" s="75" t="s">
        <v>274</v>
      </c>
      <c r="F323" s="92">
        <f>IFERROR(IF($D323="","",VLOOKUP($D323,Cadastro!$C$4:$E$7,3,FALSE())),"")</f>
        <v>0.24</v>
      </c>
      <c r="G323" s="63">
        <v>4</v>
      </c>
      <c r="H323" s="64">
        <f>IFERROR(IF($G323="","",$G323*$S$324/$G$324/Cadastro!$E$33),"")</f>
        <v>17.262619047619047</v>
      </c>
      <c r="I323" s="93">
        <f>IFERROR(IF($D323="","",VLOOKUP($D323,Cadastro!$C$4:$G$7,5,FALSE())),"")</f>
        <v>0.6</v>
      </c>
      <c r="J323" s="94">
        <f t="shared" si="70"/>
        <v>2.4858171428571425</v>
      </c>
      <c r="K323" s="69">
        <f t="shared" si="71"/>
        <v>16.8</v>
      </c>
      <c r="L323" s="70"/>
      <c r="M323" s="70"/>
      <c r="N323" s="70"/>
      <c r="O323" s="65"/>
      <c r="P323" s="65"/>
      <c r="Q323" s="71" t="str">
        <f t="shared" ca="1" si="72"/>
        <v/>
      </c>
      <c r="R323" s="80"/>
      <c r="S323" s="81"/>
    </row>
    <row r="324" spans="1:20" ht="15.75" customHeight="1">
      <c r="A324" s="156" t="s">
        <v>263</v>
      </c>
      <c r="B324" s="156"/>
      <c r="C324" s="156"/>
      <c r="D324" s="156"/>
      <c r="E324" s="156"/>
      <c r="F324" s="105"/>
      <c r="G324" s="96">
        <f>SUM(G312:G323)</f>
        <v>168</v>
      </c>
      <c r="H324" s="105">
        <f>IFERROR(SUM(H312:H323),"")</f>
        <v>725.03</v>
      </c>
      <c r="I324" s="106"/>
      <c r="J324" s="107">
        <f>IFERROR(SUM(J312:J323),"")</f>
        <v>104.40432</v>
      </c>
      <c r="K324" s="2">
        <f>SUM(K312:K323)</f>
        <v>705.6</v>
      </c>
      <c r="L324" s="72"/>
      <c r="M324" s="72"/>
      <c r="N324" s="72"/>
      <c r="O324" s="72"/>
      <c r="P324" s="72"/>
      <c r="Q324" s="73">
        <f ca="1">IFERROR(SUM(Q312:Q323),"")</f>
        <v>0.11180555555555545</v>
      </c>
      <c r="R324" s="2" t="s">
        <v>261</v>
      </c>
      <c r="S324" s="74">
        <v>725030</v>
      </c>
      <c r="T324" s="99">
        <f>IFERROR(J324,"")</f>
        <v>104.40432</v>
      </c>
    </row>
    <row r="325" spans="1:20" ht="18" customHeight="1">
      <c r="A325" s="157" t="s">
        <v>249</v>
      </c>
      <c r="B325" s="157"/>
      <c r="C325" s="157"/>
      <c r="D325" s="157"/>
      <c r="E325" s="157"/>
      <c r="F325" s="108"/>
      <c r="G325" s="109">
        <f>G311+G324</f>
        <v>337</v>
      </c>
      <c r="H325" s="108">
        <f>IFERROR(H311+H324,"")</f>
        <v>1479.9</v>
      </c>
      <c r="I325" s="110"/>
      <c r="J325" s="111">
        <f>IFERROR(J311+J324,"")</f>
        <v>234.33129372781065</v>
      </c>
      <c r="K325" s="1">
        <f>K311+K324</f>
        <v>1415.4</v>
      </c>
      <c r="L325" s="76"/>
      <c r="M325" s="76"/>
      <c r="N325" s="76"/>
      <c r="O325" s="76"/>
      <c r="P325" s="76"/>
      <c r="Q325" s="77">
        <f ca="1">IFERROR(Q311+Q324,"")</f>
        <v>0.16527777777777836</v>
      </c>
      <c r="R325" s="1" t="s">
        <v>264</v>
      </c>
      <c r="S325" s="82">
        <f>IFERROR(S311+S324,"")</f>
        <v>1479900</v>
      </c>
      <c r="T325" s="118">
        <f>IFERROR(J325,"")</f>
        <v>234.33129372781065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4</v>
      </c>
      <c r="H326" s="101">
        <f>IFERROR(IF($G326="","",$G326*$S$338/$G$338/Cadastro!$E$33),"")</f>
        <v>20.204324324324322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4.2429081081081073</v>
      </c>
      <c r="K326" s="64">
        <f t="shared" ref="K326:K337" si="75">IF(G326="","",IF(E326="PC 17",G326*4.2,IF(E326="PC 19",G326*5,IF(E326="CB",G326*24,""))))</f>
        <v>20</v>
      </c>
      <c r="L326" s="61" t="s">
        <v>27</v>
      </c>
      <c r="M326" s="61" t="s">
        <v>48</v>
      </c>
      <c r="N326" s="61" t="s">
        <v>140</v>
      </c>
      <c r="O326" s="65">
        <v>0.30555555555555602</v>
      </c>
      <c r="P326" s="65">
        <v>0.36805555555555602</v>
      </c>
      <c r="Q326" s="66">
        <f t="shared" ref="Q326:Q337" ca="1" si="76">IFERROR(IF(O326="","",IF(P326="",MOD(NOW()-O326,1),IF(P326&gt;=O326,P326-O326,P326+1-O326))),"")</f>
        <v>6.25E-2</v>
      </c>
      <c r="R326" s="80" t="s">
        <v>323</v>
      </c>
      <c r="S326" s="81"/>
    </row>
    <row r="327" spans="1:20" ht="15" customHeight="1">
      <c r="A327" s="18">
        <v>46247</v>
      </c>
      <c r="B327" s="68">
        <f t="shared" ref="B327:B337" si="77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0</v>
      </c>
      <c r="H327" s="88">
        <f>IFERROR(IF($G327="","",$G327*$S$338/$G$338/Cadastro!$E$33),"")</f>
        <v>0</v>
      </c>
      <c r="I327" s="90">
        <f>IFERROR(IF($D327="","",VLOOKUP($D327,Cadastro!$C$4:$G$7,5,FALSE())),"")</f>
        <v>0.6</v>
      </c>
      <c r="J327" s="91">
        <f t="shared" si="74"/>
        <v>0</v>
      </c>
      <c r="K327" s="69">
        <f t="shared" si="75"/>
        <v>0</v>
      </c>
      <c r="L327" s="70" t="s">
        <v>28</v>
      </c>
      <c r="M327" s="70" t="s">
        <v>48</v>
      </c>
      <c r="N327" s="70" t="s">
        <v>36</v>
      </c>
      <c r="O327" s="65">
        <v>0.36805555555555602</v>
      </c>
      <c r="P327" s="65">
        <v>0.37847222222222199</v>
      </c>
      <c r="Q327" s="71">
        <f t="shared" ca="1" si="76"/>
        <v>1.0416666666665964E-2</v>
      </c>
      <c r="R327" s="80"/>
      <c r="S327" s="81"/>
    </row>
    <row r="328" spans="1:20" ht="15" customHeight="1">
      <c r="A328" s="59">
        <v>46247</v>
      </c>
      <c r="B328" s="60">
        <f t="shared" si="77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4</v>
      </c>
      <c r="H328" s="88">
        <f>IFERROR(IF($G328="","",$G328*$S$338/$G$338/Cadastro!$E$33),"")</f>
        <v>20.204324324324322</v>
      </c>
      <c r="I328" s="90">
        <f>IFERROR(IF($D328="","",VLOOKUP($D328,Cadastro!$C$4:$G$7,5,FALSE())),"")</f>
        <v>0.6</v>
      </c>
      <c r="J328" s="91">
        <f t="shared" si="74"/>
        <v>4.2429081081081073</v>
      </c>
      <c r="K328" s="64">
        <f t="shared" si="75"/>
        <v>20</v>
      </c>
      <c r="L328" s="61" t="s">
        <v>27</v>
      </c>
      <c r="M328" s="61" t="s">
        <v>148</v>
      </c>
      <c r="N328" s="61" t="s">
        <v>140</v>
      </c>
      <c r="O328" s="65">
        <v>0.454166666666667</v>
      </c>
      <c r="P328" s="65">
        <v>0.469444444444444</v>
      </c>
      <c r="Q328" s="66">
        <f t="shared" ca="1" si="76"/>
        <v>1.5277777777777002E-2</v>
      </c>
      <c r="R328" s="80" t="s">
        <v>324</v>
      </c>
      <c r="S328" s="81"/>
    </row>
    <row r="329" spans="1:20" ht="15" customHeight="1">
      <c r="A329" s="18">
        <v>46247</v>
      </c>
      <c r="B329" s="68">
        <f t="shared" si="77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55.561891891891896</v>
      </c>
      <c r="I329" s="90">
        <f>IFERROR(IF($D329="","",VLOOKUP($D329,Cadastro!$C$4:$G$7,5,FALSE())),"")</f>
        <v>0.6</v>
      </c>
      <c r="J329" s="91">
        <f t="shared" si="74"/>
        <v>11.667997297297298</v>
      </c>
      <c r="K329" s="69">
        <f t="shared" si="75"/>
        <v>55</v>
      </c>
      <c r="L329" s="70" t="s">
        <v>27</v>
      </c>
      <c r="M329" s="70" t="s">
        <v>148</v>
      </c>
      <c r="N329" s="70"/>
      <c r="O329" s="65">
        <v>0.48611111111111099</v>
      </c>
      <c r="P329" s="65">
        <v>0.50972222222222197</v>
      </c>
      <c r="Q329" s="71">
        <f t="shared" ca="1" si="76"/>
        <v>2.3611111111110972E-2</v>
      </c>
      <c r="R329" s="80" t="s">
        <v>325</v>
      </c>
      <c r="S329" s="81"/>
    </row>
    <row r="330" spans="1:20" ht="15" customHeight="1">
      <c r="A330" s="59">
        <v>46247</v>
      </c>
      <c r="B330" s="60">
        <f t="shared" si="77"/>
        <v>0.49999999999999972</v>
      </c>
      <c r="C330" s="61" t="s">
        <v>38</v>
      </c>
      <c r="D330" s="62" t="s">
        <v>31</v>
      </c>
      <c r="E330" s="87" t="s">
        <v>259</v>
      </c>
      <c r="F330" s="88">
        <f>IFERROR(IF($D330="","",VLOOKUP($D330,Cadastro!$C$4:$E$7,3,FALSE())),"")</f>
        <v>0.35</v>
      </c>
      <c r="G330" s="89">
        <v>3</v>
      </c>
      <c r="H330" s="88">
        <f>IFERROR(IF($G330="","",$G330*$S$338/$G$338/Cadastro!$E$33),"")</f>
        <v>15.153243243243244</v>
      </c>
      <c r="I330" s="90">
        <f>IFERROR(IF($D330="","",VLOOKUP($D330,Cadastro!$C$4:$G$7,5,FALSE())),"")</f>
        <v>0.6</v>
      </c>
      <c r="J330" s="91">
        <f t="shared" si="74"/>
        <v>3.1821810810810809</v>
      </c>
      <c r="K330" s="64">
        <f t="shared" si="75"/>
        <v>15</v>
      </c>
      <c r="L330" s="61" t="s">
        <v>29</v>
      </c>
      <c r="M330" s="61" t="s">
        <v>136</v>
      </c>
      <c r="N330" s="61" t="s">
        <v>123</v>
      </c>
      <c r="O330" s="65">
        <v>0.52430555555555602</v>
      </c>
      <c r="P330" s="65">
        <v>0.54236111111111096</v>
      </c>
      <c r="Q330" s="66">
        <f t="shared" ca="1" si="76"/>
        <v>1.8055555555554936E-2</v>
      </c>
      <c r="R330" s="80"/>
      <c r="S330" s="81"/>
    </row>
    <row r="331" spans="1:20" ht="15" customHeight="1">
      <c r="A331" s="18">
        <v>46247</v>
      </c>
      <c r="B331" s="68">
        <f t="shared" si="77"/>
        <v>0.54166666666666641</v>
      </c>
      <c r="C331" s="61" t="s">
        <v>38</v>
      </c>
      <c r="D331" s="62" t="s">
        <v>31</v>
      </c>
      <c r="E331" s="87" t="s">
        <v>259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4"/>
        <v>0</v>
      </c>
      <c r="K331" s="69">
        <f t="shared" si="75"/>
        <v>0</v>
      </c>
      <c r="L331" s="70" t="s">
        <v>27</v>
      </c>
      <c r="M331" s="70" t="s">
        <v>148</v>
      </c>
      <c r="N331" s="70" t="s">
        <v>70</v>
      </c>
      <c r="O331" s="65">
        <v>0.56458333333333299</v>
      </c>
      <c r="P331" s="65">
        <v>0.74305555555555602</v>
      </c>
      <c r="Q331" s="71">
        <f t="shared" ca="1" si="76"/>
        <v>0.17847222222222303</v>
      </c>
      <c r="R331" s="80" t="s">
        <v>326</v>
      </c>
      <c r="S331" s="81"/>
    </row>
    <row r="332" spans="1:20" ht="15" customHeight="1">
      <c r="A332" s="59">
        <v>46247</v>
      </c>
      <c r="B332" s="60">
        <f t="shared" si="77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9</v>
      </c>
      <c r="H332" s="88">
        <f>IFERROR(IF($G332="","",$G332*$S$338/$G$338/Cadastro!$E$33),"")</f>
        <v>45.459729729729723</v>
      </c>
      <c r="I332" s="90">
        <f>IFERROR(IF($D332="","",VLOOKUP($D332,Cadastro!$C$4:$G$7,5,FALSE())),"")</f>
        <v>0.6</v>
      </c>
      <c r="J332" s="91">
        <f t="shared" si="74"/>
        <v>9.5465432432432404</v>
      </c>
      <c r="K332" s="64">
        <f t="shared" si="75"/>
        <v>37.800000000000004</v>
      </c>
      <c r="L332" s="61" t="s">
        <v>27</v>
      </c>
      <c r="M332" s="61" t="s">
        <v>48</v>
      </c>
      <c r="N332" s="61" t="s">
        <v>182</v>
      </c>
      <c r="O332" s="65">
        <v>0.75763888888888897</v>
      </c>
      <c r="P332" s="65">
        <v>0.79166666666666696</v>
      </c>
      <c r="Q332" s="66">
        <f t="shared" ca="1" si="76"/>
        <v>3.402777777777799E-2</v>
      </c>
      <c r="R332" s="80" t="s">
        <v>327</v>
      </c>
      <c r="S332" s="81"/>
    </row>
    <row r="333" spans="1:20" ht="15" customHeight="1">
      <c r="A333" s="18">
        <v>46247</v>
      </c>
      <c r="B333" s="68">
        <f t="shared" si="77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4"/>
        <v>0</v>
      </c>
      <c r="K333" s="69">
        <f t="shared" si="75"/>
        <v>0</v>
      </c>
      <c r="L333" s="70"/>
      <c r="M333" s="70"/>
      <c r="N333" s="70"/>
      <c r="O333" s="65"/>
      <c r="P333" s="65"/>
      <c r="Q333" s="71" t="str">
        <f t="shared" ca="1" si="76"/>
        <v/>
      </c>
      <c r="R333" s="80"/>
      <c r="S333" s="81"/>
    </row>
    <row r="334" spans="1:20" ht="15" customHeight="1">
      <c r="A334" s="59">
        <v>46247</v>
      </c>
      <c r="B334" s="60">
        <f t="shared" si="77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4"/>
        <v>0</v>
      </c>
      <c r="K334" s="64">
        <f t="shared" si="75"/>
        <v>0</v>
      </c>
      <c r="L334" s="61"/>
      <c r="M334" s="61"/>
      <c r="N334" s="61"/>
      <c r="O334" s="65"/>
      <c r="P334" s="65"/>
      <c r="Q334" s="66" t="str">
        <f t="shared" ca="1" si="76"/>
        <v/>
      </c>
      <c r="R334" s="80"/>
      <c r="S334" s="81"/>
    </row>
    <row r="335" spans="1:20" ht="15" customHeight="1">
      <c r="A335" s="18">
        <v>46247</v>
      </c>
      <c r="B335" s="68">
        <f t="shared" si="77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4"/>
        <v>0</v>
      </c>
      <c r="K335" s="69">
        <f t="shared" si="75"/>
        <v>0</v>
      </c>
      <c r="L335" s="70"/>
      <c r="M335" s="70"/>
      <c r="N335" s="70"/>
      <c r="O335" s="65"/>
      <c r="P335" s="65"/>
      <c r="Q335" s="71" t="str">
        <f t="shared" ca="1" si="76"/>
        <v/>
      </c>
      <c r="R335" s="80"/>
      <c r="S335" s="81"/>
    </row>
    <row r="336" spans="1:20" ht="15" customHeight="1">
      <c r="A336" s="59">
        <v>46247</v>
      </c>
      <c r="B336" s="60">
        <f t="shared" si="77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4"/>
        <v>0</v>
      </c>
      <c r="K336" s="64">
        <f t="shared" si="75"/>
        <v>0</v>
      </c>
      <c r="L336" s="61"/>
      <c r="M336" s="61"/>
      <c r="N336" s="61"/>
      <c r="O336" s="65"/>
      <c r="P336" s="65"/>
      <c r="Q336" s="66" t="str">
        <f t="shared" ca="1" si="76"/>
        <v/>
      </c>
      <c r="R336" s="80"/>
      <c r="S336" s="81"/>
    </row>
    <row r="337" spans="1:20" ht="15" customHeight="1">
      <c r="A337" s="18">
        <v>46247</v>
      </c>
      <c r="B337" s="68">
        <f t="shared" si="77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6</v>
      </c>
      <c r="H337" s="92">
        <f>IFERROR(IF($G337="","",$G337*$S$338/$G$338/Cadastro!$E$33),"")</f>
        <v>30.306486486486488</v>
      </c>
      <c r="I337" s="93">
        <f>IFERROR(IF($D337="","",VLOOKUP($D337,Cadastro!$C$4:$G$7,5,FALSE())),"")</f>
        <v>0.6</v>
      </c>
      <c r="J337" s="94">
        <f t="shared" si="74"/>
        <v>6.3643621621621618</v>
      </c>
      <c r="K337" s="69">
        <f t="shared" si="75"/>
        <v>25.200000000000003</v>
      </c>
      <c r="L337" s="70"/>
      <c r="M337" s="70"/>
      <c r="N337" s="70"/>
      <c r="O337" s="65"/>
      <c r="P337" s="65"/>
      <c r="Q337" s="71" t="str">
        <f t="shared" ca="1" si="76"/>
        <v/>
      </c>
      <c r="R337" s="80"/>
      <c r="S337" s="81"/>
    </row>
    <row r="338" spans="1:20" ht="15.75" customHeight="1">
      <c r="A338" s="156" t="s">
        <v>260</v>
      </c>
      <c r="B338" s="156"/>
      <c r="C338" s="156"/>
      <c r="D338" s="156"/>
      <c r="E338" s="156"/>
      <c r="F338" s="95"/>
      <c r="G338" s="96">
        <f>SUM(G326:G337)</f>
        <v>37</v>
      </c>
      <c r="H338" s="95">
        <f>IFERROR(SUM(H326:H337),"")</f>
        <v>186.89</v>
      </c>
      <c r="I338" s="97"/>
      <c r="J338" s="98">
        <f>IFERROR(SUM(J326:J337),"")</f>
        <v>39.246899999999989</v>
      </c>
      <c r="K338" s="2">
        <f>SUM(K326:K337)</f>
        <v>173</v>
      </c>
      <c r="L338" s="72"/>
      <c r="M338" s="72"/>
      <c r="N338" s="72"/>
      <c r="O338" s="72"/>
      <c r="P338" s="72"/>
      <c r="Q338" s="73">
        <f ca="1">IFERROR(SUM(Q326:Q337),"")</f>
        <v>0.34236111111110989</v>
      </c>
      <c r="R338" s="2" t="s">
        <v>261</v>
      </c>
      <c r="S338" s="74">
        <v>186890</v>
      </c>
      <c r="T338" s="99">
        <f>IFERROR(J338,"")</f>
        <v>39.246899999999989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6</v>
      </c>
      <c r="H339" s="101">
        <f>IFERROR(IF($G339="","",$G339*$S$351/$G$351/Cadastro!$E$33),"")</f>
        <v>24.843139534883722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5.2170593023255813</v>
      </c>
      <c r="K339" s="69">
        <f t="shared" ref="K339:K350" si="79">IF(G339="","",IF(E339="PC 17",G339*4.2,IF(E339="PC 19",G339*5,IF(E339="CB",G339*24,""))))</f>
        <v>25.200000000000003</v>
      </c>
      <c r="L339" s="70" t="s">
        <v>28</v>
      </c>
      <c r="M339" s="70" t="s">
        <v>48</v>
      </c>
      <c r="N339" s="70" t="s">
        <v>44</v>
      </c>
      <c r="O339" s="65">
        <v>0.81736111111111098</v>
      </c>
      <c r="P339" s="65">
        <v>0.84375</v>
      </c>
      <c r="Q339" s="71">
        <f t="shared" ref="Q339:Q350" ca="1" si="80">IFERROR(IF(O339="","",IF(P339="",MOD(NOW()-O339,1),IF(P339&gt;=O339,P339-O339,P339+1-O339))),"")</f>
        <v>2.6388888888889017E-2</v>
      </c>
      <c r="R339" s="80"/>
      <c r="S339" s="81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15</v>
      </c>
      <c r="H340" s="88">
        <f>IFERROR(IF($G340="","",$G340*$S$351/$G$351/Cadastro!$E$33),"")</f>
        <v>62.107848837209303</v>
      </c>
      <c r="I340" s="90">
        <f>IFERROR(IF($D340="","",VLOOKUP($D340,Cadastro!$C$4:$G$7,5,FALSE())),"")</f>
        <v>0.6</v>
      </c>
      <c r="J340" s="91">
        <f t="shared" si="78"/>
        <v>13.042648255813953</v>
      </c>
      <c r="K340" s="64">
        <f t="shared" si="79"/>
        <v>63</v>
      </c>
      <c r="L340" s="61" t="s">
        <v>28</v>
      </c>
      <c r="M340" s="61" t="s">
        <v>48</v>
      </c>
      <c r="N340" s="61" t="s">
        <v>87</v>
      </c>
      <c r="O340" s="65">
        <v>0.88749999999999996</v>
      </c>
      <c r="P340" s="65">
        <v>0.89930555555555602</v>
      </c>
      <c r="Q340" s="66">
        <f t="shared" ca="1" si="80"/>
        <v>1.1805555555556069E-2</v>
      </c>
      <c r="R340" s="80"/>
      <c r="S340" s="81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18</v>
      </c>
      <c r="H341" s="88">
        <f>IFERROR(IF($G341="","",$G341*$S$351/$G$351/Cadastro!$E$33),"")</f>
        <v>74.529418604651156</v>
      </c>
      <c r="I341" s="90">
        <f>IFERROR(IF($D341="","",VLOOKUP($D341,Cadastro!$C$4:$G$7,5,FALSE())),"")</f>
        <v>0.6</v>
      </c>
      <c r="J341" s="91">
        <f t="shared" si="78"/>
        <v>15.651177906976741</v>
      </c>
      <c r="K341" s="69">
        <f t="shared" si="79"/>
        <v>75.600000000000009</v>
      </c>
      <c r="L341" s="70" t="s">
        <v>29</v>
      </c>
      <c r="M341" s="70" t="s">
        <v>40</v>
      </c>
      <c r="N341" s="70" t="s">
        <v>45</v>
      </c>
      <c r="O341" s="65">
        <v>0.91666666666666696</v>
      </c>
      <c r="P341" s="65">
        <v>0.92986111111111103</v>
      </c>
      <c r="Q341" s="71">
        <f t="shared" ca="1" si="80"/>
        <v>1.3194444444444065E-2</v>
      </c>
      <c r="R341" s="80" t="s">
        <v>319</v>
      </c>
      <c r="S341" s="81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49.686279069767444</v>
      </c>
      <c r="I342" s="90">
        <f>IFERROR(IF($D342="","",VLOOKUP($D342,Cadastro!$C$4:$G$7,5,FALSE())),"")</f>
        <v>0.6</v>
      </c>
      <c r="J342" s="91">
        <f t="shared" si="78"/>
        <v>10.434118604651163</v>
      </c>
      <c r="K342" s="64">
        <f t="shared" si="79"/>
        <v>50.400000000000006</v>
      </c>
      <c r="L342" s="61" t="s">
        <v>27</v>
      </c>
      <c r="M342" s="61" t="s">
        <v>48</v>
      </c>
      <c r="N342" s="61" t="s">
        <v>177</v>
      </c>
      <c r="O342" s="65">
        <v>2.5000000000000001E-2</v>
      </c>
      <c r="P342" s="65">
        <v>3.4027777777777803E-2</v>
      </c>
      <c r="Q342" s="66">
        <f t="shared" ca="1" si="80"/>
        <v>9.0277777777778012E-3</v>
      </c>
      <c r="R342" s="80"/>
      <c r="S342" s="81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21</v>
      </c>
      <c r="H343" s="88">
        <f>IFERROR(IF($G343="","",$G343*$S$351/$G$351/Cadastro!$E$33),"")</f>
        <v>86.950988372093022</v>
      </c>
      <c r="I343" s="90">
        <f>IFERROR(IF($D343="","",VLOOKUP($D343,Cadastro!$C$4:$G$7,5,FALSE())),"")</f>
        <v>0.6</v>
      </c>
      <c r="J343" s="91">
        <f t="shared" si="78"/>
        <v>18.259707558139532</v>
      </c>
      <c r="K343" s="69">
        <f t="shared" si="79"/>
        <v>88.2</v>
      </c>
      <c r="L343" s="70" t="s">
        <v>29</v>
      </c>
      <c r="M343" s="70" t="s">
        <v>48</v>
      </c>
      <c r="N343" s="70" t="s">
        <v>208</v>
      </c>
      <c r="O343" s="65">
        <v>4.5138888888888902E-2</v>
      </c>
      <c r="P343" s="65">
        <v>6.25E-2</v>
      </c>
      <c r="Q343" s="71">
        <f t="shared" ca="1" si="80"/>
        <v>1.7361111111111098E-2</v>
      </c>
      <c r="R343" s="80" t="s">
        <v>314</v>
      </c>
      <c r="S343" s="81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21</v>
      </c>
      <c r="H344" s="88">
        <f>IFERROR(IF($G344="","",$G344*$S$351/$G$351/Cadastro!$E$33),"")</f>
        <v>86.950988372093022</v>
      </c>
      <c r="I344" s="90">
        <f>IFERROR(IF($D344="","",VLOOKUP($D344,Cadastro!$C$4:$G$7,5,FALSE())),"")</f>
        <v>0.6</v>
      </c>
      <c r="J344" s="91">
        <f t="shared" si="78"/>
        <v>18.259707558139532</v>
      </c>
      <c r="K344" s="64">
        <f t="shared" si="79"/>
        <v>88.2</v>
      </c>
      <c r="L344" s="61" t="s">
        <v>27</v>
      </c>
      <c r="M344" s="61" t="s">
        <v>40</v>
      </c>
      <c r="N344" s="61" t="s">
        <v>167</v>
      </c>
      <c r="O344" s="65">
        <v>0.109027777777778</v>
      </c>
      <c r="P344" s="65">
        <v>0.132638888888889</v>
      </c>
      <c r="Q344" s="66">
        <f t="shared" ca="1" si="80"/>
        <v>2.3611111111110999E-2</v>
      </c>
      <c r="R344" s="80"/>
      <c r="S344" s="81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13</v>
      </c>
      <c r="H345" s="88">
        <f>IFERROR(IF($G345="","",$G345*$S$351/$G$351/Cadastro!$E$33),"")</f>
        <v>53.826802325581397</v>
      </c>
      <c r="I345" s="90">
        <f>IFERROR(IF($D345="","",VLOOKUP($D345,Cadastro!$C$4:$G$7,5,FALSE())),"")</f>
        <v>0.6</v>
      </c>
      <c r="J345" s="91">
        <f t="shared" si="78"/>
        <v>11.303628488372091</v>
      </c>
      <c r="K345" s="69">
        <f t="shared" si="79"/>
        <v>54.6</v>
      </c>
      <c r="L345" s="70" t="s">
        <v>27</v>
      </c>
      <c r="M345" s="70" t="s">
        <v>48</v>
      </c>
      <c r="N345" s="70" t="s">
        <v>167</v>
      </c>
      <c r="O345" s="65">
        <v>0.14305555555555599</v>
      </c>
      <c r="P345" s="65">
        <v>0.163194444444444</v>
      </c>
      <c r="Q345" s="71">
        <f t="shared" ca="1" si="80"/>
        <v>2.0138888888888012E-2</v>
      </c>
      <c r="R345" s="80"/>
      <c r="S345" s="81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12</v>
      </c>
      <c r="H346" s="88">
        <f>IFERROR(IF($G346="","",$G346*$S$351/$G$351/Cadastro!$E$33),"")</f>
        <v>49.686279069767444</v>
      </c>
      <c r="I346" s="90">
        <f>IFERROR(IF($D346="","",VLOOKUP($D346,Cadastro!$C$4:$G$7,5,FALSE())),"")</f>
        <v>0.6</v>
      </c>
      <c r="J346" s="91">
        <f t="shared" si="78"/>
        <v>10.434118604651163</v>
      </c>
      <c r="K346" s="64">
        <f t="shared" si="79"/>
        <v>50.400000000000006</v>
      </c>
      <c r="L346" s="61" t="s">
        <v>26</v>
      </c>
      <c r="M346" s="61" t="s">
        <v>145</v>
      </c>
      <c r="N346" s="61" t="s">
        <v>58</v>
      </c>
      <c r="O346" s="65">
        <v>0.211805555555556</v>
      </c>
      <c r="P346" s="65">
        <v>0.218055555555556</v>
      </c>
      <c r="Q346" s="66">
        <f t="shared" ca="1" si="80"/>
        <v>6.2500000000000056E-3</v>
      </c>
      <c r="R346" s="80"/>
      <c r="S346" s="81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7</v>
      </c>
      <c r="H347" s="88">
        <f>IFERROR(IF($G347="","",$G347*$S$351/$G$351/Cadastro!$E$33),"")</f>
        <v>28.983662790697675</v>
      </c>
      <c r="I347" s="90">
        <f>IFERROR(IF($D347="","",VLOOKUP($D347,Cadastro!$C$4:$G$7,5,FALSE())),"")</f>
        <v>0.6</v>
      </c>
      <c r="J347" s="91">
        <f t="shared" si="78"/>
        <v>6.0865691860465114</v>
      </c>
      <c r="K347" s="69">
        <f t="shared" si="79"/>
        <v>29.400000000000002</v>
      </c>
      <c r="L347" s="70" t="s">
        <v>26</v>
      </c>
      <c r="M347" s="70" t="s">
        <v>145</v>
      </c>
      <c r="N347" s="70" t="s">
        <v>58</v>
      </c>
      <c r="O347" s="65">
        <v>0.22500000000000001</v>
      </c>
      <c r="P347" s="65">
        <v>0.22916666666666699</v>
      </c>
      <c r="Q347" s="71">
        <f t="shared" ca="1" si="80"/>
        <v>4.1666666666669849E-3</v>
      </c>
      <c r="R347" s="80"/>
      <c r="S347" s="81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19</v>
      </c>
      <c r="H348" s="88">
        <f>IFERROR(IF($G348="","",$G348*$S$351/$G$351/Cadastro!$E$33),"")</f>
        <v>78.669941860465116</v>
      </c>
      <c r="I348" s="90">
        <f>IFERROR(IF($D348="","",VLOOKUP($D348,Cadastro!$C$4:$G$7,5,FALSE())),"")</f>
        <v>0.6</v>
      </c>
      <c r="J348" s="91">
        <f t="shared" si="78"/>
        <v>16.520687790697675</v>
      </c>
      <c r="K348" s="64">
        <f t="shared" si="79"/>
        <v>79.8</v>
      </c>
      <c r="L348" s="61"/>
      <c r="M348" s="61"/>
      <c r="N348" s="61"/>
      <c r="O348" s="65"/>
      <c r="P348" s="65"/>
      <c r="Q348" s="66" t="str">
        <f t="shared" ca="1" si="80"/>
        <v/>
      </c>
      <c r="R348" s="80"/>
      <c r="S348" s="81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16</v>
      </c>
      <c r="H349" s="88">
        <f>IFERROR(IF($G349="","",$G349*$S$351/$G$351/Cadastro!$E$33),"")</f>
        <v>66.248372093023249</v>
      </c>
      <c r="I349" s="90">
        <f>IFERROR(IF($D349="","",VLOOKUP($D349,Cadastro!$C$4:$G$7,5,FALSE())),"")</f>
        <v>0.6</v>
      </c>
      <c r="J349" s="91">
        <f t="shared" si="78"/>
        <v>13.912158139534881</v>
      </c>
      <c r="K349" s="69">
        <f t="shared" si="79"/>
        <v>67.2</v>
      </c>
      <c r="L349" s="70"/>
      <c r="M349" s="70"/>
      <c r="N349" s="70"/>
      <c r="O349" s="65"/>
      <c r="P349" s="65"/>
      <c r="Q349" s="71" t="str">
        <f t="shared" ca="1" si="80"/>
        <v/>
      </c>
      <c r="R349" s="80"/>
      <c r="S349" s="81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12</v>
      </c>
      <c r="H350" s="92">
        <f>IFERROR(IF($G350="","",$G350*$S$351/$G$351/Cadastro!$E$33),"")</f>
        <v>49.686279069767444</v>
      </c>
      <c r="I350" s="93">
        <f>IFERROR(IF($D350="","",VLOOKUP($D350,Cadastro!$C$4:$G$7,5,FALSE())),"")</f>
        <v>0.6</v>
      </c>
      <c r="J350" s="94">
        <f t="shared" si="78"/>
        <v>10.434118604651163</v>
      </c>
      <c r="K350" s="64">
        <f t="shared" si="79"/>
        <v>50.400000000000006</v>
      </c>
      <c r="L350" s="61"/>
      <c r="M350" s="61"/>
      <c r="N350" s="61"/>
      <c r="O350" s="65"/>
      <c r="P350" s="65"/>
      <c r="Q350" s="66" t="str">
        <f t="shared" ca="1" si="80"/>
        <v/>
      </c>
      <c r="R350" s="80"/>
      <c r="S350" s="81"/>
    </row>
    <row r="351" spans="1:20" ht="15.75" customHeight="1">
      <c r="A351" s="156" t="s">
        <v>263</v>
      </c>
      <c r="B351" s="156"/>
      <c r="C351" s="156"/>
      <c r="D351" s="156"/>
      <c r="E351" s="156"/>
      <c r="F351" s="105"/>
      <c r="G351" s="96">
        <f>SUM(G339:G350)</f>
        <v>172</v>
      </c>
      <c r="H351" s="105">
        <f>IFERROR(SUM(H339:H350),"")</f>
        <v>712.17</v>
      </c>
      <c r="I351" s="106"/>
      <c r="J351" s="107">
        <f>IFERROR(SUM(J339:J350),"")</f>
        <v>149.5557</v>
      </c>
      <c r="K351" s="2">
        <f>SUM(K339:K350)</f>
        <v>722.4</v>
      </c>
      <c r="L351" s="72"/>
      <c r="M351" s="72"/>
      <c r="N351" s="72"/>
      <c r="O351" s="72"/>
      <c r="P351" s="72"/>
      <c r="Q351" s="73">
        <f ca="1">IFERROR(SUM(Q339:Q350),"")</f>
        <v>0.13194444444444406</v>
      </c>
      <c r="R351" s="2" t="s">
        <v>261</v>
      </c>
      <c r="S351" s="74">
        <v>712170</v>
      </c>
      <c r="T351" s="99">
        <f>IFERROR(J351,"")</f>
        <v>149.5557</v>
      </c>
    </row>
    <row r="352" spans="1:20" ht="18" customHeight="1">
      <c r="A352" s="157" t="s">
        <v>249</v>
      </c>
      <c r="B352" s="157"/>
      <c r="C352" s="157"/>
      <c r="D352" s="157"/>
      <c r="E352" s="157"/>
      <c r="F352" s="108"/>
      <c r="G352" s="109">
        <f>G338+G351</f>
        <v>209</v>
      </c>
      <c r="H352" s="108">
        <f>IFERROR(H338+H351,"")</f>
        <v>899.06</v>
      </c>
      <c r="I352" s="110"/>
      <c r="J352" s="111">
        <f>IFERROR(J338+J351,"")</f>
        <v>188.80259999999998</v>
      </c>
      <c r="K352" s="1">
        <f>K338+K351</f>
        <v>895.4</v>
      </c>
      <c r="L352" s="76"/>
      <c r="M352" s="76"/>
      <c r="N352" s="76"/>
      <c r="O352" s="76"/>
      <c r="P352" s="76"/>
      <c r="Q352" s="77">
        <f ca="1">IFERROR(Q338+Q351,"")</f>
        <v>0.47430555555555398</v>
      </c>
      <c r="R352" s="1" t="s">
        <v>264</v>
      </c>
      <c r="S352" s="82">
        <f>IFERROR(S338+S351,"")</f>
        <v>899060</v>
      </c>
      <c r="T352" s="118">
        <f>IFERROR(J352,"")</f>
        <v>188.80259999999998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0</v>
      </c>
      <c r="K353" s="69">
        <f t="shared" ref="K353:K364" si="83">IF(G353="","",IF(E353="PC 17",G353*4.2,IF(E353="PC 19",G353*5,IF(E353="CB",G353*24,""))))</f>
        <v>0</v>
      </c>
      <c r="L353" s="70" t="s">
        <v>29</v>
      </c>
      <c r="M353" s="70" t="s">
        <v>48</v>
      </c>
      <c r="N353" s="70" t="s">
        <v>65</v>
      </c>
      <c r="O353" s="65">
        <v>0.29166666666666702</v>
      </c>
      <c r="P353" s="65">
        <v>0.30694444444444502</v>
      </c>
      <c r="Q353" s="71">
        <f t="shared" ref="Q353:Q364" ca="1" si="84">IFERROR(IF(O353="","",IF(P353="",MOD(NOW()-O353,1),IF(P353&gt;=O353,P353-O353,P353+1-O353))),"")</f>
        <v>1.5277777777778001E-2</v>
      </c>
      <c r="R353" s="80" t="s">
        <v>307</v>
      </c>
      <c r="S353" s="81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57.617592592592594</v>
      </c>
      <c r="I354" s="90">
        <f>IFERROR(IF($D354="","",VLOOKUP($D354,Cadastro!$C$4:$G$7,5,FALSE())),"")</f>
        <v>0.6</v>
      </c>
      <c r="J354" s="91">
        <f t="shared" si="82"/>
        <v>12.099694444444443</v>
      </c>
      <c r="K354" s="64">
        <f t="shared" si="83"/>
        <v>42</v>
      </c>
      <c r="L354" s="61" t="s">
        <v>28</v>
      </c>
      <c r="M354" s="61" t="s">
        <v>40</v>
      </c>
      <c r="N354" s="61" t="s">
        <v>36</v>
      </c>
      <c r="O354" s="65">
        <v>0.30694444444444502</v>
      </c>
      <c r="P354" s="65">
        <v>0.31874999999999998</v>
      </c>
      <c r="Q354" s="66">
        <f t="shared" ca="1" si="84"/>
        <v>1.1805555555554959E-2</v>
      </c>
      <c r="R354" s="80"/>
      <c r="S354" s="81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12</v>
      </c>
      <c r="H355" s="88">
        <f>IFERROR(IF($G355="","",$G355*$S$365/$G$365/Cadastro!$E$33),"")</f>
        <v>69.141111111111115</v>
      </c>
      <c r="I355" s="90">
        <f>IFERROR(IF($D355="","",VLOOKUP($D355,Cadastro!$C$4:$G$7,5,FALSE())),"")</f>
        <v>0.6</v>
      </c>
      <c r="J355" s="91">
        <f t="shared" si="82"/>
        <v>14.519633333333333</v>
      </c>
      <c r="K355" s="69">
        <f t="shared" si="83"/>
        <v>50.400000000000006</v>
      </c>
      <c r="L355" s="70" t="s">
        <v>28</v>
      </c>
      <c r="M355" s="70" t="s">
        <v>40</v>
      </c>
      <c r="N355" s="70" t="s">
        <v>87</v>
      </c>
      <c r="O355" s="65">
        <v>0.48263888888888901</v>
      </c>
      <c r="P355" s="65">
        <v>0.50486111111111098</v>
      </c>
      <c r="Q355" s="71">
        <f t="shared" ca="1" si="84"/>
        <v>2.2222222222221977E-2</v>
      </c>
      <c r="R355" s="80"/>
      <c r="S355" s="81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19</v>
      </c>
      <c r="H356" s="88">
        <f>IFERROR(IF($G356="","",$G356*$S$365/$G$365/Cadastro!$E$33),"")</f>
        <v>109.47342592592592</v>
      </c>
      <c r="I356" s="90">
        <f>IFERROR(IF($D356="","",VLOOKUP($D356,Cadastro!$C$4:$G$7,5,FALSE())),"")</f>
        <v>0.6</v>
      </c>
      <c r="J356" s="91">
        <f t="shared" si="82"/>
        <v>22.98941944444444</v>
      </c>
      <c r="K356" s="64">
        <f t="shared" si="83"/>
        <v>79.8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4"/>
        <v>1.1805555555555958E-2</v>
      </c>
      <c r="R356" s="80"/>
      <c r="S356" s="81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14</v>
      </c>
      <c r="H357" s="88">
        <f>IFERROR(IF($G357="","",$G357*$S$365/$G$365/Cadastro!$E$33),"")</f>
        <v>80.66462962962963</v>
      </c>
      <c r="I357" s="90">
        <f>IFERROR(IF($D357="","",VLOOKUP($D357,Cadastro!$C$4:$G$7,5,FALSE())),"")</f>
        <v>0.6</v>
      </c>
      <c r="J357" s="91">
        <f t="shared" si="82"/>
        <v>16.939572222222221</v>
      </c>
      <c r="K357" s="69">
        <f t="shared" si="83"/>
        <v>58.800000000000004</v>
      </c>
      <c r="L357" s="70" t="s">
        <v>28</v>
      </c>
      <c r="M357" s="70" t="s">
        <v>170</v>
      </c>
      <c r="N357" s="70" t="s">
        <v>36</v>
      </c>
      <c r="O357" s="65">
        <v>0.71875</v>
      </c>
      <c r="P357" s="65">
        <v>0.74097222222222203</v>
      </c>
      <c r="Q357" s="71">
        <f t="shared" ca="1" si="84"/>
        <v>2.2222222222222032E-2</v>
      </c>
      <c r="R357" s="80"/>
      <c r="S357" s="81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86.426388888888894</v>
      </c>
      <c r="I358" s="90">
        <f>IFERROR(IF($D358="","",VLOOKUP($D358,Cadastro!$C$4:$G$7,5,FALSE())),"")</f>
        <v>0.6</v>
      </c>
      <c r="J358" s="91">
        <f t="shared" si="82"/>
        <v>18.149541666666664</v>
      </c>
      <c r="K358" s="64">
        <f t="shared" si="83"/>
        <v>63</v>
      </c>
      <c r="L358" s="61"/>
      <c r="M358" s="61"/>
      <c r="N358" s="61"/>
      <c r="O358" s="65"/>
      <c r="P358" s="65"/>
      <c r="Q358" s="66" t="str">
        <f t="shared" ca="1" si="84"/>
        <v/>
      </c>
      <c r="R358" s="80"/>
      <c r="S358" s="81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5</v>
      </c>
      <c r="H359" s="88">
        <f>IFERROR(IF($G359="","",$G359*$S$365/$G$365/Cadastro!$E$33),"")</f>
        <v>28.808796296296297</v>
      </c>
      <c r="I359" s="90">
        <f>IFERROR(IF($D359="","",VLOOKUP($D359,Cadastro!$C$4:$G$7,5,FALSE())),"")</f>
        <v>0.6</v>
      </c>
      <c r="J359" s="91">
        <f t="shared" si="82"/>
        <v>6.0498472222222217</v>
      </c>
      <c r="K359" s="69">
        <f t="shared" si="83"/>
        <v>21</v>
      </c>
      <c r="L359" s="70"/>
      <c r="M359" s="70"/>
      <c r="N359" s="70"/>
      <c r="O359" s="65"/>
      <c r="P359" s="65"/>
      <c r="Q359" s="71" t="str">
        <f t="shared" ca="1" si="84"/>
        <v/>
      </c>
      <c r="R359" s="80"/>
      <c r="S359" s="81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74.902870370370366</v>
      </c>
      <c r="I360" s="90">
        <f>IFERROR(IF($D360="","",VLOOKUP($D360,Cadastro!$C$4:$G$7,5,FALSE())),"")</f>
        <v>0.6</v>
      </c>
      <c r="J360" s="91">
        <f t="shared" si="82"/>
        <v>15.729602777777774</v>
      </c>
      <c r="K360" s="64">
        <f t="shared" si="83"/>
        <v>54.6</v>
      </c>
      <c r="L360" s="61"/>
      <c r="M360" s="61"/>
      <c r="N360" s="61"/>
      <c r="O360" s="65"/>
      <c r="P360" s="65"/>
      <c r="Q360" s="66" t="str">
        <f t="shared" ca="1" si="84"/>
        <v/>
      </c>
      <c r="R360" s="80"/>
      <c r="S360" s="81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15</v>
      </c>
      <c r="H361" s="88">
        <f>IFERROR(IF($G361="","",$G361*$S$365/$G$365/Cadastro!$E$33),"")</f>
        <v>86.426388888888894</v>
      </c>
      <c r="I361" s="90">
        <f>IFERROR(IF($D361="","",VLOOKUP($D361,Cadastro!$C$4:$G$7,5,FALSE())),"")</f>
        <v>0.6</v>
      </c>
      <c r="J361" s="91">
        <f t="shared" si="82"/>
        <v>18.149541666666664</v>
      </c>
      <c r="K361" s="69">
        <f t="shared" si="83"/>
        <v>63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81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28.808796296296297</v>
      </c>
      <c r="I362" s="90">
        <f>IFERROR(IF($D362="","",VLOOKUP($D362,Cadastro!$C$4:$G$7,5,FALSE())),"")</f>
        <v>0.6</v>
      </c>
      <c r="J362" s="91">
        <f t="shared" si="82"/>
        <v>6.0498472222222217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81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0</v>
      </c>
      <c r="H363" s="88">
        <f>IFERROR(IF($G363="","",$G363*$S$365/$G$365/Cadastro!$E$33),"")</f>
        <v>0</v>
      </c>
      <c r="I363" s="90">
        <f>IFERROR(IF($D363="","",VLOOKUP($D363,Cadastro!$C$4:$G$7,5,FALSE())),"")</f>
        <v>0.6</v>
      </c>
      <c r="J363" s="91">
        <f t="shared" si="82"/>
        <v>0</v>
      </c>
      <c r="K363" s="69">
        <f t="shared" si="83"/>
        <v>0</v>
      </c>
      <c r="L363" s="70"/>
      <c r="M363" s="70"/>
      <c r="N363" s="70"/>
      <c r="O363" s="65"/>
      <c r="P363" s="65"/>
      <c r="Q363" s="71" t="str">
        <f t="shared" ca="1" si="84"/>
        <v/>
      </c>
      <c r="R363" s="80"/>
      <c r="S363" s="81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0</v>
      </c>
      <c r="H364" s="92">
        <f>IFERROR(IF($G364="","",$G364*$S$365/$G$365/Cadastro!$E$33),"")</f>
        <v>0</v>
      </c>
      <c r="I364" s="93">
        <f>IFERROR(IF($D364="","",VLOOKUP($D364,Cadastro!$C$4:$G$7,5,FALSE())),"")</f>
        <v>0.6</v>
      </c>
      <c r="J364" s="94">
        <f t="shared" si="82"/>
        <v>0</v>
      </c>
      <c r="K364" s="64">
        <f t="shared" si="83"/>
        <v>0</v>
      </c>
      <c r="L364" s="61"/>
      <c r="M364" s="61"/>
      <c r="N364" s="61"/>
      <c r="O364" s="65"/>
      <c r="P364" s="65"/>
      <c r="Q364" s="66" t="str">
        <f t="shared" ca="1" si="84"/>
        <v/>
      </c>
      <c r="R364" s="80"/>
      <c r="S364" s="81"/>
    </row>
    <row r="365" spans="1:20" ht="15.75" customHeight="1">
      <c r="A365" s="156" t="s">
        <v>260</v>
      </c>
      <c r="B365" s="156"/>
      <c r="C365" s="156"/>
      <c r="D365" s="156"/>
      <c r="E365" s="156"/>
      <c r="F365" s="95"/>
      <c r="G365" s="96">
        <f>SUM(G353:G364)</f>
        <v>108</v>
      </c>
      <c r="H365" s="95">
        <f>IFERROR(SUM(H353:H364),"")</f>
        <v>622.2700000000001</v>
      </c>
      <c r="I365" s="97"/>
      <c r="J365" s="98">
        <f>IFERROR(SUM(J353:J364),"")</f>
        <v>130.67669999999998</v>
      </c>
      <c r="K365" s="2">
        <f>SUM(K353:K364)</f>
        <v>453.6</v>
      </c>
      <c r="L365" s="72"/>
      <c r="M365" s="72"/>
      <c r="N365" s="72"/>
      <c r="O365" s="72"/>
      <c r="P365" s="72"/>
      <c r="Q365" s="73">
        <f ca="1">IFERROR(SUM(Q353:Q364),"")</f>
        <v>8.3333333333332926E-2</v>
      </c>
      <c r="R365" s="2" t="s">
        <v>261</v>
      </c>
      <c r="S365" s="74">
        <v>622270</v>
      </c>
      <c r="T365" s="99">
        <f>IFERROR(J365,"")</f>
        <v>130.67669999999998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4.5812499999999998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0.96206249999999982</v>
      </c>
      <c r="K366" s="64">
        <f t="shared" ref="K366:K377" si="87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0.79166666666666696</v>
      </c>
      <c r="P366" s="65">
        <v>0.83541666666666703</v>
      </c>
      <c r="Q366" s="66">
        <f t="shared" ref="Q366:Q377" ca="1" si="88">IFERROR(IF(O366="","",IF(P366="",MOD(NOW()-O366,1),IF(P366&gt;=O366,P366-O366,P366+1-O366))),"")</f>
        <v>4.3750000000000067E-2</v>
      </c>
      <c r="R366" s="80"/>
      <c r="S366" s="81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15</v>
      </c>
      <c r="H367" s="88">
        <f>IFERROR(IF($G367="","",$G367*$S$378/$G$378/Cadastro!$E$33),"")</f>
        <v>68.71875</v>
      </c>
      <c r="I367" s="90">
        <f>IFERROR(IF($D367="","",VLOOKUP($D367,Cadastro!$C$4:$G$7,5,FALSE())),"")</f>
        <v>0.6</v>
      </c>
      <c r="J367" s="91">
        <f t="shared" si="86"/>
        <v>14.430937499999999</v>
      </c>
      <c r="K367" s="69">
        <f t="shared" si="87"/>
        <v>63</v>
      </c>
      <c r="L367" s="70" t="s">
        <v>29</v>
      </c>
      <c r="M367" s="70" t="s">
        <v>148</v>
      </c>
      <c r="N367" s="70" t="s">
        <v>83</v>
      </c>
      <c r="O367" s="65">
        <v>0.88194444444444398</v>
      </c>
      <c r="P367" s="65">
        <v>0.89305555555555605</v>
      </c>
      <c r="Q367" s="71">
        <f t="shared" ca="1" si="88"/>
        <v>1.1111111111112071E-2</v>
      </c>
      <c r="R367" s="80" t="s">
        <v>328</v>
      </c>
      <c r="S367" s="81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14</v>
      </c>
      <c r="H368" s="88">
        <f>IFERROR(IF($G368="","",$G368*$S$378/$G$378/Cadastro!$E$33),"")</f>
        <v>64.137500000000003</v>
      </c>
      <c r="I368" s="90">
        <f>IFERROR(IF($D368="","",VLOOKUP($D368,Cadastro!$C$4:$G$7,5,FALSE())),"")</f>
        <v>0.6</v>
      </c>
      <c r="J368" s="91">
        <f t="shared" si="86"/>
        <v>13.468875000000001</v>
      </c>
      <c r="K368" s="64">
        <f t="shared" si="87"/>
        <v>58.800000000000004</v>
      </c>
      <c r="L368" s="61" t="s">
        <v>28</v>
      </c>
      <c r="M368" s="61" t="s">
        <v>170</v>
      </c>
      <c r="N368" s="61" t="s">
        <v>36</v>
      </c>
      <c r="O368" s="65">
        <v>2.7777777777777801E-2</v>
      </c>
      <c r="P368" s="65">
        <v>4.8611111111111098E-2</v>
      </c>
      <c r="Q368" s="66">
        <f t="shared" ca="1" si="88"/>
        <v>2.0833333333333297E-2</v>
      </c>
      <c r="R368" s="80"/>
      <c r="S368" s="81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21</v>
      </c>
      <c r="H369" s="88">
        <f>IFERROR(IF($G369="","",$G369*$S$378/$G$378/Cadastro!$E$33),"")</f>
        <v>96.206249999999997</v>
      </c>
      <c r="I369" s="90">
        <f>IFERROR(IF($D369="","",VLOOKUP($D369,Cadastro!$C$4:$G$7,5,FALSE())),"")</f>
        <v>0.6</v>
      </c>
      <c r="J369" s="91">
        <f t="shared" si="86"/>
        <v>20.203312499999999</v>
      </c>
      <c r="K369" s="69">
        <f t="shared" si="87"/>
        <v>88.2</v>
      </c>
      <c r="L369" s="70" t="s">
        <v>29</v>
      </c>
      <c r="M369" s="70"/>
      <c r="N369" s="70" t="s">
        <v>71</v>
      </c>
      <c r="O369" s="65">
        <v>0.10763888888888901</v>
      </c>
      <c r="P369" s="65">
        <v>0.11111111111111099</v>
      </c>
      <c r="Q369" s="71">
        <f t="shared" ca="1" si="88"/>
        <v>3.4722222222219878E-3</v>
      </c>
      <c r="R369" s="80"/>
      <c r="S369" s="81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17</v>
      </c>
      <c r="H370" s="88">
        <f>IFERROR(IF($G370="","",$G370*$S$378/$G$378/Cadastro!$E$33),"")</f>
        <v>77.881249999999994</v>
      </c>
      <c r="I370" s="90">
        <f>IFERROR(IF($D370="","",VLOOKUP($D370,Cadastro!$C$4:$G$7,5,FALSE())),"")</f>
        <v>0.6</v>
      </c>
      <c r="J370" s="91">
        <f t="shared" si="86"/>
        <v>16.355062499999995</v>
      </c>
      <c r="K370" s="64">
        <f t="shared" si="87"/>
        <v>71.400000000000006</v>
      </c>
      <c r="L370" s="61" t="s">
        <v>28</v>
      </c>
      <c r="M370" s="61" t="s">
        <v>170</v>
      </c>
      <c r="N370" s="61" t="s">
        <v>36</v>
      </c>
      <c r="O370" s="65">
        <v>0.180555555555556</v>
      </c>
      <c r="P370" s="65">
        <v>0.18958333333333299</v>
      </c>
      <c r="Q370" s="66">
        <f t="shared" ca="1" si="88"/>
        <v>9.0277777777769963E-3</v>
      </c>
      <c r="R370" s="80"/>
      <c r="S370" s="81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15</v>
      </c>
      <c r="H371" s="88">
        <f>IFERROR(IF($G371="","",$G371*$S$378/$G$378/Cadastro!$E$33),"")</f>
        <v>68.71875</v>
      </c>
      <c r="I371" s="90">
        <f>IFERROR(IF($D371="","",VLOOKUP($D371,Cadastro!$C$4:$G$7,5,FALSE())),"")</f>
        <v>0.6</v>
      </c>
      <c r="J371" s="91">
        <f t="shared" si="86"/>
        <v>14.430937499999999</v>
      </c>
      <c r="K371" s="69">
        <f t="shared" si="87"/>
        <v>63</v>
      </c>
      <c r="L371" s="70"/>
      <c r="M371" s="70"/>
      <c r="N371" s="70"/>
      <c r="O371" s="65"/>
      <c r="P371" s="65"/>
      <c r="Q371" s="71" t="str">
        <f t="shared" ca="1" si="88"/>
        <v/>
      </c>
      <c r="R371" s="80"/>
      <c r="S371" s="81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64.137500000000003</v>
      </c>
      <c r="I372" s="90">
        <f>IFERROR(IF($D372="","",VLOOKUP($D372,Cadastro!$C$4:$G$7,5,FALSE())),"")</f>
        <v>0.6</v>
      </c>
      <c r="J372" s="91">
        <f t="shared" si="86"/>
        <v>13.468875000000001</v>
      </c>
      <c r="K372" s="64">
        <f t="shared" si="87"/>
        <v>58.800000000000004</v>
      </c>
      <c r="L372" s="61"/>
      <c r="M372" s="61"/>
      <c r="N372" s="61"/>
      <c r="O372" s="65"/>
      <c r="P372" s="65"/>
      <c r="Q372" s="66" t="str">
        <f t="shared" ca="1" si="88"/>
        <v/>
      </c>
      <c r="R372" s="80"/>
      <c r="S372" s="81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20</v>
      </c>
      <c r="H373" s="88">
        <f>IFERROR(IF($G373="","",$G373*$S$378/$G$378/Cadastro!$E$33),"")</f>
        <v>91.625</v>
      </c>
      <c r="I373" s="90">
        <f>IFERROR(IF($D373="","",VLOOKUP($D373,Cadastro!$C$4:$G$7,5,FALSE())),"")</f>
        <v>0.6</v>
      </c>
      <c r="J373" s="91">
        <f t="shared" si="86"/>
        <v>19.241250000000001</v>
      </c>
      <c r="K373" s="69">
        <f t="shared" si="87"/>
        <v>84</v>
      </c>
      <c r="L373" s="70"/>
      <c r="M373" s="70"/>
      <c r="N373" s="70"/>
      <c r="O373" s="65"/>
      <c r="P373" s="65"/>
      <c r="Q373" s="71" t="str">
        <f t="shared" ca="1" si="88"/>
        <v/>
      </c>
      <c r="R373" s="80"/>
      <c r="S373" s="81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96.206249999999997</v>
      </c>
      <c r="I374" s="90">
        <f>IFERROR(IF($D374="","",VLOOKUP($D374,Cadastro!$C$4:$G$7,5,FALSE())),"")</f>
        <v>0.6</v>
      </c>
      <c r="J374" s="91">
        <f t="shared" si="86"/>
        <v>20.203312499999999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80"/>
      <c r="S374" s="81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10</v>
      </c>
      <c r="H375" s="88">
        <f>IFERROR(IF($G375="","",$G375*$S$378/$G$378/Cadastro!$E$33),"")</f>
        <v>45.8125</v>
      </c>
      <c r="I375" s="90">
        <f>IFERROR(IF($D375="","",VLOOKUP($D375,Cadastro!$C$4:$G$7,5,FALSE())),"")</f>
        <v>0.6</v>
      </c>
      <c r="J375" s="91">
        <f t="shared" si="86"/>
        <v>9.6206250000000004</v>
      </c>
      <c r="K375" s="69">
        <f t="shared" si="87"/>
        <v>42</v>
      </c>
      <c r="L375" s="70"/>
      <c r="M375" s="70"/>
      <c r="N375" s="70"/>
      <c r="O375" s="65"/>
      <c r="P375" s="65"/>
      <c r="Q375" s="71" t="str">
        <f t="shared" ca="1" si="88"/>
        <v/>
      </c>
      <c r="R375" s="80"/>
      <c r="S375" s="81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18</v>
      </c>
      <c r="H376" s="88">
        <f>IFERROR(IF($G376="","",$G376*$S$378/$G$378/Cadastro!$E$33),"")</f>
        <v>82.462500000000006</v>
      </c>
      <c r="I376" s="90">
        <f>IFERROR(IF($D376="","",VLOOKUP($D376,Cadastro!$C$4:$G$7,5,FALSE())),"")</f>
        <v>0.6</v>
      </c>
      <c r="J376" s="91">
        <f t="shared" si="86"/>
        <v>17.317125000000001</v>
      </c>
      <c r="K376" s="64">
        <f t="shared" si="87"/>
        <v>75.600000000000009</v>
      </c>
      <c r="L376" s="61"/>
      <c r="M376" s="61"/>
      <c r="N376" s="61"/>
      <c r="O376" s="65"/>
      <c r="P376" s="65"/>
      <c r="Q376" s="66" t="str">
        <f t="shared" ca="1" si="88"/>
        <v/>
      </c>
      <c r="R376" s="80"/>
      <c r="S376" s="81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45.8125</v>
      </c>
      <c r="I377" s="93">
        <f>IFERROR(IF($D377="","",VLOOKUP($D377,Cadastro!$C$4:$G$7,5,FALSE())),"")</f>
        <v>0.6</v>
      </c>
      <c r="J377" s="94">
        <f t="shared" si="86"/>
        <v>9.6206250000000004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80"/>
      <c r="S377" s="81"/>
    </row>
    <row r="378" spans="1:20" ht="15.75" customHeight="1">
      <c r="A378" s="156" t="s">
        <v>263</v>
      </c>
      <c r="B378" s="156"/>
      <c r="C378" s="156"/>
      <c r="D378" s="156"/>
      <c r="E378" s="156"/>
      <c r="F378" s="105"/>
      <c r="G378" s="96">
        <f>SUM(G366:G377)</f>
        <v>176</v>
      </c>
      <c r="H378" s="105">
        <f>IFERROR(SUM(H366:H377),"")</f>
        <v>806.29999999999984</v>
      </c>
      <c r="I378" s="106"/>
      <c r="J378" s="107">
        <f>IFERROR(SUM(J366:J377),"")</f>
        <v>169.32299999999998</v>
      </c>
      <c r="K378" s="2">
        <f>SUM(K366:K377)</f>
        <v>739.2</v>
      </c>
      <c r="L378" s="72"/>
      <c r="M378" s="72"/>
      <c r="N378" s="72"/>
      <c r="O378" s="72"/>
      <c r="P378" s="72"/>
      <c r="Q378" s="73">
        <f ca="1">IFERROR(SUM(Q366:Q377),"")</f>
        <v>8.8194444444444423E-2</v>
      </c>
      <c r="R378" s="2" t="s">
        <v>261</v>
      </c>
      <c r="S378" s="74">
        <v>806300</v>
      </c>
      <c r="T378" s="99">
        <f>IFERROR(J378,"")</f>
        <v>169.32299999999998</v>
      </c>
    </row>
    <row r="379" spans="1:20" ht="18" customHeight="1">
      <c r="A379" s="157" t="s">
        <v>249</v>
      </c>
      <c r="B379" s="157"/>
      <c r="C379" s="157"/>
      <c r="D379" s="157"/>
      <c r="E379" s="157"/>
      <c r="F379" s="108"/>
      <c r="G379" s="109">
        <f>G365+G378</f>
        <v>284</v>
      </c>
      <c r="H379" s="108">
        <f>IFERROR(H365+H378,"")</f>
        <v>1428.57</v>
      </c>
      <c r="I379" s="110"/>
      <c r="J379" s="111">
        <f>IFERROR(J365+J378,"")</f>
        <v>299.99969999999996</v>
      </c>
      <c r="K379" s="1">
        <f>K365+K378</f>
        <v>1192.8000000000002</v>
      </c>
      <c r="L379" s="76"/>
      <c r="M379" s="76"/>
      <c r="N379" s="76"/>
      <c r="O379" s="76"/>
      <c r="P379" s="76"/>
      <c r="Q379" s="77">
        <f ca="1">IFERROR(Q365+Q378,"")</f>
        <v>0.17152777777777733</v>
      </c>
      <c r="R379" s="1" t="s">
        <v>264</v>
      </c>
      <c r="S379" s="82">
        <f>IFERROR(S365+S378,"")</f>
        <v>1428570</v>
      </c>
      <c r="T379" s="118">
        <f>IFERROR(J379,"")</f>
        <v>299.99969999999996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39</v>
      </c>
      <c r="E380" s="87" t="s">
        <v>274</v>
      </c>
      <c r="F380" s="101">
        <f>IFERROR(IF($D380="","",VLOOKUP($D380,Cadastro!$C$4:$E$7,3,FALSE())),"")</f>
        <v>0.24</v>
      </c>
      <c r="G380" s="89">
        <v>17</v>
      </c>
      <c r="H380" s="101">
        <f>IFERROR(IF($G380="","",$G380*$S$392/$G$392/Cadastro!$E$33),"")</f>
        <v>84.008674698795176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12.097249156626503</v>
      </c>
      <c r="K380" s="64">
        <f t="shared" ref="K380:K391" si="91">IF(G380="","",IF(E380="PC 17",G380*4.2,IF(E380="PC 19",G380*5,IF(E380="CB",G380*24,""))))</f>
        <v>71.400000000000006</v>
      </c>
      <c r="L380" s="61" t="s">
        <v>29</v>
      </c>
      <c r="M380" s="61"/>
      <c r="N380" s="61" t="s">
        <v>83</v>
      </c>
      <c r="O380" s="65">
        <v>0.33819444444444502</v>
      </c>
      <c r="P380" s="65">
        <v>0.34513888888888899</v>
      </c>
      <c r="Q380" s="66">
        <f t="shared" ref="Q380:Q391" ca="1" si="92">IFERROR(IF(O380="","",IF(P380="",MOD(NOW()-O380,1),IF(P380&gt;=O380,P380-O380,P380+1-O380))),"")</f>
        <v>6.9444444444439757E-3</v>
      </c>
      <c r="R380" s="80"/>
      <c r="S380" s="81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39</v>
      </c>
      <c r="E381" s="87" t="s">
        <v>274</v>
      </c>
      <c r="F381" s="88">
        <f>IFERROR(IF($D381="","",VLOOKUP($D381,Cadastro!$C$4:$E$7,3,FALSE())),"")</f>
        <v>0.24</v>
      </c>
      <c r="G381" s="89">
        <v>12</v>
      </c>
      <c r="H381" s="88">
        <f>IFERROR(IF($G381="","",$G381*$S$392/$G$392/Cadastro!$E$33),"")</f>
        <v>59.300240963855423</v>
      </c>
      <c r="I381" s="90">
        <f>IFERROR(IF($D381="","",VLOOKUP($D381,Cadastro!$C$4:$G$7,5,FALSE())),"")</f>
        <v>0.6</v>
      </c>
      <c r="J381" s="91">
        <f t="shared" si="90"/>
        <v>8.5392346987951804</v>
      </c>
      <c r="K381" s="69">
        <f t="shared" si="91"/>
        <v>50.400000000000006</v>
      </c>
      <c r="L381" s="70" t="s">
        <v>29</v>
      </c>
      <c r="M381" s="70" t="s">
        <v>48</v>
      </c>
      <c r="N381" s="70" t="s">
        <v>45</v>
      </c>
      <c r="O381" s="65">
        <v>0.35555555555555601</v>
      </c>
      <c r="P381" s="65">
        <v>0.36249999999999999</v>
      </c>
      <c r="Q381" s="71">
        <f t="shared" ca="1" si="92"/>
        <v>6.9444444444439757E-3</v>
      </c>
      <c r="R381" s="80"/>
      <c r="S381" s="81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18</v>
      </c>
      <c r="H382" s="88">
        <f>IFERROR(IF($G382="","",$G382*$S$392/$G$392/Cadastro!$E$33),"")</f>
        <v>88.95036144578313</v>
      </c>
      <c r="I382" s="90">
        <f>IFERROR(IF($D382="","",VLOOKUP($D382,Cadastro!$C$4:$G$7,5,FALSE())),"")</f>
        <v>0.6</v>
      </c>
      <c r="J382" s="91">
        <f t="shared" si="90"/>
        <v>18.679575903614456</v>
      </c>
      <c r="K382" s="64">
        <f t="shared" si="91"/>
        <v>75.600000000000009</v>
      </c>
      <c r="L382" s="61" t="s">
        <v>29</v>
      </c>
      <c r="M382" s="61"/>
      <c r="N382" s="70" t="s">
        <v>83</v>
      </c>
      <c r="O382" s="65">
        <v>0.39374999999999999</v>
      </c>
      <c r="P382" s="65">
        <v>0.39861111111111103</v>
      </c>
      <c r="Q382" s="66">
        <f t="shared" ca="1" si="92"/>
        <v>4.8611111111110383E-3</v>
      </c>
      <c r="R382" s="80"/>
      <c r="S382" s="81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12</v>
      </c>
      <c r="H383" s="88">
        <f>IFERROR(IF($G383="","",$G383*$S$392/$G$392/Cadastro!$E$33),"")</f>
        <v>59.300240963855423</v>
      </c>
      <c r="I383" s="90">
        <f>IFERROR(IF($D383="","",VLOOKUP($D383,Cadastro!$C$4:$G$7,5,FALSE())),"")</f>
        <v>0.6</v>
      </c>
      <c r="J383" s="91">
        <f t="shared" si="90"/>
        <v>12.453050602409638</v>
      </c>
      <c r="K383" s="69">
        <f t="shared" si="91"/>
        <v>50.400000000000006</v>
      </c>
      <c r="L383" s="70" t="s">
        <v>28</v>
      </c>
      <c r="M383" s="70" t="s">
        <v>170</v>
      </c>
      <c r="N383" s="70" t="s">
        <v>36</v>
      </c>
      <c r="O383" s="65">
        <v>0.47708333333333303</v>
      </c>
      <c r="P383" s="65">
        <v>0.49583333333333302</v>
      </c>
      <c r="Q383" s="71">
        <f t="shared" ca="1" si="92"/>
        <v>1.8749999999999989E-2</v>
      </c>
      <c r="R383" s="80"/>
      <c r="S383" s="81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49.416867469879513</v>
      </c>
      <c r="I384" s="90">
        <f>IFERROR(IF($D384="","",VLOOKUP($D384,Cadastro!$C$4:$G$7,5,FALSE())),"")</f>
        <v>0.6</v>
      </c>
      <c r="J384" s="91">
        <f t="shared" si="90"/>
        <v>10.377542168674696</v>
      </c>
      <c r="K384" s="64">
        <f t="shared" si="91"/>
        <v>42</v>
      </c>
      <c r="L384" s="61" t="s">
        <v>26</v>
      </c>
      <c r="M384" s="61"/>
      <c r="N384" s="61" t="s">
        <v>34</v>
      </c>
      <c r="O384" s="65">
        <v>0.483333333333333</v>
      </c>
      <c r="P384" s="65">
        <v>0.49166666666666697</v>
      </c>
      <c r="Q384" s="66">
        <f t="shared" ca="1" si="92"/>
        <v>8.3333333333339699E-3</v>
      </c>
      <c r="R384" s="80"/>
      <c r="S384" s="81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16</v>
      </c>
      <c r="H385" s="88">
        <f>IFERROR(IF($G385="","",$G385*$S$392/$G$392/Cadastro!$E$33),"")</f>
        <v>79.066987951807221</v>
      </c>
      <c r="I385" s="90">
        <f>IFERROR(IF($D385="","",VLOOKUP($D385,Cadastro!$C$4:$G$7,5,FALSE())),"")</f>
        <v>0.6</v>
      </c>
      <c r="J385" s="91">
        <f t="shared" si="90"/>
        <v>16.604067469879514</v>
      </c>
      <c r="K385" s="69">
        <f t="shared" si="91"/>
        <v>67.2</v>
      </c>
      <c r="L385" s="70" t="s">
        <v>25</v>
      </c>
      <c r="M385" s="70" t="s">
        <v>153</v>
      </c>
      <c r="N385" s="70" t="s">
        <v>67</v>
      </c>
      <c r="O385" s="65">
        <v>0.58333333333333304</v>
      </c>
      <c r="P385" s="65">
        <v>0.60972222222222205</v>
      </c>
      <c r="Q385" s="71">
        <f t="shared" ca="1" si="92"/>
        <v>2.6388888888889017E-2</v>
      </c>
      <c r="R385" s="80" t="s">
        <v>329</v>
      </c>
      <c r="S385" s="81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15</v>
      </c>
      <c r="H386" s="88">
        <f>IFERROR(IF($G386="","",$G386*$S$392/$G$392/Cadastro!$E$33),"")</f>
        <v>74.12530120481928</v>
      </c>
      <c r="I386" s="90">
        <f>IFERROR(IF($D386="","",VLOOKUP($D386,Cadastro!$C$4:$G$7,5,FALSE())),"")</f>
        <v>0.6</v>
      </c>
      <c r="J386" s="91">
        <f t="shared" si="90"/>
        <v>15.566313253012046</v>
      </c>
      <c r="K386" s="64">
        <f t="shared" si="91"/>
        <v>63</v>
      </c>
      <c r="L386" s="61"/>
      <c r="M386" s="61"/>
      <c r="N386" s="61"/>
      <c r="O386" s="65"/>
      <c r="P386" s="65"/>
      <c r="Q386" s="66" t="str">
        <f t="shared" ca="1" si="92"/>
        <v/>
      </c>
      <c r="R386" s="80"/>
      <c r="S386" s="81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8</v>
      </c>
      <c r="H387" s="88">
        <f>IFERROR(IF($G387="","",$G387*$S$392/$G$392/Cadastro!$E$33),"")</f>
        <v>39.53349397590361</v>
      </c>
      <c r="I387" s="90">
        <f>IFERROR(IF($D387="","",VLOOKUP($D387,Cadastro!$C$4:$G$7,5,FALSE())),"")</f>
        <v>0.6</v>
      </c>
      <c r="J387" s="91">
        <f t="shared" si="90"/>
        <v>8.3020337349397568</v>
      </c>
      <c r="K387" s="69">
        <f t="shared" si="91"/>
        <v>33.6</v>
      </c>
      <c r="L387" s="70"/>
      <c r="M387" s="70"/>
      <c r="N387" s="70"/>
      <c r="O387" s="65"/>
      <c r="P387" s="65"/>
      <c r="Q387" s="71" t="str">
        <f t="shared" ca="1" si="92"/>
        <v/>
      </c>
      <c r="R387" s="80"/>
      <c r="S387" s="81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17</v>
      </c>
      <c r="H388" s="88">
        <f>IFERROR(IF($G388="","",$G388*$S$392/$G$392/Cadastro!$E$33),"")</f>
        <v>84.008674698795176</v>
      </c>
      <c r="I388" s="90">
        <f>IFERROR(IF($D388="","",VLOOKUP($D388,Cadastro!$C$4:$G$7,5,FALSE())),"")</f>
        <v>0.6</v>
      </c>
      <c r="J388" s="91">
        <f t="shared" si="90"/>
        <v>17.641821686746983</v>
      </c>
      <c r="K388" s="64">
        <f t="shared" si="91"/>
        <v>71.400000000000006</v>
      </c>
      <c r="L388" s="61"/>
      <c r="M388" s="61"/>
      <c r="N388" s="61"/>
      <c r="O388" s="65"/>
      <c r="P388" s="65"/>
      <c r="Q388" s="66" t="str">
        <f t="shared" ca="1" si="92"/>
        <v/>
      </c>
      <c r="R388" s="80"/>
      <c r="S388" s="81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15</v>
      </c>
      <c r="H389" s="88">
        <f>IFERROR(IF($G389="","",$G389*$S$392/$G$392/Cadastro!$E$33),"")</f>
        <v>74.12530120481928</v>
      </c>
      <c r="I389" s="90">
        <f>IFERROR(IF($D389="","",VLOOKUP($D389,Cadastro!$C$4:$G$7,5,FALSE())),"")</f>
        <v>0.6</v>
      </c>
      <c r="J389" s="91">
        <f t="shared" si="90"/>
        <v>15.566313253012046</v>
      </c>
      <c r="K389" s="69">
        <f t="shared" si="91"/>
        <v>63</v>
      </c>
      <c r="L389" s="70"/>
      <c r="M389" s="70"/>
      <c r="N389" s="70"/>
      <c r="O389" s="65"/>
      <c r="P389" s="65"/>
      <c r="Q389" s="71" t="str">
        <f t="shared" ca="1" si="92"/>
        <v/>
      </c>
      <c r="R389" s="80"/>
      <c r="S389" s="81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11</v>
      </c>
      <c r="H390" s="88">
        <f>IFERROR(IF($G390="","",$G390*$S$392/$G$392/Cadastro!$E$33),"")</f>
        <v>54.358554216867475</v>
      </c>
      <c r="I390" s="90">
        <f>IFERROR(IF($D390="","",VLOOKUP($D390,Cadastro!$C$4:$G$7,5,FALSE())),"")</f>
        <v>0.6</v>
      </c>
      <c r="J390" s="91">
        <f t="shared" si="90"/>
        <v>11.415296385542169</v>
      </c>
      <c r="K390" s="64">
        <f t="shared" si="91"/>
        <v>46.2</v>
      </c>
      <c r="L390" s="61"/>
      <c r="M390" s="61"/>
      <c r="N390" s="61"/>
      <c r="O390" s="65"/>
      <c r="P390" s="65"/>
      <c r="Q390" s="66" t="str">
        <f t="shared" ca="1" si="92"/>
        <v/>
      </c>
      <c r="R390" s="80"/>
      <c r="S390" s="81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15</v>
      </c>
      <c r="H391" s="92">
        <f>IFERROR(IF($G391="","",$G391*$S$392/$G$392/Cadastro!$E$33),"")</f>
        <v>74.12530120481928</v>
      </c>
      <c r="I391" s="93">
        <f>IFERROR(IF($D391="","",VLOOKUP($D391,Cadastro!$C$4:$G$7,5,FALSE())),"")</f>
        <v>0.6</v>
      </c>
      <c r="J391" s="94">
        <f t="shared" si="90"/>
        <v>15.566313253012046</v>
      </c>
      <c r="K391" s="69">
        <f t="shared" si="91"/>
        <v>63</v>
      </c>
      <c r="L391" s="70"/>
      <c r="M391" s="70"/>
      <c r="N391" s="70"/>
      <c r="O391" s="65"/>
      <c r="P391" s="65"/>
      <c r="Q391" s="71" t="str">
        <f t="shared" ca="1" si="92"/>
        <v/>
      </c>
      <c r="R391" s="80"/>
      <c r="S391" s="81"/>
    </row>
    <row r="392" spans="1:20" ht="15.75" customHeight="1">
      <c r="A392" s="156" t="s">
        <v>260</v>
      </c>
      <c r="B392" s="156"/>
      <c r="C392" s="156"/>
      <c r="D392" s="156"/>
      <c r="E392" s="156"/>
      <c r="F392" s="95"/>
      <c r="G392" s="96">
        <f>SUM(G380:G391)</f>
        <v>166</v>
      </c>
      <c r="H392" s="95">
        <f>IFERROR(SUM(H380:H391),"")</f>
        <v>820.31999999999994</v>
      </c>
      <c r="I392" s="97"/>
      <c r="J392" s="98">
        <f>IFERROR(SUM(J380:J391),"")</f>
        <v>162.80881156626504</v>
      </c>
      <c r="K392" s="2">
        <f>SUM(K380:K391)</f>
        <v>697.20000000000016</v>
      </c>
      <c r="L392" s="72"/>
      <c r="M392" s="72"/>
      <c r="N392" s="72"/>
      <c r="O392" s="72"/>
      <c r="P392" s="72"/>
      <c r="Q392" s="73">
        <f ca="1">IFERROR(SUM(Q380:Q391),"")</f>
        <v>7.2222222222221966E-2</v>
      </c>
      <c r="R392" s="2" t="s">
        <v>261</v>
      </c>
      <c r="S392" s="74">
        <v>820320</v>
      </c>
      <c r="T392" s="99">
        <f>IFERROR(J392,"")</f>
        <v>162.80881156626504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20</v>
      </c>
      <c r="H393" s="101">
        <f>IFERROR(IF($G393="","",$G393*$S$405/$G$405/Cadastro!$E$33),"")</f>
        <v>84.649180327868848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17.776327868852455</v>
      </c>
      <c r="K393" s="69">
        <f t="shared" ref="K393:K404" si="95">IF(G393="","",IF(E393="PC 17",G393*4.2,IF(E393="PC 19",G393*5,IF(E393="CB",G393*24,""))))</f>
        <v>84</v>
      </c>
      <c r="L393" s="70" t="s">
        <v>27</v>
      </c>
      <c r="M393" s="70" t="s">
        <v>40</v>
      </c>
      <c r="N393" s="70" t="s">
        <v>167</v>
      </c>
      <c r="O393" s="65">
        <v>0.87152777777777801</v>
      </c>
      <c r="P393" s="65">
        <v>0.89583333333333304</v>
      </c>
      <c r="Q393" s="71">
        <f t="shared" ref="Q393:Q404" ca="1" si="96">IFERROR(IF(O393="","",IF(P393="",MOD(NOW()-O393,1),IF(P393&gt;=O393,P393-O393,P393+1-O393))),"")</f>
        <v>2.4305555555555025E-2</v>
      </c>
      <c r="R393" s="80"/>
      <c r="S393" s="81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22</v>
      </c>
      <c r="H394" s="88">
        <f>IFERROR(IF($G394="","",$G394*$S$405/$G$405/Cadastro!$E$33),"")</f>
        <v>93.114098360655746</v>
      </c>
      <c r="I394" s="90">
        <f>IFERROR(IF($D394="","",VLOOKUP($D394,Cadastro!$C$4:$G$7,5,FALSE())),"")</f>
        <v>0.6</v>
      </c>
      <c r="J394" s="91">
        <f t="shared" si="94"/>
        <v>19.553960655737708</v>
      </c>
      <c r="K394" s="64">
        <f t="shared" si="95"/>
        <v>92.4</v>
      </c>
      <c r="L394" s="61" t="s">
        <v>28</v>
      </c>
      <c r="M394" s="61" t="s">
        <v>170</v>
      </c>
      <c r="N394" s="61" t="s">
        <v>36</v>
      </c>
      <c r="O394" s="65">
        <v>0.79166666666666696</v>
      </c>
      <c r="P394" s="65">
        <v>0.80555555555555602</v>
      </c>
      <c r="Q394" s="66">
        <f t="shared" ca="1" si="96"/>
        <v>1.3888888888889062E-2</v>
      </c>
      <c r="R394" s="80"/>
      <c r="S394" s="81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12</v>
      </c>
      <c r="H395" s="88">
        <f>IFERROR(IF($G395="","",$G395*$S$405/$G$405/Cadastro!$E$33),"")</f>
        <v>50.789508196721314</v>
      </c>
      <c r="I395" s="90">
        <f>IFERROR(IF($D395="","",VLOOKUP($D395,Cadastro!$C$4:$G$7,5,FALSE())),"")</f>
        <v>0.6</v>
      </c>
      <c r="J395" s="91">
        <f t="shared" si="94"/>
        <v>10.665796721311475</v>
      </c>
      <c r="K395" s="69">
        <f t="shared" si="95"/>
        <v>50.400000000000006</v>
      </c>
      <c r="L395" s="70" t="s">
        <v>29</v>
      </c>
      <c r="M395" s="70" t="s">
        <v>40</v>
      </c>
      <c r="N395" s="70" t="s">
        <v>45</v>
      </c>
      <c r="O395" s="65">
        <v>0.99097222222222203</v>
      </c>
      <c r="P395" s="65">
        <v>0.99652777777777801</v>
      </c>
      <c r="Q395" s="71">
        <f t="shared" ca="1" si="96"/>
        <v>5.5555555555559799E-3</v>
      </c>
      <c r="R395" s="80"/>
      <c r="S395" s="81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26</v>
      </c>
      <c r="H396" s="88">
        <f>IFERROR(IF($G396="","",$G396*$S$405/$G$405/Cadastro!$E$33),"")</f>
        <v>110.04393442622951</v>
      </c>
      <c r="I396" s="90">
        <f>IFERROR(IF($D396="","",VLOOKUP($D396,Cadastro!$C$4:$G$7,5,FALSE())),"")</f>
        <v>0.6</v>
      </c>
      <c r="J396" s="91">
        <f t="shared" si="94"/>
        <v>23.109226229508199</v>
      </c>
      <c r="K396" s="64">
        <f t="shared" si="95"/>
        <v>109.2</v>
      </c>
      <c r="L396" s="61" t="s">
        <v>28</v>
      </c>
      <c r="M396" s="61" t="s">
        <v>170</v>
      </c>
      <c r="N396" s="61" t="s">
        <v>36</v>
      </c>
      <c r="O396" s="65">
        <v>2.0833333333333301E-2</v>
      </c>
      <c r="P396" s="65">
        <v>5.2083333333333301E-2</v>
      </c>
      <c r="Q396" s="66">
        <f t="shared" ca="1" si="96"/>
        <v>3.125E-2</v>
      </c>
      <c r="R396" s="80" t="s">
        <v>330</v>
      </c>
      <c r="S396" s="81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17</v>
      </c>
      <c r="H397" s="88">
        <f>IFERROR(IF($G397="","",$G397*$S$405/$G$405/Cadastro!$E$33),"")</f>
        <v>71.95180327868853</v>
      </c>
      <c r="I397" s="90">
        <f>IFERROR(IF($D397="","",VLOOKUP($D397,Cadastro!$C$4:$G$7,5,FALSE())),"")</f>
        <v>0.6</v>
      </c>
      <c r="J397" s="91">
        <f t="shared" si="94"/>
        <v>15.109878688524589</v>
      </c>
      <c r="K397" s="69">
        <f t="shared" si="95"/>
        <v>71.400000000000006</v>
      </c>
      <c r="L397" s="70" t="s">
        <v>29</v>
      </c>
      <c r="M397" s="70" t="s">
        <v>40</v>
      </c>
      <c r="N397" s="70" t="s">
        <v>71</v>
      </c>
      <c r="O397" s="65">
        <v>5.7638888888888899E-2</v>
      </c>
      <c r="P397" s="65">
        <v>6.8750000000000006E-2</v>
      </c>
      <c r="Q397" s="71">
        <f t="shared" ca="1" si="96"/>
        <v>1.1111111111111106E-2</v>
      </c>
      <c r="R397" s="80"/>
      <c r="S397" s="81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6</v>
      </c>
      <c r="H398" s="88">
        <f>IFERROR(IF($G398="","",$G398*$S$405/$G$405/Cadastro!$E$33),"")</f>
        <v>25.394754098360657</v>
      </c>
      <c r="I398" s="90">
        <f>IFERROR(IF($D398="","",VLOOKUP($D398,Cadastro!$C$4:$G$7,5,FALSE())),"")</f>
        <v>0.6</v>
      </c>
      <c r="J398" s="91">
        <f t="shared" si="94"/>
        <v>5.3328983606557374</v>
      </c>
      <c r="K398" s="64">
        <f t="shared" si="95"/>
        <v>25.200000000000003</v>
      </c>
      <c r="L398" s="61" t="s">
        <v>29</v>
      </c>
      <c r="M398" s="61" t="s">
        <v>168</v>
      </c>
      <c r="N398" s="61" t="s">
        <v>83</v>
      </c>
      <c r="O398" s="65">
        <v>0.16666666666666699</v>
      </c>
      <c r="P398" s="65">
        <v>0.179166666666667</v>
      </c>
      <c r="Q398" s="66">
        <f t="shared" ca="1" si="96"/>
        <v>1.2500000000000011E-2</v>
      </c>
      <c r="R398" s="80"/>
      <c r="S398" s="81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12.697377049180329</v>
      </c>
      <c r="I399" s="90">
        <f>IFERROR(IF($D399="","",VLOOKUP($D399,Cadastro!$C$4:$G$7,5,FALSE())),"")</f>
        <v>0.6</v>
      </c>
      <c r="J399" s="91">
        <f t="shared" si="94"/>
        <v>2.6664491803278687</v>
      </c>
      <c r="K399" s="69">
        <f t="shared" si="95"/>
        <v>12.600000000000001</v>
      </c>
      <c r="L399" s="70" t="s">
        <v>29</v>
      </c>
      <c r="M399" s="70" t="s">
        <v>48</v>
      </c>
      <c r="N399" s="70" t="s">
        <v>178</v>
      </c>
      <c r="O399" s="65">
        <v>0.20624999999999999</v>
      </c>
      <c r="P399" s="65">
        <v>0.22222222222222199</v>
      </c>
      <c r="Q399" s="71">
        <f t="shared" ca="1" si="96"/>
        <v>1.5972222222221999E-2</v>
      </c>
      <c r="R399" s="80"/>
      <c r="S399" s="81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24</v>
      </c>
      <c r="H400" s="88">
        <f>IFERROR(IF($G400="","",$G400*$S$405/$G$405/Cadastro!$E$33),"")</f>
        <v>101.57901639344263</v>
      </c>
      <c r="I400" s="90">
        <f>IFERROR(IF($D400="","",VLOOKUP($D400,Cadastro!$C$4:$G$7,5,FALSE())),"")</f>
        <v>0.6</v>
      </c>
      <c r="J400" s="91">
        <f t="shared" si="94"/>
        <v>21.33159344262295</v>
      </c>
      <c r="K400" s="64">
        <f t="shared" si="95"/>
        <v>100.80000000000001</v>
      </c>
      <c r="L400" s="61" t="s">
        <v>29</v>
      </c>
      <c r="M400" s="61" t="s">
        <v>168</v>
      </c>
      <c r="N400" s="61" t="s">
        <v>83</v>
      </c>
      <c r="O400" s="65">
        <v>0.25347222222222199</v>
      </c>
      <c r="P400" s="65">
        <v>0.27777777777777801</v>
      </c>
      <c r="Q400" s="66">
        <f t="shared" ca="1" si="96"/>
        <v>2.4305555555556024E-2</v>
      </c>
      <c r="R400" s="80"/>
      <c r="S400" s="81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126.97377049180328</v>
      </c>
      <c r="I401" s="90">
        <f>IFERROR(IF($D401="","",VLOOKUP($D401,Cadastro!$C$4:$G$7,5,FALSE())),"")</f>
        <v>0.6</v>
      </c>
      <c r="J401" s="91">
        <f t="shared" si="94"/>
        <v>26.66449180327869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80"/>
      <c r="S401" s="81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11</v>
      </c>
      <c r="H402" s="88">
        <f>IFERROR(IF($G402="","",$G402*$S$405/$G$405/Cadastro!$E$33),"")</f>
        <v>46.557049180327873</v>
      </c>
      <c r="I402" s="90">
        <f>IFERROR(IF($D402="","",VLOOKUP($D402,Cadastro!$C$4:$G$7,5,FALSE())),"")</f>
        <v>0.6</v>
      </c>
      <c r="J402" s="91">
        <f t="shared" si="94"/>
        <v>6.7042150819672139</v>
      </c>
      <c r="K402" s="64">
        <f t="shared" si="95"/>
        <v>46.2</v>
      </c>
      <c r="L402" s="61"/>
      <c r="M402" s="61"/>
      <c r="N402" s="61"/>
      <c r="O402" s="65"/>
      <c r="P402" s="65"/>
      <c r="Q402" s="66" t="str">
        <f t="shared" ca="1" si="96"/>
        <v/>
      </c>
      <c r="R402" s="80"/>
      <c r="S402" s="81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11</v>
      </c>
      <c r="H403" s="88">
        <f>IFERROR(IF($G403="","",$G403*$S$405/$G$405/Cadastro!$E$33),"")</f>
        <v>46.557049180327873</v>
      </c>
      <c r="I403" s="90">
        <f>IFERROR(IF($D403="","",VLOOKUP($D403,Cadastro!$C$4:$G$7,5,FALSE())),"")</f>
        <v>0.6</v>
      </c>
      <c r="J403" s="91">
        <f t="shared" si="94"/>
        <v>6.7042150819672139</v>
      </c>
      <c r="K403" s="69">
        <f t="shared" si="95"/>
        <v>46.2</v>
      </c>
      <c r="L403" s="70"/>
      <c r="M403" s="70"/>
      <c r="N403" s="70"/>
      <c r="O403" s="65"/>
      <c r="P403" s="65"/>
      <c r="Q403" s="71" t="str">
        <f t="shared" ca="1" si="96"/>
        <v/>
      </c>
      <c r="R403" s="80"/>
      <c r="S403" s="81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1</v>
      </c>
      <c r="H404" s="92">
        <f>IFERROR(IF($G404="","",$G404*$S$405/$G$405/Cadastro!$E$33),"")</f>
        <v>4.2324590163934426</v>
      </c>
      <c r="I404" s="93">
        <f>IFERROR(IF($D404="","",VLOOKUP($D404,Cadastro!$C$4:$G$7,5,FALSE())),"")</f>
        <v>0.6</v>
      </c>
      <c r="J404" s="94">
        <f t="shared" si="94"/>
        <v>0.60947409836065569</v>
      </c>
      <c r="K404" s="64">
        <f t="shared" si="95"/>
        <v>4.2</v>
      </c>
      <c r="L404" s="61"/>
      <c r="M404" s="61"/>
      <c r="N404" s="61"/>
      <c r="O404" s="65"/>
      <c r="P404" s="65"/>
      <c r="Q404" s="66" t="str">
        <f t="shared" ca="1" si="96"/>
        <v/>
      </c>
      <c r="R404" s="80"/>
      <c r="S404" s="81"/>
    </row>
    <row r="405" spans="1:20" ht="15.75" customHeight="1">
      <c r="A405" s="156" t="s">
        <v>263</v>
      </c>
      <c r="B405" s="156"/>
      <c r="C405" s="156"/>
      <c r="D405" s="156"/>
      <c r="E405" s="156"/>
      <c r="F405" s="105"/>
      <c r="G405" s="96">
        <f>SUM(G393:G404)</f>
        <v>183</v>
      </c>
      <c r="H405" s="105">
        <f>IFERROR(SUM(H393:H404),"")</f>
        <v>774.54000000000008</v>
      </c>
      <c r="I405" s="106"/>
      <c r="J405" s="107">
        <f>IFERROR(SUM(J393:J404),"")</f>
        <v>156.22852721311477</v>
      </c>
      <c r="K405" s="2">
        <f>SUM(K393:K404)</f>
        <v>768.60000000000014</v>
      </c>
      <c r="L405" s="72"/>
      <c r="M405" s="72"/>
      <c r="N405" s="72"/>
      <c r="O405" s="72"/>
      <c r="P405" s="72"/>
      <c r="Q405" s="73">
        <f ca="1">IFERROR(SUM(Q393:Q404),"")</f>
        <v>0.1388888888888892</v>
      </c>
      <c r="R405" s="2" t="s">
        <v>261</v>
      </c>
      <c r="S405" s="74">
        <v>774540</v>
      </c>
      <c r="T405" s="99">
        <f>IFERROR(J405,"")</f>
        <v>156.22852721311477</v>
      </c>
    </row>
    <row r="406" spans="1:20" ht="18" customHeight="1">
      <c r="A406" s="157" t="s">
        <v>249</v>
      </c>
      <c r="B406" s="157"/>
      <c r="C406" s="157"/>
      <c r="D406" s="157"/>
      <c r="E406" s="157"/>
      <c r="F406" s="108"/>
      <c r="G406" s="109">
        <f>G392+G405</f>
        <v>349</v>
      </c>
      <c r="H406" s="108">
        <f>IFERROR(H392+H405,"")</f>
        <v>1594.8600000000001</v>
      </c>
      <c r="I406" s="110"/>
      <c r="J406" s="111">
        <f>IFERROR(J392+J405,"")</f>
        <v>319.03733877937981</v>
      </c>
      <c r="K406" s="1">
        <f>K392+K405</f>
        <v>1465.8000000000002</v>
      </c>
      <c r="L406" s="76"/>
      <c r="M406" s="76"/>
      <c r="N406" s="76"/>
      <c r="O406" s="76"/>
      <c r="P406" s="76"/>
      <c r="Q406" s="77">
        <f ca="1">IFERROR(Q392+Q405,"")</f>
        <v>0.21111111111111117</v>
      </c>
      <c r="R406" s="1" t="s">
        <v>264</v>
      </c>
      <c r="S406" s="82">
        <f>IFERROR(S392+S405,"")</f>
        <v>1594860</v>
      </c>
      <c r="T406" s="118">
        <f>IFERROR(J406,"")</f>
        <v>319.03733877937981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14</v>
      </c>
      <c r="H407" s="101">
        <f>IFERROR(IF($G407="","",$G407*$S$419/$G$419/Cadastro!$E$33),"")</f>
        <v>56.269523809523811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8.1028114285714281</v>
      </c>
      <c r="K407" s="69">
        <f t="shared" ref="K407:K418" si="99">IF(G407="","",IF(E407="PC 17",G407*4.2,IF(E407="PC 19",G407*5,IF(E407="CB",G407*24,""))))</f>
        <v>58.800000000000004</v>
      </c>
      <c r="L407" s="61" t="s">
        <v>29</v>
      </c>
      <c r="M407" s="70" t="s">
        <v>48</v>
      </c>
      <c r="N407" s="70" t="s">
        <v>45</v>
      </c>
      <c r="O407" s="65">
        <v>0.35416666666666702</v>
      </c>
      <c r="P407" s="65">
        <v>0.36180555555555599</v>
      </c>
      <c r="Q407" s="71">
        <f t="shared" ref="Q407:Q418" ca="1" si="100">IFERROR(IF(O407="","",IF(P407="",MOD(NOW()-O407,1),IF(P407&gt;=O407,P407-O407,P407+1-O407))),"")</f>
        <v>7.6388888888889728E-3</v>
      </c>
      <c r="R407" s="80"/>
      <c r="S407" s="81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10</v>
      </c>
      <c r="H408" s="88">
        <f>IFERROR(IF($G408="","",$G408*$S$419/$G$419/Cadastro!$E$33),"")</f>
        <v>40.192517006802724</v>
      </c>
      <c r="I408" s="90">
        <f>IFERROR(IF($D408="","",VLOOKUP($D408,Cadastro!$C$4:$G$7,5,FALSE())),"")</f>
        <v>0.6</v>
      </c>
      <c r="J408" s="91">
        <f t="shared" si="98"/>
        <v>5.7877224489795918</v>
      </c>
      <c r="K408" s="64">
        <f t="shared" si="99"/>
        <v>42</v>
      </c>
      <c r="L408" s="61" t="s">
        <v>29</v>
      </c>
      <c r="M408" s="61" t="s">
        <v>48</v>
      </c>
      <c r="N408" s="61" t="s">
        <v>45</v>
      </c>
      <c r="O408" s="65">
        <v>0.4375</v>
      </c>
      <c r="P408" s="65">
        <v>0.45833333333333298</v>
      </c>
      <c r="Q408" s="66">
        <f t="shared" ca="1" si="100"/>
        <v>2.0833333333332982E-2</v>
      </c>
      <c r="R408" s="80"/>
      <c r="S408" s="81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7</v>
      </c>
      <c r="H409" s="88">
        <f>IFERROR(IF($G409="","",$G409*$S$419/$G$419/Cadastro!$E$33),"")</f>
        <v>28.134761904761906</v>
      </c>
      <c r="I409" s="90">
        <f>IFERROR(IF($D409="","",VLOOKUP($D409,Cadastro!$C$4:$G$7,5,FALSE())),"")</f>
        <v>0.6</v>
      </c>
      <c r="J409" s="91">
        <f t="shared" si="98"/>
        <v>4.0514057142857141</v>
      </c>
      <c r="K409" s="69">
        <f t="shared" si="99"/>
        <v>29.400000000000002</v>
      </c>
      <c r="L409" s="70" t="s">
        <v>29</v>
      </c>
      <c r="M409" s="70" t="s">
        <v>48</v>
      </c>
      <c r="N409" s="70" t="s">
        <v>45</v>
      </c>
      <c r="O409" s="65">
        <v>0.47638888888888897</v>
      </c>
      <c r="P409" s="65">
        <v>0.48819444444444399</v>
      </c>
      <c r="Q409" s="71">
        <f t="shared" ca="1" si="100"/>
        <v>1.1805555555555014E-2</v>
      </c>
      <c r="R409" s="80"/>
      <c r="S409" s="81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40.192517006802724</v>
      </c>
      <c r="I410" s="90">
        <f>IFERROR(IF($D410="","",VLOOKUP($D410,Cadastro!$C$4:$G$7,5,FALSE())),"")</f>
        <v>0.6</v>
      </c>
      <c r="J410" s="91">
        <f t="shared" si="98"/>
        <v>5.7877224489795918</v>
      </c>
      <c r="K410" s="64">
        <f t="shared" si="99"/>
        <v>42</v>
      </c>
      <c r="L410" s="61" t="s">
        <v>28</v>
      </c>
      <c r="M410" s="61" t="s">
        <v>40</v>
      </c>
      <c r="N410" s="61" t="s">
        <v>36</v>
      </c>
      <c r="O410" s="65">
        <v>0.52638888888888902</v>
      </c>
      <c r="P410" s="65">
        <v>0.54513888888888895</v>
      </c>
      <c r="Q410" s="66">
        <f t="shared" ca="1" si="100"/>
        <v>1.8749999999999933E-2</v>
      </c>
      <c r="R410" s="80"/>
      <c r="S410" s="81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11</v>
      </c>
      <c r="H411" s="88">
        <f>IFERROR(IF($G411="","",$G411*$S$419/$G$419/Cadastro!$E$33),"")</f>
        <v>44.211768707482996</v>
      </c>
      <c r="I411" s="90">
        <f>IFERROR(IF($D411="","",VLOOKUP($D411,Cadastro!$C$4:$G$7,5,FALSE())),"")</f>
        <v>0.6</v>
      </c>
      <c r="J411" s="91">
        <f t="shared" si="98"/>
        <v>6.3664946938775513</v>
      </c>
      <c r="K411" s="69">
        <f t="shared" si="99"/>
        <v>46.2</v>
      </c>
      <c r="L411" s="70" t="s">
        <v>28</v>
      </c>
      <c r="M411" s="70" t="s">
        <v>48</v>
      </c>
      <c r="N411" s="70" t="s">
        <v>36</v>
      </c>
      <c r="O411" s="65">
        <v>0.63263888888888897</v>
      </c>
      <c r="P411" s="65">
        <v>0.655555555555556</v>
      </c>
      <c r="Q411" s="71">
        <f t="shared" ca="1" si="100"/>
        <v>2.2916666666667029E-2</v>
      </c>
      <c r="R411" s="80"/>
      <c r="S411" s="81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17</v>
      </c>
      <c r="H412" s="88">
        <f>IFERROR(IF($G412="","",$G412*$S$419/$G$419/Cadastro!$E$33),"")</f>
        <v>68.327278911564633</v>
      </c>
      <c r="I412" s="90">
        <f>IFERROR(IF($D412="","",VLOOKUP($D412,Cadastro!$C$4:$G$7,5,FALSE())),"")</f>
        <v>0.6</v>
      </c>
      <c r="J412" s="91">
        <f t="shared" si="98"/>
        <v>9.8391281632653058</v>
      </c>
      <c r="K412" s="69">
        <f t="shared" si="99"/>
        <v>71.400000000000006</v>
      </c>
      <c r="L412" s="61" t="s">
        <v>29</v>
      </c>
      <c r="M412" s="61" t="s">
        <v>48</v>
      </c>
      <c r="N412" s="61" t="s">
        <v>45</v>
      </c>
      <c r="O412" s="65">
        <v>0.72916666666666696</v>
      </c>
      <c r="P412" s="65">
        <v>0.73819444444444504</v>
      </c>
      <c r="Q412" s="66">
        <f t="shared" ca="1" si="100"/>
        <v>9.0277777777780788E-3</v>
      </c>
      <c r="R412" s="80"/>
      <c r="S412" s="81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56.269523809523811</v>
      </c>
      <c r="I413" s="90">
        <f>IFERROR(IF($D413="","",VLOOKUP($D413,Cadastro!$C$4:$G$7,5,FALSE())),"")</f>
        <v>0.6</v>
      </c>
      <c r="J413" s="91">
        <f t="shared" si="98"/>
        <v>8.1028114285714281</v>
      </c>
      <c r="K413" s="69">
        <f t="shared" si="99"/>
        <v>58.800000000000004</v>
      </c>
      <c r="L413" s="70"/>
      <c r="M413" s="70"/>
      <c r="N413" s="70"/>
      <c r="O413" s="65"/>
      <c r="P413" s="65"/>
      <c r="Q413" s="71" t="str">
        <f t="shared" ca="1" si="100"/>
        <v/>
      </c>
      <c r="R413" s="80"/>
      <c r="S413" s="81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11</v>
      </c>
      <c r="H414" s="88">
        <f>IFERROR(IF($G414="","",$G414*$S$419/$G$419/Cadastro!$E$33),"")</f>
        <v>44.211768707482996</v>
      </c>
      <c r="I414" s="90">
        <f>IFERROR(IF($D414="","",VLOOKUP($D414,Cadastro!$C$4:$G$7,5,FALSE())),"")</f>
        <v>0.6</v>
      </c>
      <c r="J414" s="91">
        <f t="shared" si="98"/>
        <v>6.3664946938775513</v>
      </c>
      <c r="K414" s="69">
        <f t="shared" si="99"/>
        <v>46.2</v>
      </c>
      <c r="L414" s="61"/>
      <c r="M414" s="61"/>
      <c r="N414" s="61"/>
      <c r="O414" s="65"/>
      <c r="P414" s="65"/>
      <c r="Q414" s="66" t="str">
        <f t="shared" ca="1" si="100"/>
        <v/>
      </c>
      <c r="R414" s="80"/>
      <c r="S414" s="81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44.211768707482996</v>
      </c>
      <c r="I415" s="90">
        <f>IFERROR(IF($D415="","",VLOOKUP($D415,Cadastro!$C$4:$G$7,5,FALSE())),"")</f>
        <v>0.6</v>
      </c>
      <c r="J415" s="91">
        <f t="shared" si="98"/>
        <v>6.3664946938775513</v>
      </c>
      <c r="K415" s="69">
        <f t="shared" si="99"/>
        <v>46.2</v>
      </c>
      <c r="L415" s="70"/>
      <c r="M415" s="70"/>
      <c r="N415" s="70"/>
      <c r="O415" s="65"/>
      <c r="P415" s="65"/>
      <c r="Q415" s="71" t="str">
        <f t="shared" ca="1" si="100"/>
        <v/>
      </c>
      <c r="R415" s="80"/>
      <c r="S415" s="81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21</v>
      </c>
      <c r="H416" s="88">
        <f>IFERROR(IF($G416="","",$G416*$S$419/$G$419/Cadastro!$E$33),"")</f>
        <v>84.404285714285706</v>
      </c>
      <c r="I416" s="90">
        <f>IFERROR(IF($D416="","",VLOOKUP($D416,Cadastro!$C$4:$G$7,5,FALSE())),"")</f>
        <v>0.6</v>
      </c>
      <c r="J416" s="91">
        <f t="shared" si="98"/>
        <v>12.154217142857142</v>
      </c>
      <c r="K416" s="64">
        <f t="shared" si="99"/>
        <v>88.2</v>
      </c>
      <c r="L416" s="61"/>
      <c r="M416" s="61"/>
      <c r="N416" s="61"/>
      <c r="O416" s="65"/>
      <c r="P416" s="65"/>
      <c r="Q416" s="66" t="str">
        <f t="shared" ca="1" si="100"/>
        <v/>
      </c>
      <c r="R416" s="80"/>
      <c r="S416" s="81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10</v>
      </c>
      <c r="H417" s="88">
        <f>IFERROR(IF($G417="","",$G417*$S$419/$G$419/Cadastro!$E$33),"")</f>
        <v>40.192517006802724</v>
      </c>
      <c r="I417" s="90">
        <f>IFERROR(IF($D417="","",VLOOKUP($D417,Cadastro!$C$4:$G$7,5,FALSE())),"")</f>
        <v>0.6</v>
      </c>
      <c r="J417" s="91">
        <f t="shared" si="98"/>
        <v>5.7877224489795918</v>
      </c>
      <c r="K417" s="69">
        <f t="shared" si="99"/>
        <v>42</v>
      </c>
      <c r="L417" s="70"/>
      <c r="M417" s="70"/>
      <c r="N417" s="70"/>
      <c r="O417" s="65"/>
      <c r="P417" s="65"/>
      <c r="Q417" s="71" t="str">
        <f t="shared" ca="1" si="100"/>
        <v/>
      </c>
      <c r="R417" s="80"/>
      <c r="S417" s="81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11</v>
      </c>
      <c r="H418" s="92">
        <f>IFERROR(IF($G418="","",$G418*$S$419/$G$419/Cadastro!$E$33),"")</f>
        <v>44.211768707482996</v>
      </c>
      <c r="I418" s="93">
        <f>IFERROR(IF($D418="","",VLOOKUP($D418,Cadastro!$C$4:$G$7,5,FALSE())),"")</f>
        <v>0.6</v>
      </c>
      <c r="J418" s="94">
        <f t="shared" si="98"/>
        <v>6.3664946938775513</v>
      </c>
      <c r="K418" s="64">
        <f t="shared" si="99"/>
        <v>46.2</v>
      </c>
      <c r="L418" s="61"/>
      <c r="M418" s="61"/>
      <c r="N418" s="61"/>
      <c r="O418" s="65"/>
      <c r="P418" s="65"/>
      <c r="Q418" s="66" t="str">
        <f t="shared" ca="1" si="100"/>
        <v/>
      </c>
      <c r="R418" s="80"/>
      <c r="S418" s="81"/>
    </row>
    <row r="419" spans="1:20" ht="15.75" customHeight="1">
      <c r="A419" s="156" t="s">
        <v>260</v>
      </c>
      <c r="B419" s="156"/>
      <c r="C419" s="156"/>
      <c r="D419" s="156"/>
      <c r="E419" s="156"/>
      <c r="F419" s="95"/>
      <c r="G419" s="96">
        <f>SUM(G407:G418)</f>
        <v>147</v>
      </c>
      <c r="H419" s="95">
        <f>IFERROR(SUM(H407:H418),"")</f>
        <v>590.82999999999993</v>
      </c>
      <c r="I419" s="97"/>
      <c r="J419" s="98">
        <f>IFERROR(SUM(J407:J418),"")</f>
        <v>85.079520000000002</v>
      </c>
      <c r="K419" s="2">
        <f>SUM(K407:K418)</f>
        <v>617.40000000000009</v>
      </c>
      <c r="L419" s="72"/>
      <c r="M419" s="72"/>
      <c r="N419" s="72"/>
      <c r="O419" s="72"/>
      <c r="P419" s="72"/>
      <c r="Q419" s="73">
        <f ca="1">IFERROR(SUM(Q407:Q418),"")</f>
        <v>9.097222222222201E-2</v>
      </c>
      <c r="R419" s="2" t="s">
        <v>261</v>
      </c>
      <c r="S419" s="74">
        <v>590830</v>
      </c>
      <c r="T419" s="99">
        <f>IFERROR(J419,"")</f>
        <v>85.079520000000002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24</v>
      </c>
      <c r="H420" s="101">
        <f>IFERROR(IF($G420="","",$G420*$S$432/$G$432/Cadastro!$E$33),"")</f>
        <v>98.023859649122812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14.115435789473684</v>
      </c>
      <c r="K420" s="64">
        <f t="shared" ref="K420:K431" si="103">IF(G420="","",IF(E420="PC 17",G420*4.2,IF(E420="PC 19",G420*5,IF(E420="CB",G420*24,""))))</f>
        <v>100.80000000000001</v>
      </c>
      <c r="L420" s="61" t="s">
        <v>29</v>
      </c>
      <c r="M420" s="61" t="s">
        <v>48</v>
      </c>
      <c r="N420" s="61" t="s">
        <v>65</v>
      </c>
      <c r="O420" s="65">
        <v>0.87291666666666701</v>
      </c>
      <c r="P420" s="65">
        <v>0.89722222222222203</v>
      </c>
      <c r="Q420" s="66">
        <f t="shared" ref="Q420:Q431" ca="1" si="104">IFERROR(IF(O420="","",IF(P420="",MOD(NOW()-O420,1),IF(P420&gt;=O420,P420-O420,P420+1-O420))),"")</f>
        <v>2.4305555555555025E-2</v>
      </c>
      <c r="R420" s="80" t="s">
        <v>331</v>
      </c>
      <c r="S420" s="81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13</v>
      </c>
      <c r="H421" s="88">
        <f>IFERROR(IF($G421="","",$G421*$S$432/$G$432/Cadastro!$E$33),"")</f>
        <v>53.096257309941521</v>
      </c>
      <c r="I421" s="90">
        <f>IFERROR(IF($D421="","",VLOOKUP($D421,Cadastro!$C$4:$G$7,5,FALSE())),"")</f>
        <v>0.6</v>
      </c>
      <c r="J421" s="91">
        <f t="shared" si="102"/>
        <v>7.6458610526315782</v>
      </c>
      <c r="K421" s="69">
        <f t="shared" si="103"/>
        <v>54.6</v>
      </c>
      <c r="L421" s="70" t="s">
        <v>27</v>
      </c>
      <c r="M421" s="70" t="s">
        <v>48</v>
      </c>
      <c r="N421" s="70" t="s">
        <v>167</v>
      </c>
      <c r="O421" s="65">
        <v>0.91666666666666696</v>
      </c>
      <c r="P421" s="65">
        <v>0.93402777777777801</v>
      </c>
      <c r="Q421" s="71">
        <f t="shared" ca="1" si="104"/>
        <v>1.7361111111111049E-2</v>
      </c>
      <c r="R421" s="80"/>
      <c r="S421" s="81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11</v>
      </c>
      <c r="H422" s="88">
        <f>IFERROR(IF($G422="","",$G422*$S$432/$G$432/Cadastro!$E$33),"")</f>
        <v>44.927602339181284</v>
      </c>
      <c r="I422" s="90">
        <f>IFERROR(IF($D422="","",VLOOKUP($D422,Cadastro!$C$4:$G$7,5,FALSE())),"")</f>
        <v>0.6</v>
      </c>
      <c r="J422" s="91">
        <f t="shared" si="102"/>
        <v>6.4695747368421044</v>
      </c>
      <c r="K422" s="64">
        <f t="shared" si="103"/>
        <v>46.2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4"/>
        <v>1.0416666666666297E-2</v>
      </c>
      <c r="R422" s="80"/>
      <c r="S422" s="81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12</v>
      </c>
      <c r="H423" s="88">
        <f>IFERROR(IF($G423="","",$G423*$S$432/$G$432/Cadastro!$E$33),"")</f>
        <v>49.011929824561406</v>
      </c>
      <c r="I423" s="90">
        <f>IFERROR(IF($D423="","",VLOOKUP($D423,Cadastro!$C$4:$G$7,5,FALSE())),"")</f>
        <v>0.6</v>
      </c>
      <c r="J423" s="91">
        <f t="shared" si="102"/>
        <v>7.0577178947368422</v>
      </c>
      <c r="K423" s="69">
        <f t="shared" si="103"/>
        <v>50.400000000000006</v>
      </c>
      <c r="L423" s="70" t="s">
        <v>29</v>
      </c>
      <c r="M423" s="70" t="s">
        <v>48</v>
      </c>
      <c r="N423" s="70" t="s">
        <v>45</v>
      </c>
      <c r="O423" s="65">
        <v>2.9166666666666698E-2</v>
      </c>
      <c r="P423" s="65">
        <v>3.2638888888888898E-2</v>
      </c>
      <c r="Q423" s="71">
        <f t="shared" ca="1" si="104"/>
        <v>3.4722222222221995E-3</v>
      </c>
      <c r="R423" s="80"/>
      <c r="S423" s="81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21</v>
      </c>
      <c r="H424" s="88">
        <f>IFERROR(IF($G424="","",$G424*$S$432/$G$432/Cadastro!$E$33),"")</f>
        <v>85.770877192982454</v>
      </c>
      <c r="I424" s="90">
        <f>IFERROR(IF($D424="","",VLOOKUP($D424,Cadastro!$C$4:$G$7,5,FALSE())),"")</f>
        <v>0.6</v>
      </c>
      <c r="J424" s="91">
        <f t="shared" si="102"/>
        <v>12.351006315789473</v>
      </c>
      <c r="K424" s="64">
        <f t="shared" si="103"/>
        <v>88.2</v>
      </c>
      <c r="L424" s="61" t="s">
        <v>29</v>
      </c>
      <c r="M424" s="61" t="s">
        <v>48</v>
      </c>
      <c r="N424" s="61" t="s">
        <v>45</v>
      </c>
      <c r="O424" s="65">
        <v>6.0416666666666702E-2</v>
      </c>
      <c r="P424" s="65">
        <v>6.31944444444444E-2</v>
      </c>
      <c r="Q424" s="66">
        <f t="shared" ca="1" si="104"/>
        <v>2.7777777777776985E-3</v>
      </c>
      <c r="R424" s="80"/>
      <c r="S424" s="81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12</v>
      </c>
      <c r="H425" s="88">
        <f>IFERROR(IF($G425="","",$G425*$S$432/$G$432/Cadastro!$E$33),"")</f>
        <v>49.011929824561406</v>
      </c>
      <c r="I425" s="90">
        <f>IFERROR(IF($D425="","",VLOOKUP($D425,Cadastro!$C$4:$G$7,5,FALSE())),"")</f>
        <v>0.6</v>
      </c>
      <c r="J425" s="91">
        <f t="shared" si="102"/>
        <v>7.0577178947368422</v>
      </c>
      <c r="K425" s="69">
        <f t="shared" si="103"/>
        <v>50.400000000000006</v>
      </c>
      <c r="L425" s="70" t="s">
        <v>29</v>
      </c>
      <c r="M425" s="70" t="s">
        <v>48</v>
      </c>
      <c r="N425" s="70" t="s">
        <v>45</v>
      </c>
      <c r="O425" s="65">
        <v>7.3611111111111099E-2</v>
      </c>
      <c r="P425" s="65">
        <v>7.5694444444444398E-2</v>
      </c>
      <c r="Q425" s="71">
        <f t="shared" ca="1" si="104"/>
        <v>2.0833333333332982E-3</v>
      </c>
      <c r="R425" s="80"/>
      <c r="S425" s="81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17</v>
      </c>
      <c r="H426" s="88">
        <f>IFERROR(IF($G426="","",$G426*$S$432/$G$432/Cadastro!$E$33),"")</f>
        <v>69.433567251461994</v>
      </c>
      <c r="I426" s="90">
        <f>IFERROR(IF($D426="","",VLOOKUP($D426,Cadastro!$C$4:$G$7,5,FALSE())),"")</f>
        <v>0.6</v>
      </c>
      <c r="J426" s="91">
        <f t="shared" si="102"/>
        <v>9.9984336842105268</v>
      </c>
      <c r="K426" s="64">
        <f t="shared" si="103"/>
        <v>71.400000000000006</v>
      </c>
      <c r="L426" s="61" t="s">
        <v>28</v>
      </c>
      <c r="M426" s="61" t="s">
        <v>170</v>
      </c>
      <c r="N426" s="61" t="s">
        <v>36</v>
      </c>
      <c r="O426" s="65">
        <v>0.16180555555555601</v>
      </c>
      <c r="P426" s="65">
        <v>0.180555555555556</v>
      </c>
      <c r="Q426" s="66">
        <f t="shared" ca="1" si="104"/>
        <v>1.8749999999999989E-2</v>
      </c>
      <c r="R426" s="80"/>
      <c r="S426" s="81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16</v>
      </c>
      <c r="H427" s="88">
        <f>IFERROR(IF($G427="","",$G427*$S$432/$G$432/Cadastro!$E$33),"")</f>
        <v>65.349239766081865</v>
      </c>
      <c r="I427" s="90">
        <f>IFERROR(IF($D427="","",VLOOKUP($D427,Cadastro!$C$4:$G$7,5,FALSE())),"")</f>
        <v>0.6</v>
      </c>
      <c r="J427" s="91">
        <f t="shared" si="102"/>
        <v>9.4102905263157872</v>
      </c>
      <c r="K427" s="69">
        <f t="shared" si="103"/>
        <v>67.2</v>
      </c>
      <c r="L427" s="70"/>
      <c r="M427" s="70"/>
      <c r="N427" s="70"/>
      <c r="O427" s="65"/>
      <c r="P427" s="65"/>
      <c r="Q427" s="71" t="str">
        <f t="shared" ca="1" si="104"/>
        <v/>
      </c>
      <c r="R427" s="80"/>
      <c r="S427" s="81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4</v>
      </c>
      <c r="H428" s="88">
        <f>IFERROR(IF($G428="","",$G428*$S$432/$G$432/Cadastro!$E$33),"")</f>
        <v>16.337309941520466</v>
      </c>
      <c r="I428" s="90">
        <f>IFERROR(IF($D428="","",VLOOKUP($D428,Cadastro!$C$4:$G$7,5,FALSE())),"")</f>
        <v>0.6</v>
      </c>
      <c r="J428" s="91">
        <f t="shared" si="102"/>
        <v>2.3525726315789468</v>
      </c>
      <c r="K428" s="64">
        <f t="shared" si="103"/>
        <v>16.8</v>
      </c>
      <c r="L428" s="61"/>
      <c r="M428" s="61"/>
      <c r="N428" s="61"/>
      <c r="O428" s="65"/>
      <c r="P428" s="65"/>
      <c r="Q428" s="66" t="str">
        <f t="shared" ca="1" si="104"/>
        <v/>
      </c>
      <c r="R428" s="80"/>
      <c r="S428" s="81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13</v>
      </c>
      <c r="H429" s="88">
        <f>IFERROR(IF($G429="","",$G429*$S$432/$G$432/Cadastro!$E$33),"")</f>
        <v>53.096257309941521</v>
      </c>
      <c r="I429" s="90">
        <f>IFERROR(IF($D429="","",VLOOKUP($D429,Cadastro!$C$4:$G$7,5,FALSE())),"")</f>
        <v>0.6</v>
      </c>
      <c r="J429" s="91">
        <f t="shared" si="102"/>
        <v>7.6458610526315782</v>
      </c>
      <c r="K429" s="69">
        <f t="shared" si="103"/>
        <v>54.6</v>
      </c>
      <c r="L429" s="70"/>
      <c r="M429" s="70"/>
      <c r="N429" s="70"/>
      <c r="O429" s="65"/>
      <c r="P429" s="65"/>
      <c r="Q429" s="71" t="str">
        <f t="shared" ca="1" si="104"/>
        <v/>
      </c>
      <c r="R429" s="80"/>
      <c r="S429" s="81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20</v>
      </c>
      <c r="H430" s="88">
        <f>IFERROR(IF($G430="","",$G430*$S$432/$G$432/Cadastro!$E$33),"")</f>
        <v>81.686549707602339</v>
      </c>
      <c r="I430" s="90">
        <f>IFERROR(IF($D430="","",VLOOKUP($D430,Cadastro!$C$4:$G$7,5,FALSE())),"")</f>
        <v>0.6</v>
      </c>
      <c r="J430" s="91">
        <f t="shared" si="102"/>
        <v>11.762863157894737</v>
      </c>
      <c r="K430" s="64">
        <f t="shared" si="103"/>
        <v>84</v>
      </c>
      <c r="L430" s="61"/>
      <c r="M430" s="61"/>
      <c r="N430" s="61"/>
      <c r="O430" s="65"/>
      <c r="P430" s="65"/>
      <c r="Q430" s="66" t="str">
        <f t="shared" ca="1" si="104"/>
        <v/>
      </c>
      <c r="R430" s="80"/>
      <c r="S430" s="81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8</v>
      </c>
      <c r="H431" s="92">
        <f>IFERROR(IF($G431="","",$G431*$S$432/$G$432/Cadastro!$E$33),"")</f>
        <v>32.674619883040933</v>
      </c>
      <c r="I431" s="93">
        <f>IFERROR(IF($D431="","",VLOOKUP($D431,Cadastro!$C$4:$G$7,5,FALSE())),"")</f>
        <v>0.6</v>
      </c>
      <c r="J431" s="94">
        <f t="shared" si="102"/>
        <v>4.7051452631578936</v>
      </c>
      <c r="K431" s="69">
        <f t="shared" si="103"/>
        <v>33.6</v>
      </c>
      <c r="L431" s="70"/>
      <c r="M431" s="70"/>
      <c r="N431" s="70"/>
      <c r="O431" s="65"/>
      <c r="P431" s="65"/>
      <c r="Q431" s="71" t="str">
        <f t="shared" ca="1" si="104"/>
        <v/>
      </c>
      <c r="R431" s="80"/>
      <c r="S431" s="81"/>
    </row>
    <row r="432" spans="1:20" ht="15.75" customHeight="1">
      <c r="A432" s="120" t="s">
        <v>263</v>
      </c>
      <c r="B432" s="121"/>
      <c r="C432" s="121"/>
      <c r="D432" s="121"/>
      <c r="E432" s="121"/>
      <c r="F432" s="105"/>
      <c r="G432" s="96">
        <f>SUM(G420:G431)</f>
        <v>171</v>
      </c>
      <c r="H432" s="105">
        <f>IFERROR(SUM(H420:H431),"")</f>
        <v>698.42000000000007</v>
      </c>
      <c r="I432" s="106"/>
      <c r="J432" s="107">
        <f>IFERROR(SUM(J420:J431),"")</f>
        <v>100.57248</v>
      </c>
      <c r="K432" s="2">
        <f>SUM(K420:K431)</f>
        <v>718.2</v>
      </c>
      <c r="L432" s="72"/>
      <c r="M432" s="72"/>
      <c r="N432" s="72"/>
      <c r="O432" s="72"/>
      <c r="P432" s="72"/>
      <c r="Q432" s="73">
        <f ca="1">IFERROR(SUM(Q420:Q431),"")</f>
        <v>7.9166666666665553E-2</v>
      </c>
      <c r="R432" s="2" t="s">
        <v>261</v>
      </c>
      <c r="S432" s="74">
        <v>698420</v>
      </c>
      <c r="T432" s="99">
        <f>IFERROR(J432,"")</f>
        <v>100.57248</v>
      </c>
    </row>
    <row r="433" spans="1:20" ht="18" customHeight="1">
      <c r="A433" s="122" t="s">
        <v>249</v>
      </c>
      <c r="B433" s="123"/>
      <c r="C433" s="123"/>
      <c r="D433" s="123"/>
      <c r="E433" s="123"/>
      <c r="F433" s="108"/>
      <c r="G433" s="109">
        <f>G419+G432</f>
        <v>318</v>
      </c>
      <c r="H433" s="108">
        <f>IFERROR(H419+H432,"")</f>
        <v>1289.25</v>
      </c>
      <c r="I433" s="110"/>
      <c r="J433" s="111">
        <f>IFERROR(J419+J432,"")</f>
        <v>185.65199999999999</v>
      </c>
      <c r="K433" s="1">
        <f>K419+K432</f>
        <v>1335.6000000000001</v>
      </c>
      <c r="L433" s="76"/>
      <c r="M433" s="76"/>
      <c r="N433" s="76"/>
      <c r="O433" s="76"/>
      <c r="P433" s="76"/>
      <c r="Q433" s="77">
        <f ca="1">IFERROR(Q419+Q432,"")</f>
        <v>0.17013888888888756</v>
      </c>
      <c r="R433" s="1" t="s">
        <v>264</v>
      </c>
      <c r="S433" s="82">
        <f>IFERROR(S419+S432,"")</f>
        <v>1289250</v>
      </c>
      <c r="T433" s="118">
        <f>IFERROR(J433,"")</f>
        <v>185.65199999999999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274</v>
      </c>
      <c r="F434" s="101">
        <f>IFERROR(IF($D434="","",VLOOKUP($D434,Cadastro!$C$4:$E$7,3,FALSE())),"")</f>
        <v>0.35</v>
      </c>
      <c r="G434" s="89">
        <v>9</v>
      </c>
      <c r="H434" s="101">
        <f>IFERROR(IF($G434="","",$G434*$S$446/$G$446/Cadastro!$E$33),"")</f>
        <v>36.081964285714285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7.5772124999999999</v>
      </c>
      <c r="K434" s="64">
        <f t="shared" ref="K434:K439" si="107">IF(G434="","",IF(E434="PC 17",G434*4.2,IF(E434="PC 19",G434*5,IF(E434="CB",G434*24,""))))</f>
        <v>37.800000000000004</v>
      </c>
      <c r="L434" s="61" t="s">
        <v>29</v>
      </c>
      <c r="M434" s="61" t="s">
        <v>48</v>
      </c>
      <c r="N434" s="61" t="s">
        <v>45</v>
      </c>
      <c r="O434" s="65">
        <v>0.32291666666666702</v>
      </c>
      <c r="P434" s="65">
        <v>0.343055555555556</v>
      </c>
      <c r="Q434" s="66">
        <f t="shared" ref="Q434:Q445" ca="1" si="108">IFERROR(IF(O434="","",IF(P434="",MOD(NOW()-O434,1),IF(P434&gt;=O434,P434-O434,P434+1-O434))),"")</f>
        <v>2.0138888888888984E-2</v>
      </c>
      <c r="R434" s="80" t="s">
        <v>332</v>
      </c>
      <c r="S434" s="81"/>
    </row>
    <row r="435" spans="1:20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2</v>
      </c>
      <c r="H435" s="88">
        <f>IFERROR(IF($G435="","",$G435*$S$446/$G$446/Cadastro!$E$33),"")</f>
        <v>8.0182142857142846</v>
      </c>
      <c r="I435" s="90">
        <f>IFERROR(IF($D435="","",VLOOKUP($D435,Cadastro!$C$4:$G$7,5,FALSE())),"")</f>
        <v>0.6</v>
      </c>
      <c r="J435" s="91">
        <f t="shared" si="106"/>
        <v>1.6838249999999997</v>
      </c>
      <c r="K435" s="64">
        <f t="shared" si="107"/>
        <v>8.4</v>
      </c>
      <c r="L435" s="70" t="s">
        <v>29</v>
      </c>
      <c r="M435" s="70" t="s">
        <v>148</v>
      </c>
      <c r="N435" s="70" t="s">
        <v>83</v>
      </c>
      <c r="O435" s="65">
        <v>0.36527777777777798</v>
      </c>
      <c r="P435" s="65">
        <v>0.38194444444444398</v>
      </c>
      <c r="Q435" s="71">
        <f t="shared" ca="1" si="108"/>
        <v>1.6666666666665997E-2</v>
      </c>
      <c r="R435" s="80"/>
      <c r="S435" s="81"/>
    </row>
    <row r="436" spans="1:20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44.100178571428572</v>
      </c>
      <c r="I436" s="90">
        <f>IFERROR(IF($D436="","",VLOOKUP($D436,Cadastro!$C$4:$G$7,5,FALSE())),"")</f>
        <v>0.6</v>
      </c>
      <c r="J436" s="91">
        <f t="shared" si="106"/>
        <v>9.2610374999999987</v>
      </c>
      <c r="K436" s="64">
        <f t="shared" si="107"/>
        <v>46.2</v>
      </c>
      <c r="L436" s="61" t="s">
        <v>28</v>
      </c>
      <c r="M436" s="61" t="s">
        <v>48</v>
      </c>
      <c r="N436" s="61" t="s">
        <v>36</v>
      </c>
      <c r="O436" s="65">
        <v>0.60138888888888897</v>
      </c>
      <c r="P436" s="65">
        <v>0.61388888888888904</v>
      </c>
      <c r="Q436" s="66">
        <f t="shared" ca="1" si="108"/>
        <v>1.2500000000000067E-2</v>
      </c>
      <c r="R436" s="80"/>
      <c r="S436" s="81"/>
    </row>
    <row r="437" spans="1:20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14</v>
      </c>
      <c r="H437" s="88">
        <f>IFERROR(IF($G437="","",$G437*$S$446/$G$446/Cadastro!$E$33),"")</f>
        <v>56.127499999999998</v>
      </c>
      <c r="I437" s="90">
        <f>IFERROR(IF($D437="","",VLOOKUP($D437,Cadastro!$C$4:$G$7,5,FALSE())),"")</f>
        <v>0.6</v>
      </c>
      <c r="J437" s="91">
        <f t="shared" si="106"/>
        <v>11.786774999999999</v>
      </c>
      <c r="K437" s="69">
        <f t="shared" si="107"/>
        <v>58.800000000000004</v>
      </c>
      <c r="L437" s="70" t="s">
        <v>28</v>
      </c>
      <c r="M437" s="70" t="s">
        <v>40</v>
      </c>
      <c r="N437" s="70" t="s">
        <v>36</v>
      </c>
      <c r="O437" s="65">
        <v>0.72638888888888897</v>
      </c>
      <c r="P437" s="65">
        <v>0.74444444444444502</v>
      </c>
      <c r="Q437" s="71">
        <f t="shared" ca="1" si="108"/>
        <v>1.8055555555556047E-2</v>
      </c>
      <c r="R437" s="80"/>
      <c r="S437" s="81"/>
    </row>
    <row r="438" spans="1:20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13</v>
      </c>
      <c r="H438" s="88">
        <f>IFERROR(IF($G438="","",$G438*$S$446/$G$446/Cadastro!$E$33),"")</f>
        <v>52.118392857142858</v>
      </c>
      <c r="I438" s="90">
        <f>IFERROR(IF($D438="","",VLOOKUP($D438,Cadastro!$C$4:$G$7,5,FALSE())),"")</f>
        <v>0.6</v>
      </c>
      <c r="J438" s="91">
        <f t="shared" si="106"/>
        <v>10.944862499999999</v>
      </c>
      <c r="K438" s="64">
        <f t="shared" si="107"/>
        <v>54.6</v>
      </c>
      <c r="L438" s="61"/>
      <c r="M438" s="61"/>
      <c r="N438" s="61"/>
      <c r="O438" s="65"/>
      <c r="P438" s="65"/>
      <c r="Q438" s="66" t="str">
        <f t="shared" ca="1" si="108"/>
        <v/>
      </c>
      <c r="R438" s="80"/>
      <c r="S438" s="81"/>
    </row>
    <row r="439" spans="1:20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40.091071428571425</v>
      </c>
      <c r="I439" s="90">
        <f>IFERROR(IF($D439="","",VLOOKUP($D439,Cadastro!$C$4:$G$7,5,FALSE())),"")</f>
        <v>0.6</v>
      </c>
      <c r="J439" s="91">
        <f t="shared" si="106"/>
        <v>8.4191249999999975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80"/>
      <c r="S439" s="81"/>
    </row>
    <row r="440" spans="1:20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124" t="s">
        <v>274</v>
      </c>
      <c r="F440" s="88">
        <f>IFERROR(IF($D440="","",VLOOKUP($D440,Cadastro!$C$4:$E$7,3,FALSE())),"")</f>
        <v>0.35</v>
      </c>
      <c r="G440" s="89">
        <v>9</v>
      </c>
      <c r="H440" s="88">
        <f>IFERROR(IF($G440="","",$G440*$S$446/$G$446/Cadastro!$E$33),"")</f>
        <v>36.081964285714285</v>
      </c>
      <c r="I440" s="90">
        <f>IFERROR(IF($D440="","",VLOOKUP($D440,Cadastro!$C$4:$G$7,5,FALSE())),"")</f>
        <v>0.6</v>
      </c>
      <c r="J440" s="91">
        <f t="shared" si="106"/>
        <v>7.5772124999999999</v>
      </c>
      <c r="K440" s="64">
        <f>IF(G440="","",IF(E445="PC 17",G440*4.2,IF(E445="PC 19",G440*5,IF(E445="CB",G440*24,""))))</f>
        <v>37.800000000000004</v>
      </c>
      <c r="L440" s="61"/>
      <c r="M440" s="61"/>
      <c r="N440" s="61"/>
      <c r="O440" s="65"/>
      <c r="P440" s="65"/>
      <c r="Q440" s="66" t="str">
        <f t="shared" ca="1" si="108"/>
        <v/>
      </c>
      <c r="R440" s="80"/>
      <c r="S440" s="81"/>
    </row>
    <row r="441" spans="1:20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3</v>
      </c>
      <c r="H441" s="88">
        <f>IFERROR(IF($G441="","",$G441*$S$446/$G$446/Cadastro!$E$33),"")</f>
        <v>12.02732142857143</v>
      </c>
      <c r="I441" s="90">
        <f>IFERROR(IF($D441="","",VLOOKUP($D441,Cadastro!$C$4:$G$7,5,FALSE())),"")</f>
        <v>0.6</v>
      </c>
      <c r="J441" s="91">
        <f t="shared" si="106"/>
        <v>1.7319342857142856</v>
      </c>
      <c r="K441" s="69">
        <f>IF(G441="","",IF(E441="PC 17",G441*4.2,IF(E441="PC 19",G441*5,IF(E441="CB",G441*24,""))))</f>
        <v>12.600000000000001</v>
      </c>
      <c r="L441" s="70"/>
      <c r="M441" s="70"/>
      <c r="N441" s="70"/>
      <c r="O441" s="65"/>
      <c r="P441" s="65"/>
      <c r="Q441" s="71" t="str">
        <f t="shared" ca="1" si="108"/>
        <v/>
      </c>
      <c r="R441" s="80"/>
      <c r="S441" s="81"/>
    </row>
    <row r="442" spans="1:20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9</v>
      </c>
      <c r="H442" s="88">
        <f>IFERROR(IF($G442="","",$G442*$S$446/$G$446/Cadastro!$E$33),"")</f>
        <v>36.081964285714285</v>
      </c>
      <c r="I442" s="90">
        <f>IFERROR(IF($D442="","",VLOOKUP($D442,Cadastro!$C$4:$G$7,5,FALSE())),"")</f>
        <v>0.6</v>
      </c>
      <c r="J442" s="91">
        <f t="shared" si="106"/>
        <v>5.1958028571428567</v>
      </c>
      <c r="K442" s="64">
        <f>IF(G442="","",IF(E442="PC 17",G442*4.2,IF(E442="PC 19",G442*5,IF(E442="CB",G442*24,""))))</f>
        <v>37.800000000000004</v>
      </c>
      <c r="L442" s="61"/>
      <c r="M442" s="61"/>
      <c r="N442" s="61"/>
      <c r="O442" s="65"/>
      <c r="P442" s="65"/>
      <c r="Q442" s="66" t="str">
        <f t="shared" ca="1" si="108"/>
        <v/>
      </c>
      <c r="R442" s="80"/>
      <c r="S442" s="81"/>
    </row>
    <row r="443" spans="1:20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15</v>
      </c>
      <c r="H443" s="88">
        <f>IFERROR(IF($G443="","",$G443*$S$446/$G$446/Cadastro!$E$33),"")</f>
        <v>60.136607142857144</v>
      </c>
      <c r="I443" s="90">
        <f>IFERROR(IF($D443="","",VLOOKUP($D443,Cadastro!$C$4:$G$7,5,FALSE())),"")</f>
        <v>0.6</v>
      </c>
      <c r="J443" s="91">
        <f t="shared" si="106"/>
        <v>12.6286875</v>
      </c>
      <c r="K443" s="69">
        <f>IF(G443="","",IF(E443="PC 17",G443*4.2,IF(E443="PC 19",G443*5,IF(E443="CB",G443*24,""))))</f>
        <v>63</v>
      </c>
      <c r="L443" s="70"/>
      <c r="M443" s="70"/>
      <c r="N443" s="70"/>
      <c r="O443" s="65"/>
      <c r="P443" s="65"/>
      <c r="Q443" s="71" t="str">
        <f t="shared" ca="1" si="108"/>
        <v/>
      </c>
      <c r="R443" s="80"/>
      <c r="S443" s="81"/>
    </row>
    <row r="444" spans="1:20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6</v>
      </c>
      <c r="H444" s="88">
        <f>IFERROR(IF($G444="","",$G444*$S$446/$G$446/Cadastro!$E$33),"")</f>
        <v>24.054642857142859</v>
      </c>
      <c r="I444" s="90">
        <f>IFERROR(IF($D444="","",VLOOKUP($D444,Cadastro!$C$4:$G$7,5,FALSE())),"")</f>
        <v>0.6</v>
      </c>
      <c r="J444" s="91">
        <f t="shared" si="106"/>
        <v>5.051474999999999</v>
      </c>
      <c r="K444" s="64">
        <f>IF(G444="","",IF(E444="PC 17",G444*4.2,IF(E444="PC 19",G444*5,IF(E444="CB",G444*24,""))))</f>
        <v>25.200000000000003</v>
      </c>
      <c r="L444" s="61"/>
      <c r="M444" s="61"/>
      <c r="N444" s="61"/>
      <c r="O444" s="65"/>
      <c r="P444" s="65"/>
      <c r="Q444" s="66" t="str">
        <f t="shared" ca="1" si="108"/>
        <v/>
      </c>
      <c r="R444" s="80"/>
      <c r="S444" s="81"/>
    </row>
    <row r="445" spans="1:20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11</v>
      </c>
      <c r="H445" s="92">
        <f>IFERROR(IF($G445="","",$G445*$S$446/$G$446/Cadastro!$E$33),"")</f>
        <v>44.100178571428572</v>
      </c>
      <c r="I445" s="93">
        <f>IFERROR(IF($D445="","",VLOOKUP($D445,Cadastro!$C$4:$G$7,5,FALSE())),"")</f>
        <v>0.6</v>
      </c>
      <c r="J445" s="94">
        <f t="shared" si="106"/>
        <v>9.2610374999999987</v>
      </c>
      <c r="K445" s="64">
        <f>IF(G445="","",IF(E445="PC 17",G445*4.2,IF(E445="PC 19",G445*5,IF(E445="CB",G445*24,""))))</f>
        <v>46.2</v>
      </c>
      <c r="L445" s="70"/>
      <c r="M445" s="70"/>
      <c r="N445" s="70"/>
      <c r="O445" s="65"/>
      <c r="P445" s="65"/>
      <c r="Q445" s="71" t="str">
        <f t="shared" ca="1" si="108"/>
        <v/>
      </c>
      <c r="R445" s="80"/>
      <c r="S445" s="81"/>
    </row>
    <row r="446" spans="1:20" ht="15.75" customHeight="1">
      <c r="A446" s="156" t="s">
        <v>260</v>
      </c>
      <c r="B446" s="156"/>
      <c r="C446" s="156"/>
      <c r="D446" s="156"/>
      <c r="E446" s="156"/>
      <c r="F446" s="95"/>
      <c r="G446" s="96">
        <f>SUM(G434:G445)</f>
        <v>112</v>
      </c>
      <c r="H446" s="95">
        <f>IFERROR(SUM(H434:H445),"")</f>
        <v>449.02</v>
      </c>
      <c r="I446" s="97"/>
      <c r="J446" s="98">
        <f>IFERROR(SUM(J434:J445),"")</f>
        <v>91.118987142857137</v>
      </c>
      <c r="K446" s="2">
        <f>SUM(K434:K445)</f>
        <v>470.40000000000003</v>
      </c>
      <c r="L446" s="72"/>
      <c r="M446" s="72"/>
      <c r="N446" s="72"/>
      <c r="O446" s="72"/>
      <c r="P446" s="72"/>
      <c r="Q446" s="73">
        <f ca="1">IFERROR(SUM(Q434:Q445),"")</f>
        <v>6.7361111111111094E-2</v>
      </c>
      <c r="R446" s="2" t="s">
        <v>261</v>
      </c>
      <c r="S446" s="74">
        <v>449020</v>
      </c>
      <c r="T446" s="99">
        <f>IFERROR(J446,"")</f>
        <v>91.118987142857137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8</v>
      </c>
      <c r="H447" s="101">
        <f>IFERROR(IF($G447="","",$G447*$S$459/$G$459/Cadastro!$E$33),"")</f>
        <v>35.177619047619046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7.3872999999999998</v>
      </c>
      <c r="K447" s="69">
        <f t="shared" ref="K447:K458" si="111">IF(G447="","",IF(E447="PC 17",G447*4.2,IF(E447="PC 19",G447*5,IF(E447="CB",G447*24,""))))</f>
        <v>33.6</v>
      </c>
      <c r="L447" s="70" t="s">
        <v>29</v>
      </c>
      <c r="M447" s="70" t="s">
        <v>40</v>
      </c>
      <c r="N447" s="70" t="s">
        <v>65</v>
      </c>
      <c r="O447" s="65">
        <v>0.81944444444444398</v>
      </c>
      <c r="P447" s="65">
        <v>0.81944444444444398</v>
      </c>
      <c r="Q447" s="71">
        <f t="shared" ref="Q447:Q458" ca="1" si="112">IFERROR(IF(O447="","",IF(P447="",MOD(NOW()-O447,1),IF(P447&gt;=O447,P447-O447,P447+1-O447))),"")</f>
        <v>0</v>
      </c>
      <c r="R447" s="80"/>
      <c r="S447" s="81"/>
    </row>
    <row r="448" spans="1:20" ht="15" customHeight="1">
      <c r="A448" s="59">
        <v>46251</v>
      </c>
      <c r="B448" s="60">
        <f t="shared" ref="B448:B458" si="113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22</v>
      </c>
      <c r="H448" s="88">
        <f>IFERROR(IF($G448="","",$G448*$S$459/$G$459/Cadastro!$E$33),"")</f>
        <v>96.738452380952381</v>
      </c>
      <c r="I448" s="90">
        <f>IFERROR(IF($D448="","",VLOOKUP($D448,Cadastro!$C$4:$G$7,5,FALSE())),"")</f>
        <v>0.6</v>
      </c>
      <c r="J448" s="91">
        <f t="shared" si="110"/>
        <v>20.315074999999997</v>
      </c>
      <c r="K448" s="64">
        <f t="shared" si="111"/>
        <v>92.4</v>
      </c>
      <c r="L448" s="61" t="s">
        <v>29</v>
      </c>
      <c r="M448" s="61" t="s">
        <v>133</v>
      </c>
      <c r="N448" s="61" t="s">
        <v>221</v>
      </c>
      <c r="O448" s="65">
        <v>0.83333333333333304</v>
      </c>
      <c r="P448" s="65">
        <v>0.84027777777777801</v>
      </c>
      <c r="Q448" s="66">
        <f t="shared" ca="1" si="112"/>
        <v>6.9444444444449749E-3</v>
      </c>
      <c r="R448" s="80"/>
      <c r="S448" s="81"/>
    </row>
    <row r="449" spans="1:20" ht="15" customHeight="1">
      <c r="A449" s="18">
        <v>46251</v>
      </c>
      <c r="B449" s="68">
        <f t="shared" si="113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48.369226190476191</v>
      </c>
      <c r="I449" s="90">
        <f>IFERROR(IF($D449="","",VLOOKUP($D449,Cadastro!$C$4:$G$7,5,FALSE())),"")</f>
        <v>0.6</v>
      </c>
      <c r="J449" s="91">
        <f t="shared" si="110"/>
        <v>10.157537499999998</v>
      </c>
      <c r="K449" s="69">
        <f t="shared" si="111"/>
        <v>46.2</v>
      </c>
      <c r="L449" s="70" t="s">
        <v>28</v>
      </c>
      <c r="M449" s="70" t="s">
        <v>48</v>
      </c>
      <c r="N449" s="70" t="s">
        <v>36</v>
      </c>
      <c r="O449" s="65">
        <v>0.99652777777777801</v>
      </c>
      <c r="P449" s="65">
        <v>1.2500000000000001E-2</v>
      </c>
      <c r="Q449" s="71">
        <f t="shared" ca="1" si="112"/>
        <v>1.5972222222221943E-2</v>
      </c>
      <c r="R449" s="80"/>
      <c r="S449" s="81"/>
    </row>
    <row r="450" spans="1:20" ht="15" customHeight="1">
      <c r="A450" s="59">
        <v>46251</v>
      </c>
      <c r="B450" s="60">
        <f t="shared" si="113"/>
        <v>0.95833333333333293</v>
      </c>
      <c r="C450" s="70" t="s">
        <v>30</v>
      </c>
      <c r="D450" s="75" t="s">
        <v>39</v>
      </c>
      <c r="E450" s="100" t="s">
        <v>259</v>
      </c>
      <c r="F450" s="88">
        <f>IFERROR(IF($D450="","",VLOOKUP($D450,Cadastro!$C$4:$E$7,3,FALSE())),"")</f>
        <v>0.24</v>
      </c>
      <c r="G450" s="89">
        <v>13</v>
      </c>
      <c r="H450" s="88">
        <f>IFERROR(IF($G450="","",$G450*$S$459/$G$459/Cadastro!$E$33),"")</f>
        <v>57.163630952380956</v>
      </c>
      <c r="I450" s="90">
        <f>IFERROR(IF($D450="","",VLOOKUP($D450,Cadastro!$C$4:$G$7,5,FALSE())),"")</f>
        <v>0.6</v>
      </c>
      <c r="J450" s="91">
        <f t="shared" si="110"/>
        <v>8.2315628571428565</v>
      </c>
      <c r="K450" s="64">
        <f t="shared" si="111"/>
        <v>65</v>
      </c>
      <c r="L450" s="61" t="s">
        <v>29</v>
      </c>
      <c r="M450" s="61" t="s">
        <v>170</v>
      </c>
      <c r="N450" s="61" t="s">
        <v>60</v>
      </c>
      <c r="O450" s="65">
        <v>3.8194444444444503E-2</v>
      </c>
      <c r="P450" s="65">
        <v>4.5138888888888902E-2</v>
      </c>
      <c r="Q450" s="66">
        <f t="shared" ca="1" si="112"/>
        <v>6.944444444444399E-3</v>
      </c>
      <c r="R450" s="80"/>
      <c r="S450" s="81"/>
    </row>
    <row r="451" spans="1:20" ht="15" customHeight="1">
      <c r="A451" s="18">
        <v>46251</v>
      </c>
      <c r="B451" s="68">
        <f t="shared" si="113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13</v>
      </c>
      <c r="H451" s="88">
        <f>IFERROR(IF($G451="","",$G451*$S$459/$G$459/Cadastro!$E$33),"")</f>
        <v>57.163630952380956</v>
      </c>
      <c r="I451" s="90">
        <f>IFERROR(IF($D451="","",VLOOKUP($D451,Cadastro!$C$4:$G$7,5,FALSE())),"")</f>
        <v>0.6</v>
      </c>
      <c r="J451" s="91">
        <f t="shared" si="110"/>
        <v>8.2315628571428565</v>
      </c>
      <c r="K451" s="69">
        <f t="shared" si="111"/>
        <v>54.6</v>
      </c>
      <c r="L451" s="70" t="s">
        <v>29</v>
      </c>
      <c r="M451" s="70" t="s">
        <v>40</v>
      </c>
      <c r="N451" s="70" t="s">
        <v>60</v>
      </c>
      <c r="O451" s="65">
        <v>5.2777777777777798E-2</v>
      </c>
      <c r="P451" s="65">
        <v>5.5555555555555601E-2</v>
      </c>
      <c r="Q451" s="71">
        <f t="shared" ca="1" si="112"/>
        <v>2.7777777777778026E-3</v>
      </c>
      <c r="R451" s="80"/>
      <c r="S451" s="81"/>
    </row>
    <row r="452" spans="1:20" ht="15" customHeight="1">
      <c r="A452" s="59">
        <v>46251</v>
      </c>
      <c r="B452" s="60">
        <f t="shared" si="113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12</v>
      </c>
      <c r="H452" s="88">
        <f>IFERROR(IF($G452="","",$G452*$S$459/$G$459/Cadastro!$E$33),"")</f>
        <v>52.76642857142857</v>
      </c>
      <c r="I452" s="90">
        <f>IFERROR(IF($D452="","",VLOOKUP($D452,Cadastro!$C$4:$G$7,5,FALSE())),"")</f>
        <v>0.6</v>
      </c>
      <c r="J452" s="91">
        <f t="shared" si="110"/>
        <v>7.5983657142857135</v>
      </c>
      <c r="K452" s="64">
        <f t="shared" si="111"/>
        <v>50.400000000000006</v>
      </c>
      <c r="L452" s="61" t="s">
        <v>29</v>
      </c>
      <c r="M452" s="61" t="s">
        <v>40</v>
      </c>
      <c r="N452" s="61" t="s">
        <v>65</v>
      </c>
      <c r="O452" s="65">
        <v>6.9444444444444503E-2</v>
      </c>
      <c r="P452" s="65">
        <v>9.0277777777777804E-2</v>
      </c>
      <c r="Q452" s="66">
        <f t="shared" ca="1" si="112"/>
        <v>2.0833333333333301E-2</v>
      </c>
      <c r="R452" s="80" t="s">
        <v>333</v>
      </c>
      <c r="S452" s="81"/>
    </row>
    <row r="453" spans="1:20" ht="15" customHeight="1">
      <c r="A453" s="18">
        <v>46251</v>
      </c>
      <c r="B453" s="68">
        <f t="shared" si="113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8</v>
      </c>
      <c r="H453" s="88">
        <f>IFERROR(IF($G453="","",$G453*$S$459/$G$459/Cadastro!$E$33),"")</f>
        <v>35.177619047619046</v>
      </c>
      <c r="I453" s="90">
        <f>IFERROR(IF($D453="","",VLOOKUP($D453,Cadastro!$C$4:$G$7,5,FALSE())),"")</f>
        <v>0.6</v>
      </c>
      <c r="J453" s="91">
        <f t="shared" si="110"/>
        <v>7.3872999999999998</v>
      </c>
      <c r="K453" s="69">
        <f t="shared" si="111"/>
        <v>33.6</v>
      </c>
      <c r="L453" s="70" t="s">
        <v>29</v>
      </c>
      <c r="M453" s="70" t="s">
        <v>40</v>
      </c>
      <c r="N453" s="70" t="s">
        <v>60</v>
      </c>
      <c r="O453" s="65">
        <v>9.375E-2</v>
      </c>
      <c r="P453" s="65">
        <v>0.13541666666666699</v>
      </c>
      <c r="Q453" s="71">
        <f t="shared" ca="1" si="112"/>
        <v>4.166666666666699E-2</v>
      </c>
      <c r="R453" s="80" t="s">
        <v>334</v>
      </c>
      <c r="S453" s="81"/>
    </row>
    <row r="454" spans="1:20" ht="15" customHeight="1">
      <c r="A454" s="59">
        <v>46251</v>
      </c>
      <c r="B454" s="60">
        <f t="shared" si="113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4</v>
      </c>
      <c r="H454" s="88">
        <f>IFERROR(IF($G454="","",$G454*$S$459/$G$459/Cadastro!$E$33),"")</f>
        <v>17.588809523809523</v>
      </c>
      <c r="I454" s="90">
        <f>IFERROR(IF($D454="","",VLOOKUP($D454,Cadastro!$C$4:$G$7,5,FALSE())),"")</f>
        <v>0.6</v>
      </c>
      <c r="J454" s="91">
        <f t="shared" si="110"/>
        <v>3.6936499999999999</v>
      </c>
      <c r="K454" s="64">
        <f t="shared" si="111"/>
        <v>16.8</v>
      </c>
      <c r="L454" s="61"/>
      <c r="M454" s="61"/>
      <c r="N454" s="61"/>
      <c r="O454" s="65"/>
      <c r="P454" s="65"/>
      <c r="Q454" s="66" t="str">
        <f t="shared" ca="1" si="112"/>
        <v/>
      </c>
      <c r="R454" s="80"/>
      <c r="S454" s="81"/>
    </row>
    <row r="455" spans="1:20" ht="15" customHeight="1">
      <c r="A455" s="18">
        <v>46251</v>
      </c>
      <c r="B455" s="68">
        <f t="shared" si="113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24</v>
      </c>
      <c r="H455" s="88">
        <f>IFERROR(IF($G455="","",$G455*$S$459/$G$459/Cadastro!$E$33),"")</f>
        <v>105.53285714285714</v>
      </c>
      <c r="I455" s="90">
        <f>IFERROR(IF($D455="","",VLOOKUP($D455,Cadastro!$C$4:$G$7,5,FALSE())),"")</f>
        <v>0.6</v>
      </c>
      <c r="J455" s="91">
        <f t="shared" si="110"/>
        <v>22.161899999999996</v>
      </c>
      <c r="K455" s="69">
        <f t="shared" si="111"/>
        <v>100.80000000000001</v>
      </c>
      <c r="L455" s="70"/>
      <c r="M455" s="70"/>
      <c r="N455" s="70"/>
      <c r="O455" s="65"/>
      <c r="P455" s="65"/>
      <c r="Q455" s="71" t="str">
        <f t="shared" ca="1" si="112"/>
        <v/>
      </c>
      <c r="R455" s="80"/>
      <c r="S455" s="81"/>
    </row>
    <row r="456" spans="1:20" ht="15" customHeight="1">
      <c r="A456" s="59">
        <v>46251</v>
      </c>
      <c r="B456" s="60">
        <f t="shared" si="113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23</v>
      </c>
      <c r="H456" s="88">
        <f>IFERROR(IF($G456="","",$G456*$S$459/$G$459/Cadastro!$E$33),"")</f>
        <v>101.13565476190476</v>
      </c>
      <c r="I456" s="90">
        <f>IFERROR(IF($D456="","",VLOOKUP($D456,Cadastro!$C$4:$G$7,5,FALSE())),"")</f>
        <v>0.6</v>
      </c>
      <c r="J456" s="91">
        <f t="shared" si="110"/>
        <v>21.238487499999998</v>
      </c>
      <c r="K456" s="64">
        <f t="shared" si="111"/>
        <v>96.600000000000009</v>
      </c>
      <c r="L456" s="61"/>
      <c r="M456" s="61"/>
      <c r="N456" s="61"/>
      <c r="O456" s="65"/>
      <c r="P456" s="65"/>
      <c r="Q456" s="66" t="str">
        <f t="shared" ca="1" si="112"/>
        <v/>
      </c>
      <c r="R456" s="80"/>
      <c r="S456" s="81"/>
    </row>
    <row r="457" spans="1:20" ht="15" customHeight="1">
      <c r="A457" s="18">
        <v>46251</v>
      </c>
      <c r="B457" s="68">
        <f t="shared" si="113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20</v>
      </c>
      <c r="H457" s="88">
        <f>IFERROR(IF($G457="","",$G457*$S$459/$G$459/Cadastro!$E$33),"")</f>
        <v>87.944047619047623</v>
      </c>
      <c r="I457" s="90">
        <f>IFERROR(IF($D457="","",VLOOKUP($D457,Cadastro!$C$4:$G$7,5,FALSE())),"")</f>
        <v>0.6</v>
      </c>
      <c r="J457" s="91">
        <f t="shared" si="110"/>
        <v>18.468250000000001</v>
      </c>
      <c r="K457" s="69">
        <f t="shared" si="111"/>
        <v>84</v>
      </c>
      <c r="L457" s="70"/>
      <c r="M457" s="70"/>
      <c r="N457" s="70"/>
      <c r="O457" s="65"/>
      <c r="P457" s="65"/>
      <c r="Q457" s="71" t="str">
        <f t="shared" ca="1" si="112"/>
        <v/>
      </c>
      <c r="R457" s="80"/>
      <c r="S457" s="81"/>
    </row>
    <row r="458" spans="1:20" ht="15" customHeight="1">
      <c r="A458" s="59">
        <v>46251</v>
      </c>
      <c r="B458" s="60">
        <f t="shared" si="113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10</v>
      </c>
      <c r="H458" s="92">
        <f>IFERROR(IF($G458="","",$G458*$S$459/$G$459/Cadastro!$E$33),"")</f>
        <v>43.972023809523812</v>
      </c>
      <c r="I458" s="93">
        <f>IFERROR(IF($D458="","",VLOOKUP($D458,Cadastro!$C$4:$G$7,5,FALSE())),"")</f>
        <v>0.6</v>
      </c>
      <c r="J458" s="94">
        <f t="shared" si="110"/>
        <v>9.2341250000000006</v>
      </c>
      <c r="K458" s="64">
        <f t="shared" si="111"/>
        <v>42</v>
      </c>
      <c r="L458" s="61"/>
      <c r="M458" s="61"/>
      <c r="N458" s="61"/>
      <c r="O458" s="65"/>
      <c r="P458" s="65"/>
      <c r="Q458" s="66" t="str">
        <f t="shared" ca="1" si="112"/>
        <v/>
      </c>
      <c r="R458" s="80"/>
      <c r="S458" s="81"/>
    </row>
    <row r="459" spans="1:20" ht="15.75" customHeight="1">
      <c r="A459" s="156" t="s">
        <v>263</v>
      </c>
      <c r="B459" s="156"/>
      <c r="C459" s="156"/>
      <c r="D459" s="156"/>
      <c r="E459" s="156"/>
      <c r="F459" s="105"/>
      <c r="G459" s="96">
        <f>SUM(G447:G458)</f>
        <v>168</v>
      </c>
      <c r="H459" s="105">
        <f>IFERROR(SUM(H447:H458),"")</f>
        <v>738.7299999999999</v>
      </c>
      <c r="I459" s="106"/>
      <c r="J459" s="107">
        <f>IFERROR(SUM(J447:J458),"")</f>
        <v>144.10511642857142</v>
      </c>
      <c r="K459" s="2">
        <f>SUM(K447:K458)</f>
        <v>716.00000000000011</v>
      </c>
      <c r="L459" s="72"/>
      <c r="M459" s="72"/>
      <c r="N459" s="72"/>
      <c r="O459" s="72"/>
      <c r="P459" s="72"/>
      <c r="Q459" s="73">
        <f ca="1">IFERROR(SUM(Q447:Q458),"")</f>
        <v>9.5138888888889411E-2</v>
      </c>
      <c r="R459" s="2" t="s">
        <v>261</v>
      </c>
      <c r="S459" s="74">
        <v>738730</v>
      </c>
      <c r="T459" s="99">
        <f>IFERROR(J459,"")</f>
        <v>144.10511642857142</v>
      </c>
    </row>
    <row r="460" spans="1:20" ht="18" customHeight="1">
      <c r="A460" s="157" t="s">
        <v>249</v>
      </c>
      <c r="B460" s="157"/>
      <c r="C460" s="157"/>
      <c r="D460" s="157"/>
      <c r="E460" s="157"/>
      <c r="F460" s="108"/>
      <c r="G460" s="109">
        <f>G446+G459</f>
        <v>280</v>
      </c>
      <c r="H460" s="108">
        <f>IFERROR(H446+H459,"")</f>
        <v>1187.75</v>
      </c>
      <c r="I460" s="110"/>
      <c r="J460" s="111">
        <f>IFERROR(J446+J459,"")</f>
        <v>235.22410357142854</v>
      </c>
      <c r="K460" s="1">
        <f>K446+K459</f>
        <v>1186.4000000000001</v>
      </c>
      <c r="L460" s="76"/>
      <c r="M460" s="76"/>
      <c r="N460" s="76"/>
      <c r="O460" s="76"/>
      <c r="P460" s="76"/>
      <c r="Q460" s="77">
        <f ca="1">IFERROR(Q446+Q459,"")</f>
        <v>0.16250000000000051</v>
      </c>
      <c r="R460" s="1" t="s">
        <v>264</v>
      </c>
      <c r="S460" s="82">
        <f>IFERROR(S446+S459,"")</f>
        <v>1187750</v>
      </c>
      <c r="T460" s="118">
        <f>IFERROR(J460,"")</f>
        <v>235.22410357142854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11</v>
      </c>
      <c r="H461" s="101">
        <f>IFERROR(IF($G461="","",$G461*$S$473/$G$473/Cadastro!$E$33),"")</f>
        <v>47.00704663212435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6.7690147150259055</v>
      </c>
      <c r="K461" s="69">
        <f t="shared" ref="K461:K472" si="115">IF(G461="","",IF(E461="PC 17",G461*4.2,IF(E461="PC 19",G461*5,IF(E461="CB",G461*24,""))))</f>
        <v>46.2</v>
      </c>
      <c r="L461" s="70" t="s">
        <v>28</v>
      </c>
      <c r="M461" s="70" t="s">
        <v>48</v>
      </c>
      <c r="N461" s="70" t="s">
        <v>36</v>
      </c>
      <c r="O461" s="65">
        <v>0.29375000000000001</v>
      </c>
      <c r="P461" s="65">
        <v>0.31458333333333299</v>
      </c>
      <c r="Q461" s="71">
        <f t="shared" ref="Q461:Q472" ca="1" si="116">IFERROR(IF(O461="","",IF(P461="",MOD(NOW()-O461,1),IF(P461&gt;=O461,P461-O461,P461+1-O461))),"")</f>
        <v>2.0833333333332982E-2</v>
      </c>
      <c r="R461" s="80"/>
      <c r="S461" s="81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26</v>
      </c>
      <c r="H462" s="88">
        <f>IFERROR(IF($G462="","",$G462*$S$473/$G$473/Cadastro!$E$33),"")</f>
        <v>111.10756476683937</v>
      </c>
      <c r="I462" s="90">
        <f>IFERROR(IF($D462="","",VLOOKUP($D462,Cadastro!$C$4:$G$7,5,FALSE())),"")</f>
        <v>0.6</v>
      </c>
      <c r="J462" s="91">
        <f t="shared" si="114"/>
        <v>15.99948932642487</v>
      </c>
      <c r="K462" s="64">
        <f t="shared" si="115"/>
        <v>109.2</v>
      </c>
      <c r="L462" s="61" t="s">
        <v>28</v>
      </c>
      <c r="M462" s="61" t="s">
        <v>40</v>
      </c>
      <c r="N462" s="61" t="s">
        <v>36</v>
      </c>
      <c r="O462" s="65">
        <v>0.39583333333333298</v>
      </c>
      <c r="P462" s="65">
        <v>0.41180555555555598</v>
      </c>
      <c r="Q462" s="66">
        <f t="shared" ca="1" si="116"/>
        <v>1.5972222222222998E-2</v>
      </c>
      <c r="R462" s="80"/>
      <c r="S462" s="81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9</v>
      </c>
      <c r="H463" s="88">
        <f>IFERROR(IF($G463="","",$G463*$S$473/$G$473/Cadastro!$E$33),"")</f>
        <v>38.460310880829013</v>
      </c>
      <c r="I463" s="90">
        <f>IFERROR(IF($D463="","",VLOOKUP($D463,Cadastro!$C$4:$G$7,5,FALSE())),"")</f>
        <v>0.6</v>
      </c>
      <c r="J463" s="91">
        <f t="shared" si="114"/>
        <v>5.5382847668393778</v>
      </c>
      <c r="K463" s="69">
        <f t="shared" si="115"/>
        <v>37.800000000000004</v>
      </c>
      <c r="L463" s="70" t="s">
        <v>28</v>
      </c>
      <c r="M463" s="70" t="s">
        <v>48</v>
      </c>
      <c r="N463" s="70" t="s">
        <v>36</v>
      </c>
      <c r="O463" s="65">
        <v>0.54444444444444395</v>
      </c>
      <c r="P463" s="65">
        <v>0.57013888888888897</v>
      </c>
      <c r="Q463" s="71">
        <f t="shared" ca="1" si="116"/>
        <v>2.5694444444445019E-2</v>
      </c>
      <c r="R463" s="80"/>
      <c r="S463" s="81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22</v>
      </c>
      <c r="H464" s="88">
        <f>IFERROR(IF($G464="","",$G464*$S$473/$G$473/Cadastro!$E$33),"")</f>
        <v>94.0140932642487</v>
      </c>
      <c r="I464" s="90">
        <f>IFERROR(IF($D464="","",VLOOKUP($D464,Cadastro!$C$4:$G$7,5,FALSE())),"")</f>
        <v>0.6</v>
      </c>
      <c r="J464" s="91">
        <f t="shared" si="114"/>
        <v>13.538029430051811</v>
      </c>
      <c r="K464" s="64">
        <f t="shared" si="115"/>
        <v>92.4</v>
      </c>
      <c r="L464" s="61" t="s">
        <v>28</v>
      </c>
      <c r="M464" s="61" t="s">
        <v>48</v>
      </c>
      <c r="N464" s="61" t="s">
        <v>59</v>
      </c>
      <c r="O464" s="65">
        <v>0.60486111111111096</v>
      </c>
      <c r="P464" s="65">
        <v>0.64027777777777795</v>
      </c>
      <c r="Q464" s="66">
        <f t="shared" ca="1" si="116"/>
        <v>3.5416666666666985E-2</v>
      </c>
      <c r="R464" s="80"/>
      <c r="S464" s="81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11</v>
      </c>
      <c r="H465" s="88">
        <f>IFERROR(IF($G465="","",$G465*$S$473/$G$473/Cadastro!$E$33),"")</f>
        <v>47.00704663212435</v>
      </c>
      <c r="I465" s="90">
        <f>IFERROR(IF($D465="","",VLOOKUP($D465,Cadastro!$C$4:$G$7,5,FALSE())),"")</f>
        <v>0.6</v>
      </c>
      <c r="J465" s="91">
        <f t="shared" si="114"/>
        <v>6.7690147150259055</v>
      </c>
      <c r="K465" s="69">
        <f t="shared" si="115"/>
        <v>46.2</v>
      </c>
      <c r="L465" s="70" t="s">
        <v>29</v>
      </c>
      <c r="M465" s="70" t="s">
        <v>48</v>
      </c>
      <c r="N465" s="70" t="s">
        <v>45</v>
      </c>
      <c r="O465" s="65">
        <v>0.67638888888888904</v>
      </c>
      <c r="P465" s="65">
        <v>0.69791666666666696</v>
      </c>
      <c r="Q465" s="71">
        <f t="shared" ca="1" si="116"/>
        <v>2.1527777777777923E-2</v>
      </c>
      <c r="R465" s="80" t="s">
        <v>335</v>
      </c>
      <c r="S465" s="81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23</v>
      </c>
      <c r="H466" s="88">
        <f>IFERROR(IF($G466="","",$G466*$S$473/$G$473/Cadastro!$E$33),"")</f>
        <v>98.287461139896379</v>
      </c>
      <c r="I466" s="90">
        <f>IFERROR(IF($D466="","",VLOOKUP($D466,Cadastro!$C$4:$G$7,5,FALSE())),"")</f>
        <v>0.6</v>
      </c>
      <c r="J466" s="91">
        <f t="shared" si="114"/>
        <v>14.153394404145077</v>
      </c>
      <c r="K466" s="64">
        <f t="shared" si="115"/>
        <v>96.600000000000009</v>
      </c>
      <c r="L466" s="61"/>
      <c r="M466" s="61"/>
      <c r="N466" s="61"/>
      <c r="O466" s="65"/>
      <c r="P466" s="65"/>
      <c r="Q466" s="66" t="str">
        <f t="shared" ca="1" si="116"/>
        <v/>
      </c>
      <c r="R466" s="80"/>
      <c r="S466" s="81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23</v>
      </c>
      <c r="H467" s="88">
        <f>IFERROR(IF($G467="","",$G467*$S$473/$G$473/Cadastro!$E$33),"")</f>
        <v>98.287461139896379</v>
      </c>
      <c r="I467" s="90">
        <f>IFERROR(IF($D467="","",VLOOKUP($D467,Cadastro!$C$4:$G$7,5,FALSE())),"")</f>
        <v>0.6</v>
      </c>
      <c r="J467" s="91">
        <f t="shared" si="114"/>
        <v>14.153394404145077</v>
      </c>
      <c r="K467" s="69">
        <f t="shared" si="115"/>
        <v>96.600000000000009</v>
      </c>
      <c r="L467" s="70"/>
      <c r="M467" s="70"/>
      <c r="N467" s="70"/>
      <c r="O467" s="65"/>
      <c r="P467" s="65"/>
      <c r="Q467" s="71" t="str">
        <f t="shared" ca="1" si="116"/>
        <v/>
      </c>
      <c r="R467" s="80"/>
      <c r="S467" s="81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10</v>
      </c>
      <c r="H468" s="88">
        <f>IFERROR(IF($G468="","",$G468*$S$473/$G$473/Cadastro!$E$33),"")</f>
        <v>42.733678756476685</v>
      </c>
      <c r="I468" s="90">
        <f>IFERROR(IF($D468="","",VLOOKUP($D468,Cadastro!$C$4:$G$7,5,FALSE())),"")</f>
        <v>0.6</v>
      </c>
      <c r="J468" s="91">
        <f t="shared" si="114"/>
        <v>6.1536497409326421</v>
      </c>
      <c r="K468" s="64">
        <f t="shared" si="115"/>
        <v>42</v>
      </c>
      <c r="L468" s="61"/>
      <c r="M468" s="61"/>
      <c r="N468" s="61"/>
      <c r="O468" s="65"/>
      <c r="P468" s="65"/>
      <c r="Q468" s="66" t="str">
        <f t="shared" ca="1" si="116"/>
        <v/>
      </c>
      <c r="R468" s="80"/>
      <c r="S468" s="81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19</v>
      </c>
      <c r="H469" s="88">
        <f>IFERROR(IF($G469="","",$G469*$S$473/$G$473/Cadastro!$E$33),"")</f>
        <v>81.193989637305691</v>
      </c>
      <c r="I469" s="90">
        <f>IFERROR(IF($D469="","",VLOOKUP($D469,Cadastro!$C$4:$G$7,5,FALSE())),"")</f>
        <v>0.6</v>
      </c>
      <c r="J469" s="91">
        <f t="shared" si="114"/>
        <v>11.691934507772018</v>
      </c>
      <c r="K469" s="69">
        <f t="shared" si="115"/>
        <v>79.8</v>
      </c>
      <c r="L469" s="70"/>
      <c r="M469" s="70"/>
      <c r="N469" s="70"/>
      <c r="O469" s="65"/>
      <c r="P469" s="65"/>
      <c r="Q469" s="71" t="str">
        <f t="shared" ca="1" si="116"/>
        <v/>
      </c>
      <c r="R469" s="80"/>
      <c r="S469" s="81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10</v>
      </c>
      <c r="H470" s="88">
        <f>IFERROR(IF($G470="","",$G470*$S$473/$G$473/Cadastro!$E$33),"")</f>
        <v>42.733678756476685</v>
      </c>
      <c r="I470" s="90">
        <f>IFERROR(IF($D470="","",VLOOKUP($D470,Cadastro!$C$4:$G$7,5,FALSE())),"")</f>
        <v>0.6</v>
      </c>
      <c r="J470" s="91">
        <f t="shared" si="114"/>
        <v>6.1536497409326421</v>
      </c>
      <c r="K470" s="64">
        <f t="shared" si="115"/>
        <v>42</v>
      </c>
      <c r="L470" s="61"/>
      <c r="M470" s="61"/>
      <c r="N470" s="61"/>
      <c r="O470" s="65"/>
      <c r="P470" s="65"/>
      <c r="Q470" s="66" t="str">
        <f t="shared" ca="1" si="116"/>
        <v/>
      </c>
      <c r="R470" s="80"/>
      <c r="S470" s="81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17</v>
      </c>
      <c r="H471" s="88">
        <f>IFERROR(IF($G471="","",$G471*$S$473/$G$473/Cadastro!$E$33),"")</f>
        <v>72.647253886010361</v>
      </c>
      <c r="I471" s="90">
        <f>IFERROR(IF($D471="","",VLOOKUP($D471,Cadastro!$C$4:$G$7,5,FALSE())),"")</f>
        <v>0.6</v>
      </c>
      <c r="J471" s="91">
        <f t="shared" si="114"/>
        <v>10.461204559585491</v>
      </c>
      <c r="K471" s="69">
        <f t="shared" si="115"/>
        <v>71.400000000000006</v>
      </c>
      <c r="L471" s="70"/>
      <c r="M471" s="70"/>
      <c r="N471" s="70"/>
      <c r="O471" s="65"/>
      <c r="P471" s="65"/>
      <c r="Q471" s="71" t="str">
        <f t="shared" ca="1" si="116"/>
        <v/>
      </c>
      <c r="R471" s="80"/>
      <c r="S471" s="81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12</v>
      </c>
      <c r="H472" s="92">
        <f>IFERROR(IF($G472="","",$G472*$S$473/$G$473/Cadastro!$E$33),"")</f>
        <v>51.280414507772022</v>
      </c>
      <c r="I472" s="93">
        <f>IFERROR(IF($D472="","",VLOOKUP($D472,Cadastro!$C$4:$G$7,5,FALSE())),"")</f>
        <v>0.6</v>
      </c>
      <c r="J472" s="94">
        <f t="shared" si="114"/>
        <v>7.3843796891191698</v>
      </c>
      <c r="K472" s="64">
        <f t="shared" si="115"/>
        <v>50.400000000000006</v>
      </c>
      <c r="L472" s="61"/>
      <c r="M472" s="61"/>
      <c r="N472" s="61"/>
      <c r="O472" s="65"/>
      <c r="P472" s="65"/>
      <c r="Q472" s="66" t="str">
        <f t="shared" ca="1" si="116"/>
        <v/>
      </c>
      <c r="R472" s="80"/>
      <c r="S472" s="81"/>
    </row>
    <row r="473" spans="1:20" ht="15.75" customHeight="1">
      <c r="A473" s="156" t="s">
        <v>260</v>
      </c>
      <c r="B473" s="156"/>
      <c r="C473" s="156"/>
      <c r="D473" s="156"/>
      <c r="E473" s="156"/>
      <c r="F473" s="95"/>
      <c r="G473" s="96">
        <f>SUM(G461:G472)</f>
        <v>193</v>
      </c>
      <c r="H473" s="95">
        <f>IFERROR(SUM(H461:H472),"")</f>
        <v>824.76</v>
      </c>
      <c r="I473" s="97"/>
      <c r="J473" s="98">
        <f>IFERROR(SUM(J461:J472),"")</f>
        <v>118.76543999999998</v>
      </c>
      <c r="K473" s="2">
        <f>SUM(K461:K472)</f>
        <v>810.59999999999991</v>
      </c>
      <c r="L473" s="72"/>
      <c r="M473" s="72"/>
      <c r="N473" s="72"/>
      <c r="O473" s="72"/>
      <c r="P473" s="72"/>
      <c r="Q473" s="73">
        <f ca="1">IFERROR(SUM(Q461:Q472),"")</f>
        <v>0.11944444444444591</v>
      </c>
      <c r="R473" s="2" t="s">
        <v>261</v>
      </c>
      <c r="S473" s="74">
        <v>824760</v>
      </c>
      <c r="T473" s="99">
        <f>IFERROR(J473,"")</f>
        <v>118.76543999999998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17</v>
      </c>
      <c r="H474" s="101">
        <f>IFERROR(IF($G474="","",$G474*$S$486/$G$486/Cadastro!$E$33),"")</f>
        <v>64.021585365853653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9.2191082926829253</v>
      </c>
      <c r="K474" s="64">
        <f t="shared" ref="K474:K485" si="119">IF(G474="","",IF(E474="PC 17",G474*4.2,IF(E474="PC 19",G474*5,IF(E474="CB",G474*24,""))))</f>
        <v>71.400000000000006</v>
      </c>
      <c r="L474" s="61" t="s">
        <v>28</v>
      </c>
      <c r="M474" s="61" t="s">
        <v>48</v>
      </c>
      <c r="N474" s="61" t="s">
        <v>36</v>
      </c>
      <c r="O474" s="65">
        <v>0.87222222222222201</v>
      </c>
      <c r="P474" s="65">
        <v>0.88263888888888897</v>
      </c>
      <c r="Q474" s="66">
        <f t="shared" ref="Q474:Q485" ca="1" si="120">IFERROR(IF(O474="","",IF(P474="",MOD(NOW()-O474,1),IF(P474&gt;=O474,P474-O474,P474+1-O474))),"")</f>
        <v>1.0416666666666963E-2</v>
      </c>
      <c r="R474" s="80"/>
      <c r="S474" s="81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19</v>
      </c>
      <c r="H475" s="88">
        <f>IFERROR(IF($G475="","",$G475*$S$486/$G$486/Cadastro!$E$33),"")</f>
        <v>71.553536585365862</v>
      </c>
      <c r="I475" s="90">
        <f>IFERROR(IF($D475="","",VLOOKUP($D475,Cadastro!$C$4:$G$7,5,FALSE())),"")</f>
        <v>0.6</v>
      </c>
      <c r="J475" s="91">
        <f t="shared" si="118"/>
        <v>10.303709268292684</v>
      </c>
      <c r="K475" s="69">
        <f t="shared" si="119"/>
        <v>79.8</v>
      </c>
      <c r="L475" s="70" t="s">
        <v>28</v>
      </c>
      <c r="M475" s="70" t="s">
        <v>40</v>
      </c>
      <c r="N475" s="70" t="s">
        <v>36</v>
      </c>
      <c r="O475" s="65">
        <v>0.88263888888888897</v>
      </c>
      <c r="P475" s="65">
        <v>0.89652777777777803</v>
      </c>
      <c r="Q475" s="71">
        <f t="shared" ca="1" si="120"/>
        <v>1.3888888888889062E-2</v>
      </c>
      <c r="R475" s="80"/>
      <c r="S475" s="81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7</v>
      </c>
      <c r="H476" s="88">
        <f>IFERROR(IF($G476="","",$G476*$S$486/$G$486/Cadastro!$E$33),"")</f>
        <v>26.361829268292684</v>
      </c>
      <c r="I476" s="90">
        <f>IFERROR(IF($D476="","",VLOOKUP($D476,Cadastro!$C$4:$G$7,5,FALSE())),"")</f>
        <v>0.6</v>
      </c>
      <c r="J476" s="91">
        <f t="shared" si="118"/>
        <v>3.7961034146341461</v>
      </c>
      <c r="K476" s="64">
        <f t="shared" si="119"/>
        <v>29.400000000000002</v>
      </c>
      <c r="L476" s="61" t="s">
        <v>29</v>
      </c>
      <c r="M476" s="61" t="s">
        <v>40</v>
      </c>
      <c r="N476" s="61" t="s">
        <v>60</v>
      </c>
      <c r="O476" s="65">
        <v>0.89722222222222203</v>
      </c>
      <c r="P476" s="65">
        <v>0.91527777777777797</v>
      </c>
      <c r="Q476" s="66">
        <f t="shared" ca="1" si="120"/>
        <v>1.8055555555555935E-2</v>
      </c>
      <c r="R476" s="80" t="s">
        <v>336</v>
      </c>
      <c r="S476" s="81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13</v>
      </c>
      <c r="H477" s="88">
        <f>IFERROR(IF($G477="","",$G477*$S$486/$G$486/Cadastro!$E$33),"")</f>
        <v>48.957682926829271</v>
      </c>
      <c r="I477" s="90">
        <f>IFERROR(IF($D477="","",VLOOKUP($D477,Cadastro!$C$4:$G$7,5,FALSE())),"")</f>
        <v>0.6</v>
      </c>
      <c r="J477" s="91">
        <f t="shared" si="118"/>
        <v>7.0499063414634149</v>
      </c>
      <c r="K477" s="69">
        <f t="shared" si="119"/>
        <v>54.6</v>
      </c>
      <c r="L477" s="70" t="s">
        <v>29</v>
      </c>
      <c r="M477" s="70" t="s">
        <v>48</v>
      </c>
      <c r="N477" s="70" t="s">
        <v>60</v>
      </c>
      <c r="O477" s="65">
        <v>0.95277777777777795</v>
      </c>
      <c r="P477" s="65">
        <v>0.96250000000000002</v>
      </c>
      <c r="Q477" s="71">
        <f t="shared" ca="1" si="120"/>
        <v>9.7222222222220767E-3</v>
      </c>
      <c r="R477" s="80"/>
      <c r="S477" s="81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37.659756097560972</v>
      </c>
      <c r="I478" s="90">
        <f>IFERROR(IF($D478="","",VLOOKUP($D478,Cadastro!$C$4:$G$7,5,FALSE())),"")</f>
        <v>0.6</v>
      </c>
      <c r="J478" s="91">
        <f t="shared" si="118"/>
        <v>5.4230048780487801</v>
      </c>
      <c r="K478" s="64">
        <f t="shared" si="119"/>
        <v>42</v>
      </c>
      <c r="L478" s="61" t="s">
        <v>27</v>
      </c>
      <c r="M478" s="61" t="s">
        <v>136</v>
      </c>
      <c r="N478" s="61" t="s">
        <v>194</v>
      </c>
      <c r="O478" s="65">
        <v>0.98750000000000004</v>
      </c>
      <c r="P478" s="65">
        <v>1.38888888888889E-3</v>
      </c>
      <c r="Q478" s="66">
        <f t="shared" ca="1" si="120"/>
        <v>1.388888888888884E-2</v>
      </c>
      <c r="R478" s="80"/>
      <c r="S478" s="81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14</v>
      </c>
      <c r="H479" s="88">
        <f>IFERROR(IF($G479="","",$G479*$S$486/$G$486/Cadastro!$E$33),"")</f>
        <v>52.723658536585368</v>
      </c>
      <c r="I479" s="90">
        <f>IFERROR(IF($D479="","",VLOOKUP($D479,Cadastro!$C$4:$G$7,5,FALSE())),"")</f>
        <v>0.6</v>
      </c>
      <c r="J479" s="91">
        <f t="shared" si="118"/>
        <v>7.5922068292682923</v>
      </c>
      <c r="K479" s="69">
        <f t="shared" si="119"/>
        <v>58.800000000000004</v>
      </c>
      <c r="L479" s="70" t="s">
        <v>29</v>
      </c>
      <c r="M479" s="70" t="s">
        <v>40</v>
      </c>
      <c r="N479" s="70" t="s">
        <v>60</v>
      </c>
      <c r="O479" s="65">
        <v>5.4166666666666703E-2</v>
      </c>
      <c r="P479" s="65">
        <v>7.9166666666666705E-2</v>
      </c>
      <c r="Q479" s="71">
        <f t="shared" ca="1" si="120"/>
        <v>2.5000000000000001E-2</v>
      </c>
      <c r="R479" s="80" t="s">
        <v>337</v>
      </c>
      <c r="S479" s="81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10</v>
      </c>
      <c r="H480" s="88">
        <f>IFERROR(IF($G480="","",$G480*$S$486/$G$486/Cadastro!$E$33),"")</f>
        <v>37.659756097560972</v>
      </c>
      <c r="I480" s="90">
        <f>IFERROR(IF($D480="","",VLOOKUP($D480,Cadastro!$C$4:$G$7,5,FALSE())),"")</f>
        <v>0.6</v>
      </c>
      <c r="J480" s="91">
        <f t="shared" si="118"/>
        <v>5.4230048780487801</v>
      </c>
      <c r="K480" s="64">
        <f t="shared" si="119"/>
        <v>42</v>
      </c>
      <c r="L480" s="61" t="s">
        <v>28</v>
      </c>
      <c r="M480" s="61" t="s">
        <v>40</v>
      </c>
      <c r="N480" s="61" t="s">
        <v>36</v>
      </c>
      <c r="O480" s="65">
        <v>0.141666666666667</v>
      </c>
      <c r="P480" s="65">
        <v>0.15069444444444399</v>
      </c>
      <c r="Q480" s="66">
        <f t="shared" ca="1" si="120"/>
        <v>9.0277777777769963E-3</v>
      </c>
      <c r="R480" s="80"/>
      <c r="S480" s="81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12</v>
      </c>
      <c r="H481" s="88">
        <f>IFERROR(IF($G481="","",$G481*$S$486/$G$486/Cadastro!$E$33),"")</f>
        <v>45.191707317073167</v>
      </c>
      <c r="I481" s="90">
        <f>IFERROR(IF($D481="","",VLOOKUP($D481,Cadastro!$C$4:$G$7,5,FALSE())),"")</f>
        <v>0.6</v>
      </c>
      <c r="J481" s="91">
        <f t="shared" si="118"/>
        <v>6.5076058536585357</v>
      </c>
      <c r="K481" s="69">
        <f t="shared" si="119"/>
        <v>50.400000000000006</v>
      </c>
      <c r="L481" s="70" t="s">
        <v>28</v>
      </c>
      <c r="M481" s="70" t="s">
        <v>48</v>
      </c>
      <c r="N481" s="70" t="s">
        <v>36</v>
      </c>
      <c r="O481" s="65">
        <v>0.15069444444444399</v>
      </c>
      <c r="P481" s="65">
        <v>0.15972222222222199</v>
      </c>
      <c r="Q481" s="71">
        <f t="shared" ca="1" si="120"/>
        <v>9.0277777777779955E-3</v>
      </c>
      <c r="R481" s="80"/>
      <c r="S481" s="81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20</v>
      </c>
      <c r="H482" s="88">
        <f>IFERROR(IF($G482="","",$G482*$S$486/$G$486/Cadastro!$E$33),"")</f>
        <v>75.319512195121945</v>
      </c>
      <c r="I482" s="90">
        <f>IFERROR(IF($D482="","",VLOOKUP($D482,Cadastro!$C$4:$G$7,5,FALSE())),"")</f>
        <v>0.6</v>
      </c>
      <c r="J482" s="91">
        <f t="shared" si="118"/>
        <v>10.84600975609756</v>
      </c>
      <c r="K482" s="64">
        <f t="shared" si="119"/>
        <v>84</v>
      </c>
      <c r="L482" s="61" t="s">
        <v>29</v>
      </c>
      <c r="M482" s="61" t="s">
        <v>40</v>
      </c>
      <c r="N482" s="61" t="s">
        <v>218</v>
      </c>
      <c r="O482" s="65">
        <v>0.194444444444444</v>
      </c>
      <c r="P482" s="65">
        <v>0.19791666666666699</v>
      </c>
      <c r="Q482" s="66">
        <f t="shared" ca="1" si="120"/>
        <v>3.472222222222987E-3</v>
      </c>
      <c r="R482" s="80"/>
      <c r="S482" s="81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16</v>
      </c>
      <c r="H483" s="88">
        <f>IFERROR(IF($G483="","",$G483*$S$486/$G$486/Cadastro!$E$33),"")</f>
        <v>60.255609756097563</v>
      </c>
      <c r="I483" s="90">
        <f>IFERROR(IF($D483="","",VLOOKUP($D483,Cadastro!$C$4:$G$7,5,FALSE())),"")</f>
        <v>0.6</v>
      </c>
      <c r="J483" s="91">
        <f t="shared" si="118"/>
        <v>8.6768078048780488</v>
      </c>
      <c r="K483" s="69">
        <f t="shared" si="119"/>
        <v>67.2</v>
      </c>
      <c r="L483" s="70"/>
      <c r="M483" s="70"/>
      <c r="N483" s="70"/>
      <c r="O483" s="65"/>
      <c r="P483" s="65"/>
      <c r="Q483" s="71" t="str">
        <f t="shared" ca="1" si="120"/>
        <v/>
      </c>
      <c r="R483" s="80"/>
      <c r="S483" s="81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18</v>
      </c>
      <c r="H484" s="88">
        <f>IFERROR(IF($G484="","",$G484*$S$486/$G$486/Cadastro!$E$33),"")</f>
        <v>67.78756097560975</v>
      </c>
      <c r="I484" s="90">
        <f>IFERROR(IF($D484="","",VLOOKUP($D484,Cadastro!$C$4:$G$7,5,FALSE())),"")</f>
        <v>0.6</v>
      </c>
      <c r="J484" s="91">
        <f t="shared" si="118"/>
        <v>9.7614087804878036</v>
      </c>
      <c r="K484" s="64">
        <f t="shared" si="119"/>
        <v>75.600000000000009</v>
      </c>
      <c r="L484" s="61"/>
      <c r="M484" s="61"/>
      <c r="N484" s="61"/>
      <c r="O484" s="65"/>
      <c r="P484" s="65"/>
      <c r="Q484" s="66" t="str">
        <f t="shared" ca="1" si="120"/>
        <v/>
      </c>
      <c r="R484" s="80"/>
      <c r="S484" s="81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8</v>
      </c>
      <c r="H485" s="92">
        <f>IFERROR(IF($G485="","",$G485*$S$486/$G$486/Cadastro!$E$33),"")</f>
        <v>30.127804878048781</v>
      </c>
      <c r="I485" s="93">
        <f>IFERROR(IF($D485="","",VLOOKUP($D485,Cadastro!$C$4:$G$7,5,FALSE())),"")</f>
        <v>0.6</v>
      </c>
      <c r="J485" s="94">
        <f t="shared" si="118"/>
        <v>4.3384039024390244</v>
      </c>
      <c r="K485" s="69">
        <f t="shared" si="119"/>
        <v>33.6</v>
      </c>
      <c r="L485" s="70"/>
      <c r="M485" s="70"/>
      <c r="N485" s="70"/>
      <c r="O485" s="65"/>
      <c r="P485" s="65"/>
      <c r="Q485" s="71" t="str">
        <f t="shared" ca="1" si="120"/>
        <v/>
      </c>
      <c r="R485" s="80"/>
      <c r="S485" s="81"/>
    </row>
    <row r="486" spans="1:20" ht="15.75" customHeight="1">
      <c r="A486" s="156" t="s">
        <v>263</v>
      </c>
      <c r="B486" s="156"/>
      <c r="C486" s="156"/>
      <c r="D486" s="156"/>
      <c r="E486" s="156"/>
      <c r="F486" s="105"/>
      <c r="G486" s="96">
        <f>SUM(G474:G485)</f>
        <v>164</v>
      </c>
      <c r="H486" s="105">
        <f>IFERROR(SUM(H474:H485),"")</f>
        <v>617.62</v>
      </c>
      <c r="I486" s="106"/>
      <c r="J486" s="107">
        <f>IFERROR(SUM(J474:J485),"")</f>
        <v>88.937280000000001</v>
      </c>
      <c r="K486" s="2">
        <f>SUM(K474:K485)</f>
        <v>688.80000000000007</v>
      </c>
      <c r="L486" s="72"/>
      <c r="M486" s="72"/>
      <c r="N486" s="72"/>
      <c r="O486" s="72"/>
      <c r="P486" s="72"/>
      <c r="Q486" s="73">
        <f ca="1">IFERROR(SUM(Q474:Q485),"")</f>
        <v>0.11250000000000085</v>
      </c>
      <c r="R486" s="2" t="s">
        <v>261</v>
      </c>
      <c r="S486" s="74">
        <v>617620</v>
      </c>
      <c r="T486" s="99">
        <f>IFERROR(J486,"")</f>
        <v>88.937280000000001</v>
      </c>
    </row>
    <row r="487" spans="1:20" ht="18" customHeight="1">
      <c r="A487" s="157" t="s">
        <v>249</v>
      </c>
      <c r="B487" s="157"/>
      <c r="C487" s="157"/>
      <c r="D487" s="157"/>
      <c r="E487" s="157"/>
      <c r="F487" s="108"/>
      <c r="G487" s="109">
        <f>G473+G486</f>
        <v>357</v>
      </c>
      <c r="H487" s="108">
        <f>IFERROR(H473+H486,"")</f>
        <v>1442.38</v>
      </c>
      <c r="I487" s="110"/>
      <c r="J487" s="111">
        <f>IFERROR(J473+J486,"")</f>
        <v>207.70272</v>
      </c>
      <c r="K487" s="1">
        <f>K473+K486</f>
        <v>1499.4</v>
      </c>
      <c r="L487" s="76"/>
      <c r="M487" s="76"/>
      <c r="N487" s="76"/>
      <c r="O487" s="76"/>
      <c r="P487" s="76"/>
      <c r="Q487" s="77">
        <f ca="1">IFERROR(Q473+Q486,"")</f>
        <v>0.23194444444444676</v>
      </c>
      <c r="R487" s="1" t="s">
        <v>264</v>
      </c>
      <c r="S487" s="82">
        <f>IFERROR(S473+S486,"")</f>
        <v>1442380</v>
      </c>
      <c r="T487" s="118">
        <f>IFERROR(J487,"")</f>
        <v>207.70272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14</v>
      </c>
      <c r="H488" s="101">
        <f>IFERROR(IF($G488="","",$G488*$S$500/$G$500/Cadastro!$E$33),"")</f>
        <v>58.991267605633801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8.4947425352112678</v>
      </c>
      <c r="K488" s="64">
        <f t="shared" ref="K488:K499" si="123">IF(G488="","",IF(E488="PC 17",G488*4.2,IF(E488="PC 19",G488*5,IF(E488="CB",G488*24,""))))</f>
        <v>58.800000000000004</v>
      </c>
      <c r="L488" s="61" t="s">
        <v>29</v>
      </c>
      <c r="M488" s="61" t="s">
        <v>40</v>
      </c>
      <c r="N488" s="61" t="s">
        <v>183</v>
      </c>
      <c r="O488" s="65">
        <v>0.32361111111111102</v>
      </c>
      <c r="P488" s="65">
        <v>0.359722222222222</v>
      </c>
      <c r="Q488" s="66">
        <f t="shared" ref="Q488:Q499" ca="1" si="124">IFERROR(IF(O488="","",IF(P488="",MOD(NOW()-O488,1),IF(P488&gt;=O488,P488-O488,P488+1-O488))),"")</f>
        <v>3.6111111111110983E-2</v>
      </c>
      <c r="R488" s="80" t="s">
        <v>314</v>
      </c>
      <c r="S488" s="81"/>
    </row>
    <row r="489" spans="1:20" ht="15" customHeight="1">
      <c r="A489" s="18">
        <v>46253</v>
      </c>
      <c r="B489" s="68">
        <f t="shared" ref="B489:B499" si="125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13</v>
      </c>
      <c r="H489" s="88">
        <f>IFERROR(IF($G489="","",$G489*$S$500/$G$500/Cadastro!$E$33),"")</f>
        <v>54.777605633802814</v>
      </c>
      <c r="I489" s="90">
        <f>IFERROR(IF($D489="","",VLOOKUP($D489,Cadastro!$C$4:$G$7,5,FALSE())),"")</f>
        <v>0.6</v>
      </c>
      <c r="J489" s="91">
        <f t="shared" si="122"/>
        <v>7.8879752112676051</v>
      </c>
      <c r="K489" s="69">
        <f t="shared" si="123"/>
        <v>54.6</v>
      </c>
      <c r="L489" s="70" t="s">
        <v>29</v>
      </c>
      <c r="M489" s="70"/>
      <c r="N489" s="70" t="s">
        <v>83</v>
      </c>
      <c r="O489" s="65">
        <v>0.39583333333333331</v>
      </c>
      <c r="P489" s="65">
        <v>0.39930555555555558</v>
      </c>
      <c r="Q489" s="71">
        <f t="shared" ca="1" si="124"/>
        <v>3.4722222222222654E-3</v>
      </c>
      <c r="R489" s="80"/>
      <c r="S489" s="81"/>
    </row>
    <row r="490" spans="1:20" ht="15" customHeight="1">
      <c r="A490" s="59">
        <v>46253</v>
      </c>
      <c r="B490" s="60">
        <f t="shared" si="125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10</v>
      </c>
      <c r="H490" s="88">
        <f>IFERROR(IF($G490="","",$G490*$S$500/$G$500/Cadastro!$E$33),"")</f>
        <v>42.136619718309859</v>
      </c>
      <c r="I490" s="90">
        <f>IFERROR(IF($D490="","",VLOOKUP($D490,Cadastro!$C$4:$G$7,5,FALSE())),"")</f>
        <v>0.6</v>
      </c>
      <c r="J490" s="91">
        <f t="shared" si="122"/>
        <v>6.0676732394366191</v>
      </c>
      <c r="K490" s="64">
        <f t="shared" si="123"/>
        <v>42</v>
      </c>
      <c r="L490" s="61" t="s">
        <v>28</v>
      </c>
      <c r="M490" s="61" t="s">
        <v>170</v>
      </c>
      <c r="N490" s="61" t="s">
        <v>36</v>
      </c>
      <c r="O490" s="65">
        <v>0.61805555555555558</v>
      </c>
      <c r="P490" s="65">
        <v>0.63611111111111107</v>
      </c>
      <c r="Q490" s="66">
        <f t="shared" ca="1" si="124"/>
        <v>1.8055555555555491E-2</v>
      </c>
      <c r="R490" s="80"/>
      <c r="S490" s="81"/>
    </row>
    <row r="491" spans="1:20" ht="15" customHeight="1">
      <c r="A491" s="18">
        <v>46253</v>
      </c>
      <c r="B491" s="68">
        <f t="shared" si="125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4</v>
      </c>
      <c r="H491" s="88">
        <f>IFERROR(IF($G491="","",$G491*$S$500/$G$500/Cadastro!$E$33),"")</f>
        <v>16.854647887323942</v>
      </c>
      <c r="I491" s="90">
        <f>IFERROR(IF($D491="","",VLOOKUP($D491,Cadastro!$C$4:$G$7,5,FALSE())),"")</f>
        <v>0.6</v>
      </c>
      <c r="J491" s="91">
        <f t="shared" si="122"/>
        <v>2.4270692957746474</v>
      </c>
      <c r="K491" s="69">
        <f t="shared" si="123"/>
        <v>16.8</v>
      </c>
      <c r="L491" s="70" t="s">
        <v>29</v>
      </c>
      <c r="M491" s="70"/>
      <c r="N491" s="70" t="s">
        <v>83</v>
      </c>
      <c r="O491" s="65">
        <v>0.66666666666666663</v>
      </c>
      <c r="P491" s="65">
        <v>0.6743055555555556</v>
      </c>
      <c r="Q491" s="71">
        <f t="shared" ca="1" si="124"/>
        <v>7.6388888888889728E-3</v>
      </c>
      <c r="R491" s="80"/>
      <c r="S491" s="81"/>
    </row>
    <row r="492" spans="1:20" ht="15" customHeight="1">
      <c r="A492" s="59">
        <v>46253</v>
      </c>
      <c r="B492" s="60">
        <f t="shared" si="125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11</v>
      </c>
      <c r="H492" s="88">
        <f>IFERROR(IF($G492="","",$G492*$S$500/$G$500/Cadastro!$E$33),"")</f>
        <v>46.350281690140847</v>
      </c>
      <c r="I492" s="90">
        <f>IFERROR(IF($D492="","",VLOOKUP($D492,Cadastro!$C$4:$G$7,5,FALSE())),"")</f>
        <v>0.6</v>
      </c>
      <c r="J492" s="91">
        <f t="shared" si="122"/>
        <v>6.6744405633802817</v>
      </c>
      <c r="K492" s="64">
        <f t="shared" si="123"/>
        <v>55</v>
      </c>
      <c r="L492" s="61" t="s">
        <v>28</v>
      </c>
      <c r="M492" s="61" t="s">
        <v>48</v>
      </c>
      <c r="N492" s="61" t="s">
        <v>59</v>
      </c>
      <c r="O492" s="65">
        <v>0.71111111111111114</v>
      </c>
      <c r="P492" s="65">
        <v>0.73750000000000004</v>
      </c>
      <c r="Q492" s="66">
        <f t="shared" ca="1" si="124"/>
        <v>2.6388888888888906E-2</v>
      </c>
      <c r="R492" s="80" t="s">
        <v>291</v>
      </c>
      <c r="S492" s="81"/>
    </row>
    <row r="493" spans="1:20" ht="15" customHeight="1">
      <c r="A493" s="18">
        <v>46253</v>
      </c>
      <c r="B493" s="68">
        <f t="shared" si="125"/>
        <v>0.54166666666666641</v>
      </c>
      <c r="C493" s="61" t="s">
        <v>54</v>
      </c>
      <c r="D493" s="62" t="s">
        <v>39</v>
      </c>
      <c r="E493" s="87" t="s">
        <v>274</v>
      </c>
      <c r="F493" s="88">
        <f>IFERROR(IF($D493="","",VLOOKUP($D493,Cadastro!$C$4:$E$7,3,FALSE())),"")</f>
        <v>0.24</v>
      </c>
      <c r="G493" s="89">
        <v>13</v>
      </c>
      <c r="H493" s="88">
        <f>IFERROR(IF($G493="","",$G493*$S$500/$G$500/Cadastro!$E$33),"")</f>
        <v>54.777605633802814</v>
      </c>
      <c r="I493" s="90">
        <f>IFERROR(IF($D493="","",VLOOKUP($D493,Cadastro!$C$4:$G$7,5,FALSE())),"")</f>
        <v>0.6</v>
      </c>
      <c r="J493" s="91">
        <f t="shared" si="122"/>
        <v>7.8879752112676051</v>
      </c>
      <c r="K493" s="69">
        <f t="shared" si="123"/>
        <v>54.6</v>
      </c>
      <c r="L493" s="70"/>
      <c r="M493" s="70"/>
      <c r="N493" s="70"/>
      <c r="O493" s="65"/>
      <c r="P493" s="65"/>
      <c r="Q493" s="71" t="str">
        <f t="shared" ca="1" si="124"/>
        <v/>
      </c>
      <c r="R493" s="80"/>
      <c r="S493" s="81"/>
    </row>
    <row r="494" spans="1:20" ht="15" customHeight="1">
      <c r="A494" s="59">
        <v>46253</v>
      </c>
      <c r="B494" s="60">
        <f t="shared" si="125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>
        <v>15</v>
      </c>
      <c r="H494" s="88">
        <f>IFERROR(IF($G494="","",$G494*$S$500/$G$500/Cadastro!$E$33),"")</f>
        <v>63.204929577464789</v>
      </c>
      <c r="I494" s="90">
        <f>IFERROR(IF($D494="","",VLOOKUP($D494,Cadastro!$C$4:$G$7,5,FALSE())),"")</f>
        <v>0.6</v>
      </c>
      <c r="J494" s="91">
        <f t="shared" si="122"/>
        <v>9.1015098591549286</v>
      </c>
      <c r="K494" s="64">
        <f t="shared" si="123"/>
        <v>63</v>
      </c>
      <c r="L494" s="61"/>
      <c r="M494" s="61"/>
      <c r="N494" s="61"/>
      <c r="O494" s="65"/>
      <c r="P494" s="65"/>
      <c r="Q494" s="66" t="str">
        <f t="shared" ca="1" si="124"/>
        <v/>
      </c>
      <c r="R494" s="80"/>
      <c r="S494" s="81"/>
    </row>
    <row r="495" spans="1:20" ht="15" customHeight="1">
      <c r="A495" s="18">
        <v>46253</v>
      </c>
      <c r="B495" s="68">
        <f t="shared" si="125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17</v>
      </c>
      <c r="H495" s="88">
        <f>IFERROR(IF($G495="","",$G495*$S$500/$G$500/Cadastro!$E$33),"")</f>
        <v>71.632253521126771</v>
      </c>
      <c r="I495" s="90">
        <f>IFERROR(IF($D495="","",VLOOKUP($D495,Cadastro!$C$4:$G$7,5,FALSE())),"")</f>
        <v>0.6</v>
      </c>
      <c r="J495" s="91">
        <f t="shared" si="122"/>
        <v>10.315044507042254</v>
      </c>
      <c r="K495" s="69">
        <f t="shared" si="123"/>
        <v>71.400000000000006</v>
      </c>
      <c r="L495" s="70"/>
      <c r="M495" s="70"/>
      <c r="N495" s="70"/>
      <c r="O495" s="65"/>
      <c r="P495" s="65"/>
      <c r="Q495" s="71" t="str">
        <f t="shared" ca="1" si="124"/>
        <v/>
      </c>
      <c r="R495" s="80"/>
      <c r="S495" s="81"/>
    </row>
    <row r="496" spans="1:20" ht="15" customHeight="1">
      <c r="A496" s="59">
        <v>46253</v>
      </c>
      <c r="B496" s="60">
        <f t="shared" si="125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54.777605633802814</v>
      </c>
      <c r="I496" s="90">
        <f>IFERROR(IF($D496="","",VLOOKUP($D496,Cadastro!$C$4:$G$7,5,FALSE())),"")</f>
        <v>0.6</v>
      </c>
      <c r="J496" s="91">
        <f t="shared" si="122"/>
        <v>7.8879752112676051</v>
      </c>
      <c r="K496" s="64">
        <f t="shared" si="123"/>
        <v>54.6</v>
      </c>
      <c r="L496" s="61"/>
      <c r="M496" s="61"/>
      <c r="N496" s="61"/>
      <c r="O496" s="65"/>
      <c r="P496" s="65"/>
      <c r="Q496" s="66" t="str">
        <f t="shared" ca="1" si="124"/>
        <v/>
      </c>
      <c r="R496" s="80"/>
      <c r="S496" s="81"/>
    </row>
    <row r="497" spans="1:20" ht="15" customHeight="1">
      <c r="A497" s="18">
        <v>46253</v>
      </c>
      <c r="B497" s="68">
        <f t="shared" si="125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9</v>
      </c>
      <c r="H497" s="88">
        <f>IFERROR(IF($G497="","",$G497*$S$500/$G$500/Cadastro!$E$33),"")</f>
        <v>37.922957746478872</v>
      </c>
      <c r="I497" s="90">
        <f>IFERROR(IF($D497="","",VLOOKUP($D497,Cadastro!$C$4:$G$7,5,FALSE())),"")</f>
        <v>0.6</v>
      </c>
      <c r="J497" s="91">
        <f t="shared" si="122"/>
        <v>5.4609059154929573</v>
      </c>
      <c r="K497" s="69">
        <f t="shared" si="123"/>
        <v>37.800000000000004</v>
      </c>
      <c r="L497" s="70"/>
      <c r="M497" s="70"/>
      <c r="N497" s="70"/>
      <c r="O497" s="65"/>
      <c r="P497" s="65"/>
      <c r="Q497" s="71" t="str">
        <f t="shared" ca="1" si="124"/>
        <v/>
      </c>
      <c r="R497" s="80"/>
      <c r="S497" s="81"/>
    </row>
    <row r="498" spans="1:20" ht="15" customHeight="1">
      <c r="A498" s="59">
        <v>46253</v>
      </c>
      <c r="B498" s="60">
        <f t="shared" si="125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8</v>
      </c>
      <c r="H498" s="88">
        <f>IFERROR(IF($G498="","",$G498*$S$500/$G$500/Cadastro!$E$33),"")</f>
        <v>33.709295774647885</v>
      </c>
      <c r="I498" s="90">
        <f>IFERROR(IF($D498="","",VLOOKUP($D498,Cadastro!$C$4:$G$7,5,FALSE())),"")</f>
        <v>0.6</v>
      </c>
      <c r="J498" s="91">
        <f t="shared" si="122"/>
        <v>4.8541385915492947</v>
      </c>
      <c r="K498" s="64">
        <f t="shared" si="123"/>
        <v>33.6</v>
      </c>
      <c r="L498" s="61"/>
      <c r="M498" s="61"/>
      <c r="N498" s="61"/>
      <c r="O498" s="65"/>
      <c r="P498" s="65"/>
      <c r="Q498" s="66" t="str">
        <f t="shared" ca="1" si="124"/>
        <v/>
      </c>
      <c r="R498" s="80"/>
      <c r="S498" s="81"/>
    </row>
    <row r="499" spans="1:20" ht="15" customHeight="1">
      <c r="A499" s="18">
        <v>46253</v>
      </c>
      <c r="B499" s="68">
        <f t="shared" si="125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15</v>
      </c>
      <c r="H499" s="92">
        <f>IFERROR(IF($G499="","",$G499*$S$500/$G$500/Cadastro!$E$33),"")</f>
        <v>63.204929577464789</v>
      </c>
      <c r="I499" s="93">
        <f>IFERROR(IF($D499="","",VLOOKUP($D499,Cadastro!$C$4:$G$7,5,FALSE())),"")</f>
        <v>0.6</v>
      </c>
      <c r="J499" s="94">
        <f t="shared" si="122"/>
        <v>9.1015098591549286</v>
      </c>
      <c r="K499" s="69">
        <f t="shared" si="123"/>
        <v>63</v>
      </c>
      <c r="L499" s="70"/>
      <c r="M499" s="70"/>
      <c r="N499" s="70"/>
      <c r="O499" s="65"/>
      <c r="P499" s="65"/>
      <c r="Q499" s="71" t="str">
        <f t="shared" ca="1" si="124"/>
        <v/>
      </c>
      <c r="R499" s="80"/>
      <c r="S499" s="81"/>
    </row>
    <row r="500" spans="1:20" ht="15.75" customHeight="1">
      <c r="A500" s="156" t="s">
        <v>260</v>
      </c>
      <c r="B500" s="156"/>
      <c r="C500" s="156"/>
      <c r="D500" s="156"/>
      <c r="E500" s="156"/>
      <c r="F500" s="95"/>
      <c r="G500" s="96">
        <f>SUM(G488:G499)</f>
        <v>142</v>
      </c>
      <c r="H500" s="95">
        <f>IFERROR(SUM(H488:H499),"")</f>
        <v>598.33999999999992</v>
      </c>
      <c r="I500" s="97"/>
      <c r="J500" s="98">
        <f>IFERROR(SUM(J488:J499),"")</f>
        <v>86.160960000000003</v>
      </c>
      <c r="K500" s="83">
        <f>SUM(K488:K499)</f>
        <v>605.20000000000005</v>
      </c>
      <c r="L500" s="72"/>
      <c r="M500" s="72"/>
      <c r="N500" s="72"/>
      <c r="O500" s="72"/>
      <c r="P500" s="72"/>
      <c r="Q500" s="73">
        <f ca="1">IFERROR(SUM(Q488:Q499),"")</f>
        <v>9.1666666666666619E-2</v>
      </c>
      <c r="R500" s="2" t="s">
        <v>261</v>
      </c>
      <c r="S500" s="74">
        <v>598340</v>
      </c>
      <c r="T500" s="99">
        <f>IFERROR(J500,"")</f>
        <v>86.160960000000003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274</v>
      </c>
      <c r="F501" s="101">
        <f>IFERROR(IF($D501="","",VLOOKUP($D501,Cadastro!$C$4:$E$7,3,FALSE())),"")</f>
        <v>0.24</v>
      </c>
      <c r="G501" s="89">
        <v>12</v>
      </c>
      <c r="H501" s="101">
        <f>IFERROR(IF($G501="","",$G501*$S$513/$G$513/Cadastro!$E$33),"")</f>
        <v>52.602295081967213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7.5747304918032778</v>
      </c>
      <c r="K501" s="69">
        <f t="shared" ref="K501:K512" si="127">IF(G501="","",IF(E501="PC 17",G501*4.2,IF(E501="PC 19",G501*5,IF(E501="CB",G501*24,""))))</f>
        <v>50.400000000000006</v>
      </c>
      <c r="L501" s="70" t="s">
        <v>28</v>
      </c>
      <c r="M501" s="70" t="s">
        <v>170</v>
      </c>
      <c r="N501" s="70" t="s">
        <v>36</v>
      </c>
      <c r="O501" s="65">
        <v>0.875</v>
      </c>
      <c r="P501" s="65">
        <v>0.88888888888888884</v>
      </c>
      <c r="Q501" s="71">
        <f t="shared" ref="Q501:Q512" ca="1" si="128">IFERROR(IF(O501="","",IF(P501="",MOD(NOW()-O501,1),IF(P501&gt;=O501,P501-O501,P501+1-O501))),"")</f>
        <v>1.388888888888884E-2</v>
      </c>
      <c r="R501" s="80"/>
      <c r="S501" s="81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274</v>
      </c>
      <c r="F502" s="88">
        <f>IFERROR(IF($D502="","",VLOOKUP($D502,Cadastro!$C$4:$E$7,3,FALSE())),"")</f>
        <v>0.24</v>
      </c>
      <c r="G502" s="89">
        <v>7</v>
      </c>
      <c r="H502" s="88">
        <f>IFERROR(IF($G502="","",$G502*$S$513/$G$513/Cadastro!$E$33),"")</f>
        <v>30.68467213114754</v>
      </c>
      <c r="I502" s="90">
        <f>IFERROR(IF($D502="","",VLOOKUP($D502,Cadastro!$C$4:$G$7,5,FALSE())),"")</f>
        <v>0.6</v>
      </c>
      <c r="J502" s="91">
        <f t="shared" si="126"/>
        <v>4.4185927868852453</v>
      </c>
      <c r="K502" s="64">
        <f t="shared" si="127"/>
        <v>29.400000000000002</v>
      </c>
      <c r="L502" s="61" t="s">
        <v>29</v>
      </c>
      <c r="M502" s="61" t="s">
        <v>136</v>
      </c>
      <c r="N502" s="61" t="s">
        <v>123</v>
      </c>
      <c r="O502" s="65">
        <v>0.96111111111111114</v>
      </c>
      <c r="P502" s="65">
        <v>0.98263888888888884</v>
      </c>
      <c r="Q502" s="66">
        <f t="shared" ca="1" si="128"/>
        <v>2.1527777777777701E-2</v>
      </c>
      <c r="R502" s="80"/>
      <c r="S502" s="81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274</v>
      </c>
      <c r="F503" s="88">
        <f>IFERROR(IF($D503="","",VLOOKUP($D503,Cadastro!$C$4:$E$7,3,FALSE())),"")</f>
        <v>0.24</v>
      </c>
      <c r="G503" s="89">
        <v>5</v>
      </c>
      <c r="H503" s="88">
        <f>IFERROR(IF($G503="","",$G503*$S$513/$G$513/Cadastro!$E$33),"")</f>
        <v>21.917622950819673</v>
      </c>
      <c r="I503" s="90">
        <f>IFERROR(IF($D503="","",VLOOKUP($D503,Cadastro!$C$4:$G$7,5,FALSE())),"")</f>
        <v>0.6</v>
      </c>
      <c r="J503" s="91">
        <f t="shared" si="126"/>
        <v>3.156137704918033</v>
      </c>
      <c r="K503" s="69">
        <f t="shared" si="127"/>
        <v>21</v>
      </c>
      <c r="L503" s="70" t="s">
        <v>29</v>
      </c>
      <c r="M503" s="70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8"/>
        <v>2.7083333333333331E-2</v>
      </c>
      <c r="R503" s="80"/>
      <c r="S503" s="81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274</v>
      </c>
      <c r="F504" s="88">
        <f>IFERROR(IF($D504="","",VLOOKUP($D504,Cadastro!$C$4:$E$7,3,FALSE())),"")</f>
        <v>0.24</v>
      </c>
      <c r="G504" s="89">
        <v>10</v>
      </c>
      <c r="H504" s="88">
        <f>IFERROR(IF($G504="","",$G504*$S$513/$G$513/Cadastro!$E$33),"")</f>
        <v>43.835245901639347</v>
      </c>
      <c r="I504" s="90">
        <f>IFERROR(IF($D504="","",VLOOKUP($D504,Cadastro!$C$4:$G$7,5,FALSE())),"")</f>
        <v>0.6</v>
      </c>
      <c r="J504" s="91">
        <f t="shared" si="126"/>
        <v>6.3122754098360661</v>
      </c>
      <c r="K504" s="64">
        <f t="shared" si="127"/>
        <v>42</v>
      </c>
      <c r="L504" s="61" t="s">
        <v>29</v>
      </c>
      <c r="M504" s="61"/>
      <c r="N504" s="61" t="s">
        <v>71</v>
      </c>
      <c r="O504" s="65">
        <v>0.13055555555555556</v>
      </c>
      <c r="P504" s="65">
        <v>0.13333333333333333</v>
      </c>
      <c r="Q504" s="66">
        <f t="shared" ca="1" si="128"/>
        <v>2.7777777777777679E-3</v>
      </c>
      <c r="R504" s="80"/>
      <c r="S504" s="81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274</v>
      </c>
      <c r="F505" s="88">
        <f>IFERROR(IF($D505="","",VLOOKUP($D505,Cadastro!$C$4:$E$7,3,FALSE())),"")</f>
        <v>0.24</v>
      </c>
      <c r="G505" s="89">
        <v>8</v>
      </c>
      <c r="H505" s="88">
        <f>IFERROR(IF($G505="","",$G505*$S$513/$G$513/Cadastro!$E$33),"")</f>
        <v>35.06819672131148</v>
      </c>
      <c r="I505" s="90">
        <f>IFERROR(IF($D505="","",VLOOKUP($D505,Cadastro!$C$4:$G$7,5,FALSE())),"")</f>
        <v>0.6</v>
      </c>
      <c r="J505" s="91">
        <f t="shared" si="126"/>
        <v>5.0498203278688534</v>
      </c>
      <c r="K505" s="69">
        <f t="shared" si="127"/>
        <v>33.6</v>
      </c>
      <c r="L505" s="70" t="s">
        <v>29</v>
      </c>
      <c r="M505" s="70" t="s">
        <v>48</v>
      </c>
      <c r="N505" s="70" t="s">
        <v>218</v>
      </c>
      <c r="O505" s="65">
        <v>0.21666666666666667</v>
      </c>
      <c r="P505" s="65">
        <v>0.22083333333333333</v>
      </c>
      <c r="Q505" s="71">
        <f t="shared" ca="1" si="128"/>
        <v>4.1666666666666519E-3</v>
      </c>
      <c r="R505" s="80"/>
      <c r="S505" s="81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274</v>
      </c>
      <c r="F506" s="88">
        <f>IFERROR(IF($D506="","",VLOOKUP($D506,Cadastro!$C$4:$E$7,3,FALSE())),"")</f>
        <v>0.24</v>
      </c>
      <c r="G506" s="89">
        <v>12</v>
      </c>
      <c r="H506" s="88">
        <f>IFERROR(IF($G506="","",$G506*$S$513/$G$513/Cadastro!$E$33),"")</f>
        <v>52.602295081967213</v>
      </c>
      <c r="I506" s="90">
        <f>IFERROR(IF($D506="","",VLOOKUP($D506,Cadastro!$C$4:$G$7,5,FALSE())),"")</f>
        <v>0.6</v>
      </c>
      <c r="J506" s="91">
        <f t="shared" si="126"/>
        <v>7.5747304918032778</v>
      </c>
      <c r="K506" s="64">
        <f t="shared" si="127"/>
        <v>50.400000000000006</v>
      </c>
      <c r="L506" s="61" t="s">
        <v>28</v>
      </c>
      <c r="M506" s="70" t="s">
        <v>48</v>
      </c>
      <c r="N506" s="61" t="s">
        <v>36</v>
      </c>
      <c r="O506" s="65">
        <v>0.22708333333333333</v>
      </c>
      <c r="P506" s="65">
        <v>0.23958333333333334</v>
      </c>
      <c r="Q506" s="66">
        <f t="shared" ca="1" si="128"/>
        <v>1.2500000000000011E-2</v>
      </c>
      <c r="R506" s="80"/>
      <c r="S506" s="81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00" t="s">
        <v>274</v>
      </c>
      <c r="F507" s="88">
        <f>IFERROR(IF($D507="","",VLOOKUP($D507,Cadastro!$C$4:$E$7,3,FALSE())),"")</f>
        <v>0.24</v>
      </c>
      <c r="G507" s="89">
        <v>17</v>
      </c>
      <c r="H507" s="88">
        <f>IFERROR(IF($G507="","",$G507*$S$513/$G$513/Cadastro!$E$33),"")</f>
        <v>74.519918032786876</v>
      </c>
      <c r="I507" s="90">
        <f>IFERROR(IF($D507="","",VLOOKUP($D507,Cadastro!$C$4:$G$7,5,FALSE())),"")</f>
        <v>0.6</v>
      </c>
      <c r="J507" s="91">
        <f t="shared" si="126"/>
        <v>10.730868196721309</v>
      </c>
      <c r="K507" s="69">
        <f t="shared" si="127"/>
        <v>71.400000000000006</v>
      </c>
      <c r="L507" s="70" t="s">
        <v>26</v>
      </c>
      <c r="M507" s="124"/>
      <c r="N507" s="70" t="s">
        <v>34</v>
      </c>
      <c r="O507" s="65">
        <v>0.25069444444444444</v>
      </c>
      <c r="P507" s="65">
        <v>0.26597222222222222</v>
      </c>
      <c r="Q507" s="71">
        <f t="shared" ca="1" si="128"/>
        <v>1.5277777777777779E-2</v>
      </c>
      <c r="R507" s="80"/>
      <c r="S507" s="81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274</v>
      </c>
      <c r="F508" s="88">
        <f>IFERROR(IF($D508="","",VLOOKUP($D508,Cadastro!$C$4:$E$7,3,FALSE())),"")</f>
        <v>0.35</v>
      </c>
      <c r="G508" s="89">
        <v>6</v>
      </c>
      <c r="H508" s="88">
        <f>IFERROR(IF($G508="","",$G508*$S$513/$G$513/Cadastro!$E$33),"")</f>
        <v>26.301147540983607</v>
      </c>
      <c r="I508" s="90">
        <f>IFERROR(IF($D508="","",VLOOKUP($D508,Cadastro!$C$4:$G$7,5,FALSE())),"")</f>
        <v>0.6</v>
      </c>
      <c r="J508" s="91">
        <f t="shared" si="126"/>
        <v>5.5232409836065566</v>
      </c>
      <c r="K508" s="64">
        <f t="shared" si="127"/>
        <v>25.200000000000003</v>
      </c>
      <c r="L508" s="61" t="s">
        <v>29</v>
      </c>
      <c r="M508" s="61" t="s">
        <v>40</v>
      </c>
      <c r="N508" s="61" t="s">
        <v>65</v>
      </c>
      <c r="O508" s="65">
        <v>0.27569444444444446</v>
      </c>
      <c r="P508" s="65">
        <v>0.29166666666666669</v>
      </c>
      <c r="Q508" s="66">
        <f t="shared" ca="1" si="128"/>
        <v>1.5972222222222221E-2</v>
      </c>
      <c r="R508" s="80"/>
      <c r="S508" s="81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274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87.670491803278694</v>
      </c>
      <c r="I509" s="90">
        <f>IFERROR(IF($D509="","",VLOOKUP($D509,Cadastro!$C$4:$G$7,5,FALSE())),"")</f>
        <v>0.6</v>
      </c>
      <c r="J509" s="91">
        <f t="shared" si="126"/>
        <v>18.410803278688523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80"/>
      <c r="S509" s="81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274</v>
      </c>
      <c r="F510" s="88">
        <f>IFERROR(IF($D510="","",VLOOKUP($D510,Cadastro!$C$4:$E$7,3,FALSE())),"")</f>
        <v>0.35</v>
      </c>
      <c r="G510" s="89">
        <v>11</v>
      </c>
      <c r="H510" s="88">
        <f>IFERROR(IF($G510="","",$G510*$S$513/$G$513/Cadastro!$E$33),"")</f>
        <v>48.218770491803276</v>
      </c>
      <c r="I510" s="90">
        <f>IFERROR(IF($D510="","",VLOOKUP($D510,Cadastro!$C$4:$G$7,5,FALSE())),"")</f>
        <v>0.6</v>
      </c>
      <c r="J510" s="91">
        <f t="shared" si="126"/>
        <v>10.125941803278687</v>
      </c>
      <c r="K510" s="64">
        <f t="shared" si="127"/>
        <v>46.2</v>
      </c>
      <c r="L510" s="61"/>
      <c r="M510" s="61"/>
      <c r="N510" s="61"/>
      <c r="O510" s="65"/>
      <c r="P510" s="65"/>
      <c r="Q510" s="66" t="str">
        <f t="shared" ca="1" si="128"/>
        <v/>
      </c>
      <c r="R510" s="80"/>
      <c r="S510" s="81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274</v>
      </c>
      <c r="F511" s="88">
        <f>IFERROR(IF($D511="","",VLOOKUP($D511,Cadastro!$C$4:$E$7,3,FALSE())),"")</f>
        <v>0.35</v>
      </c>
      <c r="G511" s="89">
        <v>14</v>
      </c>
      <c r="H511" s="88">
        <f>IFERROR(IF($G511="","",$G511*$S$513/$G$513/Cadastro!$E$33),"")</f>
        <v>61.36934426229508</v>
      </c>
      <c r="I511" s="90">
        <f>IFERROR(IF($D511="","",VLOOKUP($D511,Cadastro!$C$4:$G$7,5,FALSE())),"")</f>
        <v>0.6</v>
      </c>
      <c r="J511" s="91">
        <f t="shared" si="126"/>
        <v>12.887562295081965</v>
      </c>
      <c r="K511" s="69">
        <f t="shared" si="127"/>
        <v>58.800000000000004</v>
      </c>
      <c r="L511" s="70"/>
      <c r="M511" s="70"/>
      <c r="N511" s="70"/>
      <c r="O511" s="65"/>
      <c r="P511" s="65"/>
      <c r="Q511" s="71" t="str">
        <f t="shared" ca="1" si="128"/>
        <v/>
      </c>
      <c r="R511" s="80"/>
      <c r="S511" s="81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274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80"/>
      <c r="S512" s="81"/>
    </row>
    <row r="513" spans="1:20" ht="15.75" customHeight="1">
      <c r="A513" s="120" t="s">
        <v>263</v>
      </c>
      <c r="B513" s="121"/>
      <c r="C513" s="121"/>
      <c r="D513" s="121"/>
      <c r="E513" s="121"/>
      <c r="F513" s="105"/>
      <c r="G513" s="96">
        <f>SUM(G501:G512)</f>
        <v>122</v>
      </c>
      <c r="H513" s="105">
        <f>IFERROR(SUM(H501:H512),"")</f>
        <v>534.79000000000008</v>
      </c>
      <c r="I513" s="106"/>
      <c r="J513" s="107">
        <f>IFERROR(SUM(J501:J512),"")</f>
        <v>91.764703770491792</v>
      </c>
      <c r="K513" s="83">
        <f>SUM(K501:K512)</f>
        <v>512.4</v>
      </c>
      <c r="L513" s="72"/>
      <c r="M513" s="72"/>
      <c r="N513" s="72"/>
      <c r="O513" s="72"/>
      <c r="P513" s="72"/>
      <c r="Q513" s="73">
        <f ca="1">IFERROR(SUM(Q501:Q512),"")</f>
        <v>0.11319444444444431</v>
      </c>
      <c r="R513" s="2" t="s">
        <v>261</v>
      </c>
      <c r="S513" s="74">
        <v>534790</v>
      </c>
      <c r="T513" s="99">
        <f>IFERROR(J513,"")</f>
        <v>91.764703770491792</v>
      </c>
    </row>
    <row r="514" spans="1:20" ht="18" customHeight="1">
      <c r="A514" s="122" t="s">
        <v>249</v>
      </c>
      <c r="B514" s="123"/>
      <c r="C514" s="123"/>
      <c r="D514" s="123"/>
      <c r="E514" s="123"/>
      <c r="F514" s="108"/>
      <c r="G514" s="109">
        <f>G500+G513</f>
        <v>264</v>
      </c>
      <c r="H514" s="108">
        <f>IFERROR(H500+H513,"")</f>
        <v>1133.1300000000001</v>
      </c>
      <c r="I514" s="110"/>
      <c r="J514" s="111">
        <f>IFERROR(J500+J513,"")</f>
        <v>177.92566377049178</v>
      </c>
      <c r="K514" s="125">
        <f>K500+K513</f>
        <v>1117.5999999999999</v>
      </c>
      <c r="L514" s="76"/>
      <c r="M514" s="76"/>
      <c r="N514" s="76"/>
      <c r="O514" s="76"/>
      <c r="P514" s="76"/>
      <c r="Q514" s="77">
        <f ca="1">IFERROR(Q500+Q513,"")</f>
        <v>0.20486111111111094</v>
      </c>
      <c r="R514" s="1" t="s">
        <v>264</v>
      </c>
      <c r="S514" s="82">
        <f>IFERROR(S500+S513,"")</f>
        <v>1133130</v>
      </c>
      <c r="T514" s="118">
        <f>IFERROR(J514,"")</f>
        <v>177.92566377049178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274</v>
      </c>
      <c r="F515" s="101">
        <f>IFERROR(IF($D515="","",VLOOKUP($D515,Cadastro!$C$4:$E$7,3,FALSE())),"")</f>
        <v>0.35</v>
      </c>
      <c r="G515" s="89">
        <v>12</v>
      </c>
      <c r="H515" s="101">
        <f>IFERROR(IF($G515="","",$G515*$S$527/$G$527/Cadastro!$E$33),"")</f>
        <v>49.769162011173179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10.451524022346366</v>
      </c>
      <c r="K515" s="69">
        <f t="shared" ref="K515:K526" si="131">IF(G515="","",IF(E515="PC 17",G515*4.2,IF(E515="PC 19",G515*5,IF(E515="CB",G515*24,""))))</f>
        <v>50.400000000000006</v>
      </c>
      <c r="L515" s="70" t="s">
        <v>29</v>
      </c>
      <c r="M515" s="70"/>
      <c r="N515" s="70" t="s">
        <v>83</v>
      </c>
      <c r="O515" s="65">
        <v>0.31597222222222221</v>
      </c>
      <c r="P515" s="65">
        <v>0.32916666666666666</v>
      </c>
      <c r="Q515" s="71">
        <f t="shared" ref="Q515:Q526" ca="1" si="132">IFERROR(IF(O515="","",IF(P515="",MOD(NOW()-O515,1),IF(P515&gt;=O515,P515-O515,P515+1-O515))),"")</f>
        <v>1.3194444444444453E-2</v>
      </c>
      <c r="R515" s="80"/>
      <c r="S515" s="81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274</v>
      </c>
      <c r="F516" s="88">
        <f>IFERROR(IF($D516="","",VLOOKUP($D516,Cadastro!$C$4:$E$7,3,FALSE())),"")</f>
        <v>0.35</v>
      </c>
      <c r="G516" s="89">
        <v>14</v>
      </c>
      <c r="H516" s="88">
        <f>IFERROR(IF($G516="","",$G516*$S$527/$G$527/Cadastro!$E$33),"")</f>
        <v>58.064022346368716</v>
      </c>
      <c r="I516" s="90">
        <f>IFERROR(IF($D516="","",VLOOKUP($D516,Cadastro!$C$4:$G$7,5,FALSE())),"")</f>
        <v>0.6</v>
      </c>
      <c r="J516" s="91">
        <f t="shared" si="130"/>
        <v>12.19344469273743</v>
      </c>
      <c r="K516" s="64">
        <f t="shared" si="131"/>
        <v>58.800000000000004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32"/>
        <v>4.8611111111110938E-3</v>
      </c>
      <c r="R516" s="80"/>
      <c r="S516" s="81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274</v>
      </c>
      <c r="F517" s="88">
        <f>IFERROR(IF($D517="","",VLOOKUP($D517,Cadastro!$C$4:$E$7,3,FALSE())),"")</f>
        <v>0.35</v>
      </c>
      <c r="G517" s="89">
        <v>17</v>
      </c>
      <c r="H517" s="88">
        <f>IFERROR(IF($G517="","",$G517*$S$527/$G$527/Cadastro!$E$33),"")</f>
        <v>70.506312849162015</v>
      </c>
      <c r="I517" s="90">
        <f>IFERROR(IF($D517="","",VLOOKUP($D517,Cadastro!$C$4:$G$7,5,FALSE())),"")</f>
        <v>0.6</v>
      </c>
      <c r="J517" s="91">
        <f t="shared" si="130"/>
        <v>14.806325698324022</v>
      </c>
      <c r="K517" s="69">
        <f t="shared" si="131"/>
        <v>71.400000000000006</v>
      </c>
      <c r="L517" s="70" t="s">
        <v>28</v>
      </c>
      <c r="M517" s="70" t="s">
        <v>170</v>
      </c>
      <c r="N517" s="70" t="s">
        <v>36</v>
      </c>
      <c r="O517" s="65">
        <v>0.49583333333333335</v>
      </c>
      <c r="P517" s="65">
        <v>0.52777777777777779</v>
      </c>
      <c r="Q517" s="71">
        <f t="shared" ca="1" si="132"/>
        <v>3.1944444444444442E-2</v>
      </c>
      <c r="R517" s="80"/>
      <c r="S517" s="81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274</v>
      </c>
      <c r="F518" s="88">
        <f>IFERROR(IF($D518="","",VLOOKUP($D518,Cadastro!$C$4:$E$7,3,FALSE())),"")</f>
        <v>0.35</v>
      </c>
      <c r="G518" s="89">
        <v>16</v>
      </c>
      <c r="H518" s="88">
        <f>IFERROR(IF($G518="","",$G518*$S$527/$G$527/Cadastro!$E$33),"")</f>
        <v>66.358882681564239</v>
      </c>
      <c r="I518" s="90">
        <f>IFERROR(IF($D518="","",VLOOKUP($D518,Cadastro!$C$4:$G$7,5,FALSE())),"")</f>
        <v>0.6</v>
      </c>
      <c r="J518" s="91">
        <f t="shared" si="130"/>
        <v>13.935365363128488</v>
      </c>
      <c r="K518" s="64">
        <f t="shared" si="131"/>
        <v>67.2</v>
      </c>
      <c r="L518" s="70" t="s">
        <v>29</v>
      </c>
      <c r="M518" s="61"/>
      <c r="N518" s="61" t="s">
        <v>71</v>
      </c>
      <c r="O518" s="65">
        <v>0.62152777777777779</v>
      </c>
      <c r="P518" s="65">
        <v>0.62638888888888888</v>
      </c>
      <c r="Q518" s="66">
        <f t="shared" ca="1" si="132"/>
        <v>4.8611111111110938E-3</v>
      </c>
      <c r="R518" s="80"/>
      <c r="S518" s="81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274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53.916592178770955</v>
      </c>
      <c r="I519" s="90">
        <f>IFERROR(IF($D519="","",VLOOKUP($D519,Cadastro!$C$4:$G$7,5,FALSE())),"")</f>
        <v>0.6</v>
      </c>
      <c r="J519" s="91">
        <f t="shared" si="130"/>
        <v>11.322484357541899</v>
      </c>
      <c r="K519" s="69">
        <f t="shared" si="131"/>
        <v>54.6</v>
      </c>
      <c r="L519" s="70" t="s">
        <v>29</v>
      </c>
      <c r="M519" s="70"/>
      <c r="N519" s="70" t="s">
        <v>83</v>
      </c>
      <c r="O519" s="65">
        <v>0.65138888888888891</v>
      </c>
      <c r="P519" s="65">
        <v>0.66111111111111109</v>
      </c>
      <c r="Q519" s="71">
        <f t="shared" ca="1" si="132"/>
        <v>9.7222222222221877E-3</v>
      </c>
      <c r="R519" s="80"/>
      <c r="S519" s="81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274</v>
      </c>
      <c r="F520" s="88">
        <f>IFERROR(IF($D520="","",VLOOKUP($D520,Cadastro!$C$4:$E$7,3,FALSE())),"")</f>
        <v>0.35</v>
      </c>
      <c r="G520" s="89">
        <v>15</v>
      </c>
      <c r="H520" s="88">
        <f>IFERROR(IF($G520="","",$G520*$S$527/$G$527/Cadastro!$E$33),"")</f>
        <v>62.211452513966485</v>
      </c>
      <c r="I520" s="90">
        <f>IFERROR(IF($D520="","",VLOOKUP($D520,Cadastro!$C$4:$G$7,5,FALSE())),"")</f>
        <v>0.6</v>
      </c>
      <c r="J520" s="91">
        <f t="shared" si="130"/>
        <v>13.064405027932962</v>
      </c>
      <c r="K520" s="64">
        <f t="shared" si="131"/>
        <v>63</v>
      </c>
      <c r="L520" s="61"/>
      <c r="M520" s="61"/>
      <c r="N520" s="61"/>
      <c r="O520" s="65"/>
      <c r="P520" s="65"/>
      <c r="Q520" s="66" t="str">
        <f t="shared" ca="1" si="132"/>
        <v/>
      </c>
      <c r="R520" s="80"/>
      <c r="S520" s="81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259</v>
      </c>
      <c r="F521" s="88">
        <f>IFERROR(IF($D521="","",VLOOKUP($D521,Cadastro!$C$4:$E$7,3,FALSE())),"")</f>
        <v>0.35</v>
      </c>
      <c r="G521" s="89">
        <v>21</v>
      </c>
      <c r="H521" s="88">
        <f>IFERROR(IF($G521="","",$G521*$S$527/$G$527/Cadastro!$E$33),"")</f>
        <v>87.096033519553075</v>
      </c>
      <c r="I521" s="90">
        <f>IFERROR(IF($D521="","",VLOOKUP($D521,Cadastro!$C$4:$G$7,5,FALSE())),"")</f>
        <v>0.6</v>
      </c>
      <c r="J521" s="91">
        <f t="shared" si="130"/>
        <v>18.290167039106144</v>
      </c>
      <c r="K521" s="69">
        <f t="shared" si="131"/>
        <v>105</v>
      </c>
      <c r="L521" s="70"/>
      <c r="M521" s="70"/>
      <c r="N521" s="70"/>
      <c r="O521" s="65"/>
      <c r="P521" s="65"/>
      <c r="Q521" s="71" t="str">
        <f t="shared" ca="1" si="132"/>
        <v/>
      </c>
      <c r="R521" s="80"/>
      <c r="S521" s="81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259</v>
      </c>
      <c r="F522" s="88">
        <f>IFERROR(IF($D522="","",VLOOKUP($D522,Cadastro!$C$4:$E$7,3,FALSE())),"")</f>
        <v>0.35</v>
      </c>
      <c r="G522" s="89">
        <v>17</v>
      </c>
      <c r="H522" s="88">
        <f>IFERROR(IF($G522="","",$G522*$S$527/$G$527/Cadastro!$E$33),"")</f>
        <v>70.506312849162015</v>
      </c>
      <c r="I522" s="90">
        <f>IFERROR(IF($D522="","",VLOOKUP($D522,Cadastro!$C$4:$G$7,5,FALSE())),"")</f>
        <v>0.6</v>
      </c>
      <c r="J522" s="91">
        <f t="shared" si="130"/>
        <v>14.806325698324022</v>
      </c>
      <c r="K522" s="64">
        <f t="shared" si="131"/>
        <v>85</v>
      </c>
      <c r="L522" s="61"/>
      <c r="M522" s="61"/>
      <c r="N522" s="61"/>
      <c r="O522" s="65"/>
      <c r="P522" s="65"/>
      <c r="Q522" s="66" t="str">
        <f t="shared" ca="1" si="132"/>
        <v/>
      </c>
      <c r="R522" s="80"/>
      <c r="S522" s="81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259</v>
      </c>
      <c r="F523" s="88">
        <f>IFERROR(IF($D523="","",VLOOKUP($D523,Cadastro!$C$4:$E$7,3,FALSE())),"")</f>
        <v>0.35</v>
      </c>
      <c r="G523" s="89">
        <v>8</v>
      </c>
      <c r="H523" s="88">
        <f>IFERROR(IF($G523="","",$G523*$S$527/$G$527/Cadastro!$E$33),"")</f>
        <v>33.17944134078212</v>
      </c>
      <c r="I523" s="90">
        <f>IFERROR(IF($D523="","",VLOOKUP($D523,Cadastro!$C$4:$G$7,5,FALSE())),"")</f>
        <v>0.6</v>
      </c>
      <c r="J523" s="91">
        <f t="shared" si="130"/>
        <v>6.9676826815642441</v>
      </c>
      <c r="K523" s="69">
        <f t="shared" si="131"/>
        <v>40</v>
      </c>
      <c r="L523" s="70"/>
      <c r="M523" s="70"/>
      <c r="N523" s="70"/>
      <c r="O523" s="65"/>
      <c r="P523" s="65"/>
      <c r="Q523" s="71" t="str">
        <f t="shared" ca="1" si="132"/>
        <v/>
      </c>
      <c r="R523" s="80"/>
      <c r="S523" s="81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259</v>
      </c>
      <c r="F524" s="88">
        <f>IFERROR(IF($D524="","",VLOOKUP($D524,Cadastro!$C$4:$E$7,3,FALSE())),"")</f>
        <v>0.35</v>
      </c>
      <c r="G524" s="89">
        <v>20</v>
      </c>
      <c r="H524" s="88">
        <f>IFERROR(IF($G524="","",$G524*$S$527/$G$527/Cadastro!$E$33),"")</f>
        <v>82.948603351955299</v>
      </c>
      <c r="I524" s="90">
        <f>IFERROR(IF($D524="","",VLOOKUP($D524,Cadastro!$C$4:$G$7,5,FALSE())),"")</f>
        <v>0.6</v>
      </c>
      <c r="J524" s="91">
        <f t="shared" si="130"/>
        <v>17.419206703910611</v>
      </c>
      <c r="K524" s="64">
        <f t="shared" si="131"/>
        <v>100</v>
      </c>
      <c r="L524" s="61"/>
      <c r="M524" s="61"/>
      <c r="N524" s="61"/>
      <c r="O524" s="65"/>
      <c r="P524" s="65"/>
      <c r="Q524" s="66" t="str">
        <f t="shared" ca="1" si="132"/>
        <v/>
      </c>
      <c r="R524" s="80"/>
      <c r="S524" s="81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259</v>
      </c>
      <c r="F525" s="88">
        <f>IFERROR(IF($D525="","",VLOOKUP($D525,Cadastro!$C$4:$E$7,3,FALSE())),"")</f>
        <v>0.35</v>
      </c>
      <c r="G525" s="89">
        <v>13</v>
      </c>
      <c r="H525" s="88">
        <f>IFERROR(IF($G525="","",$G525*$S$527/$G$527/Cadastro!$E$33),"")</f>
        <v>53.916592178770955</v>
      </c>
      <c r="I525" s="90">
        <f>IFERROR(IF($D525="","",VLOOKUP($D525,Cadastro!$C$4:$G$7,5,FALSE())),"")</f>
        <v>0.6</v>
      </c>
      <c r="J525" s="91">
        <f t="shared" si="130"/>
        <v>11.322484357541899</v>
      </c>
      <c r="K525" s="69">
        <f t="shared" si="131"/>
        <v>65</v>
      </c>
      <c r="L525" s="70"/>
      <c r="M525" s="70"/>
      <c r="N525" s="70"/>
      <c r="O525" s="65"/>
      <c r="P525" s="65"/>
      <c r="Q525" s="71" t="str">
        <f t="shared" ca="1" si="132"/>
        <v/>
      </c>
      <c r="R525" s="80"/>
      <c r="S525" s="81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259</v>
      </c>
      <c r="F526" s="92">
        <f>IFERROR(IF($D526="","",VLOOKUP($D526,Cadastro!$C$4:$E$7,3,FALSE())),"")</f>
        <v>0.35</v>
      </c>
      <c r="G526" s="89">
        <v>13</v>
      </c>
      <c r="H526" s="92">
        <f>IFERROR(IF($G526="","",$G526*$S$527/$G$527/Cadastro!$E$33),"")</f>
        <v>53.916592178770955</v>
      </c>
      <c r="I526" s="93">
        <f>IFERROR(IF($D526="","",VLOOKUP($D526,Cadastro!$C$4:$G$7,5,FALSE())),"")</f>
        <v>0.6</v>
      </c>
      <c r="J526" s="94">
        <f t="shared" si="130"/>
        <v>11.322484357541899</v>
      </c>
      <c r="K526" s="64">
        <f t="shared" si="131"/>
        <v>65</v>
      </c>
      <c r="L526" s="61"/>
      <c r="M526" s="61"/>
      <c r="N526" s="61"/>
      <c r="O526" s="65"/>
      <c r="P526" s="65"/>
      <c r="Q526" s="66" t="str">
        <f t="shared" ca="1" si="132"/>
        <v/>
      </c>
      <c r="R526" s="80"/>
      <c r="S526" s="81"/>
    </row>
    <row r="527" spans="1:20" ht="15.75" customHeight="1">
      <c r="A527" s="156" t="s">
        <v>260</v>
      </c>
      <c r="B527" s="156"/>
      <c r="C527" s="156"/>
      <c r="D527" s="156"/>
      <c r="E527" s="156"/>
      <c r="F527" s="95"/>
      <c r="G527" s="96">
        <f>SUM(G515:G526)</f>
        <v>179</v>
      </c>
      <c r="H527" s="95">
        <f>IFERROR(SUM(H515:H526),"")</f>
        <v>742.3900000000001</v>
      </c>
      <c r="I527" s="97"/>
      <c r="J527" s="98">
        <f>IFERROR(SUM(J515:J526),"")</f>
        <v>155.90189999999996</v>
      </c>
      <c r="K527" s="83">
        <f>SUM(K515:K526)</f>
        <v>825.40000000000009</v>
      </c>
      <c r="L527" s="72"/>
      <c r="M527" s="72"/>
      <c r="N527" s="72"/>
      <c r="O527" s="72"/>
      <c r="P527" s="72"/>
      <c r="Q527" s="73">
        <f ca="1">IFERROR(SUM(Q515:Q526),"")</f>
        <v>6.458333333333327E-2</v>
      </c>
      <c r="R527" s="2" t="s">
        <v>261</v>
      </c>
      <c r="S527" s="74">
        <v>742390</v>
      </c>
      <c r="T527" s="99">
        <f>IFERROR(J527,"")</f>
        <v>155.90189999999996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274</v>
      </c>
      <c r="F528" s="101">
        <f>IFERROR(IF($D528="","",VLOOKUP($D528,Cadastro!$C$4:$E$7,3,FALSE())),"")</f>
        <v>0.35</v>
      </c>
      <c r="G528" s="89">
        <v>7</v>
      </c>
      <c r="H528" s="101">
        <f>IFERROR(IF($G528="","",$G528*$S$540/$G$540/Cadastro!$E$33),"")</f>
        <v>33.701204819277109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7.0772530120481925</v>
      </c>
      <c r="K528" s="64">
        <f t="shared" ref="K528:K539" si="135">IF(G528="","",IF(E528="PC 17",G528*4.2,IF(E528="PC 19",G528*5,IF(E528="CB",G528*24,""))))</f>
        <v>29.400000000000002</v>
      </c>
      <c r="L528" s="61" t="s">
        <v>28</v>
      </c>
      <c r="M528" s="61" t="s">
        <v>170</v>
      </c>
      <c r="N528" s="61" t="s">
        <v>36</v>
      </c>
      <c r="O528" s="65">
        <v>0.79166666666666663</v>
      </c>
      <c r="P528" s="65">
        <v>0.80347222222222225</v>
      </c>
      <c r="Q528" s="66">
        <f t="shared" ref="Q528:Q539" ca="1" si="136">IFERROR(IF(O528="","",IF(P528="",MOD(NOW()-O528,1),IF(P528&gt;=O528,P528-O528,P528+1-O528))),"")</f>
        <v>1.1805555555555625E-2</v>
      </c>
      <c r="R528" s="80"/>
      <c r="S528" s="81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274</v>
      </c>
      <c r="F529" s="88">
        <f>IFERROR(IF($D529="","",VLOOKUP($D529,Cadastro!$C$4:$E$7,3,FALSE())),"")</f>
        <v>0.24</v>
      </c>
      <c r="G529" s="89">
        <v>16</v>
      </c>
      <c r="H529" s="88">
        <f>IFERROR(IF($G529="","",$G529*$S$540/$G$540/Cadastro!$E$33),"")</f>
        <v>77.031325301204816</v>
      </c>
      <c r="I529" s="90">
        <f>IFERROR(IF($D529="","",VLOOKUP($D529,Cadastro!$C$4:$G$7,5,FALSE())),"")</f>
        <v>0.6</v>
      </c>
      <c r="J529" s="91">
        <f t="shared" si="134"/>
        <v>11.092510843373493</v>
      </c>
      <c r="K529" s="69">
        <f t="shared" si="135"/>
        <v>67.2</v>
      </c>
      <c r="L529" s="70" t="s">
        <v>29</v>
      </c>
      <c r="M529" s="70" t="s">
        <v>168</v>
      </c>
      <c r="N529" s="70" t="s">
        <v>83</v>
      </c>
      <c r="O529" s="65">
        <v>0.93333333333333335</v>
      </c>
      <c r="P529" s="65">
        <v>0.93611111111111112</v>
      </c>
      <c r="Q529" s="71">
        <f t="shared" ca="1" si="136"/>
        <v>2.7777777777777679E-3</v>
      </c>
      <c r="R529" s="80"/>
      <c r="S529" s="81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259</v>
      </c>
      <c r="F530" s="88">
        <f>IFERROR(IF($D530="","",VLOOKUP($D530,Cadastro!$C$4:$E$7,3,FALSE())),"")</f>
        <v>0.24</v>
      </c>
      <c r="G530" s="89">
        <v>15</v>
      </c>
      <c r="H530" s="88">
        <f>IFERROR(IF($G530="","",$G530*$S$540/$G$540/Cadastro!$E$33),"")</f>
        <v>72.216867469879517</v>
      </c>
      <c r="I530" s="90">
        <f>IFERROR(IF($D530="","",VLOOKUP($D530,Cadastro!$C$4:$G$7,5,FALSE())),"")</f>
        <v>0.6</v>
      </c>
      <c r="J530" s="91">
        <f t="shared" si="134"/>
        <v>10.399228915662649</v>
      </c>
      <c r="K530" s="64">
        <f t="shared" si="135"/>
        <v>75</v>
      </c>
      <c r="L530" s="61" t="s">
        <v>29</v>
      </c>
      <c r="M530" s="61" t="s">
        <v>40</v>
      </c>
      <c r="N530" s="61" t="s">
        <v>60</v>
      </c>
      <c r="O530" s="65">
        <v>0.93958333333333333</v>
      </c>
      <c r="P530" s="65">
        <v>0.94305555555555554</v>
      </c>
      <c r="Q530" s="66">
        <f t="shared" ca="1" si="136"/>
        <v>3.4722222222222099E-3</v>
      </c>
      <c r="R530" s="80"/>
      <c r="S530" s="81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274</v>
      </c>
      <c r="F531" s="88">
        <f>IFERROR(IF($D531="","",VLOOKUP($D531,Cadastro!$C$4:$E$7,3,FALSE())),"")</f>
        <v>0.24</v>
      </c>
      <c r="G531" s="89">
        <v>6</v>
      </c>
      <c r="H531" s="88">
        <f>IFERROR(IF($G531="","",$G531*$S$540/$G$540/Cadastro!$E$33),"")</f>
        <v>28.886746987951806</v>
      </c>
      <c r="I531" s="90">
        <f>IFERROR(IF($D531="","",VLOOKUP($D531,Cadastro!$C$4:$G$7,5,FALSE())),"")</f>
        <v>0.6</v>
      </c>
      <c r="J531" s="91">
        <f t="shared" si="134"/>
        <v>4.1596915662650602</v>
      </c>
      <c r="K531" s="69">
        <f t="shared" si="135"/>
        <v>25.200000000000003</v>
      </c>
      <c r="L531" s="70" t="s">
        <v>29</v>
      </c>
      <c r="M531" s="70" t="s">
        <v>136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6"/>
        <v>1.4583333333333393E-2</v>
      </c>
      <c r="R531" s="80"/>
      <c r="S531" s="81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274</v>
      </c>
      <c r="F532" s="88">
        <f>IFERROR(IF($D532="","",VLOOKUP($D532,Cadastro!$C$4:$E$7,3,FALSE())),"")</f>
        <v>0.24</v>
      </c>
      <c r="G532" s="89">
        <v>14</v>
      </c>
      <c r="H532" s="88">
        <f>IFERROR(IF($G532="","",$G532*$S$540/$G$540/Cadastro!$E$33),"")</f>
        <v>67.402409638554218</v>
      </c>
      <c r="I532" s="90">
        <f>IFERROR(IF($D532="","",VLOOKUP($D532,Cadastro!$C$4:$G$7,5,FALSE())),"")</f>
        <v>0.6</v>
      </c>
      <c r="J532" s="91">
        <f t="shared" si="134"/>
        <v>9.7059469879518065</v>
      </c>
      <c r="K532" s="64">
        <f t="shared" si="135"/>
        <v>58.800000000000004</v>
      </c>
      <c r="L532" s="61" t="s">
        <v>29</v>
      </c>
      <c r="M532" s="61" t="s">
        <v>168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6"/>
        <v>6.9444444444444441E-3</v>
      </c>
      <c r="R532" s="80"/>
      <c r="S532" s="81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274</v>
      </c>
      <c r="F533" s="88">
        <f>IFERROR(IF($D533="","",VLOOKUP($D533,Cadastro!$C$4:$E$7,3,FALSE())),"")</f>
        <v>0.24</v>
      </c>
      <c r="G533" s="89">
        <v>0</v>
      </c>
      <c r="H533" s="88">
        <f>IFERROR(IF($G533="","",$G533*$S$540/$G$540/Cadastro!$E$33),"")</f>
        <v>0</v>
      </c>
      <c r="I533" s="90">
        <f>IFERROR(IF($D533="","",VLOOKUP($D533,Cadastro!$C$4:$G$7,5,FALSE())),"")</f>
        <v>0.6</v>
      </c>
      <c r="J533" s="91">
        <f t="shared" si="134"/>
        <v>0</v>
      </c>
      <c r="K533" s="69">
        <f t="shared" si="135"/>
        <v>0</v>
      </c>
      <c r="L533" s="70" t="s">
        <v>28</v>
      </c>
      <c r="M533" s="70" t="s">
        <v>48</v>
      </c>
      <c r="N533" s="70" t="s">
        <v>36</v>
      </c>
      <c r="O533" s="65">
        <v>0.13125000000000001</v>
      </c>
      <c r="P533" s="65">
        <v>0.15625</v>
      </c>
      <c r="Q533" s="71">
        <f t="shared" ca="1" si="136"/>
        <v>2.4999999999999994E-2</v>
      </c>
      <c r="R533" s="80"/>
      <c r="S533" s="81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274</v>
      </c>
      <c r="F534" s="88">
        <f>IFERROR(IF($D534="","",VLOOKUP($D534,Cadastro!$C$4:$E$7,3,FALSE())),"")</f>
        <v>0.24</v>
      </c>
      <c r="G534" s="89">
        <v>10</v>
      </c>
      <c r="H534" s="88">
        <f>IFERROR(IF($G534="","",$G534*$S$540/$G$540/Cadastro!$E$33),"")</f>
        <v>48.144578313253014</v>
      </c>
      <c r="I534" s="90">
        <f>IFERROR(IF($D534="","",VLOOKUP($D534,Cadastro!$C$4:$G$7,5,FALSE())),"")</f>
        <v>0.6</v>
      </c>
      <c r="J534" s="91">
        <f t="shared" si="134"/>
        <v>6.9328192771084334</v>
      </c>
      <c r="K534" s="64">
        <f t="shared" si="135"/>
        <v>42</v>
      </c>
      <c r="L534" s="61" t="s">
        <v>27</v>
      </c>
      <c r="M534" s="61" t="s">
        <v>48</v>
      </c>
      <c r="N534" s="61" t="s">
        <v>140</v>
      </c>
      <c r="O534" s="65">
        <v>0.15625</v>
      </c>
      <c r="P534" s="65">
        <v>0.17083333333333334</v>
      </c>
      <c r="Q534" s="66">
        <f t="shared" ca="1" si="136"/>
        <v>1.4583333333333337E-2</v>
      </c>
      <c r="R534" s="80" t="s">
        <v>338</v>
      </c>
      <c r="S534" s="81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274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4"/>
        <v>0</v>
      </c>
      <c r="K535" s="69">
        <f t="shared" si="135"/>
        <v>0</v>
      </c>
      <c r="L535" s="70" t="s">
        <v>29</v>
      </c>
      <c r="M535" s="70" t="s">
        <v>40</v>
      </c>
      <c r="N535" s="70" t="s">
        <v>60</v>
      </c>
      <c r="O535" s="65">
        <v>0.21458333333333332</v>
      </c>
      <c r="P535" s="65">
        <v>0.23402777777777778</v>
      </c>
      <c r="Q535" s="71">
        <f t="shared" ca="1" si="136"/>
        <v>1.9444444444444459E-2</v>
      </c>
      <c r="R535" s="80" t="s">
        <v>339</v>
      </c>
      <c r="S535" s="81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274</v>
      </c>
      <c r="F536" s="88">
        <f>IFERROR(IF($D536="","",VLOOKUP($D536,Cadastro!$C$4:$E$7,3,FALSE())),"")</f>
        <v>0.35</v>
      </c>
      <c r="G536" s="89">
        <v>0</v>
      </c>
      <c r="H536" s="88">
        <f>IFERROR(IF($G536="","",$G536*$S$540/$G$540/Cadastro!$E$33),"")</f>
        <v>0</v>
      </c>
      <c r="I536" s="90">
        <f>IFERROR(IF($D536="","",VLOOKUP($D536,Cadastro!$C$4:$G$7,5,FALSE())),"")</f>
        <v>0.6</v>
      </c>
      <c r="J536" s="91">
        <f t="shared" si="134"/>
        <v>0</v>
      </c>
      <c r="K536" s="64">
        <f t="shared" si="135"/>
        <v>0</v>
      </c>
      <c r="L536" s="61" t="s">
        <v>29</v>
      </c>
      <c r="M536" s="61" t="s">
        <v>40</v>
      </c>
      <c r="N536" s="61" t="s">
        <v>45</v>
      </c>
      <c r="O536" s="65">
        <v>0.2388888888888889</v>
      </c>
      <c r="P536" s="65">
        <v>0.24513888888888888</v>
      </c>
      <c r="Q536" s="66">
        <f t="shared" ca="1" si="136"/>
        <v>6.2499999999999778E-3</v>
      </c>
      <c r="R536" s="80"/>
      <c r="S536" s="81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274</v>
      </c>
      <c r="F537" s="88">
        <f>IFERROR(IF($D537="","",VLOOKUP($D537,Cadastro!$C$4:$E$7,3,FALSE())),"")</f>
        <v>0.35</v>
      </c>
      <c r="G537" s="89">
        <v>10</v>
      </c>
      <c r="H537" s="88">
        <f>IFERROR(IF($G537="","",$G537*$S$540/$G$540/Cadastro!$E$33),"")</f>
        <v>48.144578313253014</v>
      </c>
      <c r="I537" s="90">
        <f>IFERROR(IF($D537="","",VLOOKUP($D537,Cadastro!$C$4:$G$7,5,FALSE())),"")</f>
        <v>0.6</v>
      </c>
      <c r="J537" s="91">
        <f t="shared" si="134"/>
        <v>10.110361445783132</v>
      </c>
      <c r="K537" s="69">
        <f t="shared" si="135"/>
        <v>42</v>
      </c>
      <c r="L537" s="70" t="s">
        <v>29</v>
      </c>
      <c r="M537" s="70" t="s">
        <v>40</v>
      </c>
      <c r="N537" s="70" t="s">
        <v>71</v>
      </c>
      <c r="O537" s="65">
        <v>0.2638888888888889</v>
      </c>
      <c r="P537" s="65">
        <v>0.29166666666666669</v>
      </c>
      <c r="Q537" s="71">
        <f t="shared" ca="1" si="136"/>
        <v>2.777777777777779E-2</v>
      </c>
      <c r="R537" s="80"/>
      <c r="S537" s="81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274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4"/>
        <v>0</v>
      </c>
      <c r="K538" s="64">
        <f t="shared" si="135"/>
        <v>0</v>
      </c>
      <c r="L538" s="61"/>
      <c r="M538" s="61"/>
      <c r="N538" s="61"/>
      <c r="O538" s="65"/>
      <c r="P538" s="65"/>
      <c r="Q538" s="66" t="str">
        <f t="shared" ca="1" si="136"/>
        <v/>
      </c>
      <c r="R538" s="80"/>
      <c r="S538" s="81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274</v>
      </c>
      <c r="F539" s="92">
        <f>IFERROR(IF($D539="","",VLOOKUP($D539,Cadastro!$C$4:$E$7,3,FALSE())),"")</f>
        <v>0.35</v>
      </c>
      <c r="G539" s="89">
        <v>5</v>
      </c>
      <c r="H539" s="92">
        <f>IFERROR(IF($G539="","",$G539*$S$540/$G$540/Cadastro!$E$33),"")</f>
        <v>24.072289156626507</v>
      </c>
      <c r="I539" s="93">
        <f>IFERROR(IF($D539="","",VLOOKUP($D539,Cadastro!$C$4:$G$7,5,FALSE())),"")</f>
        <v>0.6</v>
      </c>
      <c r="J539" s="94">
        <f t="shared" si="134"/>
        <v>5.0551807228915662</v>
      </c>
      <c r="K539" s="69">
        <f t="shared" si="135"/>
        <v>21</v>
      </c>
      <c r="L539" s="70"/>
      <c r="M539" s="70"/>
      <c r="N539" s="70"/>
      <c r="O539" s="65"/>
      <c r="P539" s="65"/>
      <c r="Q539" s="71" t="str">
        <f t="shared" ca="1" si="136"/>
        <v/>
      </c>
      <c r="R539" s="80"/>
      <c r="S539" s="81"/>
    </row>
    <row r="540" spans="1:20" ht="15.75" customHeight="1">
      <c r="A540" s="156" t="s">
        <v>263</v>
      </c>
      <c r="B540" s="156"/>
      <c r="C540" s="156"/>
      <c r="D540" s="156"/>
      <c r="E540" s="156"/>
      <c r="F540" s="105"/>
      <c r="G540" s="96">
        <f>SUM(G528:G539)</f>
        <v>83</v>
      </c>
      <c r="H540" s="105">
        <f>IFERROR(SUM(H528:H539),"")</f>
        <v>399.59999999999997</v>
      </c>
      <c r="I540" s="106"/>
      <c r="J540" s="107">
        <f>IFERROR(SUM(J528:J539),"")</f>
        <v>64.532992771084338</v>
      </c>
      <c r="K540" s="2">
        <f>SUM(K528:K539)</f>
        <v>360.6</v>
      </c>
      <c r="L540" s="72"/>
      <c r="M540" s="72"/>
      <c r="N540" s="72"/>
      <c r="O540" s="72"/>
      <c r="P540" s="72"/>
      <c r="Q540" s="73">
        <f ca="1">IFERROR(SUM(Q528:Q539),"")</f>
        <v>0.132638888888889</v>
      </c>
      <c r="R540" s="2" t="s">
        <v>261</v>
      </c>
      <c r="S540" s="74">
        <v>399600</v>
      </c>
      <c r="T540" s="99">
        <f>IFERROR(J540,"")</f>
        <v>64.532992771084338</v>
      </c>
    </row>
    <row r="541" spans="1:20" ht="18" customHeight="1">
      <c r="A541" s="157" t="s">
        <v>249</v>
      </c>
      <c r="B541" s="157"/>
      <c r="C541" s="157"/>
      <c r="D541" s="157"/>
      <c r="E541" s="157"/>
      <c r="F541" s="108"/>
      <c r="G541" s="109">
        <f>G527+G540</f>
        <v>262</v>
      </c>
      <c r="H541" s="108">
        <f>IFERROR(H527+H540,"")</f>
        <v>1141.99</v>
      </c>
      <c r="I541" s="110"/>
      <c r="J541" s="111">
        <f>IFERROR(J527+J540,"")</f>
        <v>220.43489277108429</v>
      </c>
      <c r="K541" s="1">
        <f>K527+K540</f>
        <v>1186</v>
      </c>
      <c r="L541" s="76"/>
      <c r="M541" s="76"/>
      <c r="N541" s="76"/>
      <c r="O541" s="76"/>
      <c r="P541" s="76"/>
      <c r="Q541" s="77">
        <f ca="1">IFERROR(Q527+Q540,"")</f>
        <v>0.19722222222222227</v>
      </c>
      <c r="R541" s="1" t="s">
        <v>264</v>
      </c>
      <c r="S541" s="82">
        <f>IFERROR(S527+S540,"")</f>
        <v>1141990</v>
      </c>
      <c r="T541" s="118">
        <f>IFERROR(J541,"")</f>
        <v>220.43489277108429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274</v>
      </c>
      <c r="F542" s="101">
        <f>IFERROR(IF($D542="","",VLOOKUP($D542,Cadastro!$C$4:$E$7,3,FALSE())),"")</f>
        <v>0.24</v>
      </c>
      <c r="G542" s="89">
        <v>5</v>
      </c>
      <c r="H542" s="101">
        <f>IFERROR(IF($G542="","",$G542*$S$554/$G$554/Cadastro!$E$33),"")</f>
        <v>0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0</v>
      </c>
      <c r="K542" s="64">
        <f t="shared" ref="K542:K553" si="139">IF(G542="","",IF(E542="PC 17",G542*4.2,IF(E542="PC 19",G542*5,IF(E542="CB",G542*24,""))))</f>
        <v>21</v>
      </c>
      <c r="L542" s="61" t="s">
        <v>26</v>
      </c>
      <c r="M542" s="61" t="s">
        <v>48</v>
      </c>
      <c r="N542" s="61" t="s">
        <v>58</v>
      </c>
      <c r="O542" s="65">
        <v>0.30208333333333331</v>
      </c>
      <c r="P542" s="65">
        <v>0.31597222222222221</v>
      </c>
      <c r="Q542" s="66">
        <f t="shared" ref="Q542:Q553" ca="1" si="140">IFERROR(IF(O542="","",IF(P542="",MOD(NOW()-O542,1),IF(P542&gt;=O542,P542-O542,P542+1-O542))),"")</f>
        <v>1.3888888888888895E-2</v>
      </c>
      <c r="R542" s="80"/>
      <c r="S542" s="81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274</v>
      </c>
      <c r="F543" s="88">
        <f>IFERROR(IF($D543="","",VLOOKUP($D543,Cadastro!$C$4:$E$7,3,FALSE())),"")</f>
        <v>0.24</v>
      </c>
      <c r="G543" s="89">
        <v>10</v>
      </c>
      <c r="H543" s="88">
        <f>IFERROR(IF($G543="","",$G543*$S$554/$G$554/Cadastro!$E$33),"")</f>
        <v>0</v>
      </c>
      <c r="I543" s="90">
        <f>IFERROR(IF($D543="","",VLOOKUP($D543,Cadastro!$C$4:$G$7,5,FALSE())),"")</f>
        <v>0.6</v>
      </c>
      <c r="J543" s="91">
        <f t="shared" si="138"/>
        <v>0</v>
      </c>
      <c r="K543" s="69">
        <f t="shared" si="139"/>
        <v>42</v>
      </c>
      <c r="L543" s="70" t="s">
        <v>28</v>
      </c>
      <c r="M543" s="70" t="s">
        <v>48</v>
      </c>
      <c r="N543" s="70" t="s">
        <v>36</v>
      </c>
      <c r="O543" s="65">
        <v>0.4465277777777778</v>
      </c>
      <c r="P543" s="65"/>
      <c r="Q543" s="71">
        <f t="shared" ca="1" si="140"/>
        <v>3.7568981482763775E-2</v>
      </c>
      <c r="R543" s="80"/>
      <c r="S543" s="81"/>
    </row>
    <row r="544" spans="1:20" ht="15" customHeight="1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274</v>
      </c>
      <c r="F544" s="88">
        <f>IFERROR(IF($D544="","",VLOOKUP($D544,Cadastro!$C$4:$E$7,3,FALSE())),"")</f>
        <v>0.24</v>
      </c>
      <c r="G544" s="89">
        <v>7</v>
      </c>
      <c r="H544" s="88">
        <f>IFERROR(IF($G544="","",$G544*$S$554/$G$554/Cadastro!$E$33),"")</f>
        <v>0</v>
      </c>
      <c r="I544" s="90">
        <f>IFERROR(IF($D544="","",VLOOKUP($D544,Cadastro!$C$4:$G$7,5,FALSE())),"")</f>
        <v>0.6</v>
      </c>
      <c r="J544" s="91">
        <f t="shared" si="138"/>
        <v>0</v>
      </c>
      <c r="K544" s="64">
        <f t="shared" si="139"/>
        <v>29.400000000000002</v>
      </c>
      <c r="L544" s="61"/>
      <c r="M544" s="61"/>
      <c r="N544" s="61"/>
      <c r="O544" s="65"/>
      <c r="P544" s="65"/>
      <c r="Q544" s="66" t="str">
        <f t="shared" ca="1" si="140"/>
        <v/>
      </c>
      <c r="R544" s="80"/>
      <c r="S544" s="81"/>
    </row>
    <row r="545" spans="1:20" ht="15" customHeight="1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274</v>
      </c>
      <c r="F545" s="88">
        <f>IFERROR(IF($D545="","",VLOOKUP($D545,Cadastro!$C$4:$E$7,3,FALSE())),"")</f>
        <v>0.24</v>
      </c>
      <c r="G545" s="89">
        <v>6</v>
      </c>
      <c r="H545" s="88">
        <f>IFERROR(IF($G545="","",$G545*$S$554/$G$554/Cadastro!$E$33),"")</f>
        <v>0</v>
      </c>
      <c r="I545" s="90">
        <f>IFERROR(IF($D545="","",VLOOKUP($D545,Cadastro!$C$4:$G$7,5,FALSE())),"")</f>
        <v>0.6</v>
      </c>
      <c r="J545" s="91">
        <f t="shared" si="138"/>
        <v>0</v>
      </c>
      <c r="K545" s="69">
        <f t="shared" si="139"/>
        <v>25.200000000000003</v>
      </c>
      <c r="L545" s="70"/>
      <c r="M545" s="70"/>
      <c r="N545" s="70"/>
      <c r="O545" s="65"/>
      <c r="P545" s="65"/>
      <c r="Q545" s="71" t="str">
        <f t="shared" ca="1" si="140"/>
        <v/>
      </c>
      <c r="R545" s="80"/>
      <c r="S545" s="81"/>
    </row>
    <row r="546" spans="1:20" ht="15" customHeight="1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274</v>
      </c>
      <c r="F546" s="88">
        <f>IFERROR(IF($D546="","",VLOOKUP($D546,Cadastro!$C$4:$E$7,3,FALSE())),"")</f>
        <v>0.24</v>
      </c>
      <c r="G546" s="89"/>
      <c r="H546" s="88" t="str">
        <f>IFERROR(IF($G546="","",$G546*$S$554/$G$554/Cadastro!$E$33),"")</f>
        <v/>
      </c>
      <c r="I546" s="90">
        <f>IFERROR(IF($D546="","",VLOOKUP($D546,Cadastro!$C$4:$G$7,5,FALSE())),"")</f>
        <v>0.6</v>
      </c>
      <c r="J546" s="91" t="str">
        <f t="shared" si="138"/>
        <v/>
      </c>
      <c r="K546" s="64" t="str">
        <f t="shared" si="139"/>
        <v/>
      </c>
      <c r="L546" s="61"/>
      <c r="M546" s="61"/>
      <c r="N546" s="61"/>
      <c r="O546" s="65"/>
      <c r="P546" s="65"/>
      <c r="Q546" s="66" t="str">
        <f t="shared" ca="1" si="140"/>
        <v/>
      </c>
      <c r="R546" s="80"/>
      <c r="S546" s="81"/>
    </row>
    <row r="547" spans="1:20" ht="15" customHeight="1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274</v>
      </c>
      <c r="F547" s="88">
        <f>IFERROR(IF($D547="","",VLOOKUP($D547,Cadastro!$C$4:$E$7,3,FALSE())),"")</f>
        <v>0.24</v>
      </c>
      <c r="G547" s="89"/>
      <c r="H547" s="88" t="str">
        <f>IFERROR(IF($G547="","",$G547*$S$554/$G$554/Cadastro!$E$33),"")</f>
        <v/>
      </c>
      <c r="I547" s="90">
        <f>IFERROR(IF($D547="","",VLOOKUP($D547,Cadastro!$C$4:$G$7,5,FALSE())),"")</f>
        <v>0.6</v>
      </c>
      <c r="J547" s="91" t="str">
        <f t="shared" si="138"/>
        <v/>
      </c>
      <c r="K547" s="69" t="str">
        <f t="shared" si="139"/>
        <v/>
      </c>
      <c r="L547" s="70"/>
      <c r="M547" s="70"/>
      <c r="N547" s="70"/>
      <c r="O547" s="65"/>
      <c r="P547" s="65"/>
      <c r="Q547" s="71" t="str">
        <f t="shared" ca="1" si="140"/>
        <v/>
      </c>
      <c r="R547" s="80"/>
      <c r="S547" s="81"/>
    </row>
    <row r="548" spans="1:20" ht="15" customHeight="1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274</v>
      </c>
      <c r="F548" s="88">
        <f>IFERROR(IF($D548="","",VLOOKUP($D548,Cadastro!$C$4:$E$7,3,FALSE())),"")</f>
        <v>0.24</v>
      </c>
      <c r="G548" s="89"/>
      <c r="H548" s="88" t="str">
        <f>IFERROR(IF($G548="","",$G548*$S$554/$G$554/Cadastro!$E$33),"")</f>
        <v/>
      </c>
      <c r="I548" s="90">
        <f>IFERROR(IF($D548="","",VLOOKUP($D548,Cadastro!$C$4:$G$7,5,FALSE())),"")</f>
        <v>0.6</v>
      </c>
      <c r="J548" s="91" t="str">
        <f t="shared" si="138"/>
        <v/>
      </c>
      <c r="K548" s="64" t="str">
        <f t="shared" si="139"/>
        <v/>
      </c>
      <c r="L548" s="61"/>
      <c r="M548" s="61"/>
      <c r="N548" s="61"/>
      <c r="O548" s="65"/>
      <c r="P548" s="65"/>
      <c r="Q548" s="66" t="str">
        <f t="shared" ca="1" si="140"/>
        <v/>
      </c>
      <c r="R548" s="80"/>
      <c r="S548" s="81"/>
    </row>
    <row r="549" spans="1:20" ht="15" customHeight="1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274</v>
      </c>
      <c r="F549" s="88">
        <f>IFERROR(IF($D549="","",VLOOKUP($D549,Cadastro!$C$4:$E$7,3,FALSE())),"")</f>
        <v>0.24</v>
      </c>
      <c r="G549" s="89"/>
      <c r="H549" s="88" t="str">
        <f>IFERROR(IF($G549="","",$G549*$S$554/$G$554/Cadastro!$E$33),"")</f>
        <v/>
      </c>
      <c r="I549" s="90">
        <f>IFERROR(IF($D549="","",VLOOKUP($D549,Cadastro!$C$4:$G$7,5,FALSE())),"")</f>
        <v>0.6</v>
      </c>
      <c r="J549" s="91" t="str">
        <f t="shared" si="138"/>
        <v/>
      </c>
      <c r="K549" s="69" t="str">
        <f t="shared" si="139"/>
        <v/>
      </c>
      <c r="L549" s="70"/>
      <c r="M549" s="70"/>
      <c r="N549" s="70"/>
      <c r="O549" s="65"/>
      <c r="P549" s="65"/>
      <c r="Q549" s="71" t="str">
        <f t="shared" ca="1" si="140"/>
        <v/>
      </c>
      <c r="R549" s="80"/>
      <c r="S549" s="81"/>
    </row>
    <row r="550" spans="1:20" ht="15" customHeight="1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274</v>
      </c>
      <c r="F550" s="88">
        <f>IFERROR(IF($D550="","",VLOOKUP($D550,Cadastro!$C$4:$E$7,3,FALSE())),"")</f>
        <v>0.24</v>
      </c>
      <c r="G550" s="89"/>
      <c r="H550" s="88" t="str">
        <f>IFERROR(IF($G550="","",$G550*$S$554/$G$554/Cadastro!$E$33),"")</f>
        <v/>
      </c>
      <c r="I550" s="90">
        <f>IFERROR(IF($D550="","",VLOOKUP($D550,Cadastro!$C$4:$G$7,5,FALSE())),"")</f>
        <v>0.6</v>
      </c>
      <c r="J550" s="91" t="str">
        <f t="shared" si="138"/>
        <v/>
      </c>
      <c r="K550" s="64" t="str">
        <f t="shared" si="139"/>
        <v/>
      </c>
      <c r="L550" s="61"/>
      <c r="M550" s="61"/>
      <c r="N550" s="61"/>
      <c r="O550" s="65"/>
      <c r="P550" s="65"/>
      <c r="Q550" s="66" t="str">
        <f t="shared" ca="1" si="140"/>
        <v/>
      </c>
      <c r="R550" s="80"/>
      <c r="S550" s="81"/>
    </row>
    <row r="551" spans="1:20" ht="15" customHeight="1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274</v>
      </c>
      <c r="F551" s="88">
        <f>IFERROR(IF($D551="","",VLOOKUP($D551,Cadastro!$C$4:$E$7,3,FALSE())),"")</f>
        <v>0.24</v>
      </c>
      <c r="G551" s="89"/>
      <c r="H551" s="88" t="str">
        <f>IFERROR(IF($G551="","",$G551*$S$554/$G$554/Cadastro!$E$33),"")</f>
        <v/>
      </c>
      <c r="I551" s="90">
        <f>IFERROR(IF($D551="","",VLOOKUP($D551,Cadastro!$C$4:$G$7,5,FALSE())),"")</f>
        <v>0.6</v>
      </c>
      <c r="J551" s="91" t="str">
        <f t="shared" si="138"/>
        <v/>
      </c>
      <c r="K551" s="69" t="str">
        <f t="shared" si="139"/>
        <v/>
      </c>
      <c r="L551" s="70"/>
      <c r="M551" s="70"/>
      <c r="N551" s="70"/>
      <c r="O551" s="65"/>
      <c r="P551" s="65"/>
      <c r="Q551" s="71" t="str">
        <f t="shared" ca="1" si="140"/>
        <v/>
      </c>
      <c r="R551" s="80"/>
      <c r="S551" s="81"/>
    </row>
    <row r="552" spans="1:20" ht="15" customHeight="1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274</v>
      </c>
      <c r="F552" s="88">
        <f>IFERROR(IF($D552="","",VLOOKUP($D552,Cadastro!$C$4:$E$7,3,FALSE())),"")</f>
        <v>0.24</v>
      </c>
      <c r="G552" s="89"/>
      <c r="H552" s="88" t="str">
        <f>IFERROR(IF($G552="","",$G552*$S$554/$G$554/Cadastro!$E$33),"")</f>
        <v/>
      </c>
      <c r="I552" s="90">
        <f>IFERROR(IF($D552="","",VLOOKUP($D552,Cadastro!$C$4:$G$7,5,FALSE())),"")</f>
        <v>0.6</v>
      </c>
      <c r="J552" s="91" t="str">
        <f t="shared" si="138"/>
        <v/>
      </c>
      <c r="K552" s="64" t="str">
        <f t="shared" si="139"/>
        <v/>
      </c>
      <c r="L552" s="61"/>
      <c r="M552" s="61"/>
      <c r="N552" s="61"/>
      <c r="O552" s="65"/>
      <c r="P552" s="65"/>
      <c r="Q552" s="66" t="str">
        <f t="shared" ca="1" si="140"/>
        <v/>
      </c>
      <c r="R552" s="80"/>
      <c r="S552" s="81"/>
    </row>
    <row r="553" spans="1:20" ht="15" customHeight="1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274</v>
      </c>
      <c r="F553" s="92">
        <f>IFERROR(IF($D553="","",VLOOKUP($D553,Cadastro!$C$4:$E$7,3,FALSE())),"")</f>
        <v>0.24</v>
      </c>
      <c r="G553" s="89"/>
      <c r="H553" s="92" t="str">
        <f>IFERROR(IF($G553="","",$G553*$S$554/$G$554/Cadastro!$E$33),"")</f>
        <v/>
      </c>
      <c r="I553" s="93">
        <f>IFERROR(IF($D553="","",VLOOKUP($D553,Cadastro!$C$4:$G$7,5,FALSE())),"")</f>
        <v>0.6</v>
      </c>
      <c r="J553" s="94" t="str">
        <f t="shared" si="138"/>
        <v/>
      </c>
      <c r="K553" s="69" t="str">
        <f t="shared" si="139"/>
        <v/>
      </c>
      <c r="L553" s="70"/>
      <c r="M553" s="70"/>
      <c r="N553" s="70"/>
      <c r="O553" s="65"/>
      <c r="P553" s="65"/>
      <c r="Q553" s="71" t="str">
        <f t="shared" ca="1" si="140"/>
        <v/>
      </c>
      <c r="R553" s="80"/>
      <c r="S553" s="81"/>
    </row>
    <row r="554" spans="1:20" ht="15.75" customHeight="1">
      <c r="A554" s="156" t="s">
        <v>260</v>
      </c>
      <c r="B554" s="156"/>
      <c r="C554" s="156"/>
      <c r="D554" s="156"/>
      <c r="E554" s="156"/>
      <c r="F554" s="95"/>
      <c r="G554" s="96">
        <f>SUM(G542:G553)</f>
        <v>28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117.60000000000001</v>
      </c>
      <c r="L554" s="72"/>
      <c r="M554" s="72"/>
      <c r="N554" s="72"/>
      <c r="O554" s="72"/>
      <c r="P554" s="72"/>
      <c r="Q554" s="73">
        <f ca="1">IFERROR(SUM(Q542:Q553),"")</f>
        <v>5.145787037165267E-2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42">IFERROR(IF($H555="","",$H555*$F555*$I555),"")</f>
        <v/>
      </c>
      <c r="K555" s="69" t="str">
        <f t="shared" ref="K555:K566" si="143">IF(G555="","",IF(E555="PC 17",G555*4.2,IF(E555="PC 19",G555*5,IF(E555="CB",G555*24,""))))</f>
        <v/>
      </c>
      <c r="L555" s="70"/>
      <c r="M555" s="70"/>
      <c r="N555" s="70"/>
      <c r="O555" s="65"/>
      <c r="P555" s="65"/>
      <c r="Q555" s="71" t="str">
        <f t="shared" ref="Q555:Q566" ca="1" si="144">IFERROR(IF(O555="","",IF(P555="",MOD(NOW()-O555,1),IF(P555&gt;=O555,P555-O555,P555+1-O555))),"")</f>
        <v/>
      </c>
      <c r="R555" s="80"/>
      <c r="S555" s="81"/>
    </row>
    <row r="556" spans="1:20" ht="15" customHeight="1">
      <c r="A556" s="59">
        <v>46255</v>
      </c>
      <c r="B556" s="60">
        <f t="shared" ref="B556:B566" si="145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42"/>
        <v/>
      </c>
      <c r="K556" s="64" t="str">
        <f t="shared" si="143"/>
        <v/>
      </c>
      <c r="L556" s="61"/>
      <c r="M556" s="61"/>
      <c r="N556" s="61"/>
      <c r="O556" s="65"/>
      <c r="P556" s="65"/>
      <c r="Q556" s="66" t="str">
        <f t="shared" ca="1" si="144"/>
        <v/>
      </c>
      <c r="R556" s="80"/>
      <c r="S556" s="81"/>
    </row>
    <row r="557" spans="1:20" ht="15" customHeight="1">
      <c r="A557" s="18">
        <v>46255</v>
      </c>
      <c r="B557" s="68">
        <f t="shared" si="145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42"/>
        <v/>
      </c>
      <c r="K557" s="69" t="str">
        <f t="shared" si="143"/>
        <v/>
      </c>
      <c r="L557" s="70"/>
      <c r="M557" s="70"/>
      <c r="N557" s="70"/>
      <c r="O557" s="65"/>
      <c r="P557" s="65"/>
      <c r="Q557" s="71" t="str">
        <f t="shared" ca="1" si="144"/>
        <v/>
      </c>
      <c r="R557" s="80"/>
      <c r="S557" s="81"/>
    </row>
    <row r="558" spans="1:20" ht="15" customHeight="1">
      <c r="A558" s="59">
        <v>46255</v>
      </c>
      <c r="B558" s="60">
        <f t="shared" si="145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42"/>
        <v/>
      </c>
      <c r="K558" s="64" t="str">
        <f t="shared" si="143"/>
        <v/>
      </c>
      <c r="L558" s="61"/>
      <c r="M558" s="61"/>
      <c r="N558" s="61"/>
      <c r="O558" s="65"/>
      <c r="P558" s="65"/>
      <c r="Q558" s="66" t="str">
        <f t="shared" ca="1" si="144"/>
        <v/>
      </c>
      <c r="R558" s="80"/>
      <c r="S558" s="81"/>
    </row>
    <row r="559" spans="1:20" ht="15" customHeight="1">
      <c r="A559" s="18">
        <v>46255</v>
      </c>
      <c r="B559" s="68">
        <f t="shared" si="145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42"/>
        <v/>
      </c>
      <c r="K559" s="69" t="str">
        <f t="shared" si="143"/>
        <v/>
      </c>
      <c r="L559" s="70"/>
      <c r="M559" s="70"/>
      <c r="N559" s="70"/>
      <c r="O559" s="65"/>
      <c r="P559" s="65"/>
      <c r="Q559" s="71" t="str">
        <f t="shared" ca="1" si="144"/>
        <v/>
      </c>
      <c r="R559" s="80"/>
      <c r="S559" s="81"/>
    </row>
    <row r="560" spans="1:20" ht="15" customHeight="1">
      <c r="A560" s="59">
        <v>46255</v>
      </c>
      <c r="B560" s="60">
        <f t="shared" si="145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42"/>
        <v/>
      </c>
      <c r="K560" s="64" t="str">
        <f t="shared" si="143"/>
        <v/>
      </c>
      <c r="L560" s="61"/>
      <c r="M560" s="61"/>
      <c r="N560" s="61"/>
      <c r="O560" s="65"/>
      <c r="P560" s="65"/>
      <c r="Q560" s="66" t="str">
        <f t="shared" ca="1" si="144"/>
        <v/>
      </c>
      <c r="R560" s="80"/>
      <c r="S560" s="81"/>
    </row>
    <row r="561" spans="1:20" ht="15" customHeight="1">
      <c r="A561" s="18">
        <v>46255</v>
      </c>
      <c r="B561" s="68">
        <f t="shared" si="145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42"/>
        <v/>
      </c>
      <c r="K561" s="69" t="str">
        <f t="shared" si="143"/>
        <v/>
      </c>
      <c r="L561" s="70"/>
      <c r="M561" s="70"/>
      <c r="N561" s="70"/>
      <c r="O561" s="65"/>
      <c r="P561" s="65"/>
      <c r="Q561" s="71" t="str">
        <f t="shared" ca="1" si="144"/>
        <v/>
      </c>
      <c r="R561" s="80"/>
      <c r="S561" s="81"/>
    </row>
    <row r="562" spans="1:20" ht="15" customHeight="1">
      <c r="A562" s="59">
        <v>46255</v>
      </c>
      <c r="B562" s="60">
        <f t="shared" si="145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4"/>
        <v/>
      </c>
      <c r="R562" s="80"/>
      <c r="S562" s="81"/>
    </row>
    <row r="563" spans="1:20" ht="15" customHeight="1">
      <c r="A563" s="18">
        <v>46255</v>
      </c>
      <c r="B563" s="68">
        <f t="shared" si="145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4"/>
        <v/>
      </c>
      <c r="R563" s="80"/>
      <c r="S563" s="81"/>
    </row>
    <row r="564" spans="1:20" ht="15" customHeight="1">
      <c r="A564" s="59">
        <v>46255</v>
      </c>
      <c r="B564" s="60">
        <f t="shared" si="145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4"/>
        <v/>
      </c>
      <c r="R564" s="80"/>
      <c r="S564" s="81"/>
    </row>
    <row r="565" spans="1:20" ht="15" customHeight="1">
      <c r="A565" s="18">
        <v>46255</v>
      </c>
      <c r="B565" s="68">
        <f t="shared" si="145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4"/>
        <v/>
      </c>
      <c r="R565" s="80"/>
      <c r="S565" s="81"/>
    </row>
    <row r="566" spans="1:20" ht="15" customHeight="1">
      <c r="A566" s="59">
        <v>46255</v>
      </c>
      <c r="B566" s="60">
        <f t="shared" si="145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4"/>
        <v/>
      </c>
      <c r="R566" s="80"/>
      <c r="S566" s="81"/>
    </row>
    <row r="567" spans="1:20" ht="15.75" customHeight="1">
      <c r="A567" s="156" t="s">
        <v>263</v>
      </c>
      <c r="B567" s="156"/>
      <c r="C567" s="156"/>
      <c r="D567" s="156"/>
      <c r="E567" s="156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57" t="s">
        <v>249</v>
      </c>
      <c r="B568" s="157"/>
      <c r="C568" s="157"/>
      <c r="D568" s="157"/>
      <c r="E568" s="157"/>
      <c r="F568" s="108"/>
      <c r="G568" s="109">
        <f>G554+G567</f>
        <v>28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117.60000000000001</v>
      </c>
      <c r="L568" s="76"/>
      <c r="M568" s="76"/>
      <c r="N568" s="76"/>
      <c r="O568" s="76"/>
      <c r="P568" s="76"/>
      <c r="Q568" s="77">
        <f ca="1">IFERROR(Q554+Q567,"")</f>
        <v>5.145787037165267E-2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8">IFERROR(IF(O569="","",IF(P569="",MOD(NOW()-O569,1),IF(P569&gt;=O569,P569-O569,P569+1-O569))),"")</f>
        <v/>
      </c>
      <c r="R569" s="80"/>
      <c r="S569" s="81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80"/>
      <c r="S570" s="81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80"/>
      <c r="S571" s="81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80"/>
      <c r="S572" s="81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80"/>
      <c r="S573" s="81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80"/>
      <c r="S574" s="81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 t="str">
        <f t="shared" ca="1" si="148"/>
        <v/>
      </c>
      <c r="R575" s="80"/>
      <c r="S575" s="81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t="shared" ca="1" si="148"/>
        <v/>
      </c>
      <c r="R576" s="80"/>
      <c r="S576" s="81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t="shared" ca="1" si="148"/>
        <v/>
      </c>
      <c r="R577" s="80"/>
      <c r="S577" s="81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t="shared" ca="1" si="148"/>
        <v/>
      </c>
      <c r="R578" s="80"/>
      <c r="S578" s="81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t="shared" ca="1" si="148"/>
        <v/>
      </c>
      <c r="R579" s="80"/>
      <c r="S579" s="81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t="shared" ca="1" si="148"/>
        <v/>
      </c>
      <c r="R580" s="80"/>
      <c r="S580" s="81"/>
    </row>
    <row r="581" spans="1:20" ht="15.75" customHeight="1">
      <c r="A581" s="156" t="s">
        <v>260</v>
      </c>
      <c r="B581" s="156"/>
      <c r="C581" s="156"/>
      <c r="D581" s="156"/>
      <c r="E581" s="156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80"/>
      <c r="S582" s="81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80"/>
      <c r="S583" s="81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80"/>
      <c r="S584" s="81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80"/>
      <c r="S585" s="81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80"/>
      <c r="S586" s="81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80"/>
      <c r="S587" s="81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80"/>
      <c r="S588" s="81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80"/>
      <c r="S589" s="81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80"/>
      <c r="S590" s="81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80"/>
      <c r="S591" s="81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80"/>
      <c r="S592" s="81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80"/>
      <c r="S593" s="81"/>
    </row>
    <row r="594" spans="1:20" ht="15.75" customHeight="1">
      <c r="A594" s="156" t="s">
        <v>263</v>
      </c>
      <c r="B594" s="156"/>
      <c r="C594" s="156"/>
      <c r="D594" s="156"/>
      <c r="E594" s="156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57" t="s">
        <v>249</v>
      </c>
      <c r="B595" s="157"/>
      <c r="C595" s="157"/>
      <c r="D595" s="157"/>
      <c r="E595" s="157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80"/>
      <c r="S596" s="81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80"/>
      <c r="S597" s="81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80"/>
      <c r="S598" s="81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80"/>
      <c r="S599" s="81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80"/>
      <c r="S600" s="81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80"/>
      <c r="S601" s="81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80"/>
      <c r="S602" s="81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80"/>
      <c r="S603" s="81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80"/>
      <c r="S604" s="81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80"/>
      <c r="S605" s="81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80"/>
      <c r="S606" s="81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80"/>
      <c r="S607" s="81"/>
    </row>
    <row r="608" spans="1:20" ht="15.75" customHeight="1">
      <c r="A608" s="156" t="s">
        <v>260</v>
      </c>
      <c r="B608" s="156"/>
      <c r="C608" s="156"/>
      <c r="D608" s="156"/>
      <c r="E608" s="156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80"/>
      <c r="S609" s="81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80"/>
      <c r="S610" s="81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80"/>
      <c r="S611" s="81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80"/>
      <c r="S612" s="81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80"/>
      <c r="S613" s="81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80"/>
      <c r="S614" s="81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80"/>
      <c r="S615" s="81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80"/>
      <c r="S616" s="81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80"/>
      <c r="S617" s="81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80"/>
      <c r="S618" s="81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80"/>
      <c r="S619" s="81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80"/>
      <c r="S620" s="81"/>
    </row>
    <row r="621" spans="1:20" ht="15.75" customHeight="1">
      <c r="A621" s="156" t="s">
        <v>263</v>
      </c>
      <c r="B621" s="156"/>
      <c r="C621" s="156"/>
      <c r="D621" s="156"/>
      <c r="E621" s="156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57" t="s">
        <v>249</v>
      </c>
      <c r="B622" s="157"/>
      <c r="C622" s="157"/>
      <c r="D622" s="157"/>
      <c r="E622" s="157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264</v>
      </c>
      <c r="S622" s="82">
        <f>S608+S621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80"/>
      <c r="S623" s="81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80"/>
      <c r="S624" s="81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80"/>
      <c r="S625" s="81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80"/>
      <c r="S626" s="81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80"/>
      <c r="S627" s="81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80"/>
      <c r="S628" s="81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80"/>
      <c r="S629" s="81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80"/>
      <c r="S630" s="81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80"/>
      <c r="S631" s="81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80"/>
      <c r="S632" s="81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80"/>
      <c r="S633" s="81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80"/>
      <c r="S634" s="81"/>
    </row>
    <row r="635" spans="1:20" ht="15.75" customHeight="1">
      <c r="A635" s="156" t="s">
        <v>260</v>
      </c>
      <c r="B635" s="156"/>
      <c r="C635" s="156"/>
      <c r="D635" s="156"/>
      <c r="E635" s="156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80"/>
      <c r="S636" s="81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80"/>
      <c r="S637" s="81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80"/>
      <c r="S638" s="81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80"/>
      <c r="S639" s="81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80"/>
      <c r="S640" s="81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80"/>
      <c r="S641" s="81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80"/>
      <c r="S642" s="81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80"/>
      <c r="S643" s="81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80"/>
      <c r="S644" s="81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80"/>
      <c r="S645" s="81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80"/>
      <c r="S646" s="81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80"/>
      <c r="S647" s="81"/>
    </row>
    <row r="648" spans="1:20" ht="15.75" customHeight="1">
      <c r="A648" s="156" t="s">
        <v>263</v>
      </c>
      <c r="B648" s="156"/>
      <c r="C648" s="156"/>
      <c r="D648" s="156"/>
      <c r="E648" s="156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57" t="s">
        <v>249</v>
      </c>
      <c r="B649" s="157"/>
      <c r="C649" s="157"/>
      <c r="D649" s="157"/>
      <c r="E649" s="157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264</v>
      </c>
      <c r="S649" s="82">
        <f>S635+S648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80"/>
      <c r="S650" s="81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80"/>
      <c r="S651" s="81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80"/>
      <c r="S652" s="81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80"/>
      <c r="S653" s="81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80"/>
      <c r="S654" s="81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80"/>
      <c r="S655" s="81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80"/>
      <c r="S656" s="81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80"/>
      <c r="S657" s="81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80"/>
      <c r="S658" s="81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80"/>
      <c r="S659" s="81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80"/>
      <c r="S660" s="81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80"/>
      <c r="S661" s="81"/>
    </row>
    <row r="662" spans="1:20" ht="15.75" customHeight="1">
      <c r="A662" s="156" t="s">
        <v>260</v>
      </c>
      <c r="B662" s="156"/>
      <c r="C662" s="156"/>
      <c r="D662" s="156"/>
      <c r="E662" s="156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80"/>
      <c r="S663" s="81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80"/>
      <c r="S664" s="81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80"/>
      <c r="S665" s="81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80"/>
      <c r="S666" s="81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80"/>
      <c r="S667" s="81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80"/>
      <c r="S668" s="81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80"/>
      <c r="S669" s="81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80"/>
      <c r="S670" s="81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80"/>
      <c r="S671" s="81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80"/>
      <c r="S672" s="81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80"/>
      <c r="S673" s="81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80"/>
      <c r="S674" s="81"/>
    </row>
    <row r="675" spans="1:20" ht="15.75" customHeight="1">
      <c r="A675" s="156" t="s">
        <v>263</v>
      </c>
      <c r="B675" s="156"/>
      <c r="C675" s="156"/>
      <c r="D675" s="156"/>
      <c r="E675" s="156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57" t="s">
        <v>249</v>
      </c>
      <c r="B676" s="157"/>
      <c r="C676" s="157"/>
      <c r="D676" s="157"/>
      <c r="E676" s="157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80"/>
      <c r="S677" s="81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71" t="str">
        <f t="shared" ca="1" si="180"/>
        <v/>
      </c>
      <c r="R678" s="80"/>
      <c r="S678" s="81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80"/>
      <c r="S679" s="81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71" t="str">
        <f t="shared" ca="1" si="180"/>
        <v/>
      </c>
      <c r="R680" s="80"/>
      <c r="S680" s="81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80"/>
      <c r="S681" s="81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71" t="str">
        <f t="shared" ca="1" si="180"/>
        <v/>
      </c>
      <c r="R682" s="80"/>
      <c r="S682" s="81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80"/>
      <c r="S683" s="81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80"/>
      <c r="S684" s="81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80"/>
      <c r="S685" s="81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80"/>
      <c r="S686" s="81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80"/>
      <c r="S687" s="81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80"/>
      <c r="S688" s="81"/>
    </row>
    <row r="689" spans="1:20" ht="15.75" customHeight="1">
      <c r="A689" s="156" t="s">
        <v>260</v>
      </c>
      <c r="B689" s="156"/>
      <c r="C689" s="156"/>
      <c r="D689" s="156"/>
      <c r="E689" s="156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80"/>
      <c r="S690" s="81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80"/>
      <c r="S691" s="81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80"/>
      <c r="S692" s="81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80"/>
      <c r="S693" s="81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80"/>
      <c r="S694" s="81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80"/>
      <c r="S695" s="81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80"/>
      <c r="S696" s="81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80"/>
      <c r="S697" s="81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80"/>
      <c r="S698" s="81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80"/>
      <c r="S699" s="81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80"/>
      <c r="S700" s="81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80"/>
      <c r="S701" s="81"/>
    </row>
    <row r="702" spans="1:20" ht="15.75" customHeight="1">
      <c r="A702" s="156" t="s">
        <v>263</v>
      </c>
      <c r="B702" s="156"/>
      <c r="C702" s="156"/>
      <c r="D702" s="156"/>
      <c r="E702" s="156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57" t="s">
        <v>249</v>
      </c>
      <c r="B703" s="157"/>
      <c r="C703" s="157"/>
      <c r="D703" s="157"/>
      <c r="E703" s="157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80"/>
      <c r="S704" s="81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80"/>
      <c r="S705" s="81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80"/>
      <c r="S706" s="81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80"/>
      <c r="S707" s="81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80"/>
      <c r="S708" s="81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80"/>
      <c r="S709" s="81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80"/>
      <c r="S710" s="81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80"/>
      <c r="S711" s="81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80"/>
      <c r="S712" s="81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80"/>
      <c r="S713" s="81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80"/>
      <c r="S714" s="81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80"/>
      <c r="S715" s="81"/>
    </row>
    <row r="716" spans="1:20" ht="15.75" customHeight="1">
      <c r="A716" s="156" t="s">
        <v>260</v>
      </c>
      <c r="B716" s="156"/>
      <c r="C716" s="156"/>
      <c r="D716" s="156"/>
      <c r="E716" s="156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80"/>
      <c r="S717" s="81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80"/>
      <c r="S718" s="81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80"/>
      <c r="S719" s="81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80"/>
      <c r="S720" s="81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80"/>
      <c r="S721" s="81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80"/>
      <c r="S722" s="81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80"/>
      <c r="S723" s="81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80"/>
      <c r="S724" s="81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80"/>
      <c r="S725" s="81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80"/>
      <c r="S726" s="81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80"/>
      <c r="S727" s="81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80"/>
      <c r="S728" s="81"/>
    </row>
    <row r="729" spans="1:20" ht="15.75" customHeight="1">
      <c r="A729" s="156" t="s">
        <v>263</v>
      </c>
      <c r="B729" s="156"/>
      <c r="C729" s="156"/>
      <c r="D729" s="156"/>
      <c r="E729" s="156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57" t="s">
        <v>249</v>
      </c>
      <c r="B730" s="157"/>
      <c r="C730" s="157"/>
      <c r="D730" s="157"/>
      <c r="E730" s="157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80"/>
      <c r="S731" s="81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80"/>
      <c r="S732" s="81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80"/>
      <c r="S733" s="81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80"/>
      <c r="S734" s="81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80"/>
      <c r="S735" s="81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80"/>
      <c r="S736" s="81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80"/>
      <c r="S737" s="81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80"/>
      <c r="S738" s="81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80"/>
      <c r="S739" s="81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80"/>
      <c r="S740" s="81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80"/>
      <c r="S741" s="81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80"/>
      <c r="S742" s="81"/>
    </row>
    <row r="743" spans="1:20" ht="15.75" customHeight="1">
      <c r="A743" s="156" t="s">
        <v>260</v>
      </c>
      <c r="B743" s="156"/>
      <c r="C743" s="156"/>
      <c r="D743" s="156"/>
      <c r="E743" s="156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80"/>
      <c r="S744" s="81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80"/>
      <c r="S745" s="81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80"/>
      <c r="S746" s="81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80"/>
      <c r="S747" s="81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80"/>
      <c r="S748" s="81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80"/>
      <c r="S749" s="81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80"/>
      <c r="S750" s="81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80"/>
      <c r="S751" s="81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80"/>
      <c r="S752" s="81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80"/>
      <c r="S753" s="81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80"/>
      <c r="S754" s="81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80"/>
      <c r="S755" s="81"/>
    </row>
    <row r="756" spans="1:20" ht="15.75" customHeight="1">
      <c r="A756" s="156" t="s">
        <v>263</v>
      </c>
      <c r="B756" s="156"/>
      <c r="C756" s="156"/>
      <c r="D756" s="156"/>
      <c r="E756" s="156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57" t="s">
        <v>249</v>
      </c>
      <c r="B757" s="157"/>
      <c r="C757" s="157"/>
      <c r="D757" s="157"/>
      <c r="E757" s="157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80"/>
      <c r="S758" s="81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80"/>
      <c r="S759" s="81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80"/>
      <c r="S760" s="81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80"/>
      <c r="S761" s="81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80"/>
      <c r="S762" s="81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80"/>
      <c r="S763" s="81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80"/>
      <c r="S764" s="81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80"/>
      <c r="S765" s="81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80"/>
      <c r="S766" s="81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80"/>
      <c r="S767" s="81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80"/>
      <c r="S768" s="81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80"/>
      <c r="S769" s="81"/>
    </row>
    <row r="770" spans="1:20" ht="15.75" customHeight="1">
      <c r="A770" s="156" t="s">
        <v>260</v>
      </c>
      <c r="B770" s="156"/>
      <c r="C770" s="156"/>
      <c r="D770" s="156"/>
      <c r="E770" s="156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80"/>
      <c r="S771" s="81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80"/>
      <c r="S772" s="81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80"/>
      <c r="S773" s="81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80"/>
      <c r="S774" s="81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80"/>
      <c r="S775" s="81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80"/>
      <c r="S776" s="81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80"/>
      <c r="S777" s="81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80"/>
      <c r="S778" s="81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80"/>
      <c r="S779" s="81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80"/>
      <c r="S780" s="81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80"/>
      <c r="S781" s="81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80"/>
      <c r="S782" s="81"/>
    </row>
    <row r="783" spans="1:20" ht="15.75" customHeight="1">
      <c r="A783" s="156" t="s">
        <v>263</v>
      </c>
      <c r="B783" s="156"/>
      <c r="C783" s="156"/>
      <c r="D783" s="156"/>
      <c r="E783" s="156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57" t="s">
        <v>249</v>
      </c>
      <c r="B784" s="157"/>
      <c r="C784" s="157"/>
      <c r="D784" s="157"/>
      <c r="E784" s="157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80"/>
      <c r="S785" s="81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80"/>
      <c r="S786" s="81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80"/>
      <c r="S787" s="81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80"/>
      <c r="S788" s="81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80"/>
      <c r="S789" s="81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80"/>
      <c r="S790" s="81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80"/>
      <c r="S791" s="81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80"/>
      <c r="S792" s="81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80"/>
      <c r="S793" s="81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80"/>
      <c r="S794" s="81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80"/>
      <c r="S795" s="81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80"/>
      <c r="S796" s="81"/>
    </row>
    <row r="797" spans="1:20" ht="15.75" customHeight="1">
      <c r="A797" s="156" t="s">
        <v>260</v>
      </c>
      <c r="B797" s="156"/>
      <c r="C797" s="156"/>
      <c r="D797" s="156"/>
      <c r="E797" s="156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80"/>
      <c r="S798" s="81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80"/>
      <c r="S799" s="81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80"/>
      <c r="S800" s="81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80"/>
      <c r="S801" s="81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80"/>
      <c r="S802" s="81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80"/>
      <c r="S803" s="81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80"/>
      <c r="S804" s="81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80"/>
      <c r="S805" s="81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80"/>
      <c r="S806" s="81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80"/>
      <c r="S807" s="81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80"/>
      <c r="S808" s="81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80"/>
      <c r="S809" s="81"/>
    </row>
    <row r="810" spans="1:20" ht="15.75" customHeight="1">
      <c r="A810" s="156" t="s">
        <v>263</v>
      </c>
      <c r="B810" s="156"/>
      <c r="C810" s="156"/>
      <c r="D810" s="156"/>
      <c r="E810" s="156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57" t="s">
        <v>249</v>
      </c>
      <c r="B811" s="157"/>
      <c r="C811" s="157"/>
      <c r="D811" s="157"/>
      <c r="E811" s="157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80"/>
      <c r="S812" s="67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66" t="str">
        <f t="shared" ca="1" si="219"/>
        <v/>
      </c>
      <c r="R813" s="80"/>
      <c r="S813" s="67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71" t="str">
        <f t="shared" ca="1" si="219"/>
        <v/>
      </c>
      <c r="R814" s="80"/>
      <c r="S814" s="67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66" t="str">
        <f t="shared" ca="1" si="219"/>
        <v/>
      </c>
      <c r="R815" s="80"/>
      <c r="S815" s="67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71" t="str">
        <f t="shared" ca="1" si="219"/>
        <v/>
      </c>
      <c r="R816" s="80"/>
      <c r="S816" s="67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66" t="str">
        <f t="shared" ca="1" si="219"/>
        <v/>
      </c>
      <c r="R817" s="80"/>
      <c r="S817" s="67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71" t="str">
        <f t="shared" ca="1" si="219"/>
        <v/>
      </c>
      <c r="R818" s="80"/>
      <c r="S818" s="67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66" t="str">
        <f t="shared" ca="1" si="219"/>
        <v/>
      </c>
      <c r="R819" s="80"/>
      <c r="S819" s="67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71" t="str">
        <f t="shared" ca="1" si="219"/>
        <v/>
      </c>
      <c r="R820" s="80"/>
      <c r="S820" s="67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66" t="str">
        <f t="shared" ca="1" si="219"/>
        <v/>
      </c>
      <c r="R821" s="80"/>
      <c r="S821" s="67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71" t="str">
        <f t="shared" ca="1" si="219"/>
        <v/>
      </c>
      <c r="R822" s="80"/>
      <c r="S822" s="67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66" t="str">
        <f t="shared" ca="1" si="219"/>
        <v/>
      </c>
      <c r="R823" s="80"/>
      <c r="S823" s="67"/>
    </row>
    <row r="824" spans="1:20" ht="15.75" customHeight="1">
      <c r="A824" s="156" t="s">
        <v>260</v>
      </c>
      <c r="B824" s="156"/>
      <c r="C824" s="156"/>
      <c r="D824" s="156"/>
      <c r="E824" s="156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261</v>
      </c>
      <c r="S824" s="113"/>
      <c r="T824" s="114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3">IFERROR(IF(O825="","",IF(P825="",MOD(NOW()-O825,1),IF(P825&gt;=O825,P825-O825,P825+1-O825))),"")</f>
        <v/>
      </c>
      <c r="R825" s="80"/>
      <c r="S825" s="67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66" t="str">
        <f t="shared" ca="1" si="223"/>
        <v/>
      </c>
      <c r="R826" s="80"/>
      <c r="S826" s="67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66" t="str">
        <f t="shared" ca="1" si="223"/>
        <v/>
      </c>
      <c r="R827" s="80"/>
      <c r="S827" s="67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66" t="str">
        <f t="shared" ca="1" si="223"/>
        <v/>
      </c>
      <c r="R828" s="80"/>
      <c r="S828" s="67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66" t="str">
        <f t="shared" ca="1" si="223"/>
        <v/>
      </c>
      <c r="R829" s="80"/>
      <c r="S829" s="67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66" t="str">
        <f t="shared" ca="1" si="223"/>
        <v/>
      </c>
      <c r="R830" s="80"/>
      <c r="S830" s="67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66" t="str">
        <f t="shared" ca="1" si="223"/>
        <v/>
      </c>
      <c r="R831" s="80"/>
      <c r="S831" s="67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66" t="str">
        <f t="shared" ca="1" si="223"/>
        <v/>
      </c>
      <c r="R832" s="80"/>
      <c r="S832" s="67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66" t="str">
        <f t="shared" ca="1" si="223"/>
        <v/>
      </c>
      <c r="R833" s="80"/>
      <c r="S833" s="67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66" t="str">
        <f t="shared" ca="1" si="223"/>
        <v/>
      </c>
      <c r="R834" s="80"/>
      <c r="S834" s="67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66" t="str">
        <f t="shared" ca="1" si="223"/>
        <v/>
      </c>
      <c r="R835" s="80"/>
      <c r="S835" s="67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66" t="str">
        <f t="shared" ca="1" si="223"/>
        <v/>
      </c>
      <c r="R836" s="80"/>
      <c r="S836" s="67"/>
    </row>
    <row r="837" spans="1:20" ht="15.75" customHeight="1">
      <c r="A837" s="156" t="s">
        <v>263</v>
      </c>
      <c r="B837" s="156"/>
      <c r="C837" s="156"/>
      <c r="D837" s="156"/>
      <c r="E837" s="156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261</v>
      </c>
      <c r="S837" s="113"/>
      <c r="T837" s="114">
        <f>IFERROR(J837,"")</f>
        <v>0</v>
      </c>
    </row>
    <row r="838" spans="1:20" ht="18" customHeight="1">
      <c r="A838" s="157" t="s">
        <v>249</v>
      </c>
      <c r="B838" s="157"/>
      <c r="C838" s="157"/>
      <c r="D838" s="157"/>
      <c r="E838" s="157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264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zoomScale="80" zoomScaleNormal="80" workbookViewId="0">
      <pane ySplit="1" topLeftCell="A521" activePane="bottomLeft" state="frozen"/>
      <selection pane="bottomLeft" activeCell="G546" sqref="G546"/>
    </sheetView>
  </sheetViews>
  <sheetFormatPr defaultColWidth="8.5703125" defaultRowHeight="14.45"/>
  <cols>
    <col min="1" max="1" width="15.42578125" style="85" customWidth="1"/>
    <col min="2" max="2" width="9" style="54" customWidth="1"/>
    <col min="3" max="3" width="14" style="54" customWidth="1"/>
    <col min="4" max="5" width="16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10" width="13.85546875" style="54" hidden="1" customWidth="1"/>
    <col min="11" max="11" width="14" style="54" customWidth="1"/>
    <col min="12" max="12" width="32.85546875" style="54" customWidth="1"/>
    <col min="13" max="13" width="30.42578125" style="54" customWidth="1"/>
    <col min="14" max="14" width="46.42578125" style="54" customWidth="1"/>
    <col min="15" max="15" width="12" style="54" customWidth="1"/>
    <col min="16" max="16" width="16.42578125" style="55" customWidth="1"/>
    <col min="17" max="17" width="14" style="54" customWidth="1"/>
    <col min="18" max="18" width="56.5703125" style="54" customWidth="1"/>
    <col min="19" max="19" width="31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296</v>
      </c>
      <c r="I1" s="86" t="s">
        <v>22</v>
      </c>
      <c r="J1" s="86" t="s">
        <v>297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297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29</v>
      </c>
      <c r="M2" s="61"/>
      <c r="N2" s="61" t="s">
        <v>83</v>
      </c>
      <c r="O2" s="65">
        <v>0.45486111111111099</v>
      </c>
      <c r="P2" s="65">
        <v>0.45833333333333298</v>
      </c>
      <c r="Q2" s="66">
        <f t="shared" ref="Q2:Q13" ca="1" si="1">IFERROR(IF(O2="","",IF(P2="",MOD(NOW()-O2,1),IF(P2&gt;=O2,P2-O2,P2+1-O2))),"")</f>
        <v>3.4722222222219878E-3</v>
      </c>
      <c r="R2" s="63"/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8</v>
      </c>
      <c r="H3" s="88"/>
      <c r="I3" s="90"/>
      <c r="J3" s="91"/>
      <c r="K3" s="69">
        <f t="shared" si="0"/>
        <v>33.6</v>
      </c>
      <c r="L3" s="70" t="s">
        <v>28</v>
      </c>
      <c r="M3" s="70" t="s">
        <v>56</v>
      </c>
      <c r="N3" s="70" t="s">
        <v>36</v>
      </c>
      <c r="O3" s="65">
        <v>0.73333333333333295</v>
      </c>
      <c r="P3" s="65">
        <v>0.74305555555555602</v>
      </c>
      <c r="Q3" s="71">
        <f t="shared" ca="1" si="1"/>
        <v>9.7222222222230759E-3</v>
      </c>
      <c r="R3" s="63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10</v>
      </c>
      <c r="H4" s="88"/>
      <c r="I4" s="90"/>
      <c r="J4" s="91"/>
      <c r="K4" s="64">
        <f t="shared" si="0"/>
        <v>42</v>
      </c>
      <c r="L4" s="61"/>
      <c r="M4" s="61"/>
      <c r="N4" s="61"/>
      <c r="O4" s="65"/>
      <c r="P4" s="65"/>
      <c r="Q4" s="66" t="str">
        <f t="shared" ca="1" si="1"/>
        <v/>
      </c>
      <c r="R4" s="63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/>
      <c r="M5" s="70"/>
      <c r="N5" s="70"/>
      <c r="O5" s="65"/>
      <c r="P5" s="65"/>
      <c r="Q5" s="71" t="str">
        <f t="shared" ca="1" si="1"/>
        <v/>
      </c>
      <c r="R5" s="63"/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3</v>
      </c>
      <c r="H6" s="88"/>
      <c r="I6" s="90"/>
      <c r="J6" s="91"/>
      <c r="K6" s="64">
        <f t="shared" si="0"/>
        <v>12.600000000000001</v>
      </c>
      <c r="L6" s="61"/>
      <c r="M6" s="61"/>
      <c r="N6" s="61"/>
      <c r="O6" s="65"/>
      <c r="P6" s="65"/>
      <c r="Q6" s="66" t="str">
        <f t="shared" ca="1" si="1"/>
        <v/>
      </c>
      <c r="R6" s="63"/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6</v>
      </c>
      <c r="H7" s="88"/>
      <c r="I7" s="90"/>
      <c r="J7" s="91"/>
      <c r="K7" s="69">
        <f t="shared" si="0"/>
        <v>25.200000000000003</v>
      </c>
      <c r="L7" s="70"/>
      <c r="M7" s="70"/>
      <c r="N7" s="70"/>
      <c r="O7" s="65"/>
      <c r="P7" s="65"/>
      <c r="Q7" s="71" t="str">
        <f t="shared" ca="1" si="1"/>
        <v/>
      </c>
      <c r="R7" s="63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12</v>
      </c>
      <c r="H8" s="88"/>
      <c r="I8" s="90"/>
      <c r="J8" s="91"/>
      <c r="K8" s="64">
        <f t="shared" si="0"/>
        <v>50.400000000000006</v>
      </c>
      <c r="L8" s="61"/>
      <c r="M8" s="61"/>
      <c r="N8" s="61"/>
      <c r="O8" s="65"/>
      <c r="P8" s="65"/>
      <c r="Q8" s="66" t="str">
        <f t="shared" ca="1" si="1"/>
        <v/>
      </c>
      <c r="R8" s="63"/>
      <c r="S8" s="67"/>
    </row>
    <row r="9" spans="1:20" ht="15" customHeight="1">
      <c r="A9" s="18">
        <v>8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8</v>
      </c>
      <c r="H9" s="88"/>
      <c r="I9" s="90"/>
      <c r="J9" s="91"/>
      <c r="K9" s="69">
        <f t="shared" si="0"/>
        <v>33.6</v>
      </c>
      <c r="L9" s="70"/>
      <c r="M9" s="70"/>
      <c r="N9" s="70"/>
      <c r="O9" s="65"/>
      <c r="P9" s="65"/>
      <c r="Q9" s="71" t="str">
        <f t="shared" ca="1" si="1"/>
        <v/>
      </c>
      <c r="R9" s="63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9</v>
      </c>
      <c r="H11" s="88"/>
      <c r="I11" s="90"/>
      <c r="J11" s="91"/>
      <c r="K11" s="69">
        <f t="shared" si="0"/>
        <v>37.800000000000004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5</v>
      </c>
      <c r="H12" s="88"/>
      <c r="I12" s="90"/>
      <c r="J12" s="91"/>
      <c r="K12" s="64">
        <f t="shared" si="0"/>
        <v>21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3</v>
      </c>
      <c r="H13" s="92"/>
      <c r="I13" s="93"/>
      <c r="J13" s="94"/>
      <c r="K13" s="69">
        <f t="shared" si="0"/>
        <v>12.600000000000001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67"/>
    </row>
    <row r="14" spans="1:20" ht="15.75" customHeight="1">
      <c r="A14" s="156" t="s">
        <v>260</v>
      </c>
      <c r="B14" s="156"/>
      <c r="C14" s="156"/>
      <c r="D14" s="156"/>
      <c r="E14" s="156"/>
      <c r="F14" s="95"/>
      <c r="G14" s="96">
        <f>SUM(G2:G13)</f>
        <v>81</v>
      </c>
      <c r="H14" s="95"/>
      <c r="I14" s="97"/>
      <c r="J14" s="98"/>
      <c r="K14" s="2">
        <f>SUM(K2:K13)</f>
        <v>340.20000000000005</v>
      </c>
      <c r="L14" s="72"/>
      <c r="M14" s="72"/>
      <c r="N14" s="72"/>
      <c r="O14" s="72"/>
      <c r="P14" s="72"/>
      <c r="Q14" s="73">
        <f ca="1">IFERROR(SUM(Q2:Q13),"")</f>
        <v>1.3194444444445064E-2</v>
      </c>
      <c r="R14" s="2" t="s">
        <v>261</v>
      </c>
      <c r="S14" s="74">
        <v>326520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274</v>
      </c>
      <c r="F15" s="101"/>
      <c r="G15" s="89">
        <v>16</v>
      </c>
      <c r="H15" s="101"/>
      <c r="I15" s="102"/>
      <c r="J15" s="103"/>
      <c r="K15" s="69">
        <f t="shared" ref="K15:K26" si="3">IF(G15="","",IF(E15="PC 17",G15*4.2,IF(E15="PC 19",G15*5,IF(E15="CB",G15*24,""))))</f>
        <v>67.2</v>
      </c>
      <c r="L15" s="70" t="s">
        <v>28</v>
      </c>
      <c r="M15" s="70" t="s">
        <v>56</v>
      </c>
      <c r="N15" s="70" t="s">
        <v>64</v>
      </c>
      <c r="O15" s="65">
        <v>0.92708333333333304</v>
      </c>
      <c r="P15" s="65">
        <v>0.96180555555555602</v>
      </c>
      <c r="Q15" s="71">
        <f t="shared" ref="Q15:Q26" ca="1" si="4">IFERROR(IF(O15="","",IF(P15="",MOD(NOW()-O15,1),IF(P15&gt;=O15,P15-O15,P15+1-O15))),"")</f>
        <v>3.4722222222222987E-2</v>
      </c>
      <c r="R15" s="63" t="s">
        <v>340</v>
      </c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274</v>
      </c>
      <c r="F16" s="88"/>
      <c r="G16" s="89">
        <v>9</v>
      </c>
      <c r="H16" s="88"/>
      <c r="I16" s="90"/>
      <c r="J16" s="91"/>
      <c r="K16" s="64">
        <f t="shared" si="3"/>
        <v>37.800000000000004</v>
      </c>
      <c r="L16" s="61" t="s">
        <v>26</v>
      </c>
      <c r="M16" s="61" t="s">
        <v>145</v>
      </c>
      <c r="N16" s="61" t="s">
        <v>58</v>
      </c>
      <c r="O16" s="65">
        <v>2.29166666666667E-2</v>
      </c>
      <c r="P16" s="65">
        <v>2.36111111111111E-2</v>
      </c>
      <c r="Q16" s="71">
        <f t="shared" ca="1" si="4"/>
        <v>6.9444444444440034E-4</v>
      </c>
      <c r="R16" s="63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274</v>
      </c>
      <c r="F17" s="88"/>
      <c r="G17" s="89">
        <v>12</v>
      </c>
      <c r="H17" s="88"/>
      <c r="I17" s="90"/>
      <c r="J17" s="91"/>
      <c r="K17" s="69">
        <f t="shared" si="3"/>
        <v>50.400000000000006</v>
      </c>
      <c r="L17" s="70" t="s">
        <v>29</v>
      </c>
      <c r="M17" s="70" t="s">
        <v>168</v>
      </c>
      <c r="N17" s="70" t="s">
        <v>83</v>
      </c>
      <c r="O17" s="65">
        <v>2.36111111111111E-2</v>
      </c>
      <c r="P17" s="65">
        <v>2.6388888888888899E-2</v>
      </c>
      <c r="Q17" s="71">
        <f t="shared" ca="1" si="4"/>
        <v>2.7777777777777991E-3</v>
      </c>
      <c r="R17" s="63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274</v>
      </c>
      <c r="F18" s="88"/>
      <c r="G18" s="89">
        <v>0</v>
      </c>
      <c r="H18" s="88"/>
      <c r="I18" s="90"/>
      <c r="J18" s="91"/>
      <c r="K18" s="64">
        <f t="shared" si="3"/>
        <v>0</v>
      </c>
      <c r="L18" s="61" t="s">
        <v>26</v>
      </c>
      <c r="M18" s="61" t="s">
        <v>145</v>
      </c>
      <c r="N18" s="61" t="s">
        <v>58</v>
      </c>
      <c r="O18" s="65">
        <v>3.6111111111111101E-2</v>
      </c>
      <c r="P18" s="65">
        <v>3.8194444444444503E-2</v>
      </c>
      <c r="Q18" s="71">
        <f t="shared" ca="1" si="4"/>
        <v>2.0833333333334023E-3</v>
      </c>
      <c r="R18" s="63" t="s">
        <v>301</v>
      </c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274</v>
      </c>
      <c r="F19" s="88"/>
      <c r="G19" s="89">
        <v>8</v>
      </c>
      <c r="H19" s="88"/>
      <c r="I19" s="90"/>
      <c r="J19" s="91"/>
      <c r="K19" s="69">
        <f t="shared" si="3"/>
        <v>33.6</v>
      </c>
      <c r="L19" s="70" t="s">
        <v>29</v>
      </c>
      <c r="M19" s="70"/>
      <c r="N19" s="70" t="s">
        <v>172</v>
      </c>
      <c r="O19" s="65">
        <v>9.375E-2</v>
      </c>
      <c r="P19" s="65">
        <v>0.133333333333333</v>
      </c>
      <c r="Q19" s="71">
        <f t="shared" ca="1" si="4"/>
        <v>3.9583333333332998E-2</v>
      </c>
      <c r="R19" s="63" t="s">
        <v>341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274</v>
      </c>
      <c r="F20" s="88"/>
      <c r="G20" s="89">
        <v>6</v>
      </c>
      <c r="H20" s="88"/>
      <c r="I20" s="90"/>
      <c r="J20" s="91"/>
      <c r="K20" s="64">
        <f t="shared" si="3"/>
        <v>25.200000000000003</v>
      </c>
      <c r="L20" s="61"/>
      <c r="M20" s="61"/>
      <c r="N20" s="61"/>
      <c r="O20" s="65"/>
      <c r="P20" s="65"/>
      <c r="Q20" s="71" t="str">
        <f t="shared" ca="1" si="4"/>
        <v/>
      </c>
      <c r="R20" s="63"/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274</v>
      </c>
      <c r="F21" s="88"/>
      <c r="G21" s="89">
        <v>8</v>
      </c>
      <c r="H21" s="88"/>
      <c r="I21" s="90"/>
      <c r="J21" s="91"/>
      <c r="K21" s="69">
        <f t="shared" si="3"/>
        <v>33.6</v>
      </c>
      <c r="L21" s="70"/>
      <c r="M21" s="70"/>
      <c r="N21" s="70"/>
      <c r="O21" s="65"/>
      <c r="P21" s="65"/>
      <c r="Q21" s="71" t="str">
        <f t="shared" ca="1" si="4"/>
        <v/>
      </c>
      <c r="R21" s="63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274</v>
      </c>
      <c r="F22" s="88"/>
      <c r="G22" s="89">
        <v>5</v>
      </c>
      <c r="H22" s="88"/>
      <c r="I22" s="90"/>
      <c r="J22" s="91"/>
      <c r="K22" s="64">
        <f t="shared" si="3"/>
        <v>21</v>
      </c>
      <c r="L22" s="61"/>
      <c r="M22" s="61"/>
      <c r="N22" s="61"/>
      <c r="O22" s="65"/>
      <c r="P22" s="65"/>
      <c r="Q22" s="71" t="str">
        <f t="shared" ca="1" si="4"/>
        <v/>
      </c>
      <c r="R22" s="63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274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274</v>
      </c>
      <c r="F24" s="88"/>
      <c r="G24" s="89">
        <v>10</v>
      </c>
      <c r="H24" s="88"/>
      <c r="I24" s="90"/>
      <c r="J24" s="91"/>
      <c r="K24" s="64">
        <f t="shared" si="3"/>
        <v>42</v>
      </c>
      <c r="L24" s="61"/>
      <c r="M24" s="61"/>
      <c r="N24" s="61"/>
      <c r="O24" s="65"/>
      <c r="P24" s="65"/>
      <c r="Q24" s="71" t="str">
        <f t="shared" ca="1" si="4"/>
        <v/>
      </c>
      <c r="R24" s="63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55</v>
      </c>
      <c r="E25" s="100" t="s">
        <v>274</v>
      </c>
      <c r="F25" s="88"/>
      <c r="G25" s="89">
        <v>2</v>
      </c>
      <c r="H25" s="88"/>
      <c r="I25" s="90"/>
      <c r="J25" s="91"/>
      <c r="K25" s="69">
        <f t="shared" si="3"/>
        <v>8.4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55</v>
      </c>
      <c r="E26" s="100" t="s">
        <v>274</v>
      </c>
      <c r="F26" s="92"/>
      <c r="G26" s="89">
        <v>5</v>
      </c>
      <c r="H26" s="92"/>
      <c r="I26" s="93"/>
      <c r="J26" s="94"/>
      <c r="K26" s="64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63"/>
      <c r="S26" s="67"/>
    </row>
    <row r="27" spans="1:20" ht="15.75" customHeight="1">
      <c r="A27" s="156" t="s">
        <v>263</v>
      </c>
      <c r="B27" s="156"/>
      <c r="C27" s="156"/>
      <c r="D27" s="156"/>
      <c r="E27" s="156"/>
      <c r="F27" s="105"/>
      <c r="G27" s="96">
        <v>358</v>
      </c>
      <c r="H27" s="105"/>
      <c r="I27" s="106"/>
      <c r="J27" s="107"/>
      <c r="K27" s="2">
        <f>SUM(K15:K26)</f>
        <v>382.19999999999993</v>
      </c>
      <c r="L27" s="72"/>
      <c r="M27" s="72"/>
      <c r="N27" s="72"/>
      <c r="O27" s="72"/>
      <c r="P27" s="72"/>
      <c r="Q27" s="73">
        <f ca="1">IFERROR(SUM(Q15:Q26),"")</f>
        <v>7.9861111111111577E-2</v>
      </c>
      <c r="R27" s="2" t="s">
        <v>261</v>
      </c>
      <c r="S27" s="74">
        <v>358000</v>
      </c>
      <c r="T27" s="99">
        <f>IFERROR(J27,"")</f>
        <v>0</v>
      </c>
    </row>
    <row r="28" spans="1:20" ht="18" customHeight="1">
      <c r="A28" s="157" t="s">
        <v>249</v>
      </c>
      <c r="B28" s="157"/>
      <c r="C28" s="157"/>
      <c r="D28" s="157"/>
      <c r="E28" s="157"/>
      <c r="F28" s="108"/>
      <c r="G28" s="109">
        <f>G14+G27</f>
        <v>439</v>
      </c>
      <c r="H28" s="108"/>
      <c r="I28" s="110"/>
      <c r="J28" s="111"/>
      <c r="K28" s="1">
        <f>K14+K27</f>
        <v>722.4</v>
      </c>
      <c r="L28" s="76"/>
      <c r="M28" s="76"/>
      <c r="N28" s="76"/>
      <c r="O28" s="76"/>
      <c r="P28" s="76"/>
      <c r="Q28" s="77">
        <f ca="1">IFERROR(Q14+Q27,"")</f>
        <v>9.305555555555664E-2</v>
      </c>
      <c r="R28" s="1" t="s">
        <v>264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274</v>
      </c>
      <c r="F29" s="101"/>
      <c r="G29" s="89">
        <v>4</v>
      </c>
      <c r="H29" s="101"/>
      <c r="I29" s="102"/>
      <c r="J29" s="103"/>
      <c r="K29" s="64">
        <f t="shared" ref="K29:K40" si="6">IF(G29="","",IF(E29="PC 17",G29*4.2,IF(E29="PC 19",G29*5,IF(E29="CB",G29*24,""))))</f>
        <v>16.8</v>
      </c>
      <c r="L29" s="70" t="s">
        <v>28</v>
      </c>
      <c r="M29" s="70" t="s">
        <v>56</v>
      </c>
      <c r="N29" s="70" t="s">
        <v>36</v>
      </c>
      <c r="O29" s="65">
        <v>0.59375</v>
      </c>
      <c r="P29" s="65">
        <v>0.61458333333333304</v>
      </c>
      <c r="Q29" s="71">
        <f t="shared" ref="Q29:Q40" ca="1" si="7">IFERROR(IF(O29="","",IF(P29="",MOD(NOW()-O29,1),IF(P29&gt;=O29,P29-O29,P29+1-O29))),"")</f>
        <v>2.0833333333333037E-2</v>
      </c>
      <c r="R29" s="63"/>
      <c r="S29" s="67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31</v>
      </c>
      <c r="E30" s="87" t="s">
        <v>274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70"/>
      <c r="M30" s="61"/>
      <c r="N30" s="61"/>
      <c r="O30" s="65"/>
      <c r="P30" s="65"/>
      <c r="Q30" s="66" t="str">
        <f t="shared" ca="1" si="7"/>
        <v/>
      </c>
      <c r="R30" s="63"/>
      <c r="S30" s="67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31</v>
      </c>
      <c r="E31" s="87" t="s">
        <v>274</v>
      </c>
      <c r="F31" s="88"/>
      <c r="G31" s="89">
        <v>4</v>
      </c>
      <c r="H31" s="88"/>
      <c r="I31" s="90"/>
      <c r="J31" s="91"/>
      <c r="K31" s="64">
        <f t="shared" si="6"/>
        <v>16.8</v>
      </c>
      <c r="M31" s="70"/>
      <c r="N31" s="70"/>
      <c r="O31" s="65"/>
      <c r="P31" s="65"/>
      <c r="Q31" s="71" t="str">
        <f t="shared" ca="1" si="7"/>
        <v/>
      </c>
      <c r="R31" s="63"/>
      <c r="S31" s="67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31</v>
      </c>
      <c r="E32" s="87" t="s">
        <v>274</v>
      </c>
      <c r="F32" s="88"/>
      <c r="G32" s="89">
        <v>4</v>
      </c>
      <c r="H32" s="88"/>
      <c r="I32" s="90"/>
      <c r="J32" s="91"/>
      <c r="K32" s="69">
        <f t="shared" si="6"/>
        <v>16.8</v>
      </c>
      <c r="L32" s="61"/>
      <c r="M32" s="61"/>
      <c r="N32" s="61"/>
      <c r="O32" s="65"/>
      <c r="P32" s="65"/>
      <c r="Q32" s="66" t="str">
        <f t="shared" ca="1" si="7"/>
        <v/>
      </c>
      <c r="R32" s="63"/>
      <c r="S32" s="67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31</v>
      </c>
      <c r="E33" s="87" t="s">
        <v>274</v>
      </c>
      <c r="F33" s="88"/>
      <c r="G33" s="89">
        <v>3</v>
      </c>
      <c r="H33" s="88"/>
      <c r="I33" s="90"/>
      <c r="J33" s="91"/>
      <c r="K33" s="64">
        <f t="shared" si="6"/>
        <v>12.600000000000001</v>
      </c>
      <c r="L33" s="70"/>
      <c r="M33" s="70"/>
      <c r="N33" s="70"/>
      <c r="O33" s="65"/>
      <c r="P33" s="65"/>
      <c r="Q33" s="71" t="str">
        <f t="shared" ca="1" si="7"/>
        <v/>
      </c>
      <c r="R33" s="63"/>
      <c r="S33" s="67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31</v>
      </c>
      <c r="E34" s="87" t="s">
        <v>274</v>
      </c>
      <c r="F34" s="88"/>
      <c r="G34" s="89">
        <v>10</v>
      </c>
      <c r="H34" s="88"/>
      <c r="I34" s="90"/>
      <c r="J34" s="91"/>
      <c r="K34" s="69">
        <f t="shared" si="6"/>
        <v>42</v>
      </c>
      <c r="L34" s="61"/>
      <c r="M34" s="61"/>
      <c r="N34" s="61"/>
      <c r="O34" s="65"/>
      <c r="P34" s="65"/>
      <c r="Q34" s="66" t="str">
        <f t="shared" ca="1" si="7"/>
        <v/>
      </c>
      <c r="R34" s="63"/>
      <c r="S34" s="67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31</v>
      </c>
      <c r="E35" s="87" t="s">
        <v>274</v>
      </c>
      <c r="F35" s="88"/>
      <c r="G35" s="89">
        <v>12</v>
      </c>
      <c r="H35" s="88"/>
      <c r="I35" s="90"/>
      <c r="J35" s="91"/>
      <c r="K35" s="64">
        <f t="shared" si="6"/>
        <v>50.400000000000006</v>
      </c>
      <c r="L35" s="70"/>
      <c r="M35" s="70"/>
      <c r="N35" s="70"/>
      <c r="O35" s="65"/>
      <c r="P35" s="65"/>
      <c r="Q35" s="71" t="str">
        <f t="shared" ca="1" si="7"/>
        <v/>
      </c>
      <c r="R35" s="63"/>
      <c r="S35" s="67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31</v>
      </c>
      <c r="E36" s="87" t="s">
        <v>274</v>
      </c>
      <c r="F36" s="88"/>
      <c r="G36" s="89">
        <v>5</v>
      </c>
      <c r="H36" s="88"/>
      <c r="I36" s="90"/>
      <c r="J36" s="91"/>
      <c r="K36" s="69">
        <f t="shared" si="6"/>
        <v>21</v>
      </c>
      <c r="L36" s="61"/>
      <c r="M36" s="61"/>
      <c r="N36" s="61"/>
      <c r="O36" s="65"/>
      <c r="P36" s="65"/>
      <c r="Q36" s="66" t="str">
        <f t="shared" ca="1" si="7"/>
        <v/>
      </c>
      <c r="R36" s="63"/>
      <c r="S36" s="67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31</v>
      </c>
      <c r="E37" s="87" t="s">
        <v>274</v>
      </c>
      <c r="F37" s="88"/>
      <c r="G37" s="89">
        <v>3</v>
      </c>
      <c r="H37" s="88"/>
      <c r="I37" s="90"/>
      <c r="J37" s="91"/>
      <c r="K37" s="64">
        <f t="shared" si="6"/>
        <v>12.600000000000001</v>
      </c>
      <c r="L37" s="70"/>
      <c r="M37" s="70"/>
      <c r="N37" s="70"/>
      <c r="O37" s="65"/>
      <c r="P37" s="65"/>
      <c r="Q37" s="71" t="str">
        <f t="shared" ca="1" si="7"/>
        <v/>
      </c>
      <c r="R37" s="63"/>
      <c r="S37" s="67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31</v>
      </c>
      <c r="E38" s="87" t="s">
        <v>274</v>
      </c>
      <c r="F38" s="88"/>
      <c r="G38" s="89">
        <v>11</v>
      </c>
      <c r="H38" s="88"/>
      <c r="I38" s="90"/>
      <c r="J38" s="91"/>
      <c r="K38" s="69">
        <f t="shared" si="6"/>
        <v>46.2</v>
      </c>
      <c r="L38" s="61"/>
      <c r="M38" s="61"/>
      <c r="N38" s="61"/>
      <c r="O38" s="65"/>
      <c r="P38" s="65"/>
      <c r="Q38" s="66" t="str">
        <f t="shared" ca="1" si="7"/>
        <v/>
      </c>
      <c r="R38" s="63"/>
      <c r="S38" s="67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31</v>
      </c>
      <c r="E39" s="87" t="s">
        <v>274</v>
      </c>
      <c r="F39" s="88"/>
      <c r="G39" s="89">
        <v>8</v>
      </c>
      <c r="H39" s="88"/>
      <c r="I39" s="90"/>
      <c r="J39" s="91"/>
      <c r="K39" s="64">
        <f t="shared" si="6"/>
        <v>33.6</v>
      </c>
      <c r="L39" s="70"/>
      <c r="M39" s="70"/>
      <c r="N39" s="70"/>
      <c r="O39" s="65"/>
      <c r="P39" s="65"/>
      <c r="Q39" s="71" t="str">
        <f t="shared" ca="1" si="7"/>
        <v/>
      </c>
      <c r="R39" s="63"/>
      <c r="S39" s="67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31</v>
      </c>
      <c r="E40" s="87" t="s">
        <v>274</v>
      </c>
      <c r="F40" s="92"/>
      <c r="G40" s="89">
        <v>0</v>
      </c>
      <c r="H40" s="92"/>
      <c r="I40" s="93"/>
      <c r="J40" s="94"/>
      <c r="K40" s="69">
        <f t="shared" si="6"/>
        <v>0</v>
      </c>
      <c r="L40" s="61"/>
      <c r="M40" s="61"/>
      <c r="N40" s="61"/>
      <c r="O40" s="65"/>
      <c r="P40" s="65"/>
      <c r="Q40" s="66" t="str">
        <f t="shared" ca="1" si="7"/>
        <v/>
      </c>
      <c r="R40" s="63"/>
      <c r="S40" s="67"/>
    </row>
    <row r="41" spans="1:20" ht="15.75" customHeight="1">
      <c r="A41" s="156" t="s">
        <v>260</v>
      </c>
      <c r="B41" s="156"/>
      <c r="C41" s="156"/>
      <c r="D41" s="156"/>
      <c r="E41" s="156"/>
      <c r="F41" s="95"/>
      <c r="G41" s="96">
        <f>SUM(G29:G40)</f>
        <v>77</v>
      </c>
      <c r="H41" s="95"/>
      <c r="I41" s="97"/>
      <c r="J41" s="98"/>
      <c r="K41" s="2">
        <f>SUM(K29:K40)</f>
        <v>323.40000000000003</v>
      </c>
      <c r="L41" s="72"/>
      <c r="M41" s="72"/>
      <c r="N41" s="72"/>
      <c r="O41" s="72"/>
      <c r="P41" s="72"/>
      <c r="Q41" s="73">
        <f ca="1">IFERROR(SUM(Q29:Q40),"")</f>
        <v>2.0833333333333037E-2</v>
      </c>
      <c r="R41" s="2" t="s">
        <v>261</v>
      </c>
      <c r="S41" s="74">
        <v>237080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8</v>
      </c>
      <c r="H42" s="101"/>
      <c r="I42" s="102"/>
      <c r="J42" s="103"/>
      <c r="K42" s="69">
        <f t="shared" ref="K42:K53" si="9">IF(G42="","",IF(E42="PC 17",G42*4.2,IF(E42="PC 19",G42*5,IF(E42="CB",G42*24,""))))</f>
        <v>33.6</v>
      </c>
      <c r="L42" s="61" t="s">
        <v>29</v>
      </c>
      <c r="M42" s="61" t="s">
        <v>56</v>
      </c>
      <c r="N42" s="61" t="s">
        <v>178</v>
      </c>
      <c r="O42" s="65">
        <v>0.82638888888888895</v>
      </c>
      <c r="P42" s="65">
        <v>0.86805555555555602</v>
      </c>
      <c r="Q42" s="66">
        <f t="shared" ref="Q42:Q53" ca="1" si="10">IFERROR(IF(O42="","",IF(P42="",MOD(NOW()-O42,1),IF(P42&gt;=O42,P42-O42,P42+1-O42))),"")</f>
        <v>4.1666666666667074E-2</v>
      </c>
      <c r="R42" s="63" t="s">
        <v>307</v>
      </c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0</v>
      </c>
      <c r="H43" s="88"/>
      <c r="I43" s="90"/>
      <c r="J43" s="91"/>
      <c r="K43" s="64">
        <f t="shared" si="9"/>
        <v>0</v>
      </c>
      <c r="L43" s="70" t="s">
        <v>29</v>
      </c>
      <c r="M43" s="70" t="s">
        <v>56</v>
      </c>
      <c r="N43" s="70" t="s">
        <v>65</v>
      </c>
      <c r="O43" s="65">
        <v>0.9</v>
      </c>
      <c r="P43" s="65">
        <v>0.92638888888888904</v>
      </c>
      <c r="Q43" s="71">
        <f t="shared" ca="1" si="10"/>
        <v>2.6388888888889017E-2</v>
      </c>
      <c r="R43" s="63" t="s">
        <v>340</v>
      </c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5</v>
      </c>
      <c r="H44" s="88"/>
      <c r="I44" s="90"/>
      <c r="J44" s="91"/>
      <c r="K44" s="69">
        <f t="shared" si="9"/>
        <v>21</v>
      </c>
      <c r="L44" s="61" t="s">
        <v>29</v>
      </c>
      <c r="M44" s="61" t="s">
        <v>56</v>
      </c>
      <c r="N44" s="61" t="s">
        <v>60</v>
      </c>
      <c r="O44" s="65">
        <v>0.93055555555555602</v>
      </c>
      <c r="P44" s="65">
        <v>0.93611111111111101</v>
      </c>
      <c r="Q44" s="66">
        <f t="shared" ca="1" si="10"/>
        <v>5.5555555555549807E-3</v>
      </c>
      <c r="R44" s="63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5</v>
      </c>
      <c r="H45" s="88"/>
      <c r="I45" s="90"/>
      <c r="J45" s="91"/>
      <c r="K45" s="64">
        <f t="shared" si="9"/>
        <v>21</v>
      </c>
      <c r="L45" s="70" t="s">
        <v>29</v>
      </c>
      <c r="M45" s="70" t="s">
        <v>56</v>
      </c>
      <c r="N45" s="70" t="s">
        <v>60</v>
      </c>
      <c r="O45" s="65">
        <v>0.94027777777777799</v>
      </c>
      <c r="P45" s="65">
        <v>0.94583333333333297</v>
      </c>
      <c r="Q45" s="71">
        <f t="shared" ca="1" si="10"/>
        <v>5.5555555555549807E-3</v>
      </c>
      <c r="R45" s="63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12</v>
      </c>
      <c r="H46" s="88"/>
      <c r="I46" s="90"/>
      <c r="J46" s="91"/>
      <c r="K46" s="69">
        <f t="shared" si="9"/>
        <v>50.400000000000006</v>
      </c>
      <c r="L46" s="61" t="s">
        <v>29</v>
      </c>
      <c r="M46" s="61" t="s">
        <v>56</v>
      </c>
      <c r="N46" s="61" t="s">
        <v>60</v>
      </c>
      <c r="O46" s="65">
        <v>0.97222222222222199</v>
      </c>
      <c r="P46" s="65">
        <v>0.97916666666666696</v>
      </c>
      <c r="Q46" s="66">
        <f t="shared" ca="1" si="10"/>
        <v>6.9444444444449749E-3</v>
      </c>
      <c r="R46" s="63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9</v>
      </c>
      <c r="H47" s="88"/>
      <c r="I47" s="90"/>
      <c r="J47" s="91"/>
      <c r="K47" s="64">
        <f t="shared" si="9"/>
        <v>37.800000000000004</v>
      </c>
      <c r="L47" s="70" t="s">
        <v>29</v>
      </c>
      <c r="M47" s="70" t="s">
        <v>56</v>
      </c>
      <c r="N47" s="70" t="s">
        <v>60</v>
      </c>
      <c r="O47" s="65">
        <v>1.0416666666666701E-2</v>
      </c>
      <c r="P47" s="65">
        <v>2.0833333333333301E-2</v>
      </c>
      <c r="Q47" s="71">
        <f t="shared" ca="1" si="10"/>
        <v>1.04166666666666E-2</v>
      </c>
      <c r="R47" s="63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7</v>
      </c>
      <c r="H48" s="88"/>
      <c r="I48" s="90"/>
      <c r="J48" s="91"/>
      <c r="K48" s="69">
        <f t="shared" si="9"/>
        <v>29.400000000000002</v>
      </c>
      <c r="L48" s="61" t="s">
        <v>29</v>
      </c>
      <c r="M48" s="61" t="s">
        <v>56</v>
      </c>
      <c r="N48" s="61" t="s">
        <v>60</v>
      </c>
      <c r="O48" s="65">
        <v>4.72222222222222E-2</v>
      </c>
      <c r="P48" s="65">
        <v>5.3472222222222199E-2</v>
      </c>
      <c r="Q48" s="66">
        <f t="shared" ca="1" si="10"/>
        <v>6.2499999999999986E-3</v>
      </c>
      <c r="R48" s="63"/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5</v>
      </c>
      <c r="H49" s="88"/>
      <c r="I49" s="90"/>
      <c r="J49" s="91"/>
      <c r="K49" s="64">
        <f t="shared" si="9"/>
        <v>21</v>
      </c>
      <c r="L49" s="70" t="s">
        <v>29</v>
      </c>
      <c r="M49" s="70" t="s">
        <v>56</v>
      </c>
      <c r="N49" s="70" t="s">
        <v>60</v>
      </c>
      <c r="O49" s="65">
        <v>5.7638888888888899E-2</v>
      </c>
      <c r="P49" s="65">
        <v>6.3888888888888898E-2</v>
      </c>
      <c r="Q49" s="71">
        <f t="shared" ca="1" si="10"/>
        <v>6.2499999999999986E-3</v>
      </c>
      <c r="R49" s="63"/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14</v>
      </c>
      <c r="H50" s="88"/>
      <c r="I50" s="90"/>
      <c r="J50" s="91"/>
      <c r="K50" s="69">
        <f t="shared" si="9"/>
        <v>58.800000000000004</v>
      </c>
      <c r="L50" s="61" t="s">
        <v>28</v>
      </c>
      <c r="M50" s="61" t="s">
        <v>56</v>
      </c>
      <c r="N50" s="61" t="s">
        <v>36</v>
      </c>
      <c r="O50" s="65">
        <v>6.3888888888888898E-2</v>
      </c>
      <c r="P50" s="65">
        <v>7.2222222222222202E-2</v>
      </c>
      <c r="Q50" s="66">
        <f t="shared" ca="1" si="10"/>
        <v>8.3333333333333037E-3</v>
      </c>
      <c r="R50" s="63" t="s">
        <v>340</v>
      </c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168</v>
      </c>
      <c r="N51" s="70" t="s">
        <v>83</v>
      </c>
      <c r="O51" s="65">
        <v>0.12986111111111101</v>
      </c>
      <c r="P51" s="65">
        <v>0.132638888888889</v>
      </c>
      <c r="Q51" s="71">
        <f t="shared" ca="1" si="10"/>
        <v>2.77777777777799E-3</v>
      </c>
      <c r="R51" s="63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5</v>
      </c>
      <c r="H52" s="88"/>
      <c r="I52" s="90"/>
      <c r="J52" s="91"/>
      <c r="K52" s="69">
        <f t="shared" si="9"/>
        <v>21</v>
      </c>
      <c r="L52" s="61" t="s">
        <v>25</v>
      </c>
      <c r="M52" s="61" t="s">
        <v>56</v>
      </c>
      <c r="N52" s="61" t="s">
        <v>41</v>
      </c>
      <c r="O52" s="65">
        <v>0.15277777777777801</v>
      </c>
      <c r="P52" s="65">
        <v>0.17361111111111099</v>
      </c>
      <c r="Q52" s="66">
        <f t="shared" ca="1" si="10"/>
        <v>2.0833333333332982E-2</v>
      </c>
      <c r="R52" s="63"/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/>
      <c r="H53" s="92"/>
      <c r="I53" s="93"/>
      <c r="J53" s="94"/>
      <c r="K53" s="64" t="str">
        <f t="shared" si="9"/>
        <v/>
      </c>
      <c r="L53" s="70" t="s">
        <v>29</v>
      </c>
      <c r="M53" s="70" t="s">
        <v>56</v>
      </c>
      <c r="N53" s="70" t="s">
        <v>144</v>
      </c>
      <c r="O53" s="65">
        <v>0.20833333333333301</v>
      </c>
      <c r="P53" s="65">
        <v>0.22222222222222199</v>
      </c>
      <c r="Q53" s="71">
        <f t="shared" ca="1" si="10"/>
        <v>1.3888888888888978E-2</v>
      </c>
      <c r="R53" s="63"/>
      <c r="S53" s="67"/>
    </row>
    <row r="54" spans="1:20" ht="15.75" customHeight="1">
      <c r="A54" s="156" t="s">
        <v>263</v>
      </c>
      <c r="B54" s="156"/>
      <c r="C54" s="156"/>
      <c r="D54" s="156"/>
      <c r="E54" s="156"/>
      <c r="F54" s="105"/>
      <c r="G54" s="96">
        <f>SUM(G42:G53)</f>
        <v>70</v>
      </c>
      <c r="H54" s="105"/>
      <c r="I54" s="106"/>
      <c r="J54" s="107"/>
      <c r="K54" s="2">
        <f>SUM(K42:K53)</f>
        <v>294</v>
      </c>
      <c r="L54" s="72"/>
      <c r="M54" s="72"/>
      <c r="N54" s="72"/>
      <c r="O54" s="72"/>
      <c r="P54" s="72"/>
      <c r="Q54" s="73">
        <f ca="1">IFERROR(SUM(Q42:Q53),"")</f>
        <v>0.15486111111111089</v>
      </c>
      <c r="R54" s="2" t="s">
        <v>261</v>
      </c>
      <c r="S54" s="74">
        <v>279980</v>
      </c>
      <c r="T54" s="99">
        <f>IFERROR(J54,"")</f>
        <v>0</v>
      </c>
    </row>
    <row r="55" spans="1:20" ht="18" customHeight="1">
      <c r="A55" s="157" t="s">
        <v>249</v>
      </c>
      <c r="B55" s="157"/>
      <c r="C55" s="157"/>
      <c r="D55" s="157"/>
      <c r="E55" s="157"/>
      <c r="F55" s="108"/>
      <c r="G55" s="109">
        <f>G41+G54</f>
        <v>147</v>
      </c>
      <c r="H55" s="108"/>
      <c r="I55" s="110"/>
      <c r="J55" s="111"/>
      <c r="K55" s="1">
        <f>K41+K54</f>
        <v>617.40000000000009</v>
      </c>
      <c r="L55" s="76"/>
      <c r="M55" s="76"/>
      <c r="N55" s="76"/>
      <c r="O55" s="76"/>
      <c r="P55" s="76"/>
      <c r="Q55" s="77">
        <f ca="1">IFERROR(Q41+Q54,"")</f>
        <v>0.17569444444444393</v>
      </c>
      <c r="R55" s="1" t="s">
        <v>264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7</v>
      </c>
      <c r="H56" s="101"/>
      <c r="I56" s="102"/>
      <c r="J56" s="103"/>
      <c r="K56" s="64">
        <f t="shared" ref="K56:K67" si="12">IF(G56="","",IF(E56="PC 17",G56*4.2,IF(E56="PC 19",G56*5,IF(E56="CB",G56*24,""))))</f>
        <v>29.400000000000002</v>
      </c>
      <c r="L56" s="61" t="s">
        <v>29</v>
      </c>
      <c r="M56" s="61" t="s">
        <v>133</v>
      </c>
      <c r="N56" s="61" t="s">
        <v>123</v>
      </c>
      <c r="O56" s="65">
        <v>0.40277777777777801</v>
      </c>
      <c r="P56" s="65">
        <v>0.40833333333333299</v>
      </c>
      <c r="Q56" s="66">
        <f t="shared" ref="Q56:Q67" ca="1" si="13">IFERROR(IF(O56="","",IF(P56="",MOD(NOW()-O56,1),IF(P56&gt;=O56,P56-O56,P56+1-O56))),"")</f>
        <v>5.5555555555549807E-3</v>
      </c>
      <c r="R56" s="63"/>
      <c r="S56" s="67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55</v>
      </c>
      <c r="E57" s="87" t="s">
        <v>274</v>
      </c>
      <c r="F57" s="88"/>
      <c r="G57" s="89">
        <v>4</v>
      </c>
      <c r="H57" s="88"/>
      <c r="I57" s="90"/>
      <c r="J57" s="91"/>
      <c r="K57" s="69">
        <f t="shared" si="12"/>
        <v>16.8</v>
      </c>
      <c r="L57" s="70" t="s">
        <v>29</v>
      </c>
      <c r="M57" s="70" t="s">
        <v>133</v>
      </c>
      <c r="N57" s="61" t="s">
        <v>123</v>
      </c>
      <c r="O57" s="65">
        <v>0.46666666666666701</v>
      </c>
      <c r="P57" s="65">
        <v>0.484027777777778</v>
      </c>
      <c r="Q57" s="71">
        <f t="shared" ca="1" si="13"/>
        <v>1.7361111111110994E-2</v>
      </c>
      <c r="R57" s="63"/>
      <c r="S57" s="67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3</v>
      </c>
      <c r="H58" s="88"/>
      <c r="I58" s="90"/>
      <c r="J58" s="91"/>
      <c r="K58" s="64">
        <f t="shared" si="12"/>
        <v>12.600000000000001</v>
      </c>
      <c r="L58" s="61" t="s">
        <v>29</v>
      </c>
      <c r="M58" s="61" t="s">
        <v>56</v>
      </c>
      <c r="N58" s="61" t="s">
        <v>60</v>
      </c>
      <c r="O58" s="65">
        <v>0.49583333333333302</v>
      </c>
      <c r="P58" s="65">
        <v>0.50208333333333299</v>
      </c>
      <c r="Q58" s="66">
        <f t="shared" ca="1" si="13"/>
        <v>6.2499999999999778E-3</v>
      </c>
      <c r="R58" s="63"/>
      <c r="S58" s="67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55</v>
      </c>
      <c r="E59" s="87" t="s">
        <v>274</v>
      </c>
      <c r="F59" s="88"/>
      <c r="G59" s="89">
        <v>4</v>
      </c>
      <c r="H59" s="88"/>
      <c r="I59" s="90"/>
      <c r="J59" s="91"/>
      <c r="K59" s="69">
        <f t="shared" si="12"/>
        <v>16.8</v>
      </c>
      <c r="L59" s="61" t="s">
        <v>29</v>
      </c>
      <c r="M59" s="70" t="s">
        <v>56</v>
      </c>
      <c r="N59" s="61" t="s">
        <v>60</v>
      </c>
      <c r="O59" s="65">
        <v>0.51180555555555596</v>
      </c>
      <c r="P59" s="65">
        <v>0.51736111111111105</v>
      </c>
      <c r="Q59" s="71">
        <f t="shared" ca="1" si="13"/>
        <v>5.5555555555550917E-3</v>
      </c>
      <c r="R59" s="63"/>
      <c r="S59" s="67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55</v>
      </c>
      <c r="E60" s="87" t="s">
        <v>274</v>
      </c>
      <c r="F60" s="88"/>
      <c r="G60" s="89">
        <v>5</v>
      </c>
      <c r="H60" s="88"/>
      <c r="I60" s="90"/>
      <c r="J60" s="91"/>
      <c r="K60" s="64">
        <f t="shared" si="12"/>
        <v>21</v>
      </c>
      <c r="L60" s="61" t="s">
        <v>29</v>
      </c>
      <c r="M60" s="61" t="s">
        <v>133</v>
      </c>
      <c r="N60" s="61" t="s">
        <v>123</v>
      </c>
      <c r="O60" s="65">
        <v>0.51249999999999996</v>
      </c>
      <c r="P60" s="65">
        <v>0.52777777777777801</v>
      </c>
      <c r="Q60" s="66">
        <f t="shared" ca="1" si="13"/>
        <v>1.5277777777778057E-2</v>
      </c>
      <c r="R60" s="63"/>
      <c r="S60" s="67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55</v>
      </c>
      <c r="E61" s="87" t="s">
        <v>274</v>
      </c>
      <c r="F61" s="88"/>
      <c r="G61" s="89">
        <v>6</v>
      </c>
      <c r="H61" s="88"/>
      <c r="I61" s="90"/>
      <c r="J61" s="91"/>
      <c r="K61" s="69">
        <f t="shared" si="12"/>
        <v>25.200000000000003</v>
      </c>
      <c r="L61" s="70" t="s">
        <v>29</v>
      </c>
      <c r="M61" s="70" t="s">
        <v>56</v>
      </c>
      <c r="N61" s="70" t="s">
        <v>60</v>
      </c>
      <c r="O61" s="65">
        <v>0.56458333333333299</v>
      </c>
      <c r="P61" s="65">
        <v>0.56944444444444398</v>
      </c>
      <c r="Q61" s="71">
        <f t="shared" ca="1" si="13"/>
        <v>4.8611111111109828E-3</v>
      </c>
      <c r="R61" s="63"/>
      <c r="S61" s="67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55</v>
      </c>
      <c r="E62" s="87" t="s">
        <v>274</v>
      </c>
      <c r="F62" s="88"/>
      <c r="G62" s="89">
        <v>0</v>
      </c>
      <c r="H62" s="88"/>
      <c r="I62" s="90"/>
      <c r="J62" s="91"/>
      <c r="K62" s="64">
        <f t="shared" si="12"/>
        <v>0</v>
      </c>
      <c r="L62" s="61" t="s">
        <v>27</v>
      </c>
      <c r="M62" s="61"/>
      <c r="N62" s="61" t="s">
        <v>140</v>
      </c>
      <c r="O62" s="65">
        <v>0.61458333333333304</v>
      </c>
      <c r="P62" s="65">
        <v>0.64305555555555605</v>
      </c>
      <c r="Q62" s="66">
        <f t="shared" ca="1" si="13"/>
        <v>2.8472222222223009E-2</v>
      </c>
      <c r="R62" s="63" t="s">
        <v>342</v>
      </c>
      <c r="S62" s="67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55</v>
      </c>
      <c r="E63" s="87" t="s">
        <v>274</v>
      </c>
      <c r="F63" s="88"/>
      <c r="G63" s="89">
        <v>0</v>
      </c>
      <c r="H63" s="88"/>
      <c r="I63" s="90"/>
      <c r="J63" s="91"/>
      <c r="K63" s="69">
        <f t="shared" si="12"/>
        <v>0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67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55</v>
      </c>
      <c r="E64" s="87" t="s">
        <v>274</v>
      </c>
      <c r="F64" s="88"/>
      <c r="G64" s="89">
        <v>10</v>
      </c>
      <c r="H64" s="88"/>
      <c r="I64" s="90"/>
      <c r="J64" s="91"/>
      <c r="K64" s="64">
        <f t="shared" si="12"/>
        <v>42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67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55</v>
      </c>
      <c r="E65" s="87" t="s">
        <v>274</v>
      </c>
      <c r="F65" s="88"/>
      <c r="G65" s="89">
        <v>5</v>
      </c>
      <c r="H65" s="88"/>
      <c r="I65" s="90"/>
      <c r="J65" s="91"/>
      <c r="K65" s="69">
        <f t="shared" si="12"/>
        <v>21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67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55</v>
      </c>
      <c r="E66" s="87" t="s">
        <v>274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67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55</v>
      </c>
      <c r="E67" s="87" t="s">
        <v>274</v>
      </c>
      <c r="F67" s="92"/>
      <c r="G67" s="89">
        <v>1</v>
      </c>
      <c r="H67" s="92"/>
      <c r="I67" s="93"/>
      <c r="J67" s="94"/>
      <c r="K67" s="69">
        <f t="shared" si="12"/>
        <v>4.2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67"/>
    </row>
    <row r="68" spans="1:20" ht="15.75" customHeight="1">
      <c r="A68" s="156" t="s">
        <v>260</v>
      </c>
      <c r="B68" s="156"/>
      <c r="C68" s="156"/>
      <c r="D68" s="156"/>
      <c r="E68" s="156"/>
      <c r="F68" s="95"/>
      <c r="G68" s="96">
        <f>SUM(G56:G67)</f>
        <v>50</v>
      </c>
      <c r="H68" s="95"/>
      <c r="I68" s="97"/>
      <c r="J68" s="98"/>
      <c r="K68" s="2">
        <f>SUM(K56:K67)</f>
        <v>210</v>
      </c>
      <c r="L68" s="72"/>
      <c r="M68" s="72"/>
      <c r="N68" s="72"/>
      <c r="O68" s="72"/>
      <c r="P68" s="72"/>
      <c r="Q68" s="73">
        <f ca="1">IFERROR(SUM(Q56:Q67),"")</f>
        <v>8.3333333333333093E-2</v>
      </c>
      <c r="R68" s="2" t="s">
        <v>261</v>
      </c>
      <c r="S68" s="74">
        <v>221380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6</v>
      </c>
      <c r="H69" s="101"/>
      <c r="I69" s="102"/>
      <c r="J69" s="103"/>
      <c r="K69" s="69">
        <f t="shared" ref="K69:K80" si="15">IF(G69="","",IF(E69="PC 17",G69*4.2,IF(E69="PC 19",G69*5,IF(E69="CB",G69*24,""))))</f>
        <v>25.200000000000003</v>
      </c>
      <c r="L69" s="70" t="s">
        <v>29</v>
      </c>
      <c r="M69" s="70" t="s">
        <v>56</v>
      </c>
      <c r="N69" s="70" t="s">
        <v>65</v>
      </c>
      <c r="O69" s="65">
        <v>0.79652777777777795</v>
      </c>
      <c r="P69" s="65">
        <v>0.8125</v>
      </c>
      <c r="Q69" s="71">
        <f t="shared" ref="Q69:Q80" ca="1" si="16">IFERROR(IF(O69="","",IF(P69="",MOD(NOW()-O69,1),IF(P69&gt;=O69,P69-O69,P69+1-O69))),"")</f>
        <v>1.5972222222222054E-2</v>
      </c>
      <c r="R69" s="63" t="s">
        <v>343</v>
      </c>
      <c r="S69" s="67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159</v>
      </c>
      <c r="N70" s="61" t="s">
        <v>197</v>
      </c>
      <c r="O70" s="65">
        <v>0.82083333333333297</v>
      </c>
      <c r="P70" s="65">
        <v>0.82638888888888895</v>
      </c>
      <c r="Q70" s="66">
        <f t="shared" ca="1" si="16"/>
        <v>5.5555555555559799E-3</v>
      </c>
      <c r="R70" s="63"/>
      <c r="S70" s="67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29</v>
      </c>
      <c r="M71" s="70" t="s">
        <v>168</v>
      </c>
      <c r="N71" s="70" t="s">
        <v>83</v>
      </c>
      <c r="O71" s="65">
        <v>0.85972222222222205</v>
      </c>
      <c r="P71" s="65">
        <v>0.86458333333333304</v>
      </c>
      <c r="Q71" s="71">
        <f t="shared" ca="1" si="16"/>
        <v>4.8611111111109828E-3</v>
      </c>
      <c r="R71" s="63"/>
      <c r="S71" s="67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0</v>
      </c>
      <c r="H72" s="88"/>
      <c r="I72" s="90"/>
      <c r="J72" s="91"/>
      <c r="K72" s="64">
        <f t="shared" si="15"/>
        <v>0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66">
        <f t="shared" ca="1" si="16"/>
        <v>3.4722222222219878E-3</v>
      </c>
      <c r="R72" s="63"/>
      <c r="S72" s="67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7</v>
      </c>
      <c r="H73" s="88"/>
      <c r="I73" s="90"/>
      <c r="J73" s="91"/>
      <c r="K73" s="69">
        <f t="shared" si="15"/>
        <v>29.400000000000002</v>
      </c>
      <c r="L73" s="70" t="s">
        <v>29</v>
      </c>
      <c r="M73" s="70" t="s">
        <v>168</v>
      </c>
      <c r="N73" s="70" t="s">
        <v>83</v>
      </c>
      <c r="O73" s="65">
        <v>0.95972222222222203</v>
      </c>
      <c r="P73" s="65">
        <v>0.96388888888888902</v>
      </c>
      <c r="Q73" s="71">
        <f t="shared" ca="1" si="16"/>
        <v>4.1666666666669849E-3</v>
      </c>
      <c r="R73" s="63"/>
      <c r="S73" s="67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0</v>
      </c>
      <c r="H74" s="88"/>
      <c r="I74" s="90"/>
      <c r="J74" s="91"/>
      <c r="K74" s="64">
        <f t="shared" si="15"/>
        <v>0</v>
      </c>
      <c r="L74" s="61"/>
      <c r="M74" s="61"/>
      <c r="N74" s="61"/>
      <c r="O74" s="65"/>
      <c r="P74" s="65"/>
      <c r="Q74" s="66" t="str">
        <f t="shared" ca="1" si="16"/>
        <v/>
      </c>
      <c r="R74" s="63"/>
      <c r="S74" s="67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0</v>
      </c>
      <c r="H75" s="88"/>
      <c r="I75" s="90"/>
      <c r="J75" s="91"/>
      <c r="K75" s="69">
        <f t="shared" si="15"/>
        <v>0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67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6</v>
      </c>
      <c r="H76" s="88"/>
      <c r="I76" s="90"/>
      <c r="J76" s="91"/>
      <c r="K76" s="64">
        <f t="shared" si="15"/>
        <v>25.200000000000003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67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0</v>
      </c>
      <c r="H77" s="88"/>
      <c r="I77" s="90"/>
      <c r="J77" s="91"/>
      <c r="K77" s="69">
        <f t="shared" si="15"/>
        <v>0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67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0</v>
      </c>
      <c r="H78" s="88"/>
      <c r="I78" s="90"/>
      <c r="J78" s="91"/>
      <c r="K78" s="64">
        <f t="shared" si="15"/>
        <v>0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67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/>
      <c r="F79" s="88"/>
      <c r="G79" s="89">
        <v>0</v>
      </c>
      <c r="H79" s="88"/>
      <c r="I79" s="90"/>
      <c r="J79" s="91"/>
      <c r="K79" s="69" t="str">
        <f t="shared" si="15"/>
        <v/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67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5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67"/>
    </row>
    <row r="81" spans="1:20" ht="15.75" customHeight="1">
      <c r="A81" s="156" t="s">
        <v>263</v>
      </c>
      <c r="B81" s="156"/>
      <c r="C81" s="156"/>
      <c r="D81" s="156"/>
      <c r="E81" s="156"/>
      <c r="F81" s="105"/>
      <c r="G81" s="96">
        <f>SUM(G69:G80)</f>
        <v>42</v>
      </c>
      <c r="H81" s="105"/>
      <c r="I81" s="106"/>
      <c r="J81" s="107"/>
      <c r="K81" s="2">
        <f>SUM(K69:K80)</f>
        <v>155.40000000000003</v>
      </c>
      <c r="L81" s="72"/>
      <c r="M81" s="72"/>
      <c r="N81" s="72"/>
      <c r="O81" s="72"/>
      <c r="P81" s="72"/>
      <c r="Q81" s="73">
        <f ca="1">IFERROR(SUM(Q69:Q80),"")</f>
        <v>3.402777777777799E-2</v>
      </c>
      <c r="R81" s="2" t="s">
        <v>261</v>
      </c>
      <c r="S81" s="74">
        <v>185920</v>
      </c>
      <c r="T81" s="99">
        <f>IFERROR(J81,"")</f>
        <v>0</v>
      </c>
    </row>
    <row r="82" spans="1:20" ht="18" customHeight="1">
      <c r="A82" s="157" t="s">
        <v>249</v>
      </c>
      <c r="B82" s="157"/>
      <c r="C82" s="157"/>
      <c r="D82" s="157"/>
      <c r="E82" s="157"/>
      <c r="F82" s="108"/>
      <c r="G82" s="109">
        <f>G68+G81</f>
        <v>92</v>
      </c>
      <c r="H82" s="108"/>
      <c r="I82" s="110"/>
      <c r="J82" s="111"/>
      <c r="K82" s="1">
        <f>K68+K81</f>
        <v>365.40000000000003</v>
      </c>
      <c r="L82" s="76"/>
      <c r="M82" s="76"/>
      <c r="N82" s="76"/>
      <c r="O82" s="76"/>
      <c r="P82" s="76"/>
      <c r="Q82" s="77">
        <f ca="1">IFERROR(Q68+Q81,"")</f>
        <v>0.11736111111111108</v>
      </c>
      <c r="R82" s="1" t="s">
        <v>264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274</v>
      </c>
      <c r="F83" s="101"/>
      <c r="G83" s="89">
        <v>7</v>
      </c>
      <c r="H83" s="101"/>
      <c r="I83" s="102"/>
      <c r="J83" s="103"/>
      <c r="K83" s="64">
        <f t="shared" ref="K83:K94" si="18">IF(G83="","",IF(E83="PC 17",G83*4.2,IF(E83="PC 19",G83*5,IF(E83="CB",G83*24,""))))</f>
        <v>29.400000000000002</v>
      </c>
      <c r="L83" s="70" t="s">
        <v>29</v>
      </c>
      <c r="M83" s="70" t="s">
        <v>56</v>
      </c>
      <c r="N83" s="70" t="s">
        <v>65</v>
      </c>
      <c r="O83" s="65">
        <v>0.33124999999999999</v>
      </c>
      <c r="P83" s="65">
        <v>0.36319444444444399</v>
      </c>
      <c r="Q83" s="71">
        <f t="shared" ref="Q83:Q94" ca="1" si="19">IFERROR(IF(O83="","",IF(P83="",MOD(NOW()-O83,1),IF(P83&gt;=O83,P83-O83,P83+1-O83))),"")</f>
        <v>3.1944444444443998E-2</v>
      </c>
      <c r="R83" s="63" t="s">
        <v>344</v>
      </c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0</v>
      </c>
      <c r="H84" s="88"/>
      <c r="I84" s="90"/>
      <c r="J84" s="91"/>
      <c r="K84" s="69">
        <f t="shared" si="18"/>
        <v>0</v>
      </c>
      <c r="L84" s="61" t="s">
        <v>27</v>
      </c>
      <c r="M84" s="61" t="s">
        <v>148</v>
      </c>
      <c r="N84" s="61" t="s">
        <v>127</v>
      </c>
      <c r="O84" s="65">
        <v>0.56666666666666698</v>
      </c>
      <c r="P84" s="65">
        <v>0.69097222222222199</v>
      </c>
      <c r="Q84" s="66">
        <f t="shared" ca="1" si="19"/>
        <v>0.124305555555555</v>
      </c>
      <c r="R84" s="63" t="s">
        <v>345</v>
      </c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5</v>
      </c>
      <c r="H85" s="88"/>
      <c r="I85" s="90"/>
      <c r="J85" s="91"/>
      <c r="K85" s="64">
        <f t="shared" si="18"/>
        <v>21</v>
      </c>
      <c r="L85" s="70"/>
      <c r="M85" s="70"/>
      <c r="N85" s="61"/>
      <c r="O85" s="65"/>
      <c r="P85" s="65"/>
      <c r="Q85" s="71" t="str">
        <f t="shared" ca="1" si="19"/>
        <v/>
      </c>
      <c r="R85" s="63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12</v>
      </c>
      <c r="H86" s="88"/>
      <c r="I86" s="90"/>
      <c r="J86" s="91"/>
      <c r="K86" s="69">
        <f t="shared" si="18"/>
        <v>50.400000000000006</v>
      </c>
      <c r="L86" s="61"/>
      <c r="M86" s="61"/>
      <c r="N86" s="61"/>
      <c r="O86" s="65"/>
      <c r="P86" s="65"/>
      <c r="Q86" s="66" t="str">
        <f t="shared" ca="1" si="19"/>
        <v/>
      </c>
      <c r="R86" s="63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6</v>
      </c>
      <c r="H87" s="88"/>
      <c r="I87" s="90"/>
      <c r="J87" s="91"/>
      <c r="K87" s="64">
        <f t="shared" si="18"/>
        <v>25.200000000000003</v>
      </c>
      <c r="L87" s="70"/>
      <c r="M87" s="70"/>
      <c r="N87" s="70"/>
      <c r="O87" s="65"/>
      <c r="P87" s="65"/>
      <c r="Q87" s="71" t="str">
        <f t="shared" ca="1" si="19"/>
        <v/>
      </c>
      <c r="R87" s="63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5</v>
      </c>
      <c r="H88" s="88"/>
      <c r="I88" s="90"/>
      <c r="J88" s="91"/>
      <c r="K88" s="69">
        <f t="shared" si="18"/>
        <v>21</v>
      </c>
      <c r="L88" s="61"/>
      <c r="M88" s="61"/>
      <c r="N88" s="61"/>
      <c r="O88" s="65"/>
      <c r="P88" s="65"/>
      <c r="Q88" s="66" t="str">
        <f t="shared" ca="1" si="19"/>
        <v/>
      </c>
      <c r="R88" s="63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7</v>
      </c>
      <c r="H89" s="88"/>
      <c r="I89" s="90"/>
      <c r="J89" s="91"/>
      <c r="K89" s="64">
        <f t="shared" si="18"/>
        <v>29.400000000000002</v>
      </c>
      <c r="L89" s="70"/>
      <c r="M89" s="70"/>
      <c r="N89" s="70"/>
      <c r="O89" s="65"/>
      <c r="P89" s="65"/>
      <c r="Q89" s="71" t="str">
        <f t="shared" ca="1" si="19"/>
        <v/>
      </c>
      <c r="R89" s="63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63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63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3</v>
      </c>
      <c r="H92" s="88"/>
      <c r="I92" s="90"/>
      <c r="J92" s="91"/>
      <c r="K92" s="69">
        <f t="shared" si="18"/>
        <v>12.600000000000001</v>
      </c>
      <c r="L92" s="61"/>
      <c r="M92" s="61"/>
      <c r="N92" s="61"/>
      <c r="O92" s="65"/>
      <c r="P92" s="65"/>
      <c r="Q92" s="66" t="str">
        <f t="shared" ca="1" si="19"/>
        <v/>
      </c>
      <c r="R92" s="63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1</v>
      </c>
      <c r="H93" s="88"/>
      <c r="I93" s="90"/>
      <c r="J93" s="91"/>
      <c r="K93" s="64">
        <f t="shared" si="18"/>
        <v>4.2</v>
      </c>
      <c r="L93" s="70"/>
      <c r="M93" s="70"/>
      <c r="N93" s="70"/>
      <c r="O93" s="65"/>
      <c r="P93" s="65"/>
      <c r="Q93" s="71" t="str">
        <f t="shared" ca="1" si="19"/>
        <v/>
      </c>
      <c r="R93" s="63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2</v>
      </c>
      <c r="H94" s="92"/>
      <c r="I94" s="93"/>
      <c r="J94" s="94"/>
      <c r="K94" s="69">
        <f t="shared" si="18"/>
        <v>8.4</v>
      </c>
      <c r="L94" s="61"/>
      <c r="M94" s="61"/>
      <c r="N94" s="61"/>
      <c r="O94" s="65"/>
      <c r="P94" s="65"/>
      <c r="Q94" s="66" t="str">
        <f t="shared" ca="1" si="19"/>
        <v/>
      </c>
      <c r="R94" s="63"/>
      <c r="S94" s="67"/>
    </row>
    <row r="95" spans="1:20" ht="15.75" customHeight="1">
      <c r="A95" s="156" t="s">
        <v>260</v>
      </c>
      <c r="B95" s="156"/>
      <c r="C95" s="156"/>
      <c r="D95" s="156"/>
      <c r="E95" s="156"/>
      <c r="F95" s="95"/>
      <c r="G95" s="96">
        <f>SUM(G83:G94)</f>
        <v>48</v>
      </c>
      <c r="H95" s="95"/>
      <c r="I95" s="97"/>
      <c r="J95" s="98"/>
      <c r="K95" s="2">
        <f>SUM(K83:K94)</f>
        <v>201.6</v>
      </c>
      <c r="L95" s="72"/>
      <c r="M95" s="72"/>
      <c r="N95" s="72"/>
      <c r="O95" s="72"/>
      <c r="P95" s="72"/>
      <c r="Q95" s="73">
        <f ca="1">IFERROR(SUM(Q83:Q94),"")</f>
        <v>0.156249999999999</v>
      </c>
      <c r="R95" s="2" t="s">
        <v>261</v>
      </c>
      <c r="S95" s="74">
        <v>204160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5</v>
      </c>
      <c r="H96" s="101"/>
      <c r="I96" s="102"/>
      <c r="J96" s="103"/>
      <c r="K96" s="69">
        <f t="shared" ref="K96:K107" si="21">IF(G96="","",IF(E96="PC 17",G96*4.2,IF(E96="PC 19",G96*5,IF(E96="CB",G96*24,""))))</f>
        <v>21</v>
      </c>
      <c r="L96" s="61" t="s">
        <v>27</v>
      </c>
      <c r="M96" s="61" t="s">
        <v>148</v>
      </c>
      <c r="N96" s="61" t="s">
        <v>127</v>
      </c>
      <c r="O96" s="65">
        <v>0.87638888888888899</v>
      </c>
      <c r="P96" s="65">
        <v>0.88263888888888897</v>
      </c>
      <c r="Q96" s="66">
        <f t="shared" ref="Q96:Q107" ca="1" si="22">IFERROR(IF(O96="","",IF(P96="",MOD(NOW()-O96,1),IF(P96&gt;=O96,P96-O96,P96+1-O96))),"")</f>
        <v>6.2499999999999778E-3</v>
      </c>
      <c r="R96" s="63"/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27</v>
      </c>
      <c r="M97" s="70" t="s">
        <v>148</v>
      </c>
      <c r="N97" s="70" t="s">
        <v>127</v>
      </c>
      <c r="O97" s="65">
        <v>0.90833333333333299</v>
      </c>
      <c r="P97" s="65">
        <v>0.94444444444444398</v>
      </c>
      <c r="Q97" s="71">
        <f t="shared" ca="1" si="22"/>
        <v>3.6111111111110983E-2</v>
      </c>
      <c r="R97" s="63" t="s">
        <v>346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5</v>
      </c>
      <c r="H98" s="88"/>
      <c r="I98" s="90"/>
      <c r="J98" s="91"/>
      <c r="K98" s="69">
        <f t="shared" si="21"/>
        <v>21</v>
      </c>
      <c r="L98" s="61" t="s">
        <v>28</v>
      </c>
      <c r="M98" s="61" t="s">
        <v>56</v>
      </c>
      <c r="N98" s="61" t="s">
        <v>36</v>
      </c>
      <c r="O98" s="65">
        <v>0.243055555555556</v>
      </c>
      <c r="P98" s="65">
        <v>0.24791666666666701</v>
      </c>
      <c r="Q98" s="66">
        <f t="shared" ca="1" si="22"/>
        <v>4.8611111111110106E-3</v>
      </c>
      <c r="R98" s="63"/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7</v>
      </c>
      <c r="H99" s="88"/>
      <c r="I99" s="90"/>
      <c r="J99" s="91"/>
      <c r="K99" s="64">
        <f t="shared" si="21"/>
        <v>29.400000000000002</v>
      </c>
      <c r="L99" s="70" t="s">
        <v>29</v>
      </c>
      <c r="M99" s="70" t="s">
        <v>168</v>
      </c>
      <c r="N99" s="70" t="s">
        <v>83</v>
      </c>
      <c r="O99" s="65">
        <v>0.27847222222222201</v>
      </c>
      <c r="P99" s="65">
        <v>0.28472222222222199</v>
      </c>
      <c r="Q99" s="71">
        <f t="shared" ca="1" si="22"/>
        <v>6.2499999999999778E-3</v>
      </c>
      <c r="R99" s="63"/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7</v>
      </c>
      <c r="H100" s="88"/>
      <c r="I100" s="90"/>
      <c r="J100" s="91"/>
      <c r="K100" s="69">
        <f t="shared" si="21"/>
        <v>29.400000000000002</v>
      </c>
      <c r="L100" s="61"/>
      <c r="M100" s="61"/>
      <c r="N100" s="61"/>
      <c r="O100" s="65"/>
      <c r="P100" s="65"/>
      <c r="Q100" s="66" t="str">
        <f t="shared" ca="1" si="22"/>
        <v/>
      </c>
      <c r="R100" s="63"/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11</v>
      </c>
      <c r="H101" s="88"/>
      <c r="I101" s="90"/>
      <c r="J101" s="91"/>
      <c r="K101" s="64">
        <f t="shared" si="21"/>
        <v>46.2</v>
      </c>
      <c r="L101" s="70"/>
      <c r="M101" s="70"/>
      <c r="N101" s="70"/>
      <c r="O101" s="65"/>
      <c r="P101" s="65"/>
      <c r="Q101" s="71" t="str">
        <f t="shared" ca="1" si="22"/>
        <v/>
      </c>
      <c r="R101" s="63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66" t="str">
        <f t="shared" ca="1" si="22"/>
        <v/>
      </c>
      <c r="R102" s="63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7</v>
      </c>
      <c r="H103" s="88"/>
      <c r="I103" s="90"/>
      <c r="J103" s="91"/>
      <c r="K103" s="64">
        <f t="shared" si="21"/>
        <v>29.400000000000002</v>
      </c>
      <c r="L103" s="70"/>
      <c r="M103" s="70"/>
      <c r="N103" s="70"/>
      <c r="O103" s="65"/>
      <c r="P103" s="65"/>
      <c r="Q103" s="71" t="str">
        <f t="shared" ca="1" si="22"/>
        <v/>
      </c>
      <c r="R103" s="63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12</v>
      </c>
      <c r="H104" s="88"/>
      <c r="I104" s="90"/>
      <c r="J104" s="91"/>
      <c r="K104" s="69">
        <f t="shared" si="21"/>
        <v>50.400000000000006</v>
      </c>
      <c r="L104" s="61"/>
      <c r="M104" s="61"/>
      <c r="N104" s="61"/>
      <c r="O104" s="65"/>
      <c r="P104" s="65"/>
      <c r="Q104" s="66" t="str">
        <f t="shared" ca="1" si="22"/>
        <v/>
      </c>
      <c r="R104" s="63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4</v>
      </c>
      <c r="H105" s="88"/>
      <c r="I105" s="90"/>
      <c r="J105" s="91"/>
      <c r="K105" s="64">
        <f t="shared" si="21"/>
        <v>16.8</v>
      </c>
      <c r="L105" s="70"/>
      <c r="M105" s="70"/>
      <c r="N105" s="70"/>
      <c r="O105" s="65"/>
      <c r="P105" s="65"/>
      <c r="Q105" s="71" t="str">
        <f t="shared" ca="1" si="22"/>
        <v/>
      </c>
      <c r="R105" s="63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7</v>
      </c>
      <c r="H106" s="88"/>
      <c r="I106" s="90"/>
      <c r="J106" s="91"/>
      <c r="K106" s="69">
        <f t="shared" si="21"/>
        <v>29.400000000000002</v>
      </c>
      <c r="L106" s="61"/>
      <c r="M106" s="61"/>
      <c r="N106" s="61"/>
      <c r="O106" s="65"/>
      <c r="P106" s="65"/>
      <c r="Q106" s="66" t="str">
        <f t="shared" ca="1" si="22"/>
        <v/>
      </c>
      <c r="R106" s="63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63"/>
      <c r="S107" s="67"/>
    </row>
    <row r="108" spans="1:20" ht="15.75" customHeight="1">
      <c r="A108" s="156" t="s">
        <v>263</v>
      </c>
      <c r="B108" s="156"/>
      <c r="C108" s="156"/>
      <c r="D108" s="156"/>
      <c r="E108" s="156"/>
      <c r="F108" s="105"/>
      <c r="G108" s="96">
        <f>SUM(G96:G107)</f>
        <v>89</v>
      </c>
      <c r="H108" s="105"/>
      <c r="I108" s="106"/>
      <c r="J108" s="107"/>
      <c r="K108" s="2">
        <f>SUM(K96:K107)</f>
        <v>373.8</v>
      </c>
      <c r="L108" s="72"/>
      <c r="M108" s="72"/>
      <c r="N108" s="72"/>
      <c r="O108" s="72"/>
      <c r="P108" s="72"/>
      <c r="Q108" s="73">
        <f ca="1">IFERROR(SUM(Q96:Q107),"")</f>
        <v>5.3472222222221949E-2</v>
      </c>
      <c r="R108" s="2" t="s">
        <v>261</v>
      </c>
      <c r="S108" s="74">
        <v>434370</v>
      </c>
      <c r="T108" s="99">
        <f>IFERROR(J108,"")</f>
        <v>0</v>
      </c>
    </row>
    <row r="109" spans="1:20" ht="18" customHeight="1">
      <c r="A109" s="157" t="s">
        <v>249</v>
      </c>
      <c r="B109" s="157"/>
      <c r="C109" s="157"/>
      <c r="D109" s="157"/>
      <c r="E109" s="157"/>
      <c r="F109" s="108"/>
      <c r="G109" s="109">
        <f>G95+G108</f>
        <v>137</v>
      </c>
      <c r="H109" s="108"/>
      <c r="I109" s="110"/>
      <c r="J109" s="111"/>
      <c r="K109" s="1">
        <f>K95+K108</f>
        <v>575.4</v>
      </c>
      <c r="L109" s="76"/>
      <c r="M109" s="76"/>
      <c r="N109" s="76"/>
      <c r="O109" s="76"/>
      <c r="P109" s="76"/>
      <c r="Q109" s="77">
        <f ca="1">IFERROR(Q95+Q108,"")</f>
        <v>0.20972222222222095</v>
      </c>
      <c r="R109" s="1" t="s">
        <v>264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4</v>
      </c>
      <c r="H110" s="101"/>
      <c r="I110" s="102"/>
      <c r="J110" s="103"/>
      <c r="K110" s="64">
        <f t="shared" ref="K110:K121" si="24">IF(G110="","",IF(E110="PC 17",G110*4.2,IF(E110="PC 19",G110*5,IF(E110="CB",G110*24,""))))</f>
        <v>16.8</v>
      </c>
      <c r="L110" s="61"/>
      <c r="M110" s="61"/>
      <c r="N110" s="61"/>
      <c r="O110" s="65"/>
      <c r="P110" s="65"/>
      <c r="Q110" s="66" t="str">
        <f t="shared" ref="Q110:Q121" ca="1" si="25">IFERROR(IF(O110="","",IF(P110="",MOD(NOW()-O110,1),IF(P110&gt;=O110,P110-O110,P110+1-O110))),"")</f>
        <v/>
      </c>
      <c r="R110" s="63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6</v>
      </c>
      <c r="H111" s="88"/>
      <c r="I111" s="90"/>
      <c r="J111" s="91"/>
      <c r="K111" s="69">
        <f t="shared" si="24"/>
        <v>25.200000000000003</v>
      </c>
      <c r="L111" s="70"/>
      <c r="M111" s="70"/>
      <c r="N111" s="70"/>
      <c r="O111" s="65"/>
      <c r="P111" s="65"/>
      <c r="Q111" s="71" t="str">
        <f t="shared" ca="1" si="25"/>
        <v/>
      </c>
      <c r="R111" s="63"/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5</v>
      </c>
      <c r="H112" s="88"/>
      <c r="I112" s="90"/>
      <c r="J112" s="91"/>
      <c r="K112" s="64">
        <f t="shared" si="24"/>
        <v>21</v>
      </c>
      <c r="L112" s="61"/>
      <c r="M112" s="61"/>
      <c r="N112" s="61"/>
      <c r="O112" s="65"/>
      <c r="P112" s="65"/>
      <c r="Q112" s="66" t="str">
        <f t="shared" ca="1" si="25"/>
        <v/>
      </c>
      <c r="R112" s="63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/>
      <c r="M113" s="70"/>
      <c r="N113" s="70"/>
      <c r="O113" s="65"/>
      <c r="P113" s="65"/>
      <c r="Q113" s="71" t="str">
        <f t="shared" ca="1" si="25"/>
        <v/>
      </c>
      <c r="R113" s="63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6</v>
      </c>
      <c r="H114" s="88"/>
      <c r="I114" s="90"/>
      <c r="J114" s="91"/>
      <c r="K114" s="64">
        <f t="shared" si="24"/>
        <v>25.200000000000003</v>
      </c>
      <c r="L114" s="61"/>
      <c r="M114" s="61"/>
      <c r="N114" s="61"/>
      <c r="O114" s="65"/>
      <c r="P114" s="65"/>
      <c r="Q114" s="66" t="str">
        <f t="shared" ca="1" si="25"/>
        <v/>
      </c>
      <c r="R114" s="63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6</v>
      </c>
      <c r="H115" s="88"/>
      <c r="I115" s="90"/>
      <c r="J115" s="91"/>
      <c r="K115" s="69">
        <f t="shared" si="24"/>
        <v>25.200000000000003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12</v>
      </c>
      <c r="H116" s="88"/>
      <c r="I116" s="90"/>
      <c r="J116" s="91"/>
      <c r="K116" s="64">
        <f t="shared" si="24"/>
        <v>50.400000000000006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5</v>
      </c>
      <c r="H117" s="88"/>
      <c r="I117" s="90"/>
      <c r="J117" s="91"/>
      <c r="K117" s="69">
        <f t="shared" si="24"/>
        <v>21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7</v>
      </c>
      <c r="H118" s="88"/>
      <c r="I118" s="90"/>
      <c r="J118" s="91"/>
      <c r="K118" s="64">
        <f t="shared" si="24"/>
        <v>29.400000000000002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9</v>
      </c>
      <c r="H119" s="88"/>
      <c r="I119" s="90"/>
      <c r="J119" s="91"/>
      <c r="K119" s="69">
        <f t="shared" si="24"/>
        <v>37.800000000000004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6</v>
      </c>
      <c r="H120" s="88"/>
      <c r="I120" s="90"/>
      <c r="J120" s="91"/>
      <c r="K120" s="64">
        <f t="shared" si="24"/>
        <v>25.200000000000003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1</v>
      </c>
      <c r="H121" s="92"/>
      <c r="I121" s="93"/>
      <c r="J121" s="94"/>
      <c r="K121" s="69">
        <f t="shared" si="24"/>
        <v>4.2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67"/>
    </row>
    <row r="122" spans="1:20" ht="15.75" customHeight="1">
      <c r="A122" s="156" t="s">
        <v>260</v>
      </c>
      <c r="B122" s="156"/>
      <c r="C122" s="156"/>
      <c r="D122" s="156"/>
      <c r="E122" s="156"/>
      <c r="F122" s="95"/>
      <c r="G122" s="96">
        <f>SUM(G110:G121)</f>
        <v>78</v>
      </c>
      <c r="H122" s="95"/>
      <c r="I122" s="97"/>
      <c r="J122" s="98"/>
      <c r="K122" s="2">
        <f>SUM(K110:K121)</f>
        <v>327.60000000000002</v>
      </c>
      <c r="L122" s="72"/>
      <c r="M122" s="72"/>
      <c r="N122" s="72"/>
      <c r="O122" s="72"/>
      <c r="P122" s="72"/>
      <c r="Q122" s="73">
        <f ca="1">IFERROR(SUM(Q110:Q121),"")</f>
        <v>0</v>
      </c>
      <c r="R122" s="2" t="s">
        <v>261</v>
      </c>
      <c r="S122" s="74">
        <v>320370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15</v>
      </c>
      <c r="H123" s="101"/>
      <c r="I123" s="102"/>
      <c r="J123" s="103"/>
      <c r="K123" s="69">
        <f t="shared" ref="K123:K134" si="27">IF(G123="","",IF(E123="PC 17",G123*4.2,IF(E123="PC 19",G123*5,IF(E123="CB",G123*24,""))))</f>
        <v>63</v>
      </c>
      <c r="L123" s="70" t="s">
        <v>29</v>
      </c>
      <c r="M123" s="70" t="s">
        <v>168</v>
      </c>
      <c r="N123" s="70" t="s">
        <v>83</v>
      </c>
      <c r="O123" s="65">
        <v>0.82916666666666705</v>
      </c>
      <c r="P123" s="65">
        <v>0.83263888888888904</v>
      </c>
      <c r="Q123" s="71">
        <f t="shared" ref="Q123:Q134" ca="1" si="28">IFERROR(IF(O123="","",IF(P123="",MOD(NOW()-O123,1),IF(P123&gt;=O123,P123-O123,P123+1-O123))),"")</f>
        <v>3.4722222222219878E-3</v>
      </c>
      <c r="R123" s="63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9</v>
      </c>
      <c r="H124" s="88"/>
      <c r="I124" s="90"/>
      <c r="J124" s="91"/>
      <c r="K124" s="64">
        <f t="shared" si="27"/>
        <v>37.800000000000004</v>
      </c>
      <c r="L124" s="61" t="s">
        <v>29</v>
      </c>
      <c r="M124" s="61" t="s">
        <v>168</v>
      </c>
      <c r="N124" s="61" t="s">
        <v>83</v>
      </c>
      <c r="O124" s="65">
        <v>0.85208333333333297</v>
      </c>
      <c r="P124" s="65">
        <v>0.85833333333333295</v>
      </c>
      <c r="Q124" s="66">
        <f t="shared" ca="1" si="28"/>
        <v>6.2499999999999778E-3</v>
      </c>
      <c r="R124" s="63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0</v>
      </c>
      <c r="H125" s="88"/>
      <c r="I125" s="90"/>
      <c r="J125" s="91"/>
      <c r="K125" s="69">
        <f t="shared" si="27"/>
        <v>0</v>
      </c>
      <c r="L125" s="70" t="s">
        <v>29</v>
      </c>
      <c r="M125" s="70" t="s">
        <v>56</v>
      </c>
      <c r="N125" s="70" t="s">
        <v>65</v>
      </c>
      <c r="O125" s="65">
        <v>0.88124999999999998</v>
      </c>
      <c r="P125" s="65">
        <v>0.91458333333333297</v>
      </c>
      <c r="Q125" s="71">
        <f t="shared" ca="1" si="28"/>
        <v>3.3333333333332993E-2</v>
      </c>
      <c r="R125" s="63" t="s">
        <v>347</v>
      </c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28</v>
      </c>
      <c r="M126" s="61" t="s">
        <v>56</v>
      </c>
      <c r="N126" s="61" t="s">
        <v>36</v>
      </c>
      <c r="O126" s="65">
        <v>0.91458333333333297</v>
      </c>
      <c r="P126" s="65">
        <v>0.92638888888888904</v>
      </c>
      <c r="Q126" s="66">
        <f t="shared" ca="1" si="28"/>
        <v>1.1805555555556069E-2</v>
      </c>
      <c r="R126" s="63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12</v>
      </c>
      <c r="H127" s="88"/>
      <c r="I127" s="90"/>
      <c r="J127" s="91"/>
      <c r="K127" s="69">
        <f t="shared" si="27"/>
        <v>50.400000000000006</v>
      </c>
      <c r="L127" s="70" t="s">
        <v>26</v>
      </c>
      <c r="M127" s="70" t="s">
        <v>145</v>
      </c>
      <c r="N127" s="70" t="s">
        <v>58</v>
      </c>
      <c r="O127" s="65">
        <v>0.95</v>
      </c>
      <c r="P127" s="65">
        <v>0.95138888888888895</v>
      </c>
      <c r="Q127" s="71">
        <f t="shared" ca="1" si="28"/>
        <v>1.388888888888995E-3</v>
      </c>
      <c r="R127" s="63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10</v>
      </c>
      <c r="H128" s="88"/>
      <c r="I128" s="90"/>
      <c r="J128" s="91"/>
      <c r="K128" s="64">
        <f t="shared" si="27"/>
        <v>42</v>
      </c>
      <c r="L128" s="61" t="s">
        <v>29</v>
      </c>
      <c r="M128" s="61" t="s">
        <v>56</v>
      </c>
      <c r="N128" s="61" t="s">
        <v>45</v>
      </c>
      <c r="O128" s="65">
        <v>0.97083333333333299</v>
      </c>
      <c r="P128" s="65">
        <v>0.97777777777777797</v>
      </c>
      <c r="Q128" s="66">
        <f t="shared" ca="1" si="28"/>
        <v>6.9444444444449749E-3</v>
      </c>
      <c r="R128" s="63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5</v>
      </c>
      <c r="H129" s="88"/>
      <c r="I129" s="90"/>
      <c r="J129" s="91"/>
      <c r="K129" s="69">
        <f t="shared" si="27"/>
        <v>21</v>
      </c>
      <c r="L129" s="70" t="s">
        <v>29</v>
      </c>
      <c r="M129" s="70"/>
      <c r="N129" s="70" t="s">
        <v>141</v>
      </c>
      <c r="O129" s="65">
        <v>0.149305555555556</v>
      </c>
      <c r="P129" s="65">
        <v>0.15277777777777801</v>
      </c>
      <c r="Q129" s="71">
        <f t="shared" ca="1" si="28"/>
        <v>3.4722222222220156E-3</v>
      </c>
      <c r="R129" s="63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7</v>
      </c>
      <c r="H130" s="88"/>
      <c r="I130" s="90"/>
      <c r="J130" s="91"/>
      <c r="K130" s="64">
        <f t="shared" si="27"/>
        <v>29.400000000000002</v>
      </c>
      <c r="L130" s="61" t="s">
        <v>29</v>
      </c>
      <c r="M130" s="61" t="s">
        <v>56</v>
      </c>
      <c r="N130" s="61" t="s">
        <v>60</v>
      </c>
      <c r="O130" s="65">
        <v>0.226388888888889</v>
      </c>
      <c r="P130" s="65">
        <v>0.23819444444444399</v>
      </c>
      <c r="Q130" s="66">
        <f t="shared" ca="1" si="28"/>
        <v>1.1805555555554986E-2</v>
      </c>
      <c r="R130" s="63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10</v>
      </c>
      <c r="H131" s="88"/>
      <c r="I131" s="90"/>
      <c r="J131" s="91"/>
      <c r="K131" s="69">
        <f t="shared" si="27"/>
        <v>42</v>
      </c>
      <c r="L131" s="70" t="s">
        <v>29</v>
      </c>
      <c r="M131" s="70"/>
      <c r="N131" s="70" t="s">
        <v>210</v>
      </c>
      <c r="O131" s="65">
        <v>0.25347222222222199</v>
      </c>
      <c r="P131" s="65">
        <v>0.25694444444444398</v>
      </c>
      <c r="Q131" s="71">
        <f t="shared" ca="1" si="28"/>
        <v>3.4722222222219878E-3</v>
      </c>
      <c r="R131" s="63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3</v>
      </c>
      <c r="H132" s="88"/>
      <c r="I132" s="90"/>
      <c r="J132" s="91"/>
      <c r="K132" s="64">
        <f t="shared" si="27"/>
        <v>12.600000000000001</v>
      </c>
      <c r="L132" s="61"/>
      <c r="M132" s="61"/>
      <c r="N132" s="61"/>
      <c r="O132" s="65"/>
      <c r="P132" s="65"/>
      <c r="Q132" s="66" t="str">
        <f t="shared" ca="1" si="28"/>
        <v/>
      </c>
      <c r="R132" s="63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10</v>
      </c>
      <c r="H133" s="88"/>
      <c r="I133" s="90"/>
      <c r="J133" s="91"/>
      <c r="K133" s="69">
        <f t="shared" si="27"/>
        <v>42</v>
      </c>
      <c r="L133" s="70"/>
      <c r="M133" s="70"/>
      <c r="N133" s="70"/>
      <c r="O133" s="65"/>
      <c r="P133" s="65"/>
      <c r="Q133" s="71" t="str">
        <f t="shared" ca="1" si="28"/>
        <v/>
      </c>
      <c r="R133" s="63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9</v>
      </c>
      <c r="H134" s="92"/>
      <c r="I134" s="93"/>
      <c r="J134" s="94"/>
      <c r="K134" s="64">
        <f t="shared" si="27"/>
        <v>37.800000000000004</v>
      </c>
      <c r="L134" s="61"/>
      <c r="M134" s="61"/>
      <c r="N134" s="61"/>
      <c r="O134" s="65"/>
      <c r="P134" s="65"/>
      <c r="Q134" s="66" t="str">
        <f t="shared" ca="1" si="28"/>
        <v/>
      </c>
      <c r="R134" s="63"/>
      <c r="S134" s="67"/>
    </row>
    <row r="135" spans="1:20" ht="15.75" customHeight="1">
      <c r="A135" s="156" t="s">
        <v>263</v>
      </c>
      <c r="B135" s="156"/>
      <c r="C135" s="156"/>
      <c r="D135" s="156"/>
      <c r="E135" s="156"/>
      <c r="F135" s="105"/>
      <c r="G135" s="96">
        <f>SUM(G123:G134)</f>
        <v>110</v>
      </c>
      <c r="H135" s="105"/>
      <c r="I135" s="106"/>
      <c r="J135" s="107"/>
      <c r="K135" s="2">
        <f>SUM(K123:K134)</f>
        <v>462.00000000000006</v>
      </c>
      <c r="L135" s="72"/>
      <c r="M135" s="72"/>
      <c r="N135" s="72"/>
      <c r="O135" s="72"/>
      <c r="P135" s="72"/>
      <c r="Q135" s="73">
        <f ca="1">IFERROR(SUM(Q123:Q134),"")</f>
        <v>8.1944444444443987E-2</v>
      </c>
      <c r="R135" s="2" t="s">
        <v>261</v>
      </c>
      <c r="S135" s="74">
        <v>416350</v>
      </c>
      <c r="T135" s="99">
        <f>IFERROR(J135,"")</f>
        <v>0</v>
      </c>
    </row>
    <row r="136" spans="1:20" ht="18" customHeight="1">
      <c r="A136" s="157" t="s">
        <v>249</v>
      </c>
      <c r="B136" s="157"/>
      <c r="C136" s="157"/>
      <c r="D136" s="157"/>
      <c r="E136" s="157"/>
      <c r="F136" s="108"/>
      <c r="G136" s="109">
        <f>G122+G135</f>
        <v>188</v>
      </c>
      <c r="H136" s="108"/>
      <c r="I136" s="110"/>
      <c r="J136" s="111"/>
      <c r="K136" s="1">
        <f>K122+K135</f>
        <v>789.60000000000014</v>
      </c>
      <c r="L136" s="76"/>
      <c r="M136" s="76"/>
      <c r="N136" s="76"/>
      <c r="O136" s="76"/>
      <c r="P136" s="76"/>
      <c r="Q136" s="77">
        <f ca="1">IFERROR(Q122+Q135,"")</f>
        <v>8.1944444444443987E-2</v>
      </c>
      <c r="R136" s="1" t="s">
        <v>264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3</v>
      </c>
      <c r="H137" s="101"/>
      <c r="I137" s="102"/>
      <c r="J137" s="103"/>
      <c r="K137" s="69">
        <f t="shared" ref="K137:K148" si="30">IF(G137="","",IF(E137="PC 17",G137*4.2,IF(E137="PC 19",G137*5,IF(E137="CB",G137*24,""))))</f>
        <v>12.600000000000001</v>
      </c>
      <c r="L137" s="70" t="s">
        <v>28</v>
      </c>
      <c r="M137" s="70" t="s">
        <v>56</v>
      </c>
      <c r="N137" s="70" t="s">
        <v>36</v>
      </c>
      <c r="O137" s="65">
        <v>0.31944444444444398</v>
      </c>
      <c r="P137" s="65">
        <v>0.34027777777777801</v>
      </c>
      <c r="Q137" s="71">
        <f t="shared" ref="Q137:Q148" ca="1" si="31">IFERROR(IF(O137="","",IF(P137="",MOD(NOW()-O137,1),IF(P137&gt;=O137,P137-O137,P137+1-O137))),"")</f>
        <v>2.0833333333334036E-2</v>
      </c>
      <c r="R137" s="54" t="s">
        <v>348</v>
      </c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1</v>
      </c>
      <c r="H138" s="88"/>
      <c r="I138" s="90"/>
      <c r="J138" s="91"/>
      <c r="K138" s="64">
        <f t="shared" si="30"/>
        <v>4.2</v>
      </c>
      <c r="L138" s="61" t="s">
        <v>25</v>
      </c>
      <c r="M138" s="61" t="s">
        <v>56</v>
      </c>
      <c r="N138" s="61" t="s">
        <v>119</v>
      </c>
      <c r="O138" s="65">
        <v>0.40277777777777801</v>
      </c>
      <c r="P138" s="65">
        <v>0.44583333333333303</v>
      </c>
      <c r="Q138" s="66">
        <f t="shared" ca="1" si="31"/>
        <v>4.3055555555555014E-2</v>
      </c>
      <c r="R138" s="63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5</v>
      </c>
      <c r="H139" s="88"/>
      <c r="I139" s="90"/>
      <c r="J139" s="91"/>
      <c r="K139" s="69">
        <f t="shared" si="30"/>
        <v>21</v>
      </c>
      <c r="L139" s="70" t="s">
        <v>29</v>
      </c>
      <c r="M139" s="70" t="s">
        <v>56</v>
      </c>
      <c r="N139" s="70" t="s">
        <v>216</v>
      </c>
      <c r="O139" s="65">
        <v>0.52083333333333304</v>
      </c>
      <c r="P139" s="65">
        <v>0.59375</v>
      </c>
      <c r="Q139" s="71">
        <f t="shared" ca="1" si="31"/>
        <v>7.2916666666666963E-2</v>
      </c>
      <c r="R139" s="63"/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0</v>
      </c>
      <c r="H140" s="88"/>
      <c r="I140" s="90"/>
      <c r="J140" s="91"/>
      <c r="K140" s="64">
        <f t="shared" si="30"/>
        <v>0</v>
      </c>
      <c r="L140" s="61" t="s">
        <v>29</v>
      </c>
      <c r="M140" s="61" t="s">
        <v>148</v>
      </c>
      <c r="N140" s="61" t="s">
        <v>83</v>
      </c>
      <c r="O140" s="65">
        <v>0.625</v>
      </c>
      <c r="P140" s="65">
        <v>0.63333333333333297</v>
      </c>
      <c r="Q140" s="66">
        <f t="shared" ca="1" si="31"/>
        <v>8.3333333333329707E-3</v>
      </c>
      <c r="R140" s="63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3</v>
      </c>
      <c r="H141" s="88"/>
      <c r="I141" s="90"/>
      <c r="J141" s="91"/>
      <c r="K141" s="69">
        <f t="shared" si="30"/>
        <v>12.600000000000001</v>
      </c>
      <c r="L141" s="70" t="s">
        <v>29</v>
      </c>
      <c r="M141" s="70" t="s">
        <v>56</v>
      </c>
      <c r="N141" s="70" t="s">
        <v>60</v>
      </c>
      <c r="O141" s="65">
        <v>0.65069444444444502</v>
      </c>
      <c r="P141" s="65">
        <v>0.65902777777777799</v>
      </c>
      <c r="Q141" s="71">
        <f t="shared" ca="1" si="31"/>
        <v>8.3333333333329707E-3</v>
      </c>
      <c r="R141" s="63"/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0</v>
      </c>
      <c r="H142" s="88"/>
      <c r="I142" s="90"/>
      <c r="J142" s="91"/>
      <c r="K142" s="64">
        <f t="shared" si="30"/>
        <v>0</v>
      </c>
      <c r="L142" s="61"/>
      <c r="M142" s="61"/>
      <c r="N142" s="61"/>
      <c r="O142" s="65"/>
      <c r="P142" s="65"/>
      <c r="Q142" s="66" t="str">
        <f t="shared" ca="1" si="31"/>
        <v/>
      </c>
      <c r="R142" s="63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4</v>
      </c>
      <c r="H143" s="88"/>
      <c r="I143" s="90"/>
      <c r="J143" s="91"/>
      <c r="K143" s="69">
        <f t="shared" si="30"/>
        <v>16.8</v>
      </c>
      <c r="L143" s="70"/>
      <c r="M143" s="70"/>
      <c r="N143" s="70"/>
      <c r="O143" s="65"/>
      <c r="P143" s="65"/>
      <c r="Q143" s="71" t="str">
        <f t="shared" ca="1" si="31"/>
        <v/>
      </c>
      <c r="R143" s="63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4</v>
      </c>
      <c r="H144" s="88"/>
      <c r="I144" s="90"/>
      <c r="J144" s="91"/>
      <c r="K144" s="64">
        <f t="shared" si="30"/>
        <v>16.8</v>
      </c>
      <c r="L144" s="61"/>
      <c r="M144" s="61"/>
      <c r="N144" s="61"/>
      <c r="O144" s="65"/>
      <c r="P144" s="65"/>
      <c r="Q144" s="66" t="str">
        <f t="shared" ca="1" si="31"/>
        <v/>
      </c>
      <c r="R144" s="53" t="s">
        <v>315</v>
      </c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4</v>
      </c>
      <c r="H145" s="88"/>
      <c r="I145" s="90"/>
      <c r="J145" s="91"/>
      <c r="K145" s="69">
        <f t="shared" si="30"/>
        <v>16.8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6</v>
      </c>
      <c r="H146" s="88"/>
      <c r="I146" s="90"/>
      <c r="J146" s="91"/>
      <c r="K146" s="64">
        <f t="shared" si="30"/>
        <v>25.200000000000003</v>
      </c>
      <c r="L146" s="61"/>
      <c r="M146" s="61"/>
      <c r="N146" s="61"/>
      <c r="O146" s="65"/>
      <c r="P146" s="65"/>
      <c r="Q146" s="66" t="str">
        <f t="shared" ca="1" si="31"/>
        <v/>
      </c>
      <c r="R146" s="63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3</v>
      </c>
      <c r="H147" s="88"/>
      <c r="I147" s="90"/>
      <c r="J147" s="91"/>
      <c r="K147" s="69">
        <f t="shared" si="30"/>
        <v>12.600000000000001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0</v>
      </c>
      <c r="H148" s="92"/>
      <c r="I148" s="93"/>
      <c r="J148" s="94"/>
      <c r="K148" s="64">
        <f t="shared" si="30"/>
        <v>0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56" t="s">
        <v>260</v>
      </c>
      <c r="B149" s="156"/>
      <c r="C149" s="156"/>
      <c r="D149" s="156"/>
      <c r="E149" s="156"/>
      <c r="F149" s="95"/>
      <c r="G149" s="96">
        <f>SUM(G137:G148)</f>
        <v>33</v>
      </c>
      <c r="H149" s="95"/>
      <c r="I149" s="97"/>
      <c r="J149" s="98"/>
      <c r="K149" s="2">
        <f>SUM(K137:K148)</f>
        <v>138.6</v>
      </c>
      <c r="L149" s="72"/>
      <c r="M149" s="72"/>
      <c r="N149" s="72"/>
      <c r="O149" s="72"/>
      <c r="P149" s="72"/>
      <c r="Q149" s="73">
        <f ca="1">IFERROR(SUM(Q137:Q148),"")</f>
        <v>0.15347222222222195</v>
      </c>
      <c r="R149" s="2" t="s">
        <v>261</v>
      </c>
      <c r="S149" s="74">
        <v>138890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4</v>
      </c>
      <c r="H150" s="101"/>
      <c r="I150" s="102"/>
      <c r="J150" s="103"/>
      <c r="K150" s="64">
        <f t="shared" ref="K150:K161" si="33">IF(G150="","",IF(E150="PC 17",G150*4.2,IF(E150="PC 19",G150*5,IF(E150="CB",G150*24,""))))</f>
        <v>16.8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63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4</v>
      </c>
      <c r="H151" s="88"/>
      <c r="I151" s="90"/>
      <c r="J151" s="91"/>
      <c r="K151" s="69">
        <f t="shared" si="33"/>
        <v>16.8</v>
      </c>
      <c r="L151" s="70" t="s">
        <v>29</v>
      </c>
      <c r="M151" s="70" t="s">
        <v>56</v>
      </c>
      <c r="N151" s="70" t="s">
        <v>65</v>
      </c>
      <c r="O151" s="65">
        <v>0.86736111111111103</v>
      </c>
      <c r="P151" s="65">
        <v>0.91527777777777797</v>
      </c>
      <c r="Q151" s="71">
        <f t="shared" ca="1" si="34"/>
        <v>4.7916666666666941E-2</v>
      </c>
      <c r="R151" s="63"/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0</v>
      </c>
      <c r="H152" s="88"/>
      <c r="I152" s="90"/>
      <c r="J152" s="91"/>
      <c r="K152" s="64">
        <f t="shared" si="33"/>
        <v>0</v>
      </c>
      <c r="L152" s="61" t="s">
        <v>29</v>
      </c>
      <c r="M152" s="61" t="s">
        <v>56</v>
      </c>
      <c r="N152" s="61" t="s">
        <v>45</v>
      </c>
      <c r="O152" s="65">
        <v>1.7361111111111101E-2</v>
      </c>
      <c r="P152" s="65">
        <v>3.3333333333333298E-2</v>
      </c>
      <c r="Q152" s="66">
        <f t="shared" ca="1" si="34"/>
        <v>1.5972222222222197E-2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4</v>
      </c>
      <c r="H153" s="88"/>
      <c r="I153" s="90"/>
      <c r="J153" s="91"/>
      <c r="K153" s="69">
        <f t="shared" si="33"/>
        <v>16.8</v>
      </c>
      <c r="L153" s="70" t="s">
        <v>29</v>
      </c>
      <c r="M153" s="70" t="s">
        <v>56</v>
      </c>
      <c r="N153" s="70" t="s">
        <v>45</v>
      </c>
      <c r="O153" s="65">
        <v>4.65277777777778E-2</v>
      </c>
      <c r="P153" s="65">
        <v>7.4305555555555597E-2</v>
      </c>
      <c r="Q153" s="71">
        <f t="shared" ca="1" si="34"/>
        <v>2.7777777777777797E-2</v>
      </c>
      <c r="R153" s="63" t="s">
        <v>307</v>
      </c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0</v>
      </c>
      <c r="H155" s="88"/>
      <c r="I155" s="90"/>
      <c r="J155" s="91"/>
      <c r="K155" s="69">
        <f t="shared" si="33"/>
        <v>0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4</v>
      </c>
      <c r="H156" s="88"/>
      <c r="I156" s="90"/>
      <c r="J156" s="91"/>
      <c r="K156" s="64">
        <f t="shared" si="33"/>
        <v>16.8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</v>
      </c>
      <c r="H157" s="88"/>
      <c r="I157" s="90"/>
      <c r="J157" s="91"/>
      <c r="K157" s="69">
        <f t="shared" si="33"/>
        <v>4.2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6</v>
      </c>
      <c r="H158" s="88"/>
      <c r="I158" s="90"/>
      <c r="J158" s="91"/>
      <c r="K158" s="64">
        <f t="shared" si="33"/>
        <v>25.200000000000003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4</v>
      </c>
      <c r="H159" s="88"/>
      <c r="I159" s="90"/>
      <c r="J159" s="91"/>
      <c r="K159" s="69">
        <f t="shared" si="33"/>
        <v>16.8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4</v>
      </c>
      <c r="H160" s="88"/>
      <c r="I160" s="90"/>
      <c r="J160" s="91"/>
      <c r="K160" s="64">
        <f t="shared" si="33"/>
        <v>16.8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2</v>
      </c>
      <c r="H161" s="92"/>
      <c r="I161" s="93"/>
      <c r="J161" s="94"/>
      <c r="K161" s="69">
        <f t="shared" si="33"/>
        <v>8.4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6" t="s">
        <v>263</v>
      </c>
      <c r="B162" s="156"/>
      <c r="C162" s="156"/>
      <c r="D162" s="156"/>
      <c r="E162" s="156"/>
      <c r="F162" s="105"/>
      <c r="G162" s="96">
        <f>SUM(G150:G161)</f>
        <v>43</v>
      </c>
      <c r="H162" s="105"/>
      <c r="I162" s="106"/>
      <c r="J162" s="107"/>
      <c r="K162" s="2">
        <f>SUM(K150:K161)</f>
        <v>180.60000000000005</v>
      </c>
      <c r="L162" s="72"/>
      <c r="M162" s="72"/>
      <c r="N162" s="72"/>
      <c r="O162" s="72"/>
      <c r="P162" s="72"/>
      <c r="Q162" s="73">
        <f ca="1">IFERROR(SUM(Q150:Q161),"")</f>
        <v>0.11180555555555596</v>
      </c>
      <c r="R162" s="2" t="s">
        <v>261</v>
      </c>
      <c r="S162" s="74">
        <v>169760</v>
      </c>
      <c r="T162" s="99">
        <f>IFERROR(J162,"")</f>
        <v>0</v>
      </c>
    </row>
    <row r="163" spans="1:20" ht="18" customHeight="1">
      <c r="A163" s="157" t="s">
        <v>249</v>
      </c>
      <c r="B163" s="157"/>
      <c r="C163" s="157"/>
      <c r="D163" s="157"/>
      <c r="E163" s="157"/>
      <c r="F163" s="108"/>
      <c r="G163" s="109">
        <f>G149+G162</f>
        <v>76</v>
      </c>
      <c r="H163" s="108"/>
      <c r="I163" s="110"/>
      <c r="J163" s="111"/>
      <c r="K163" s="1">
        <f>K149+K162</f>
        <v>319.20000000000005</v>
      </c>
      <c r="L163" s="76"/>
      <c r="M163" s="76"/>
      <c r="N163" s="76"/>
      <c r="O163" s="76"/>
      <c r="P163" s="76"/>
      <c r="Q163" s="77">
        <f ca="1">IFERROR(Q149+Q162,"")</f>
        <v>0.26527777777777795</v>
      </c>
      <c r="R163" s="1" t="s">
        <v>264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4</v>
      </c>
      <c r="H164" s="101"/>
      <c r="I164" s="102"/>
      <c r="J164" s="103"/>
      <c r="K164" s="64">
        <f t="shared" ref="K164:K175" si="36">IF(G164="","",IF(E164="PC 17",G164*4.2,IF(E164="PC 19",G164*5,IF(E164="CB",G164*24,""))))</f>
        <v>16.8</v>
      </c>
      <c r="L164" s="61" t="s">
        <v>29</v>
      </c>
      <c r="M164" s="61" t="s">
        <v>56</v>
      </c>
      <c r="N164" s="61" t="s">
        <v>60</v>
      </c>
      <c r="O164" s="65">
        <v>0.32222222222222202</v>
      </c>
      <c r="P164" s="65">
        <v>0.32569444444444501</v>
      </c>
      <c r="Q164" s="66">
        <f t="shared" ref="Q164:Q175" ca="1" si="37">IFERROR(IF(O164="","",IF(P164="",MOD(NOW()-O164,1),IF(P164&gt;=O164,P164-O164,P164+1-O164))),"")</f>
        <v>3.472222222222987E-3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274</v>
      </c>
      <c r="F165" s="88"/>
      <c r="G165" s="89">
        <v>14</v>
      </c>
      <c r="H165" s="88"/>
      <c r="I165" s="90"/>
      <c r="J165" s="91"/>
      <c r="K165" s="69">
        <f t="shared" si="36"/>
        <v>58.800000000000004</v>
      </c>
      <c r="L165" s="70" t="s">
        <v>29</v>
      </c>
      <c r="M165" s="70" t="s">
        <v>56</v>
      </c>
      <c r="N165" s="70" t="s">
        <v>60</v>
      </c>
      <c r="O165" s="65">
        <v>0.36666666666666697</v>
      </c>
      <c r="P165" s="65">
        <v>0.37152777777777801</v>
      </c>
      <c r="Q165" s="71">
        <f t="shared" ca="1" si="37"/>
        <v>4.8611111111110383E-3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274</v>
      </c>
      <c r="F166" s="88"/>
      <c r="G166" s="89">
        <v>7</v>
      </c>
      <c r="H166" s="88"/>
      <c r="I166" s="90"/>
      <c r="J166" s="91"/>
      <c r="K166" s="64">
        <f t="shared" si="36"/>
        <v>29.400000000000002</v>
      </c>
      <c r="L166" s="61" t="s">
        <v>29</v>
      </c>
      <c r="M166" s="61" t="s">
        <v>56</v>
      </c>
      <c r="N166" s="61" t="s">
        <v>60</v>
      </c>
      <c r="O166" s="65">
        <v>0.42430555555555599</v>
      </c>
      <c r="P166" s="65">
        <v>0.44930555555555601</v>
      </c>
      <c r="Q166" s="71">
        <f t="shared" ca="1" si="37"/>
        <v>2.5000000000000022E-2</v>
      </c>
      <c r="R166" s="63" t="s">
        <v>349</v>
      </c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274</v>
      </c>
      <c r="F167" s="88"/>
      <c r="G167" s="89">
        <v>0</v>
      </c>
      <c r="H167" s="88"/>
      <c r="I167" s="90"/>
      <c r="J167" s="91"/>
      <c r="K167" s="69">
        <f t="shared" si="36"/>
        <v>0</v>
      </c>
      <c r="L167" s="70" t="s">
        <v>29</v>
      </c>
      <c r="M167" s="70" t="s">
        <v>56</v>
      </c>
      <c r="N167" s="70" t="s">
        <v>60</v>
      </c>
      <c r="O167" s="65">
        <v>0.454166666666667</v>
      </c>
      <c r="P167" s="65">
        <v>0.47499999999999998</v>
      </c>
      <c r="Q167" s="71">
        <f t="shared" ca="1" si="37"/>
        <v>2.0833333333332982E-2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274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56</v>
      </c>
      <c r="N168" s="61" t="s">
        <v>60</v>
      </c>
      <c r="O168" s="65">
        <v>0.48055555555555601</v>
      </c>
      <c r="P168" s="65">
        <v>0.484027777777778</v>
      </c>
      <c r="Q168" s="66">
        <f t="shared" ca="1" si="37"/>
        <v>3.4722222222219878E-3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274</v>
      </c>
      <c r="F169" s="88"/>
      <c r="G169" s="89">
        <v>7</v>
      </c>
      <c r="H169" s="88"/>
      <c r="I169" s="90"/>
      <c r="J169" s="91"/>
      <c r="K169" s="69">
        <f t="shared" si="36"/>
        <v>29.400000000000002</v>
      </c>
      <c r="L169" s="70" t="s">
        <v>29</v>
      </c>
      <c r="M169" s="70" t="s">
        <v>56</v>
      </c>
      <c r="N169" s="70" t="s">
        <v>60</v>
      </c>
      <c r="O169" s="65">
        <v>0.48680555555555599</v>
      </c>
      <c r="P169" s="65">
        <v>0.48958333333333298</v>
      </c>
      <c r="Q169" s="71">
        <f t="shared" ca="1" si="37"/>
        <v>2.7777777777769908E-3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274</v>
      </c>
      <c r="F170" s="88"/>
      <c r="G170" s="89">
        <v>5</v>
      </c>
      <c r="H170" s="88"/>
      <c r="I170" s="90"/>
      <c r="J170" s="91"/>
      <c r="K170" s="64">
        <f t="shared" si="36"/>
        <v>21</v>
      </c>
      <c r="L170" s="61" t="s">
        <v>29</v>
      </c>
      <c r="M170" s="61" t="s">
        <v>56</v>
      </c>
      <c r="N170" s="61" t="s">
        <v>60</v>
      </c>
      <c r="O170" s="65">
        <v>0.51041666666666696</v>
      </c>
      <c r="P170" s="65">
        <v>0.51666666666666705</v>
      </c>
      <c r="Q170" s="66">
        <f t="shared" ca="1" si="37"/>
        <v>6.2500000000000888E-3</v>
      </c>
      <c r="R170" s="63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274</v>
      </c>
      <c r="F171" s="88"/>
      <c r="G171" s="89">
        <v>5</v>
      </c>
      <c r="H171" s="88"/>
      <c r="I171" s="90"/>
      <c r="J171" s="91"/>
      <c r="K171" s="69">
        <f t="shared" si="36"/>
        <v>21</v>
      </c>
      <c r="L171" s="70" t="s">
        <v>29</v>
      </c>
      <c r="M171" s="70" t="s">
        <v>56</v>
      </c>
      <c r="N171" s="70" t="s">
        <v>60</v>
      </c>
      <c r="O171" s="65">
        <v>0.59027777777777801</v>
      </c>
      <c r="P171" s="65">
        <v>0.59583333333333299</v>
      </c>
      <c r="Q171" s="71">
        <f t="shared" ca="1" si="37"/>
        <v>5.5555555555549807E-3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274</v>
      </c>
      <c r="F172" s="88"/>
      <c r="G172" s="89">
        <v>4</v>
      </c>
      <c r="H172" s="88"/>
      <c r="I172" s="90"/>
      <c r="J172" s="91"/>
      <c r="K172" s="64">
        <f t="shared" si="36"/>
        <v>16.8</v>
      </c>
      <c r="L172" s="61" t="s">
        <v>29</v>
      </c>
      <c r="M172" s="61" t="s">
        <v>168</v>
      </c>
      <c r="N172" s="61" t="s">
        <v>83</v>
      </c>
      <c r="O172" s="65">
        <v>0.63194444444444398</v>
      </c>
      <c r="P172" s="65">
        <v>0.63611111111111096</v>
      </c>
      <c r="Q172" s="66">
        <f t="shared" ca="1" si="37"/>
        <v>4.1666666666669849E-3</v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274</v>
      </c>
      <c r="F173" s="88"/>
      <c r="G173" s="89">
        <v>3</v>
      </c>
      <c r="H173" s="88"/>
      <c r="I173" s="90"/>
      <c r="J173" s="91"/>
      <c r="K173" s="69">
        <f t="shared" si="36"/>
        <v>12.600000000000001</v>
      </c>
      <c r="L173" s="70" t="s">
        <v>29</v>
      </c>
      <c r="M173" s="70" t="s">
        <v>168</v>
      </c>
      <c r="N173" s="70" t="s">
        <v>83</v>
      </c>
      <c r="O173" s="65">
        <v>0.72222222222222199</v>
      </c>
      <c r="P173" s="65">
        <v>0.73055555555555596</v>
      </c>
      <c r="Q173" s="71">
        <f t="shared" ca="1" si="37"/>
        <v>8.3333333333339699E-3</v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274</v>
      </c>
      <c r="F174" s="88"/>
      <c r="G174" s="89">
        <v>3</v>
      </c>
      <c r="H174" s="88"/>
      <c r="I174" s="90"/>
      <c r="J174" s="91"/>
      <c r="K174" s="64">
        <f t="shared" si="36"/>
        <v>12.600000000000001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274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6" t="s">
        <v>260</v>
      </c>
      <c r="B176" s="156"/>
      <c r="C176" s="156"/>
      <c r="D176" s="156"/>
      <c r="E176" s="156"/>
      <c r="F176" s="95"/>
      <c r="G176" s="96">
        <f>SUM(G164:G175)</f>
        <v>65</v>
      </c>
      <c r="H176" s="95"/>
      <c r="I176" s="97"/>
      <c r="J176" s="98"/>
      <c r="K176" s="2">
        <f>SUM(K164:K175)</f>
        <v>273</v>
      </c>
      <c r="L176" s="72"/>
      <c r="M176" s="72"/>
      <c r="N176" s="72"/>
      <c r="O176" s="72"/>
      <c r="P176" s="72"/>
      <c r="Q176" s="73">
        <f ca="1">IFERROR(SUM(Q164:Q175),"")</f>
        <v>8.4722222222222032E-2</v>
      </c>
      <c r="R176" s="2" t="s">
        <v>261</v>
      </c>
      <c r="S176" s="74">
        <v>271350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56</v>
      </c>
      <c r="N177" s="70" t="s">
        <v>44</v>
      </c>
      <c r="O177" s="65">
        <v>0.8125</v>
      </c>
      <c r="P177" s="65">
        <v>0.90833333333333299</v>
      </c>
      <c r="Q177" s="71">
        <f t="shared" ref="Q177:Q188" ca="1" si="40">IFERROR(IF(O177="","",IF(P177="",MOD(NOW()-O177,1),IF(P177&gt;=O177,P177-O177,P177+1-O177))),"")</f>
        <v>9.5833333333332993E-2</v>
      </c>
      <c r="R177" s="63"/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274</v>
      </c>
      <c r="F178" s="88"/>
      <c r="G178" s="89">
        <v>0</v>
      </c>
      <c r="H178" s="88"/>
      <c r="I178" s="90"/>
      <c r="J178" s="91"/>
      <c r="K178" s="64">
        <f t="shared" si="39"/>
        <v>0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0</v>
      </c>
      <c r="H179" s="88"/>
      <c r="I179" s="90"/>
      <c r="J179" s="91"/>
      <c r="K179" s="69">
        <f t="shared" si="39"/>
        <v>0</v>
      </c>
      <c r="L179" s="70" t="s">
        <v>29</v>
      </c>
      <c r="M179" s="70" t="s">
        <v>56</v>
      </c>
      <c r="N179" s="70" t="s">
        <v>65</v>
      </c>
      <c r="O179" s="65">
        <v>0.95833333333333304</v>
      </c>
      <c r="P179" s="65">
        <v>0.968055555555556</v>
      </c>
      <c r="Q179" s="71">
        <f t="shared" ca="1" si="40"/>
        <v>9.7222222222229648E-3</v>
      </c>
      <c r="R179" s="63" t="s">
        <v>350</v>
      </c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274</v>
      </c>
      <c r="F180" s="88"/>
      <c r="G180" s="89">
        <v>0</v>
      </c>
      <c r="H180" s="88"/>
      <c r="I180" s="90"/>
      <c r="J180" s="91"/>
      <c r="K180" s="64">
        <f t="shared" si="39"/>
        <v>0</v>
      </c>
      <c r="L180" s="61" t="s">
        <v>29</v>
      </c>
      <c r="M180" s="61" t="s">
        <v>133</v>
      </c>
      <c r="N180" s="61" t="s">
        <v>123</v>
      </c>
      <c r="O180" s="65">
        <v>6.9444444444444397E-3</v>
      </c>
      <c r="P180" s="65">
        <v>2.5694444444444402E-2</v>
      </c>
      <c r="Q180" s="66">
        <f t="shared" ca="1" si="40"/>
        <v>1.8749999999999961E-2</v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5</v>
      </c>
      <c r="H181" s="88"/>
      <c r="I181" s="90"/>
      <c r="J181" s="91"/>
      <c r="K181" s="69">
        <f t="shared" si="39"/>
        <v>21</v>
      </c>
      <c r="L181" s="70" t="s">
        <v>29</v>
      </c>
      <c r="M181" s="70" t="s">
        <v>159</v>
      </c>
      <c r="N181" s="70" t="s">
        <v>144</v>
      </c>
      <c r="O181" s="65">
        <v>4.5138888888888902E-2</v>
      </c>
      <c r="P181" s="65">
        <v>7.0138888888888903E-2</v>
      </c>
      <c r="Q181" s="71">
        <f t="shared" ca="1" si="40"/>
        <v>2.5000000000000001E-2</v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274</v>
      </c>
      <c r="F182" s="88"/>
      <c r="G182" s="89">
        <v>2</v>
      </c>
      <c r="H182" s="88"/>
      <c r="I182" s="90"/>
      <c r="J182" s="91"/>
      <c r="K182" s="64">
        <f t="shared" si="39"/>
        <v>8.4</v>
      </c>
      <c r="L182" s="61" t="s">
        <v>29</v>
      </c>
      <c r="M182" s="61"/>
      <c r="N182" s="61" t="s">
        <v>83</v>
      </c>
      <c r="O182" s="65">
        <v>8.3333333333333301E-2</v>
      </c>
      <c r="P182" s="65">
        <v>0.15486111111111101</v>
      </c>
      <c r="Q182" s="66">
        <f t="shared" ca="1" si="40"/>
        <v>7.1527777777777704E-2</v>
      </c>
      <c r="R182" s="63" t="s">
        <v>318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</v>
      </c>
      <c r="H183" s="88"/>
      <c r="I183" s="90"/>
      <c r="J183" s="91"/>
      <c r="K183" s="69">
        <f t="shared" si="39"/>
        <v>4.2</v>
      </c>
      <c r="L183" s="70" t="s">
        <v>29</v>
      </c>
      <c r="M183" s="70" t="s">
        <v>56</v>
      </c>
      <c r="N183" s="70" t="s">
        <v>60</v>
      </c>
      <c r="O183" s="65">
        <v>0.16666666666666699</v>
      </c>
      <c r="P183" s="65">
        <v>0.17013888888888901</v>
      </c>
      <c r="Q183" s="71">
        <f t="shared" ca="1" si="40"/>
        <v>3.4722222222220156E-3</v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274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 t="s">
        <v>29</v>
      </c>
      <c r="M184" s="61"/>
      <c r="N184" s="61" t="s">
        <v>83</v>
      </c>
      <c r="O184" s="65">
        <v>0.18958333333333299</v>
      </c>
      <c r="P184" s="65">
        <v>0.19861111111111099</v>
      </c>
      <c r="Q184" s="66">
        <f t="shared" ca="1" si="40"/>
        <v>9.0277777777779955E-3</v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2</v>
      </c>
      <c r="H185" s="88"/>
      <c r="I185" s="90"/>
      <c r="J185" s="91"/>
      <c r="K185" s="69">
        <f t="shared" si="39"/>
        <v>8.4</v>
      </c>
      <c r="L185" s="70" t="s">
        <v>29</v>
      </c>
      <c r="M185" s="70"/>
      <c r="N185" s="70" t="s">
        <v>83</v>
      </c>
      <c r="O185" s="65">
        <v>0.23958333333333301</v>
      </c>
      <c r="P185" s="65">
        <v>0.28611111111111098</v>
      </c>
      <c r="Q185" s="71">
        <f t="shared" ca="1" si="40"/>
        <v>4.6527777777777973E-2</v>
      </c>
      <c r="R185" s="63" t="s">
        <v>318</v>
      </c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274</v>
      </c>
      <c r="F186" s="88"/>
      <c r="G186" s="89">
        <v>3</v>
      </c>
      <c r="H186" s="88"/>
      <c r="I186" s="90"/>
      <c r="J186" s="91"/>
      <c r="K186" s="64">
        <f t="shared" si="39"/>
        <v>12.600000000000001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4</v>
      </c>
      <c r="H187" s="88"/>
      <c r="I187" s="90"/>
      <c r="J187" s="91"/>
      <c r="K187" s="69">
        <f t="shared" si="39"/>
        <v>16.8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274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6" t="s">
        <v>263</v>
      </c>
      <c r="B189" s="156"/>
      <c r="C189" s="156"/>
      <c r="D189" s="156"/>
      <c r="E189" s="156"/>
      <c r="F189" s="105"/>
      <c r="G189" s="96">
        <f>SUM(G177:G188)</f>
        <v>19</v>
      </c>
      <c r="H189" s="105"/>
      <c r="I189" s="106"/>
      <c r="J189" s="107"/>
      <c r="K189" s="2">
        <f>SUM(K177:K188)</f>
        <v>79.8</v>
      </c>
      <c r="L189" s="72"/>
      <c r="M189" s="72"/>
      <c r="N189" s="72"/>
      <c r="O189" s="72"/>
      <c r="P189" s="72"/>
      <c r="Q189" s="73">
        <f ca="1">IFERROR(SUM(Q177:Q188),"")</f>
        <v>0.31736111111111165</v>
      </c>
      <c r="R189" s="2" t="s">
        <v>261</v>
      </c>
      <c r="S189" s="74">
        <v>72220</v>
      </c>
      <c r="T189" s="99">
        <f>IFERROR(J189,"")</f>
        <v>0</v>
      </c>
    </row>
    <row r="190" spans="1:20" ht="18" customHeight="1">
      <c r="A190" s="157" t="s">
        <v>249</v>
      </c>
      <c r="B190" s="157"/>
      <c r="C190" s="157"/>
      <c r="D190" s="157"/>
      <c r="E190" s="157"/>
      <c r="F190" s="108"/>
      <c r="G190" s="109">
        <f>G176+G189</f>
        <v>84</v>
      </c>
      <c r="H190" s="108"/>
      <c r="I190" s="110"/>
      <c r="J190" s="111"/>
      <c r="K190" s="1">
        <f>K176+K189</f>
        <v>352.8</v>
      </c>
      <c r="L190" s="76"/>
      <c r="M190" s="76"/>
      <c r="N190" s="76"/>
      <c r="O190" s="76"/>
      <c r="P190" s="76"/>
      <c r="Q190" s="77">
        <f ca="1">IFERROR(Q176+Q189,"")</f>
        <v>0.40208333333333368</v>
      </c>
      <c r="R190" s="1" t="s">
        <v>264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0</v>
      </c>
      <c r="H191" s="101"/>
      <c r="I191" s="102"/>
      <c r="J191" s="103"/>
      <c r="K191" s="69">
        <f t="shared" ref="K191:K202" si="42">IF(G191="","",IF(E191="PC 17",G191*4.2,IF(E191="PC 19",G191*5,IF(E191="CB",G191*24,""))))</f>
        <v>0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2</v>
      </c>
      <c r="H192" s="88"/>
      <c r="I192" s="90"/>
      <c r="J192" s="91"/>
      <c r="K192" s="64">
        <f t="shared" si="42"/>
        <v>8.4</v>
      </c>
      <c r="L192" s="61" t="s">
        <v>29</v>
      </c>
      <c r="M192" s="61" t="s">
        <v>56</v>
      </c>
      <c r="N192" s="70" t="s">
        <v>45</v>
      </c>
      <c r="O192" s="65">
        <v>0.38472222222222202</v>
      </c>
      <c r="P192" s="65">
        <v>0.40972222222222199</v>
      </c>
      <c r="Q192" s="66">
        <f t="shared" ca="1" si="43"/>
        <v>2.4999999999999967E-2</v>
      </c>
      <c r="R192" s="63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0</v>
      </c>
      <c r="H193" s="88"/>
      <c r="I193" s="90"/>
      <c r="J193" s="91"/>
      <c r="K193" s="69">
        <f t="shared" si="42"/>
        <v>0</v>
      </c>
      <c r="L193" s="70" t="s">
        <v>28</v>
      </c>
      <c r="M193" s="70" t="s">
        <v>56</v>
      </c>
      <c r="N193" s="70" t="s">
        <v>36</v>
      </c>
      <c r="O193" s="65">
        <v>0.43055555555555602</v>
      </c>
      <c r="P193" s="65">
        <v>0.44583333333333303</v>
      </c>
      <c r="Q193" s="71">
        <f t="shared" ca="1" si="43"/>
        <v>1.5277777777777002E-2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2</v>
      </c>
      <c r="H194" s="88"/>
      <c r="I194" s="90"/>
      <c r="J194" s="91"/>
      <c r="K194" s="64">
        <f t="shared" si="42"/>
        <v>8.4</v>
      </c>
      <c r="L194" s="61" t="s">
        <v>29</v>
      </c>
      <c r="M194" s="61" t="s">
        <v>159</v>
      </c>
      <c r="N194" s="61" t="s">
        <v>193</v>
      </c>
      <c r="O194" s="65">
        <v>0.47499999999999998</v>
      </c>
      <c r="P194" s="65">
        <v>0.48611111111111099</v>
      </c>
      <c r="Q194" s="66">
        <f t="shared" ca="1" si="43"/>
        <v>1.1111111111111016E-2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0</v>
      </c>
      <c r="H195" s="88"/>
      <c r="I195" s="90"/>
      <c r="J195" s="91"/>
      <c r="K195" s="69">
        <f t="shared" si="42"/>
        <v>0</v>
      </c>
      <c r="L195" s="70" t="s">
        <v>29</v>
      </c>
      <c r="M195" s="70" t="s">
        <v>159</v>
      </c>
      <c r="N195" s="61" t="s">
        <v>193</v>
      </c>
      <c r="O195" s="65">
        <v>0.50694444444444398</v>
      </c>
      <c r="P195" s="65">
        <v>0.53333333333333299</v>
      </c>
      <c r="Q195" s="71">
        <f t="shared" ca="1" si="43"/>
        <v>2.6388888888889017E-2</v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0</v>
      </c>
      <c r="H196" s="88"/>
      <c r="I196" s="90"/>
      <c r="J196" s="91"/>
      <c r="K196" s="64">
        <f t="shared" si="42"/>
        <v>0</v>
      </c>
      <c r="L196" s="61" t="s">
        <v>28</v>
      </c>
      <c r="M196" s="61" t="s">
        <v>56</v>
      </c>
      <c r="N196" s="61" t="s">
        <v>87</v>
      </c>
      <c r="O196" s="65">
        <v>0.58750000000000002</v>
      </c>
      <c r="P196" s="65">
        <v>0.59375</v>
      </c>
      <c r="Q196" s="66">
        <f t="shared" ca="1" si="43"/>
        <v>6.2499999999999778E-3</v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2</v>
      </c>
      <c r="H197" s="88"/>
      <c r="I197" s="90"/>
      <c r="J197" s="91"/>
      <c r="K197" s="69">
        <f t="shared" si="42"/>
        <v>8.4</v>
      </c>
      <c r="L197" s="70" t="s">
        <v>29</v>
      </c>
      <c r="M197" s="70" t="s">
        <v>56</v>
      </c>
      <c r="N197" s="70" t="s">
        <v>60</v>
      </c>
      <c r="O197" s="65">
        <v>0.60694444444444395</v>
      </c>
      <c r="P197" s="65">
        <v>0.61319444444444504</v>
      </c>
      <c r="Q197" s="71">
        <f t="shared" ca="1" si="43"/>
        <v>6.250000000001088E-3</v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3</v>
      </c>
      <c r="H198" s="88"/>
      <c r="I198" s="90"/>
      <c r="J198" s="91"/>
      <c r="K198" s="64">
        <f t="shared" si="42"/>
        <v>12.600000000000001</v>
      </c>
      <c r="L198" s="61" t="s">
        <v>28</v>
      </c>
      <c r="M198" s="61" t="s">
        <v>56</v>
      </c>
      <c r="N198" s="70" t="s">
        <v>87</v>
      </c>
      <c r="O198" s="65">
        <v>0.625</v>
      </c>
      <c r="P198" s="65">
        <v>0.63194444444444398</v>
      </c>
      <c r="Q198" s="66">
        <f t="shared" ca="1" si="43"/>
        <v>6.9444444444439757E-3</v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0</v>
      </c>
      <c r="H199" s="88"/>
      <c r="I199" s="90"/>
      <c r="J199" s="91"/>
      <c r="K199" s="69">
        <f t="shared" si="42"/>
        <v>0</v>
      </c>
      <c r="L199" s="70" t="s">
        <v>28</v>
      </c>
      <c r="M199" s="70" t="s">
        <v>56</v>
      </c>
      <c r="N199" s="70" t="s">
        <v>87</v>
      </c>
      <c r="O199" s="65">
        <v>0.68402777777777801</v>
      </c>
      <c r="P199" s="65">
        <v>0.69097222222222199</v>
      </c>
      <c r="Q199" s="71">
        <f t="shared" ca="1" si="43"/>
        <v>6.9444444444439757E-3</v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4</v>
      </c>
      <c r="H200" s="88"/>
      <c r="I200" s="90"/>
      <c r="J200" s="91"/>
      <c r="K200" s="64">
        <f t="shared" si="42"/>
        <v>16.8</v>
      </c>
      <c r="L200" s="61" t="s">
        <v>29</v>
      </c>
      <c r="M200" s="61" t="s">
        <v>133</v>
      </c>
      <c r="N200" s="61" t="s">
        <v>123</v>
      </c>
      <c r="O200" s="65">
        <v>0.71666666666666701</v>
      </c>
      <c r="P200" s="65">
        <v>0.72499999999999998</v>
      </c>
      <c r="Q200" s="66">
        <f t="shared" ca="1" si="43"/>
        <v>8.3333333333329707E-3</v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0</v>
      </c>
      <c r="H201" s="88"/>
      <c r="I201" s="90"/>
      <c r="J201" s="91"/>
      <c r="K201" s="69">
        <f t="shared" si="42"/>
        <v>0</v>
      </c>
      <c r="L201" s="70" t="s">
        <v>29</v>
      </c>
      <c r="M201" s="70" t="s">
        <v>133</v>
      </c>
      <c r="N201" s="70" t="s">
        <v>123</v>
      </c>
      <c r="O201" s="65">
        <v>0.73680555555555605</v>
      </c>
      <c r="P201" s="65">
        <v>0.74444444444444502</v>
      </c>
      <c r="Q201" s="71">
        <f t="shared" ca="1" si="43"/>
        <v>7.6388888888889728E-3</v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2</v>
      </c>
      <c r="H202" s="92"/>
      <c r="I202" s="93"/>
      <c r="J202" s="94"/>
      <c r="K202" s="64">
        <f t="shared" si="42"/>
        <v>8.4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6" t="s">
        <v>260</v>
      </c>
      <c r="B203" s="156"/>
      <c r="C203" s="156"/>
      <c r="D203" s="156"/>
      <c r="E203" s="156"/>
      <c r="F203" s="95"/>
      <c r="G203" s="96">
        <f>SUM(G191:G202)</f>
        <v>15</v>
      </c>
      <c r="H203" s="95"/>
      <c r="I203" s="97"/>
      <c r="J203" s="98"/>
      <c r="K203" s="2">
        <f>SUM(K191:K202)</f>
        <v>63.000000000000007</v>
      </c>
      <c r="L203" s="72"/>
      <c r="M203" s="72"/>
      <c r="N203" s="72"/>
      <c r="O203" s="72"/>
      <c r="P203" s="72"/>
      <c r="Q203" s="73">
        <f ca="1">IFERROR(SUM(Q191:Q202),"")</f>
        <v>0.16180555555555393</v>
      </c>
      <c r="R203" s="2" t="s">
        <v>261</v>
      </c>
      <c r="S203" s="74">
        <v>92510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2</v>
      </c>
      <c r="H204" s="101"/>
      <c r="I204" s="102"/>
      <c r="J204" s="103"/>
      <c r="K204" s="64">
        <f t="shared" ref="K204:K215" si="45">IF(G204="","",IF(E204="PC 17",G204*4.2,IF(E204="PC 19",G204*5,IF(E204="CB",G204*24,""))))</f>
        <v>8.4</v>
      </c>
      <c r="L204" s="61" t="s">
        <v>29</v>
      </c>
      <c r="M204" s="61" t="s">
        <v>56</v>
      </c>
      <c r="N204" s="61" t="s">
        <v>60</v>
      </c>
      <c r="O204" s="65">
        <v>0.79166666666666696</v>
      </c>
      <c r="P204" s="65">
        <v>0.79791666666666705</v>
      </c>
      <c r="Q204" s="66">
        <f t="shared" ref="Q204:Q215" ca="1" si="46">IFERROR(IF(O204="","",IF(P204="",MOD(NOW()-O204,1),IF(P204&gt;=O204,P204-O204,P204+1-O204))),"")</f>
        <v>6.2500000000000888E-3</v>
      </c>
      <c r="R204" s="63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70" t="s">
        <v>56</v>
      </c>
      <c r="N205" s="70" t="s">
        <v>65</v>
      </c>
      <c r="O205" s="65">
        <v>0.80833333333333302</v>
      </c>
      <c r="P205" s="65">
        <v>0.85763888888888895</v>
      </c>
      <c r="Q205" s="71">
        <f t="shared" ca="1" si="46"/>
        <v>4.9305555555555935E-2</v>
      </c>
      <c r="R205" s="63" t="s">
        <v>351</v>
      </c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1</v>
      </c>
      <c r="H206" s="88"/>
      <c r="I206" s="90"/>
      <c r="J206" s="91"/>
      <c r="K206" s="64">
        <f t="shared" si="45"/>
        <v>4.2</v>
      </c>
      <c r="L206" s="61" t="s">
        <v>29</v>
      </c>
      <c r="M206" s="61"/>
      <c r="N206" s="61" t="s">
        <v>83</v>
      </c>
      <c r="O206" s="65">
        <v>0.88680555555555596</v>
      </c>
      <c r="P206" s="65">
        <v>0.89930555555555602</v>
      </c>
      <c r="Q206" s="66">
        <f t="shared" ca="1" si="46"/>
        <v>1.2500000000000067E-2</v>
      </c>
      <c r="R206" s="63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5</v>
      </c>
      <c r="H207" s="88"/>
      <c r="I207" s="90"/>
      <c r="J207" s="91"/>
      <c r="K207" s="69">
        <f t="shared" si="45"/>
        <v>21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7</v>
      </c>
      <c r="H208" s="88"/>
      <c r="I208" s="90"/>
      <c r="J208" s="91"/>
      <c r="K208" s="64">
        <f t="shared" si="45"/>
        <v>29.400000000000002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7</v>
      </c>
      <c r="H209" s="88"/>
      <c r="I209" s="90"/>
      <c r="J209" s="91"/>
      <c r="K209" s="69">
        <f t="shared" si="45"/>
        <v>29.400000000000002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4</v>
      </c>
      <c r="H210" s="88"/>
      <c r="I210" s="90"/>
      <c r="J210" s="91"/>
      <c r="K210" s="64">
        <f t="shared" si="45"/>
        <v>16.8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5</v>
      </c>
      <c r="H211" s="88"/>
      <c r="I211" s="90"/>
      <c r="J211" s="91"/>
      <c r="K211" s="69">
        <f t="shared" si="45"/>
        <v>21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0</v>
      </c>
      <c r="H212" s="88"/>
      <c r="I212" s="90"/>
      <c r="J212" s="91"/>
      <c r="K212" s="64">
        <f t="shared" si="45"/>
        <v>0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3</v>
      </c>
      <c r="H213" s="88"/>
      <c r="I213" s="90"/>
      <c r="J213" s="91"/>
      <c r="K213" s="69">
        <f t="shared" si="45"/>
        <v>12.600000000000001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3</v>
      </c>
      <c r="H214" s="88"/>
      <c r="I214" s="90"/>
      <c r="J214" s="91"/>
      <c r="K214" s="64">
        <f t="shared" si="45"/>
        <v>12.600000000000001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3</v>
      </c>
      <c r="H215" s="92"/>
      <c r="I215" s="93"/>
      <c r="J215" s="94"/>
      <c r="K215" s="69">
        <f t="shared" si="45"/>
        <v>12.600000000000001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81"/>
    </row>
    <row r="216" spans="1:20" ht="15.75" customHeight="1">
      <c r="A216" s="156" t="s">
        <v>263</v>
      </c>
      <c r="B216" s="156"/>
      <c r="C216" s="156"/>
      <c r="D216" s="156"/>
      <c r="E216" s="156"/>
      <c r="F216" s="105"/>
      <c r="G216" s="96">
        <f>SUM(G204:G215)</f>
        <v>46</v>
      </c>
      <c r="H216" s="105"/>
      <c r="I216" s="106"/>
      <c r="J216" s="107"/>
      <c r="K216" s="2">
        <f>SUM(K204:K215)</f>
        <v>193.2</v>
      </c>
      <c r="L216" s="72"/>
      <c r="M216" s="72"/>
      <c r="N216" s="72"/>
      <c r="O216" s="72"/>
      <c r="P216" s="72"/>
      <c r="Q216" s="73">
        <f ca="1">IFERROR(SUM(Q204:Q215),"")</f>
        <v>6.8055555555556091E-2</v>
      </c>
      <c r="R216" s="2" t="s">
        <v>261</v>
      </c>
      <c r="S216" s="74">
        <v>148720</v>
      </c>
      <c r="T216" s="99">
        <f>IFERROR(J216,"")</f>
        <v>0</v>
      </c>
    </row>
    <row r="217" spans="1:20" ht="18" customHeight="1">
      <c r="A217" s="157" t="s">
        <v>249</v>
      </c>
      <c r="B217" s="157"/>
      <c r="C217" s="157"/>
      <c r="D217" s="157"/>
      <c r="E217" s="157"/>
      <c r="F217" s="108"/>
      <c r="G217" s="109">
        <f>G203+G216</f>
        <v>61</v>
      </c>
      <c r="H217" s="108"/>
      <c r="I217" s="110"/>
      <c r="J217" s="111"/>
      <c r="K217" s="1">
        <f>K203+K216</f>
        <v>256.2</v>
      </c>
      <c r="L217" s="76"/>
      <c r="M217" s="76"/>
      <c r="N217" s="76"/>
      <c r="O217" s="76"/>
      <c r="P217" s="76"/>
      <c r="Q217" s="77">
        <f ca="1">IFERROR(Q203+Q216,"")</f>
        <v>0.22986111111111002</v>
      </c>
      <c r="R217" s="1" t="s">
        <v>264</v>
      </c>
      <c r="S217" s="82">
        <f>IFERROR(S203+S216,"")</f>
        <v>241230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0</v>
      </c>
      <c r="H218" s="101"/>
      <c r="I218" s="102"/>
      <c r="J218" s="103"/>
      <c r="K218" s="64">
        <f t="shared" ref="K218:K229" si="48">IF(G218="","",IF(E218="PC 17",G218*4.2,IF(E218="PC 19",G218*5,IF(E218="CB",G218*24,""))))</f>
        <v>0</v>
      </c>
      <c r="L218" s="61" t="s">
        <v>28</v>
      </c>
      <c r="M218" s="61" t="s">
        <v>145</v>
      </c>
      <c r="N218" s="61" t="s">
        <v>70</v>
      </c>
      <c r="O218" s="65">
        <v>0.4375</v>
      </c>
      <c r="P218" s="65">
        <v>0.469444444444444</v>
      </c>
      <c r="Q218" s="66">
        <f t="shared" ref="Q218:Q229" ca="1" si="49">IFERROR(IF(O218="","",IF(P218="",MOD(NOW()-O218,1),IF(P218&gt;=O218,P218-O218,P218+1-O218))),"")</f>
        <v>3.1944444444443998E-2</v>
      </c>
      <c r="R218" s="63"/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12</v>
      </c>
      <c r="H219" s="88"/>
      <c r="I219" s="90"/>
      <c r="J219" s="91"/>
      <c r="K219" s="69">
        <f t="shared" si="48"/>
        <v>50.400000000000006</v>
      </c>
      <c r="L219" s="70" t="s">
        <v>29</v>
      </c>
      <c r="M219" s="70" t="s">
        <v>56</v>
      </c>
      <c r="N219" s="70" t="s">
        <v>45</v>
      </c>
      <c r="O219" s="65">
        <v>0.50694444444444398</v>
      </c>
      <c r="P219" s="65">
        <v>0.52152777777777803</v>
      </c>
      <c r="Q219" s="71">
        <f t="shared" ca="1" si="49"/>
        <v>1.4583333333334059E-2</v>
      </c>
      <c r="R219" s="63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10</v>
      </c>
      <c r="H220" s="88"/>
      <c r="I220" s="90"/>
      <c r="J220" s="91"/>
      <c r="K220" s="64">
        <f t="shared" si="48"/>
        <v>42</v>
      </c>
      <c r="L220" s="61" t="s">
        <v>29</v>
      </c>
      <c r="M220" s="61" t="s">
        <v>168</v>
      </c>
      <c r="N220" s="61" t="s">
        <v>83</v>
      </c>
      <c r="O220" s="65">
        <v>0.62847222222222199</v>
      </c>
      <c r="P220" s="65">
        <v>0.63333333333333297</v>
      </c>
      <c r="Q220" s="66">
        <f t="shared" ca="1" si="49"/>
        <v>4.8611111111109828E-3</v>
      </c>
      <c r="R220" s="63"/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27</v>
      </c>
      <c r="M221" s="70" t="s">
        <v>145</v>
      </c>
      <c r="N221" s="70" t="s">
        <v>109</v>
      </c>
      <c r="O221" s="65">
        <v>0.67777777777777803</v>
      </c>
      <c r="P221" s="65">
        <v>0.68472222222222201</v>
      </c>
      <c r="Q221" s="71">
        <f t="shared" ca="1" si="49"/>
        <v>6.9444444444439757E-3</v>
      </c>
      <c r="R221" s="63" t="s">
        <v>352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27</v>
      </c>
      <c r="M222" s="61" t="s">
        <v>145</v>
      </c>
      <c r="N222" s="61" t="s">
        <v>70</v>
      </c>
      <c r="O222" s="65">
        <v>0.69930555555555596</v>
      </c>
      <c r="P222" s="65" t="s">
        <v>353</v>
      </c>
      <c r="Q222" s="66" t="str">
        <f t="shared" ca="1" si="49"/>
        <v/>
      </c>
      <c r="R222" s="63" t="s">
        <v>354</v>
      </c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7</v>
      </c>
      <c r="H223" s="88"/>
      <c r="I223" s="90"/>
      <c r="J223" s="91"/>
      <c r="K223" s="69">
        <f t="shared" si="48"/>
        <v>29.400000000000002</v>
      </c>
      <c r="L223" s="70" t="s">
        <v>28</v>
      </c>
      <c r="M223" s="70" t="s">
        <v>56</v>
      </c>
      <c r="N223" s="70" t="s">
        <v>36</v>
      </c>
      <c r="O223" s="65">
        <v>0.72430555555555598</v>
      </c>
      <c r="P223" s="65">
        <v>0.79166666666666696</v>
      </c>
      <c r="Q223" s="71">
        <f t="shared" ca="1" si="49"/>
        <v>6.7361111111110983E-2</v>
      </c>
      <c r="R223" s="63"/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5</v>
      </c>
      <c r="H224" s="88"/>
      <c r="I224" s="90"/>
      <c r="J224" s="91"/>
      <c r="K224" s="64">
        <f t="shared" si="48"/>
        <v>21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63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3</v>
      </c>
      <c r="H226" s="88"/>
      <c r="I226" s="90"/>
      <c r="J226" s="91"/>
      <c r="K226" s="64">
        <f t="shared" si="48"/>
        <v>12.600000000000001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2</v>
      </c>
      <c r="H227" s="88"/>
      <c r="I227" s="90"/>
      <c r="J227" s="91"/>
      <c r="K227" s="69">
        <f t="shared" si="48"/>
        <v>8.4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2</v>
      </c>
      <c r="H228" s="88"/>
      <c r="I228" s="90"/>
      <c r="J228" s="91"/>
      <c r="K228" s="64">
        <f t="shared" si="48"/>
        <v>8.4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81"/>
    </row>
    <row r="230" spans="1:20" ht="15.75" customHeight="1">
      <c r="A230" s="156" t="s">
        <v>260</v>
      </c>
      <c r="B230" s="156"/>
      <c r="C230" s="156"/>
      <c r="D230" s="156"/>
      <c r="E230" s="156"/>
      <c r="F230" s="95"/>
      <c r="G230" s="96">
        <f>SUM(G218:G229)</f>
        <v>77</v>
      </c>
      <c r="H230" s="95"/>
      <c r="I230" s="97"/>
      <c r="J230" s="98"/>
      <c r="K230" s="2">
        <f>SUM(K218:K229)</f>
        <v>327.39999999999998</v>
      </c>
      <c r="L230" s="72"/>
      <c r="M230" s="72"/>
      <c r="N230" s="72"/>
      <c r="O230" s="72"/>
      <c r="P230" s="72"/>
      <c r="Q230" s="73">
        <f ca="1">IFERROR(SUM(Q218:Q229),"")</f>
        <v>0.125694444444444</v>
      </c>
      <c r="R230" s="2" t="s">
        <v>261</v>
      </c>
      <c r="S230" s="74">
        <v>329640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9</v>
      </c>
      <c r="H231" s="101"/>
      <c r="I231" s="102"/>
      <c r="J231" s="103"/>
      <c r="K231" s="69">
        <f t="shared" ref="K231:K242" si="51">IF(G231="","",IF(E231="PC 17",G231*4.2,IF(E231="PC 19",G231*5,IF(E231="CB",G231*24,""))))</f>
        <v>37.800000000000004</v>
      </c>
      <c r="L231" s="70" t="s">
        <v>28</v>
      </c>
      <c r="M231" s="70" t="s">
        <v>56</v>
      </c>
      <c r="N231" s="70" t="s">
        <v>36</v>
      </c>
      <c r="O231" s="65">
        <v>0.23749999999999999</v>
      </c>
      <c r="P231" s="65">
        <v>0.28749999999999998</v>
      </c>
      <c r="Q231" s="71">
        <f t="shared" ref="Q231:Q242" ca="1" si="52">IFERROR(IF(O231="","",IF(P231="",MOD(NOW()-O231,1),IF(P231&gt;=O231,P231-O231,P231+1-O231))),"")</f>
        <v>4.9999999999999989E-2</v>
      </c>
      <c r="R231" s="63"/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7</v>
      </c>
      <c r="H232" s="88"/>
      <c r="I232" s="90"/>
      <c r="J232" s="91"/>
      <c r="K232" s="64">
        <f t="shared" si="51"/>
        <v>35</v>
      </c>
      <c r="L232" s="61"/>
      <c r="M232" s="61"/>
      <c r="N232" s="61"/>
      <c r="O232" s="65"/>
      <c r="P232" s="65"/>
      <c r="Q232" s="66" t="str">
        <f t="shared" ca="1" si="52"/>
        <v/>
      </c>
      <c r="R232" s="63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2</v>
      </c>
      <c r="H233" s="88"/>
      <c r="I233" s="90"/>
      <c r="J233" s="91"/>
      <c r="K233" s="69">
        <f t="shared" si="51"/>
        <v>8.4</v>
      </c>
      <c r="L233" s="70"/>
      <c r="M233" s="70"/>
      <c r="N233" s="70"/>
      <c r="O233" s="65"/>
      <c r="P233" s="65"/>
      <c r="Q233" s="71" t="str">
        <f t="shared" ca="1" si="52"/>
        <v/>
      </c>
      <c r="R233" s="63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1</v>
      </c>
      <c r="H234" s="88"/>
      <c r="I234" s="90"/>
      <c r="J234" s="91"/>
      <c r="K234" s="64">
        <f t="shared" si="51"/>
        <v>5</v>
      </c>
      <c r="L234" s="61"/>
      <c r="M234" s="61"/>
      <c r="N234" s="61"/>
      <c r="O234" s="65"/>
      <c r="P234" s="65"/>
      <c r="Q234" s="66" t="str">
        <f t="shared" ca="1" si="52"/>
        <v/>
      </c>
      <c r="R234" s="63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7</v>
      </c>
      <c r="H235" s="88"/>
      <c r="I235" s="90"/>
      <c r="J235" s="91"/>
      <c r="K235" s="69">
        <f t="shared" si="51"/>
        <v>35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11</v>
      </c>
      <c r="H236" s="88"/>
      <c r="I236" s="90"/>
      <c r="J236" s="91"/>
      <c r="K236" s="64">
        <f t="shared" si="51"/>
        <v>55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3</v>
      </c>
      <c r="H238" s="88"/>
      <c r="I238" s="90"/>
      <c r="J238" s="91"/>
      <c r="K238" s="64">
        <f t="shared" si="51"/>
        <v>15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7</v>
      </c>
      <c r="H239" s="88"/>
      <c r="I239" s="90"/>
      <c r="J239" s="91"/>
      <c r="K239" s="69">
        <f t="shared" si="51"/>
        <v>35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3</v>
      </c>
      <c r="H241" s="88"/>
      <c r="I241" s="90"/>
      <c r="J241" s="91"/>
      <c r="K241" s="69">
        <f t="shared" si="51"/>
        <v>15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81"/>
    </row>
    <row r="243" spans="1:20" ht="15.75" customHeight="1">
      <c r="A243" s="156" t="s">
        <v>263</v>
      </c>
      <c r="B243" s="156"/>
      <c r="C243" s="156"/>
      <c r="D243" s="156"/>
      <c r="E243" s="156"/>
      <c r="F243" s="105"/>
      <c r="G243" s="96">
        <f>SUM(G231:G242)</f>
        <v>73</v>
      </c>
      <c r="H243" s="105"/>
      <c r="I243" s="106"/>
      <c r="J243" s="107"/>
      <c r="K243" s="2">
        <f>SUM(K231:K242)</f>
        <v>356.20000000000005</v>
      </c>
      <c r="L243" s="72"/>
      <c r="M243" s="72"/>
      <c r="N243" s="72"/>
      <c r="O243" s="72"/>
      <c r="P243" s="72"/>
      <c r="Q243" s="73">
        <f ca="1">IFERROR(SUM(Q231:Q242),"")</f>
        <v>4.9999999999999989E-2</v>
      </c>
      <c r="R243" s="2" t="s">
        <v>261</v>
      </c>
      <c r="S243" s="74">
        <v>352720</v>
      </c>
      <c r="T243" s="99">
        <f>IFERROR(J243,"")</f>
        <v>0</v>
      </c>
    </row>
    <row r="244" spans="1:20" ht="18" customHeight="1">
      <c r="A244" s="157" t="s">
        <v>249</v>
      </c>
      <c r="B244" s="157"/>
      <c r="C244" s="157"/>
      <c r="D244" s="157"/>
      <c r="E244" s="157"/>
      <c r="F244" s="108"/>
      <c r="G244" s="109">
        <f>G230+G243</f>
        <v>150</v>
      </c>
      <c r="H244" s="108"/>
      <c r="I244" s="110"/>
      <c r="J244" s="111"/>
      <c r="K244" s="1">
        <f>K230+K243</f>
        <v>683.6</v>
      </c>
      <c r="L244" s="76"/>
      <c r="M244" s="76"/>
      <c r="N244" s="76"/>
      <c r="O244" s="76"/>
      <c r="P244" s="76"/>
      <c r="Q244" s="77">
        <f ca="1">IFERROR(Q230+Q243,"")</f>
        <v>0.17569444444444399</v>
      </c>
      <c r="R244" s="1" t="s">
        <v>264</v>
      </c>
      <c r="S244" s="82">
        <f>IFERROR(S230+S243,"")</f>
        <v>682360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7</v>
      </c>
      <c r="H245" s="101"/>
      <c r="I245" s="102"/>
      <c r="J245" s="103"/>
      <c r="K245" s="64">
        <f t="shared" ref="K245:K256" si="54">IF(G245="","",IF(E245="PC 17",G245*4.2,IF(E245="PC 19",G245*5,IF(E245="CB",G245*24,""))))</f>
        <v>35</v>
      </c>
      <c r="L245" s="70" t="s">
        <v>28</v>
      </c>
      <c r="M245" s="70" t="s">
        <v>56</v>
      </c>
      <c r="N245" s="70" t="s">
        <v>36</v>
      </c>
      <c r="O245" s="65">
        <v>0.30208333333333298</v>
      </c>
      <c r="P245" s="65">
        <v>0.31944444444444398</v>
      </c>
      <c r="Q245" s="71">
        <f t="shared" ref="Q245:Q256" ca="1" si="55">IFERROR(IF(O245="","",IF(P245="",MOD(NOW()-O245,1),IF(P245&gt;=O245,P245-O245,P245+1-O245))),"")</f>
        <v>1.7361111111110994E-2</v>
      </c>
      <c r="R245" s="63" t="s">
        <v>355</v>
      </c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>
        <v>2</v>
      </c>
      <c r="H246" s="88"/>
      <c r="I246" s="90"/>
      <c r="J246" s="91"/>
      <c r="K246" s="69">
        <f t="shared" si="54"/>
        <v>10</v>
      </c>
      <c r="L246" s="70" t="s">
        <v>29</v>
      </c>
      <c r="M246" s="61" t="s">
        <v>56</v>
      </c>
      <c r="N246" s="70" t="s">
        <v>60</v>
      </c>
      <c r="O246" s="65">
        <v>0.32986111111111099</v>
      </c>
      <c r="P246" s="65">
        <v>0.33263888888888898</v>
      </c>
      <c r="Q246" s="66">
        <f t="shared" ca="1" si="55"/>
        <v>2.77777777777799E-3</v>
      </c>
      <c r="R246" s="63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10</v>
      </c>
      <c r="H247" s="88"/>
      <c r="I247" s="90"/>
      <c r="J247" s="91"/>
      <c r="K247" s="64">
        <f t="shared" si="54"/>
        <v>50</v>
      </c>
      <c r="L247" s="70" t="s">
        <v>29</v>
      </c>
      <c r="M247" s="70" t="s">
        <v>56</v>
      </c>
      <c r="N247" s="70" t="s">
        <v>45</v>
      </c>
      <c r="O247" s="65">
        <v>0.34236111111111101</v>
      </c>
      <c r="P247" s="65">
        <v>0.36805555555555602</v>
      </c>
      <c r="Q247" s="71">
        <f t="shared" ca="1" si="55"/>
        <v>2.5694444444445019E-2</v>
      </c>
      <c r="R247" s="63"/>
      <c r="S247" s="81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13</v>
      </c>
      <c r="H248" s="88"/>
      <c r="I248" s="90"/>
      <c r="J248" s="91"/>
      <c r="K248" s="69">
        <f t="shared" si="54"/>
        <v>65</v>
      </c>
      <c r="L248" s="61"/>
      <c r="M248" s="61"/>
      <c r="N248" s="61"/>
      <c r="O248" s="65"/>
      <c r="P248" s="65"/>
      <c r="Q248" s="66" t="str">
        <f t="shared" ca="1" si="55"/>
        <v/>
      </c>
      <c r="R248" s="63"/>
      <c r="S248" s="81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11</v>
      </c>
      <c r="H249" s="88"/>
      <c r="I249" s="90"/>
      <c r="J249" s="91"/>
      <c r="K249" s="64">
        <f t="shared" si="54"/>
        <v>46.2</v>
      </c>
      <c r="L249" s="70"/>
      <c r="M249" s="70"/>
      <c r="N249" s="70"/>
      <c r="O249" s="65"/>
      <c r="P249" s="65"/>
      <c r="Q249" s="71" t="str">
        <f t="shared" ca="1" si="55"/>
        <v/>
      </c>
      <c r="R249" s="63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7</v>
      </c>
      <c r="H250" s="88"/>
      <c r="I250" s="90"/>
      <c r="J250" s="91"/>
      <c r="K250" s="69">
        <f t="shared" si="54"/>
        <v>29.400000000000002</v>
      </c>
      <c r="L250" s="61"/>
      <c r="M250" s="61"/>
      <c r="N250" s="61"/>
      <c r="O250" s="65"/>
      <c r="P250" s="65"/>
      <c r="Q250" s="66" t="str">
        <f t="shared" ca="1" si="55"/>
        <v/>
      </c>
      <c r="R250" s="63"/>
      <c r="S250" s="81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10</v>
      </c>
      <c r="H251" s="88"/>
      <c r="I251" s="90"/>
      <c r="J251" s="91"/>
      <c r="K251" s="64">
        <f t="shared" si="54"/>
        <v>42</v>
      </c>
      <c r="L251" s="70"/>
      <c r="M251" s="70"/>
      <c r="N251" s="70"/>
      <c r="O251" s="65"/>
      <c r="P251" s="65"/>
      <c r="Q251" s="71" t="str">
        <f t="shared" ca="1" si="55"/>
        <v/>
      </c>
      <c r="R251" s="63"/>
      <c r="S251" s="81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13</v>
      </c>
      <c r="H252" s="88"/>
      <c r="I252" s="90"/>
      <c r="J252" s="91"/>
      <c r="K252" s="69">
        <f t="shared" si="54"/>
        <v>54.6</v>
      </c>
      <c r="L252" s="61"/>
      <c r="M252" s="61"/>
      <c r="N252" s="61"/>
      <c r="O252" s="65"/>
      <c r="P252" s="65"/>
      <c r="Q252" s="66" t="str">
        <f t="shared" ca="1" si="55"/>
        <v/>
      </c>
      <c r="R252" s="63"/>
      <c r="S252" s="81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63"/>
      <c r="S253" s="81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10</v>
      </c>
      <c r="H254" s="88"/>
      <c r="I254" s="90"/>
      <c r="J254" s="91"/>
      <c r="K254" s="69">
        <f t="shared" si="54"/>
        <v>42</v>
      </c>
      <c r="L254" s="61"/>
      <c r="M254" s="61"/>
      <c r="N254" s="61"/>
      <c r="O254" s="65"/>
      <c r="P254" s="65"/>
      <c r="Q254" s="66" t="str">
        <f t="shared" ca="1" si="55"/>
        <v/>
      </c>
      <c r="R254" s="63"/>
      <c r="S254" s="81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259</v>
      </c>
      <c r="F255" s="88"/>
      <c r="G255" s="63">
        <v>8</v>
      </c>
      <c r="H255" s="88"/>
      <c r="I255" s="90"/>
      <c r="J255" s="91"/>
      <c r="K255" s="64">
        <f t="shared" si="54"/>
        <v>40</v>
      </c>
      <c r="L255" s="70"/>
      <c r="M255" s="70"/>
      <c r="N255" s="70"/>
      <c r="O255" s="65"/>
      <c r="P255" s="65"/>
      <c r="Q255" s="71" t="str">
        <f t="shared" ca="1" si="55"/>
        <v/>
      </c>
      <c r="R255" s="63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259</v>
      </c>
      <c r="F256" s="92"/>
      <c r="G256" s="63">
        <v>7</v>
      </c>
      <c r="H256" s="92"/>
      <c r="I256" s="93"/>
      <c r="J256" s="94"/>
      <c r="K256" s="69">
        <f t="shared" si="54"/>
        <v>35</v>
      </c>
      <c r="L256" s="61"/>
      <c r="M256" s="61"/>
      <c r="N256" s="61"/>
      <c r="O256" s="65"/>
      <c r="P256" s="65"/>
      <c r="Q256" s="66" t="str">
        <f t="shared" ca="1" si="55"/>
        <v/>
      </c>
      <c r="R256" s="63"/>
      <c r="S256" s="81"/>
    </row>
    <row r="257" spans="1:20" ht="15.75" customHeight="1">
      <c r="A257" s="156" t="s">
        <v>260</v>
      </c>
      <c r="B257" s="156"/>
      <c r="C257" s="156"/>
      <c r="D257" s="156"/>
      <c r="E257" s="156"/>
      <c r="F257" s="95"/>
      <c r="G257" s="2">
        <f>SUM(G245:G256)</f>
        <v>113</v>
      </c>
      <c r="H257" s="95"/>
      <c r="I257" s="97"/>
      <c r="J257" s="98"/>
      <c r="K257" s="2">
        <f>SUM(K245:K256)</f>
        <v>512.20000000000005</v>
      </c>
      <c r="L257" s="72"/>
      <c r="M257" s="72"/>
      <c r="N257" s="72"/>
      <c r="O257" s="72"/>
      <c r="P257" s="72"/>
      <c r="Q257" s="73">
        <f ca="1">IFERROR(SUM(Q245:Q256),"")</f>
        <v>4.5833333333334003E-2</v>
      </c>
      <c r="R257" s="2" t="s">
        <v>261</v>
      </c>
      <c r="S257" s="74">
        <v>549440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54" t="s">
        <v>274</v>
      </c>
      <c r="F258" s="101"/>
      <c r="G258" s="63">
        <v>9</v>
      </c>
      <c r="H258" s="101"/>
      <c r="I258" s="102"/>
      <c r="J258" s="103"/>
      <c r="K258" s="69">
        <v>37.799999999999997</v>
      </c>
      <c r="L258" s="61"/>
      <c r="M258" s="61"/>
      <c r="N258" s="61"/>
      <c r="O258" s="65"/>
      <c r="P258" s="65"/>
      <c r="Q258" s="66" t="str">
        <f t="shared" ref="Q258:Q269" ca="1" si="57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8">B258+TIME(0,60,0)</f>
        <v>0.87499999999999967</v>
      </c>
      <c r="C259" s="70"/>
      <c r="D259" s="75" t="s">
        <v>47</v>
      </c>
      <c r="E259" s="54" t="s">
        <v>274</v>
      </c>
      <c r="F259" s="88"/>
      <c r="G259" s="63">
        <v>15</v>
      </c>
      <c r="H259" s="88"/>
      <c r="I259" s="90"/>
      <c r="J259" s="91"/>
      <c r="K259" s="64">
        <v>63</v>
      </c>
      <c r="L259" s="61"/>
      <c r="M259" s="61"/>
      <c r="N259" s="61"/>
      <c r="O259" s="65"/>
      <c r="P259" s="65"/>
      <c r="Q259" s="71" t="str">
        <f t="shared" ca="1" si="57"/>
        <v/>
      </c>
      <c r="R259" s="63"/>
      <c r="S259" s="81"/>
    </row>
    <row r="260" spans="1:20" ht="15" customHeight="1">
      <c r="A260" s="18">
        <v>46244</v>
      </c>
      <c r="B260" s="68">
        <f t="shared" si="58"/>
        <v>0.9166666666666663</v>
      </c>
      <c r="C260" s="70"/>
      <c r="D260" s="75" t="s">
        <v>47</v>
      </c>
      <c r="E260" s="75" t="s">
        <v>274</v>
      </c>
      <c r="F260" s="88"/>
      <c r="G260" s="63">
        <v>7</v>
      </c>
      <c r="H260" s="88"/>
      <c r="I260" s="90"/>
      <c r="J260" s="91"/>
      <c r="K260" s="69">
        <v>30</v>
      </c>
      <c r="L260" s="70"/>
      <c r="M260" s="61"/>
      <c r="N260" s="70"/>
      <c r="O260" s="65"/>
      <c r="P260" s="65"/>
      <c r="Q260" s="66" t="str">
        <f t="shared" ca="1" si="57"/>
        <v/>
      </c>
      <c r="R260" s="63"/>
      <c r="S260" s="81"/>
    </row>
    <row r="261" spans="1:20" ht="15" customHeight="1">
      <c r="A261" s="59">
        <v>46244</v>
      </c>
      <c r="B261" s="60">
        <f t="shared" si="58"/>
        <v>0.95833333333333293</v>
      </c>
      <c r="C261" s="70"/>
      <c r="D261" s="75" t="s">
        <v>47</v>
      </c>
      <c r="E261" s="75" t="s">
        <v>274</v>
      </c>
      <c r="F261" s="88"/>
      <c r="G261" s="63">
        <v>6</v>
      </c>
      <c r="H261" s="88"/>
      <c r="I261" s="90"/>
      <c r="J261" s="91"/>
      <c r="K261" s="64">
        <v>25.2</v>
      </c>
      <c r="L261" s="70"/>
      <c r="M261" s="70"/>
      <c r="N261" s="70"/>
      <c r="O261" s="65"/>
      <c r="P261" s="65"/>
      <c r="Q261" s="71" t="str">
        <f t="shared" ca="1" si="57"/>
        <v/>
      </c>
      <c r="R261" s="63"/>
      <c r="S261" s="81"/>
    </row>
    <row r="262" spans="1:20" ht="15" customHeight="1">
      <c r="A262" s="18">
        <v>46244</v>
      </c>
      <c r="B262" s="68">
        <f t="shared" si="58"/>
        <v>0.99999999999999956</v>
      </c>
      <c r="C262" s="70"/>
      <c r="D262" s="75" t="s">
        <v>47</v>
      </c>
      <c r="E262" s="54" t="s">
        <v>274</v>
      </c>
      <c r="F262" s="88"/>
      <c r="G262" s="63">
        <v>10</v>
      </c>
      <c r="H262" s="88"/>
      <c r="I262" s="90"/>
      <c r="J262" s="91"/>
      <c r="K262" s="69">
        <v>42</v>
      </c>
      <c r="L262" s="70"/>
      <c r="M262" s="61"/>
      <c r="N262" s="70"/>
      <c r="O262" s="65"/>
      <c r="P262" s="65"/>
      <c r="Q262" s="66" t="str">
        <f t="shared" ca="1" si="57"/>
        <v/>
      </c>
      <c r="R262" s="63"/>
      <c r="S262" s="81"/>
    </row>
    <row r="263" spans="1:20" ht="15" customHeight="1">
      <c r="A263" s="59">
        <v>46244</v>
      </c>
      <c r="B263" s="60">
        <f t="shared" si="58"/>
        <v>1.0416666666666663</v>
      </c>
      <c r="C263" s="70"/>
      <c r="D263" s="75" t="s">
        <v>47</v>
      </c>
      <c r="E263" s="75" t="s">
        <v>274</v>
      </c>
      <c r="F263" s="88"/>
      <c r="G263" s="63">
        <v>8</v>
      </c>
      <c r="H263" s="88"/>
      <c r="I263" s="90"/>
      <c r="J263" s="91"/>
      <c r="K263" s="64">
        <v>30</v>
      </c>
      <c r="L263" s="70"/>
      <c r="M263" s="70"/>
      <c r="N263" s="70"/>
      <c r="O263" s="65"/>
      <c r="P263" s="65"/>
      <c r="Q263" s="71" t="str">
        <f t="shared" ca="1" si="57"/>
        <v/>
      </c>
      <c r="R263" s="63"/>
      <c r="S263" s="81"/>
    </row>
    <row r="264" spans="1:20" ht="15" customHeight="1">
      <c r="A264" s="18">
        <v>46244</v>
      </c>
      <c r="B264" s="68">
        <f t="shared" si="58"/>
        <v>1.083333333333333</v>
      </c>
      <c r="C264" s="70"/>
      <c r="D264" s="75" t="s">
        <v>47</v>
      </c>
      <c r="E264" s="75" t="s">
        <v>274</v>
      </c>
      <c r="F264" s="88"/>
      <c r="G264" s="63">
        <v>3</v>
      </c>
      <c r="H264" s="88"/>
      <c r="I264" s="90"/>
      <c r="J264" s="91"/>
      <c r="K264" s="69">
        <v>10</v>
      </c>
      <c r="L264" s="70"/>
      <c r="M264" s="61"/>
      <c r="N264" s="70"/>
      <c r="O264" s="65"/>
      <c r="P264" s="65"/>
      <c r="Q264" s="66" t="str">
        <f t="shared" ca="1" si="57"/>
        <v/>
      </c>
      <c r="R264" s="63"/>
      <c r="S264" s="81"/>
    </row>
    <row r="265" spans="1:20" ht="15" customHeight="1">
      <c r="A265" s="59">
        <v>46244</v>
      </c>
      <c r="B265" s="60">
        <f t="shared" si="58"/>
        <v>1.1249999999999998</v>
      </c>
      <c r="C265" s="70"/>
      <c r="D265" s="75" t="s">
        <v>47</v>
      </c>
      <c r="E265" s="75" t="s">
        <v>274</v>
      </c>
      <c r="F265" s="88"/>
      <c r="G265" s="63">
        <v>0</v>
      </c>
      <c r="H265" s="88"/>
      <c r="I265" s="90"/>
      <c r="J265" s="91"/>
      <c r="K265" s="64">
        <v>0</v>
      </c>
      <c r="L265" s="70"/>
      <c r="M265" s="70"/>
      <c r="N265" s="70"/>
      <c r="O265" s="65"/>
      <c r="P265" s="65"/>
      <c r="Q265" s="71" t="str">
        <f t="shared" ca="1" si="57"/>
        <v/>
      </c>
      <c r="R265" s="63"/>
      <c r="S265" s="81"/>
    </row>
    <row r="266" spans="1:20" ht="15" customHeight="1">
      <c r="A266" s="18">
        <v>46244</v>
      </c>
      <c r="B266" s="68">
        <f t="shared" si="58"/>
        <v>1.1666666666666665</v>
      </c>
      <c r="C266" s="70"/>
      <c r="D266" s="75" t="s">
        <v>47</v>
      </c>
      <c r="E266" s="75" t="s">
        <v>274</v>
      </c>
      <c r="F266" s="88"/>
      <c r="G266" s="63">
        <v>0</v>
      </c>
      <c r="H266" s="88"/>
      <c r="I266" s="90"/>
      <c r="J266" s="91"/>
      <c r="K266" s="69">
        <v>0</v>
      </c>
      <c r="L266" s="61"/>
      <c r="M266" s="61"/>
      <c r="N266" s="61"/>
      <c r="O266" s="65"/>
      <c r="P266" s="65"/>
      <c r="Q266" s="66" t="str">
        <f t="shared" ca="1" si="57"/>
        <v/>
      </c>
      <c r="R266" s="63"/>
      <c r="S266" s="81"/>
    </row>
    <row r="267" spans="1:20" ht="15" customHeight="1">
      <c r="A267" s="59">
        <v>46244</v>
      </c>
      <c r="B267" s="60">
        <f t="shared" si="58"/>
        <v>1.2083333333333333</v>
      </c>
      <c r="C267" s="70"/>
      <c r="D267" s="75" t="s">
        <v>47</v>
      </c>
      <c r="E267" s="75" t="s">
        <v>274</v>
      </c>
      <c r="F267" s="88"/>
      <c r="G267" s="63">
        <v>0</v>
      </c>
      <c r="H267" s="88"/>
      <c r="I267" s="90"/>
      <c r="J267" s="91"/>
      <c r="K267" s="64">
        <v>0</v>
      </c>
      <c r="L267" s="70"/>
      <c r="M267" s="70"/>
      <c r="N267" s="70"/>
      <c r="O267" s="65"/>
      <c r="P267" s="65"/>
      <c r="Q267" s="71" t="str">
        <f t="shared" ca="1" si="57"/>
        <v/>
      </c>
      <c r="R267" s="63"/>
      <c r="S267" s="81"/>
    </row>
    <row r="268" spans="1:20" ht="15" customHeight="1">
      <c r="A268" s="18">
        <v>46244</v>
      </c>
      <c r="B268" s="68">
        <f t="shared" si="58"/>
        <v>1.25</v>
      </c>
      <c r="C268" s="70"/>
      <c r="D268" s="75" t="s">
        <v>47</v>
      </c>
      <c r="E268" s="75" t="s">
        <v>274</v>
      </c>
      <c r="F268" s="88"/>
      <c r="G268" s="63">
        <v>0</v>
      </c>
      <c r="H268" s="88"/>
      <c r="I268" s="90"/>
      <c r="J268" s="91"/>
      <c r="K268" s="69">
        <v>0</v>
      </c>
      <c r="L268" s="61"/>
      <c r="M268" s="61"/>
      <c r="N268" s="61"/>
      <c r="O268" s="65"/>
      <c r="P268" s="65"/>
      <c r="Q268" s="66" t="str">
        <f t="shared" ca="1" si="57"/>
        <v/>
      </c>
      <c r="R268" s="63"/>
      <c r="S268" s="81"/>
    </row>
    <row r="269" spans="1:20" ht="15" customHeight="1">
      <c r="A269" s="59">
        <v>46244</v>
      </c>
      <c r="B269" s="60">
        <f t="shared" si="58"/>
        <v>1.2916666666666667</v>
      </c>
      <c r="C269" s="70"/>
      <c r="D269" s="75" t="s">
        <v>47</v>
      </c>
      <c r="E269" s="75" t="s">
        <v>274</v>
      </c>
      <c r="F269" s="92"/>
      <c r="G269" s="63">
        <v>0</v>
      </c>
      <c r="H269" s="92"/>
      <c r="I269" s="93"/>
      <c r="J269" s="94"/>
      <c r="K269" s="64">
        <v>0</v>
      </c>
      <c r="L269" s="70"/>
      <c r="M269" s="70"/>
      <c r="N269" s="70"/>
      <c r="O269" s="65"/>
      <c r="P269" s="65"/>
      <c r="Q269" s="71" t="str">
        <f t="shared" ca="1" si="57"/>
        <v/>
      </c>
      <c r="R269" s="63"/>
      <c r="S269" s="81"/>
    </row>
    <row r="270" spans="1:20" ht="15.75" customHeight="1">
      <c r="A270" s="156" t="s">
        <v>263</v>
      </c>
      <c r="B270" s="156"/>
      <c r="C270" s="156"/>
      <c r="D270" s="156"/>
      <c r="E270" s="156"/>
      <c r="F270" s="105"/>
      <c r="G270" s="2">
        <f>SUM(G258:G269)</f>
        <v>58</v>
      </c>
      <c r="H270" s="105"/>
      <c r="I270" s="106"/>
      <c r="J270" s="107"/>
      <c r="K270" s="2">
        <f>SUM(K258:K269)</f>
        <v>238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261</v>
      </c>
      <c r="S270" s="74">
        <v>327900</v>
      </c>
      <c r="T270" s="99">
        <f>IFERROR(J270,"")</f>
        <v>0</v>
      </c>
    </row>
    <row r="271" spans="1:20" ht="18" customHeight="1">
      <c r="A271" s="157" t="s">
        <v>249</v>
      </c>
      <c r="B271" s="157"/>
      <c r="C271" s="157"/>
      <c r="D271" s="157"/>
      <c r="E271" s="157"/>
      <c r="F271" s="108"/>
      <c r="G271" s="109">
        <f>G257+G270</f>
        <v>171</v>
      </c>
      <c r="H271" s="108"/>
      <c r="I271" s="110"/>
      <c r="J271" s="111"/>
      <c r="K271" s="1">
        <f>K257+K270</f>
        <v>750.2</v>
      </c>
      <c r="L271" s="76"/>
      <c r="M271" s="76"/>
      <c r="N271" s="76"/>
      <c r="O271" s="76"/>
      <c r="P271" s="76"/>
      <c r="Q271" s="77">
        <f ca="1">IFERROR(Q257+Q270,"")</f>
        <v>4.5833333333334003E-2</v>
      </c>
      <c r="R271" s="1" t="s">
        <v>264</v>
      </c>
      <c r="S271" s="82">
        <f>IFERROR(S257+S270,"")</f>
        <v>877340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4</v>
      </c>
      <c r="H272" s="101"/>
      <c r="I272" s="102"/>
      <c r="J272" s="103"/>
      <c r="K272" s="64">
        <f t="shared" ref="K272:K283" si="59">IF(G272="","",IF(E272="PC 17",G272*4.2,IF(E272="PC 19",G272*5,IF(E272="CB",G272*24,""))))</f>
        <v>16.8</v>
      </c>
      <c r="L272" s="61"/>
      <c r="M272" s="61"/>
      <c r="N272" s="61"/>
      <c r="O272" s="65"/>
      <c r="P272" s="65"/>
      <c r="Q272" s="66" t="str">
        <f t="shared" ref="Q272:Q283" ca="1" si="60">IFERROR(IF(O272="","",IF(P272="",MOD(NOW()-O272,1),IF(P272&gt;=O272,P272-O272,P272+1-O272))),"")</f>
        <v/>
      </c>
      <c r="R272" s="63"/>
      <c r="S272" s="81"/>
    </row>
    <row r="273" spans="1:20" ht="15" customHeight="1">
      <c r="A273" s="18">
        <v>46245</v>
      </c>
      <c r="B273" s="68">
        <f t="shared" ref="B273:B283" si="61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5</v>
      </c>
      <c r="H273" s="88"/>
      <c r="I273" s="90"/>
      <c r="J273" s="91"/>
      <c r="K273" s="69">
        <f t="shared" si="59"/>
        <v>21</v>
      </c>
      <c r="L273" s="70"/>
      <c r="M273" s="70"/>
      <c r="N273" s="70"/>
      <c r="O273" s="65"/>
      <c r="P273" s="65"/>
      <c r="Q273" s="71" t="str">
        <f t="shared" ca="1" si="60"/>
        <v/>
      </c>
      <c r="R273" s="63"/>
      <c r="S273" s="81"/>
    </row>
    <row r="274" spans="1:20" ht="15" customHeight="1">
      <c r="A274" s="59">
        <v>46245</v>
      </c>
      <c r="B274" s="60">
        <f t="shared" si="61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8</v>
      </c>
      <c r="H274" s="88"/>
      <c r="I274" s="90"/>
      <c r="J274" s="91"/>
      <c r="K274" s="64">
        <f t="shared" si="59"/>
        <v>33.6</v>
      </c>
      <c r="L274" s="61"/>
      <c r="M274" s="61"/>
      <c r="N274" s="61"/>
      <c r="O274" s="65"/>
      <c r="P274" s="65"/>
      <c r="Q274" s="66" t="str">
        <f t="shared" ca="1" si="60"/>
        <v/>
      </c>
      <c r="R274" s="63"/>
      <c r="S274" s="81"/>
    </row>
    <row r="275" spans="1:20" ht="15" customHeight="1">
      <c r="A275" s="18">
        <v>46245</v>
      </c>
      <c r="B275" s="68">
        <f t="shared" si="61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5</v>
      </c>
      <c r="H275" s="88"/>
      <c r="I275" s="90"/>
      <c r="J275" s="91"/>
      <c r="K275" s="69">
        <f t="shared" si="59"/>
        <v>21</v>
      </c>
      <c r="L275" s="70"/>
      <c r="M275" s="70"/>
      <c r="N275" s="70"/>
      <c r="O275" s="65"/>
      <c r="P275" s="65"/>
      <c r="Q275" s="71" t="str">
        <f t="shared" ca="1" si="60"/>
        <v/>
      </c>
      <c r="R275" s="63"/>
      <c r="S275" s="81"/>
    </row>
    <row r="276" spans="1:20" ht="15" customHeight="1">
      <c r="A276" s="59">
        <v>46245</v>
      </c>
      <c r="B276" s="60">
        <f t="shared" si="61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7</v>
      </c>
      <c r="H276" s="88"/>
      <c r="I276" s="90"/>
      <c r="J276" s="91"/>
      <c r="K276" s="64">
        <f t="shared" si="59"/>
        <v>29.400000000000002</v>
      </c>
      <c r="L276" s="61"/>
      <c r="M276" s="61"/>
      <c r="N276" s="61"/>
      <c r="O276" s="65"/>
      <c r="P276" s="65"/>
      <c r="Q276" s="66" t="str">
        <f t="shared" ca="1" si="60"/>
        <v/>
      </c>
      <c r="R276" s="63"/>
      <c r="S276" s="81"/>
    </row>
    <row r="277" spans="1:20" ht="15" customHeight="1">
      <c r="A277" s="18">
        <v>46245</v>
      </c>
      <c r="B277" s="68">
        <f t="shared" si="61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15</v>
      </c>
      <c r="H277" s="88"/>
      <c r="I277" s="90"/>
      <c r="J277" s="91"/>
      <c r="K277" s="69">
        <f t="shared" si="59"/>
        <v>63</v>
      </c>
      <c r="L277" s="70"/>
      <c r="M277" s="70"/>
      <c r="N277" s="70"/>
      <c r="O277" s="65"/>
      <c r="P277" s="65"/>
      <c r="Q277" s="71" t="str">
        <f t="shared" ca="1" si="60"/>
        <v/>
      </c>
      <c r="R277" s="63"/>
      <c r="S277" s="81"/>
    </row>
    <row r="278" spans="1:20" ht="15" customHeight="1">
      <c r="A278" s="59">
        <v>46245</v>
      </c>
      <c r="B278" s="60">
        <f t="shared" si="61"/>
        <v>0.58333333333333304</v>
      </c>
      <c r="C278" s="61" t="s">
        <v>38</v>
      </c>
      <c r="D278" s="62" t="s">
        <v>39</v>
      </c>
      <c r="E278" s="62" t="s">
        <v>274</v>
      </c>
      <c r="F278" s="88"/>
      <c r="G278" s="63">
        <v>12</v>
      </c>
      <c r="H278" s="88"/>
      <c r="I278" s="90"/>
      <c r="J278" s="91"/>
      <c r="K278" s="64">
        <f t="shared" si="59"/>
        <v>50.400000000000006</v>
      </c>
      <c r="L278" s="61"/>
      <c r="M278" s="61"/>
      <c r="N278" s="61"/>
      <c r="O278" s="65"/>
      <c r="P278" s="65"/>
      <c r="Q278" s="66" t="str">
        <f t="shared" ca="1" si="60"/>
        <v/>
      </c>
      <c r="R278" s="63"/>
      <c r="S278" s="81"/>
    </row>
    <row r="279" spans="1:20" ht="15" customHeight="1">
      <c r="A279" s="18">
        <v>46245</v>
      </c>
      <c r="B279" s="68">
        <f t="shared" si="61"/>
        <v>0.62499999999999967</v>
      </c>
      <c r="C279" s="61" t="s">
        <v>38</v>
      </c>
      <c r="D279" s="62" t="s">
        <v>39</v>
      </c>
      <c r="E279" s="62" t="s">
        <v>274</v>
      </c>
      <c r="F279" s="88"/>
      <c r="G279" s="63">
        <v>12</v>
      </c>
      <c r="H279" s="88"/>
      <c r="I279" s="90"/>
      <c r="J279" s="91"/>
      <c r="K279" s="69">
        <f t="shared" si="59"/>
        <v>50.400000000000006</v>
      </c>
      <c r="L279" s="70"/>
      <c r="M279" s="70"/>
      <c r="N279" s="70"/>
      <c r="O279" s="65"/>
      <c r="P279" s="65"/>
      <c r="Q279" s="71" t="str">
        <f t="shared" ca="1" si="60"/>
        <v/>
      </c>
      <c r="R279" s="63"/>
      <c r="S279" s="81"/>
    </row>
    <row r="280" spans="1:20" ht="15" customHeight="1">
      <c r="A280" s="59">
        <v>46245</v>
      </c>
      <c r="B280" s="60">
        <f t="shared" si="61"/>
        <v>0.6666666666666663</v>
      </c>
      <c r="C280" s="61" t="s">
        <v>38</v>
      </c>
      <c r="D280" s="62" t="s">
        <v>39</v>
      </c>
      <c r="E280" s="62" t="s">
        <v>274</v>
      </c>
      <c r="F280" s="88"/>
      <c r="G280" s="63">
        <v>6</v>
      </c>
      <c r="H280" s="88"/>
      <c r="I280" s="90"/>
      <c r="J280" s="91"/>
      <c r="K280" s="64">
        <f t="shared" si="59"/>
        <v>25.200000000000003</v>
      </c>
      <c r="L280" s="61"/>
      <c r="M280" s="61"/>
      <c r="N280" s="61"/>
      <c r="O280" s="65"/>
      <c r="P280" s="65"/>
      <c r="Q280" s="66" t="str">
        <f t="shared" ca="1" si="60"/>
        <v/>
      </c>
      <c r="R280" s="63"/>
      <c r="S280" s="81"/>
    </row>
    <row r="281" spans="1:20" ht="15" customHeight="1">
      <c r="A281" s="18">
        <v>46245</v>
      </c>
      <c r="B281" s="68">
        <f t="shared" si="61"/>
        <v>0.70833333333333293</v>
      </c>
      <c r="C281" s="61" t="s">
        <v>38</v>
      </c>
      <c r="D281" s="62" t="s">
        <v>39</v>
      </c>
      <c r="E281" s="62" t="s">
        <v>274</v>
      </c>
      <c r="F281" s="88"/>
      <c r="G281" s="63">
        <v>5</v>
      </c>
      <c r="H281" s="88"/>
      <c r="I281" s="90"/>
      <c r="J281" s="91"/>
      <c r="K281" s="69">
        <f t="shared" si="59"/>
        <v>21</v>
      </c>
      <c r="L281" s="70"/>
      <c r="M281" s="70"/>
      <c r="N281" s="70"/>
      <c r="O281" s="65"/>
      <c r="P281" s="65"/>
      <c r="Q281" s="71" t="str">
        <f t="shared" ca="1" si="60"/>
        <v/>
      </c>
      <c r="R281" s="63"/>
      <c r="S281" s="81"/>
    </row>
    <row r="282" spans="1:20" ht="15" customHeight="1">
      <c r="A282" s="59">
        <v>46245</v>
      </c>
      <c r="B282" s="60">
        <f t="shared" si="61"/>
        <v>0.74999999999999956</v>
      </c>
      <c r="C282" s="61" t="s">
        <v>38</v>
      </c>
      <c r="D282" s="62" t="s">
        <v>39</v>
      </c>
      <c r="E282" s="62" t="s">
        <v>259</v>
      </c>
      <c r="F282" s="88"/>
      <c r="G282" s="63">
        <v>10</v>
      </c>
      <c r="H282" s="88"/>
      <c r="I282" s="90"/>
      <c r="J282" s="91"/>
      <c r="K282" s="64">
        <f t="shared" si="59"/>
        <v>50</v>
      </c>
      <c r="L282" s="61"/>
      <c r="M282" s="61"/>
      <c r="N282" s="61"/>
      <c r="O282" s="65"/>
      <c r="P282" s="65"/>
      <c r="Q282" s="66" t="str">
        <f t="shared" ca="1" si="60"/>
        <v/>
      </c>
      <c r="R282" s="63"/>
      <c r="S282" s="81"/>
    </row>
    <row r="283" spans="1:20" ht="15" customHeight="1">
      <c r="A283" s="18">
        <v>46245</v>
      </c>
      <c r="B283" s="68">
        <f t="shared" si="61"/>
        <v>0.79166666666666619</v>
      </c>
      <c r="C283" s="61" t="s">
        <v>38</v>
      </c>
      <c r="D283" s="62" t="s">
        <v>39</v>
      </c>
      <c r="E283" s="62" t="s">
        <v>274</v>
      </c>
      <c r="F283" s="92"/>
      <c r="G283" s="63">
        <v>6</v>
      </c>
      <c r="H283" s="92"/>
      <c r="I283" s="93"/>
      <c r="J283" s="94"/>
      <c r="K283" s="69">
        <f t="shared" si="59"/>
        <v>25.200000000000003</v>
      </c>
      <c r="L283" s="70"/>
      <c r="M283" s="70"/>
      <c r="N283" s="70"/>
      <c r="O283" s="65"/>
      <c r="P283" s="65"/>
      <c r="Q283" s="71" t="str">
        <f t="shared" ca="1" si="60"/>
        <v/>
      </c>
      <c r="R283" s="63"/>
      <c r="S283" s="81"/>
    </row>
    <row r="284" spans="1:20" ht="15.75" customHeight="1">
      <c r="A284" s="156" t="s">
        <v>260</v>
      </c>
      <c r="B284" s="156"/>
      <c r="C284" s="156"/>
      <c r="D284" s="156"/>
      <c r="E284" s="156"/>
      <c r="F284" s="95"/>
      <c r="G284" s="2">
        <f>SUM(G272:G283)</f>
        <v>95</v>
      </c>
      <c r="H284" s="95"/>
      <c r="I284" s="97"/>
      <c r="J284" s="98"/>
      <c r="K284" s="2">
        <f>SUM(K272:K283)</f>
        <v>407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261</v>
      </c>
      <c r="S284" s="74">
        <v>373120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259</v>
      </c>
      <c r="F285" s="100"/>
      <c r="G285" s="63">
        <v>5</v>
      </c>
      <c r="H285" s="101"/>
      <c r="I285" s="102"/>
      <c r="J285" s="103"/>
      <c r="K285" s="69">
        <f t="shared" ref="K285:K296" si="62">IF(G285="","",IF(E285="PC 17",G285*4.2,IF(E285="PC 19",G285*5,IF(E285="CB",G285*24,""))))</f>
        <v>25</v>
      </c>
      <c r="L285" s="70"/>
      <c r="M285" s="70"/>
      <c r="N285" s="70"/>
      <c r="O285" s="65"/>
      <c r="P285" s="65"/>
      <c r="Q285" s="71" t="str">
        <f t="shared" ref="Q285:Q296" ca="1" si="63">IFERROR(IF(O285="","",IF(P285="",MOD(NOW()-O285,1),IF(P285&gt;=O285,P285-O285,P285+1-O285))),"")</f>
        <v/>
      </c>
      <c r="R285" s="63"/>
      <c r="S285" s="81"/>
    </row>
    <row r="286" spans="1:20" ht="15" customHeight="1">
      <c r="A286" s="59">
        <v>46245</v>
      </c>
      <c r="B286" s="60">
        <f t="shared" ref="B286:B296" si="64">B285+TIME(0,60,0)</f>
        <v>0.87499999999999967</v>
      </c>
      <c r="C286" s="70" t="s">
        <v>54</v>
      </c>
      <c r="D286" s="75" t="s">
        <v>55</v>
      </c>
      <c r="E286" s="75" t="s">
        <v>259</v>
      </c>
      <c r="F286" s="88"/>
      <c r="G286" s="63">
        <v>5</v>
      </c>
      <c r="H286" s="88"/>
      <c r="I286" s="90"/>
      <c r="J286" s="91"/>
      <c r="K286" s="64">
        <f t="shared" si="62"/>
        <v>25</v>
      </c>
      <c r="L286" s="70"/>
      <c r="M286" s="70"/>
      <c r="N286" s="70"/>
      <c r="O286" s="65"/>
      <c r="P286" s="65"/>
      <c r="Q286" s="66" t="str">
        <f t="shared" ca="1" si="63"/>
        <v/>
      </c>
      <c r="R286" s="63"/>
      <c r="S286" s="81"/>
    </row>
    <row r="287" spans="1:20" ht="15" customHeight="1">
      <c r="A287" s="18">
        <v>46245</v>
      </c>
      <c r="B287" s="68">
        <f t="shared" si="64"/>
        <v>0.9166666666666663</v>
      </c>
      <c r="C287" s="70" t="s">
        <v>54</v>
      </c>
      <c r="D287" s="75" t="s">
        <v>55</v>
      </c>
      <c r="E287" s="75" t="s">
        <v>274</v>
      </c>
      <c r="F287" s="88"/>
      <c r="G287" s="63">
        <v>6</v>
      </c>
      <c r="H287" s="88"/>
      <c r="I287" s="90"/>
      <c r="J287" s="91"/>
      <c r="K287" s="69">
        <f t="shared" si="62"/>
        <v>25.200000000000003</v>
      </c>
      <c r="L287" s="70"/>
      <c r="M287" s="70"/>
      <c r="N287" s="70"/>
      <c r="O287" s="65"/>
      <c r="P287" s="65"/>
      <c r="Q287" s="71" t="str">
        <f t="shared" ca="1" si="63"/>
        <v/>
      </c>
      <c r="R287" s="63"/>
      <c r="S287" s="81"/>
    </row>
    <row r="288" spans="1:20" ht="15" customHeight="1">
      <c r="A288" s="59">
        <v>46245</v>
      </c>
      <c r="B288" s="60">
        <f t="shared" si="64"/>
        <v>0.95833333333333293</v>
      </c>
      <c r="C288" s="70" t="s">
        <v>54</v>
      </c>
      <c r="D288" s="75" t="s">
        <v>55</v>
      </c>
      <c r="E288" s="75" t="s">
        <v>259</v>
      </c>
      <c r="F288" s="88"/>
      <c r="G288" s="63">
        <v>15</v>
      </c>
      <c r="H288" s="88"/>
      <c r="I288" s="90"/>
      <c r="J288" s="91"/>
      <c r="K288" s="64">
        <f t="shared" si="62"/>
        <v>75</v>
      </c>
      <c r="L288" s="61"/>
      <c r="M288" s="61"/>
      <c r="N288" s="61"/>
      <c r="O288" s="65"/>
      <c r="P288" s="65"/>
      <c r="Q288" s="66" t="str">
        <f t="shared" ca="1" si="63"/>
        <v/>
      </c>
      <c r="R288" s="63"/>
      <c r="S288" s="81"/>
    </row>
    <row r="289" spans="1:20" ht="15" customHeight="1">
      <c r="A289" s="18">
        <v>46245</v>
      </c>
      <c r="B289" s="68">
        <f t="shared" si="64"/>
        <v>0.99999999999999956</v>
      </c>
      <c r="C289" s="70" t="s">
        <v>54</v>
      </c>
      <c r="D289" s="75" t="s">
        <v>55</v>
      </c>
      <c r="E289" s="75" t="s">
        <v>259</v>
      </c>
      <c r="F289" s="88"/>
      <c r="G289" s="63">
        <v>4</v>
      </c>
      <c r="H289" s="88"/>
      <c r="I289" s="90"/>
      <c r="J289" s="91"/>
      <c r="K289" s="69">
        <f t="shared" si="62"/>
        <v>20</v>
      </c>
      <c r="L289" s="70"/>
      <c r="M289" s="70"/>
      <c r="N289" s="70"/>
      <c r="O289" s="65"/>
      <c r="P289" s="65"/>
      <c r="Q289" s="71" t="str">
        <f t="shared" ca="1" si="63"/>
        <v/>
      </c>
      <c r="R289" s="63"/>
      <c r="S289" s="81"/>
    </row>
    <row r="290" spans="1:20" ht="15" customHeight="1">
      <c r="A290" s="59">
        <v>46245</v>
      </c>
      <c r="B290" s="60">
        <f t="shared" si="64"/>
        <v>1.0416666666666663</v>
      </c>
      <c r="C290" s="70" t="s">
        <v>54</v>
      </c>
      <c r="D290" s="75" t="s">
        <v>39</v>
      </c>
      <c r="E290" s="75" t="s">
        <v>259</v>
      </c>
      <c r="F290" s="88"/>
      <c r="G290" s="63">
        <v>5</v>
      </c>
      <c r="H290" s="88"/>
      <c r="I290" s="90"/>
      <c r="J290" s="91"/>
      <c r="K290" s="64">
        <f t="shared" si="62"/>
        <v>25</v>
      </c>
      <c r="L290" s="61"/>
      <c r="M290" s="61"/>
      <c r="N290" s="61"/>
      <c r="O290" s="65"/>
      <c r="P290" s="65"/>
      <c r="Q290" s="66" t="str">
        <f t="shared" ca="1" si="63"/>
        <v/>
      </c>
      <c r="R290" s="63"/>
      <c r="S290" s="81"/>
    </row>
    <row r="291" spans="1:20" ht="15" customHeight="1">
      <c r="A291" s="18">
        <v>46245</v>
      </c>
      <c r="B291" s="68">
        <f t="shared" si="64"/>
        <v>1.083333333333333</v>
      </c>
      <c r="C291" s="70" t="s">
        <v>54</v>
      </c>
      <c r="D291" s="75" t="s">
        <v>39</v>
      </c>
      <c r="E291" s="75" t="s">
        <v>259</v>
      </c>
      <c r="F291" s="88"/>
      <c r="G291" s="63">
        <v>4</v>
      </c>
      <c r="H291" s="88"/>
      <c r="I291" s="90"/>
      <c r="J291" s="91"/>
      <c r="K291" s="69">
        <f t="shared" si="62"/>
        <v>20</v>
      </c>
      <c r="L291" s="70"/>
      <c r="M291" s="70"/>
      <c r="N291" s="70"/>
      <c r="O291" s="65"/>
      <c r="P291" s="65"/>
      <c r="Q291" s="71" t="str">
        <f t="shared" ca="1" si="63"/>
        <v/>
      </c>
      <c r="R291" s="63"/>
      <c r="S291" s="81"/>
    </row>
    <row r="292" spans="1:20" ht="15" customHeight="1">
      <c r="A292" s="59">
        <v>46245</v>
      </c>
      <c r="B292" s="60">
        <f t="shared" si="64"/>
        <v>1.1249999999999998</v>
      </c>
      <c r="C292" s="70" t="s">
        <v>54</v>
      </c>
      <c r="D292" s="75" t="s">
        <v>39</v>
      </c>
      <c r="E292" s="75" t="s">
        <v>259</v>
      </c>
      <c r="F292" s="88"/>
      <c r="G292" s="63">
        <v>6</v>
      </c>
      <c r="H292" s="88"/>
      <c r="I292" s="90"/>
      <c r="J292" s="91"/>
      <c r="K292" s="64">
        <f t="shared" si="62"/>
        <v>30</v>
      </c>
      <c r="L292" s="61"/>
      <c r="M292" s="61"/>
      <c r="N292" s="61"/>
      <c r="O292" s="65"/>
      <c r="P292" s="65"/>
      <c r="Q292" s="66" t="str">
        <f t="shared" ca="1" si="63"/>
        <v/>
      </c>
      <c r="R292" s="63"/>
      <c r="S292" s="81"/>
    </row>
    <row r="293" spans="1:20" ht="15" customHeight="1">
      <c r="A293" s="18">
        <v>46245</v>
      </c>
      <c r="B293" s="68">
        <f t="shared" si="64"/>
        <v>1.1666666666666665</v>
      </c>
      <c r="C293" s="70" t="s">
        <v>54</v>
      </c>
      <c r="D293" s="75" t="s">
        <v>39</v>
      </c>
      <c r="E293" s="75" t="s">
        <v>259</v>
      </c>
      <c r="F293" s="88"/>
      <c r="G293" s="63">
        <v>9</v>
      </c>
      <c r="H293" s="88"/>
      <c r="I293" s="90"/>
      <c r="J293" s="91"/>
      <c r="K293" s="69">
        <f t="shared" si="62"/>
        <v>45</v>
      </c>
      <c r="L293" s="70"/>
      <c r="M293" s="70"/>
      <c r="N293" s="70"/>
      <c r="O293" s="65"/>
      <c r="P293" s="65"/>
      <c r="Q293" s="71" t="str">
        <f t="shared" ca="1" si="63"/>
        <v/>
      </c>
      <c r="R293" s="63"/>
      <c r="S293" s="81"/>
    </row>
    <row r="294" spans="1:20" ht="15" customHeight="1">
      <c r="A294" s="59">
        <v>46245</v>
      </c>
      <c r="B294" s="60">
        <f t="shared" si="64"/>
        <v>1.2083333333333333</v>
      </c>
      <c r="C294" s="70" t="s">
        <v>54</v>
      </c>
      <c r="D294" s="75" t="s">
        <v>39</v>
      </c>
      <c r="E294" s="75" t="s">
        <v>259</v>
      </c>
      <c r="F294" s="88"/>
      <c r="G294" s="63">
        <v>8</v>
      </c>
      <c r="H294" s="88"/>
      <c r="I294" s="90"/>
      <c r="J294" s="91"/>
      <c r="K294" s="64">
        <f t="shared" si="62"/>
        <v>40</v>
      </c>
      <c r="L294" s="61"/>
      <c r="M294" s="61"/>
      <c r="N294" s="61"/>
      <c r="O294" s="65"/>
      <c r="P294" s="65"/>
      <c r="Q294" s="66" t="str">
        <f t="shared" ca="1" si="63"/>
        <v/>
      </c>
      <c r="R294" s="63"/>
      <c r="S294" s="81"/>
    </row>
    <row r="295" spans="1:20" ht="15" customHeight="1">
      <c r="A295" s="18">
        <v>46245</v>
      </c>
      <c r="B295" s="68">
        <f t="shared" si="64"/>
        <v>1.25</v>
      </c>
      <c r="C295" s="70" t="s">
        <v>54</v>
      </c>
      <c r="D295" s="75" t="s">
        <v>39</v>
      </c>
      <c r="E295" s="75" t="s">
        <v>259</v>
      </c>
      <c r="F295" s="88"/>
      <c r="G295" s="63">
        <v>8</v>
      </c>
      <c r="H295" s="88"/>
      <c r="I295" s="90"/>
      <c r="J295" s="91"/>
      <c r="K295" s="69">
        <f t="shared" si="62"/>
        <v>40</v>
      </c>
      <c r="L295" s="70"/>
      <c r="M295" s="70"/>
      <c r="N295" s="70"/>
      <c r="O295" s="65"/>
      <c r="P295" s="65"/>
      <c r="Q295" s="71" t="str">
        <f t="shared" ca="1" si="63"/>
        <v/>
      </c>
      <c r="R295" s="63"/>
      <c r="S295" s="81"/>
    </row>
    <row r="296" spans="1:20" ht="15" customHeight="1">
      <c r="A296" s="59">
        <v>46245</v>
      </c>
      <c r="B296" s="60">
        <f t="shared" si="64"/>
        <v>1.2916666666666667</v>
      </c>
      <c r="C296" s="70" t="s">
        <v>54</v>
      </c>
      <c r="D296" s="75" t="s">
        <v>39</v>
      </c>
      <c r="E296" s="75" t="s">
        <v>259</v>
      </c>
      <c r="F296" s="92"/>
      <c r="G296" s="63">
        <v>9</v>
      </c>
      <c r="H296" s="92"/>
      <c r="I296" s="93"/>
      <c r="J296" s="94"/>
      <c r="K296" s="64">
        <f t="shared" si="62"/>
        <v>45</v>
      </c>
      <c r="L296" s="61"/>
      <c r="M296" s="61"/>
      <c r="N296" s="61"/>
      <c r="O296" s="65"/>
      <c r="P296" s="65"/>
      <c r="Q296" s="66" t="str">
        <f t="shared" ca="1" si="63"/>
        <v/>
      </c>
      <c r="R296" s="63"/>
      <c r="S296" s="81"/>
    </row>
    <row r="297" spans="1:20" ht="15.75" customHeight="1">
      <c r="A297" s="156" t="s">
        <v>263</v>
      </c>
      <c r="B297" s="156"/>
      <c r="C297" s="156"/>
      <c r="D297" s="156"/>
      <c r="E297" s="156"/>
      <c r="F297" s="105"/>
      <c r="G297" s="2">
        <f>SUM(G285:G296)</f>
        <v>84</v>
      </c>
      <c r="H297" s="105"/>
      <c r="I297" s="106"/>
      <c r="J297" s="107"/>
      <c r="K297" s="2">
        <f>SUM(K285:K296)</f>
        <v>415.2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261</v>
      </c>
      <c r="S297" s="74">
        <v>462190</v>
      </c>
      <c r="T297" s="99">
        <f>IFERROR(J297,"")</f>
        <v>0</v>
      </c>
    </row>
    <row r="298" spans="1:20" ht="18" customHeight="1">
      <c r="A298" s="157" t="s">
        <v>249</v>
      </c>
      <c r="B298" s="157"/>
      <c r="C298" s="157"/>
      <c r="D298" s="157"/>
      <c r="E298" s="157"/>
      <c r="F298" s="108"/>
      <c r="G298" s="1">
        <f>G284+G297</f>
        <v>179</v>
      </c>
      <c r="H298" s="108"/>
      <c r="I298" s="110"/>
      <c r="J298" s="111"/>
      <c r="K298" s="1">
        <f>K284+K297</f>
        <v>822.2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264</v>
      </c>
      <c r="S298" s="82">
        <f>IFERROR(S284+S297,"")</f>
        <v>835310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274</v>
      </c>
      <c r="F299" s="101">
        <f>IFERROR(IF($D299="","",VLOOKUP($D299,Cadastro!$C$4:$E$7,3,FALSE())),"")</f>
        <v>0.24</v>
      </c>
      <c r="G299" s="63">
        <v>8</v>
      </c>
      <c r="H299" s="69">
        <f>IFERROR(IF($G299="","",$G299*$S$311/$G$311/Cadastro!$E$33),"")</f>
        <v>36.906666666666666</v>
      </c>
      <c r="I299" s="102">
        <f>IFERROR(IF($D299="","",VLOOKUP($D299,Cadastro!$C$4:$G$7,5,FALSE())),"")</f>
        <v>0.6</v>
      </c>
      <c r="J299" s="103">
        <f t="shared" ref="J299:J310" si="65">IFERROR(IF($H299="","",$H299*$F299*$I299),"")</f>
        <v>5.3145599999999993</v>
      </c>
      <c r="K299" s="69">
        <f t="shared" ref="K299:K310" si="66">IF(G299="","",IF(E299="PC 17",G299*4.2,IF(E299="PC 19",G299*5,IF(E299="CB",G299*24,""))))</f>
        <v>33.6</v>
      </c>
      <c r="L299" s="70" t="s">
        <v>29</v>
      </c>
      <c r="M299" s="70"/>
      <c r="N299" s="70" t="s">
        <v>210</v>
      </c>
      <c r="O299" s="65">
        <v>0.37361111111111101</v>
      </c>
      <c r="P299" s="65">
        <v>0.37708333333333299</v>
      </c>
      <c r="Q299" s="71">
        <f t="shared" ref="Q299:Q310" ca="1" si="67">IFERROR(IF(O299="","",IF(P299="",MOD(NOW()-O299,1),IF(P299&gt;=O299,P299-O299,P299+1-O299))),"")</f>
        <v>3.4722222222219878E-3</v>
      </c>
      <c r="R299" s="63"/>
      <c r="S299" s="81"/>
    </row>
    <row r="300" spans="1:20" ht="15" customHeight="1">
      <c r="A300" s="59">
        <v>46246</v>
      </c>
      <c r="B300" s="60">
        <f t="shared" ref="B300:B310" si="68">B299+TIME(0,60,0)</f>
        <v>0.37499999999999967</v>
      </c>
      <c r="C300" s="70" t="s">
        <v>38</v>
      </c>
      <c r="D300" s="75" t="s">
        <v>39</v>
      </c>
      <c r="E300" s="100" t="s">
        <v>274</v>
      </c>
      <c r="F300" s="88">
        <f>IFERROR(IF($D300="","",VLOOKUP($D300,Cadastro!$C$4:$E$7,3,FALSE())),"")</f>
        <v>0.24</v>
      </c>
      <c r="G300" s="63">
        <v>10</v>
      </c>
      <c r="H300" s="69">
        <f>IFERROR(IF($G300="","",$G300*$S$311/$G$311/Cadastro!$E$33),"")</f>
        <v>46.133333333333333</v>
      </c>
      <c r="I300" s="90">
        <f>IFERROR(IF($D300="","",VLOOKUP($D300,Cadastro!$C$4:$G$7,5,FALSE())),"")</f>
        <v>0.6</v>
      </c>
      <c r="J300" s="91">
        <f t="shared" si="65"/>
        <v>6.6431999999999993</v>
      </c>
      <c r="K300" s="64">
        <f t="shared" si="66"/>
        <v>42</v>
      </c>
      <c r="L300" s="61" t="s">
        <v>29</v>
      </c>
      <c r="M300" s="61"/>
      <c r="N300" s="61" t="s">
        <v>210</v>
      </c>
      <c r="O300" s="65">
        <v>0.45833333333333298</v>
      </c>
      <c r="P300" s="65">
        <v>0.46527777777777801</v>
      </c>
      <c r="Q300" s="66">
        <f t="shared" ca="1" si="67"/>
        <v>6.9444444444450304E-3</v>
      </c>
      <c r="R300" s="63"/>
      <c r="S300" s="81"/>
    </row>
    <row r="301" spans="1:20" ht="15" customHeight="1">
      <c r="A301" s="18">
        <v>46246</v>
      </c>
      <c r="B301" s="68">
        <f t="shared" si="68"/>
        <v>0.41666666666666635</v>
      </c>
      <c r="C301" s="70" t="s">
        <v>38</v>
      </c>
      <c r="D301" s="75" t="s">
        <v>39</v>
      </c>
      <c r="E301" s="100" t="s">
        <v>274</v>
      </c>
      <c r="F301" s="88">
        <f>IFERROR(IF($D301="","",VLOOKUP($D301,Cadastro!$C$4:$E$7,3,FALSE())),"")</f>
        <v>0.24</v>
      </c>
      <c r="G301" s="63">
        <v>14</v>
      </c>
      <c r="H301" s="69">
        <f>IFERROR(IF($G301="","",$G301*$S$311/$G$311/Cadastro!$E$33),"")</f>
        <v>64.586666666666659</v>
      </c>
      <c r="I301" s="90">
        <f>IFERROR(IF($D301="","",VLOOKUP($D301,Cadastro!$C$4:$G$7,5,FALSE())),"")</f>
        <v>0.6</v>
      </c>
      <c r="J301" s="91">
        <f t="shared" si="65"/>
        <v>9.3004799999999985</v>
      </c>
      <c r="K301" s="69">
        <f t="shared" si="66"/>
        <v>58.800000000000004</v>
      </c>
      <c r="L301" s="70" t="s">
        <v>29</v>
      </c>
      <c r="M301" s="70" t="s">
        <v>56</v>
      </c>
      <c r="N301" s="70" t="s">
        <v>195</v>
      </c>
      <c r="O301" s="65">
        <v>0.60833333333333295</v>
      </c>
      <c r="P301" s="65">
        <v>0.61944444444444502</v>
      </c>
      <c r="Q301" s="71">
        <f t="shared" ca="1" si="67"/>
        <v>1.1111111111112071E-2</v>
      </c>
      <c r="R301" s="63" t="s">
        <v>36</v>
      </c>
      <c r="S301" s="81"/>
    </row>
    <row r="302" spans="1:20" ht="15" customHeight="1">
      <c r="A302" s="59">
        <v>46246</v>
      </c>
      <c r="B302" s="60">
        <f t="shared" si="68"/>
        <v>0.45833333333333304</v>
      </c>
      <c r="C302" s="70" t="s">
        <v>38</v>
      </c>
      <c r="D302" s="75" t="s">
        <v>39</v>
      </c>
      <c r="E302" s="100" t="s">
        <v>274</v>
      </c>
      <c r="F302" s="88">
        <f>IFERROR(IF($D302="","",VLOOKUP($D302,Cadastro!$C$4:$E$7,3,FALSE())),"")</f>
        <v>0.24</v>
      </c>
      <c r="G302" s="63">
        <v>15</v>
      </c>
      <c r="H302" s="69">
        <f>IFERROR(IF($G302="","",$G302*$S$311/$G$311/Cadastro!$E$33),"")</f>
        <v>69.2</v>
      </c>
      <c r="I302" s="90">
        <f>IFERROR(IF($D302="","",VLOOKUP($D302,Cadastro!$C$4:$G$7,5,FALSE())),"")</f>
        <v>0.6</v>
      </c>
      <c r="J302" s="91">
        <f t="shared" si="65"/>
        <v>9.9648000000000003</v>
      </c>
      <c r="K302" s="64">
        <f t="shared" si="66"/>
        <v>63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7"/>
        <v>6.9444444444439757E-3</v>
      </c>
      <c r="R302" s="63"/>
      <c r="S302" s="81"/>
    </row>
    <row r="303" spans="1:20" ht="15" customHeight="1">
      <c r="A303" s="18">
        <v>46246</v>
      </c>
      <c r="B303" s="68">
        <f t="shared" si="68"/>
        <v>0.49999999999999972</v>
      </c>
      <c r="C303" s="70" t="s">
        <v>38</v>
      </c>
      <c r="D303" s="75" t="s">
        <v>39</v>
      </c>
      <c r="E303" s="100" t="s">
        <v>274</v>
      </c>
      <c r="F303" s="88">
        <f>IFERROR(IF($D303="","",VLOOKUP($D303,Cadastro!$C$4:$E$7,3,FALSE())),"")</f>
        <v>0.24</v>
      </c>
      <c r="G303" s="63">
        <v>11</v>
      </c>
      <c r="H303" s="69">
        <f>IFERROR(IF($G303="","",$G303*$S$311/$G$311/Cadastro!$E$33),"")</f>
        <v>50.746666666666663</v>
      </c>
      <c r="I303" s="90">
        <f>IFERROR(IF($D303="","",VLOOKUP($D303,Cadastro!$C$4:$G$7,5,FALSE())),"")</f>
        <v>0.6</v>
      </c>
      <c r="J303" s="91">
        <f t="shared" si="65"/>
        <v>7.3075199999999985</v>
      </c>
      <c r="K303" s="69">
        <f t="shared" si="66"/>
        <v>46.2</v>
      </c>
      <c r="L303" s="70"/>
      <c r="M303" s="70"/>
      <c r="N303" s="70"/>
      <c r="O303" s="65"/>
      <c r="P303" s="65"/>
      <c r="Q303" s="66" t="str">
        <f t="shared" ca="1" si="67"/>
        <v/>
      </c>
      <c r="R303" s="63"/>
      <c r="S303" s="81"/>
    </row>
    <row r="304" spans="1:20" ht="15" customHeight="1">
      <c r="A304" s="59">
        <v>46246</v>
      </c>
      <c r="B304" s="60">
        <f t="shared" si="68"/>
        <v>0.54166666666666641</v>
      </c>
      <c r="C304" s="70" t="s">
        <v>38</v>
      </c>
      <c r="D304" s="75" t="s">
        <v>39</v>
      </c>
      <c r="E304" s="100" t="s">
        <v>274</v>
      </c>
      <c r="F304" s="88">
        <f>IFERROR(IF($D304="","",VLOOKUP($D304,Cadastro!$C$4:$E$7,3,FALSE())),"")</f>
        <v>0.24</v>
      </c>
      <c r="G304" s="63">
        <v>16</v>
      </c>
      <c r="H304" s="69">
        <f>IFERROR(IF($G304="","",$G304*$S$311/$G$311/Cadastro!$E$33),"")</f>
        <v>73.813333333333333</v>
      </c>
      <c r="I304" s="90">
        <f>IFERROR(IF($D304="","",VLOOKUP($D304,Cadastro!$C$4:$G$7,5,FALSE())),"")</f>
        <v>0.6</v>
      </c>
      <c r="J304" s="91">
        <f t="shared" si="65"/>
        <v>10.629119999999999</v>
      </c>
      <c r="K304" s="64">
        <f t="shared" si="66"/>
        <v>67.2</v>
      </c>
      <c r="L304" s="61"/>
      <c r="M304" s="61"/>
      <c r="N304" s="61"/>
      <c r="O304" s="65"/>
      <c r="P304" s="65"/>
      <c r="Q304" s="66" t="str">
        <f t="shared" ca="1" si="67"/>
        <v/>
      </c>
      <c r="R304" s="63"/>
      <c r="S304" s="81"/>
    </row>
    <row r="305" spans="1:20" ht="15" customHeight="1">
      <c r="A305" s="18">
        <v>46246</v>
      </c>
      <c r="B305" s="68">
        <f t="shared" si="68"/>
        <v>0.58333333333333304</v>
      </c>
      <c r="C305" s="70" t="s">
        <v>38</v>
      </c>
      <c r="D305" s="75" t="s">
        <v>31</v>
      </c>
      <c r="E305" s="100" t="s">
        <v>274</v>
      </c>
      <c r="F305" s="88">
        <f>IFERROR(IF($D305="","",VLOOKUP($D305,Cadastro!$C$4:$E$7,3,FALSE())),"")</f>
        <v>0.35</v>
      </c>
      <c r="G305" s="63">
        <v>5</v>
      </c>
      <c r="H305" s="69">
        <f>IFERROR(IF($G305="","",$G305*$S$311/$G$311/Cadastro!$E$33),"")</f>
        <v>23.066666666666666</v>
      </c>
      <c r="I305" s="90">
        <f>IFERROR(IF($D305="","",VLOOKUP($D305,Cadastro!$C$4:$G$7,5,FALSE())),"")</f>
        <v>0.6</v>
      </c>
      <c r="J305" s="91">
        <f t="shared" si="65"/>
        <v>4.8439999999999994</v>
      </c>
      <c r="K305" s="69">
        <f t="shared" si="66"/>
        <v>21</v>
      </c>
      <c r="L305" s="70"/>
      <c r="M305" s="70"/>
      <c r="N305" s="70"/>
      <c r="O305" s="65"/>
      <c r="P305" s="65"/>
      <c r="Q305" s="71" t="str">
        <f t="shared" ca="1" si="67"/>
        <v/>
      </c>
      <c r="R305" s="63"/>
      <c r="S305" s="81"/>
    </row>
    <row r="306" spans="1:20" ht="15" customHeight="1">
      <c r="A306" s="59">
        <v>46246</v>
      </c>
      <c r="B306" s="60">
        <f t="shared" si="68"/>
        <v>0.62499999999999967</v>
      </c>
      <c r="C306" s="70" t="s">
        <v>38</v>
      </c>
      <c r="D306" s="75" t="s">
        <v>31</v>
      </c>
      <c r="E306" s="100" t="s">
        <v>274</v>
      </c>
      <c r="F306" s="88">
        <f>IFERROR(IF($D306="","",VLOOKUP($D306,Cadastro!$C$4:$E$7,3,FALSE())),"")</f>
        <v>0.35</v>
      </c>
      <c r="G306" s="63">
        <v>6</v>
      </c>
      <c r="H306" s="69">
        <f>IFERROR(IF($G306="","",$G306*$S$311/$G$311/Cadastro!$E$33),"")</f>
        <v>27.68</v>
      </c>
      <c r="I306" s="90">
        <f>IFERROR(IF($D306="","",VLOOKUP($D306,Cadastro!$C$4:$G$7,5,FALSE())),"")</f>
        <v>0.6</v>
      </c>
      <c r="J306" s="91">
        <f t="shared" si="65"/>
        <v>5.8127999999999993</v>
      </c>
      <c r="K306" s="64">
        <f t="shared" si="66"/>
        <v>25.200000000000003</v>
      </c>
      <c r="L306" s="61"/>
      <c r="M306" s="61"/>
      <c r="N306" s="61"/>
      <c r="O306" s="65"/>
      <c r="P306" s="65"/>
      <c r="Q306" s="66" t="str">
        <f t="shared" ca="1" si="67"/>
        <v/>
      </c>
      <c r="R306" s="63"/>
      <c r="S306" s="81"/>
    </row>
    <row r="307" spans="1:20" ht="15" customHeight="1">
      <c r="A307" s="18">
        <v>46246</v>
      </c>
      <c r="B307" s="68">
        <f t="shared" si="68"/>
        <v>0.6666666666666663</v>
      </c>
      <c r="C307" s="70" t="s">
        <v>38</v>
      </c>
      <c r="D307" s="75" t="s">
        <v>31</v>
      </c>
      <c r="E307" s="100" t="s">
        <v>274</v>
      </c>
      <c r="F307" s="88">
        <f>IFERROR(IF($D307="","",VLOOKUP($D307,Cadastro!$C$4:$E$7,3,FALSE())),"")</f>
        <v>0.35</v>
      </c>
      <c r="G307" s="63">
        <v>10</v>
      </c>
      <c r="H307" s="69">
        <f>IFERROR(IF($G307="","",$G307*$S$311/$G$311/Cadastro!$E$33),"")</f>
        <v>46.133333333333333</v>
      </c>
      <c r="I307" s="90">
        <f>IFERROR(IF($D307="","",VLOOKUP($D307,Cadastro!$C$4:$G$7,5,FALSE())),"")</f>
        <v>0.6</v>
      </c>
      <c r="J307" s="91">
        <f t="shared" si="65"/>
        <v>9.6879999999999988</v>
      </c>
      <c r="K307" s="69">
        <f t="shared" si="66"/>
        <v>42</v>
      </c>
      <c r="L307" s="70"/>
      <c r="M307" s="70"/>
      <c r="N307" s="70"/>
      <c r="O307" s="65"/>
      <c r="P307" s="65"/>
      <c r="Q307" s="71" t="str">
        <f t="shared" ca="1" si="67"/>
        <v/>
      </c>
      <c r="R307" s="63"/>
      <c r="S307" s="81"/>
    </row>
    <row r="308" spans="1:20" ht="15" customHeight="1">
      <c r="A308" s="59">
        <v>46246</v>
      </c>
      <c r="B308" s="60">
        <f t="shared" si="68"/>
        <v>0.70833333333333293</v>
      </c>
      <c r="C308" s="70" t="s">
        <v>38</v>
      </c>
      <c r="D308" s="75" t="s">
        <v>31</v>
      </c>
      <c r="E308" s="100" t="s">
        <v>274</v>
      </c>
      <c r="F308" s="88">
        <f>IFERROR(IF($D308="","",VLOOKUP($D308,Cadastro!$C$4:$E$7,3,FALSE())),"")</f>
        <v>0.35</v>
      </c>
      <c r="G308" s="63">
        <v>16</v>
      </c>
      <c r="H308" s="69">
        <f>IFERROR(IF($G308="","",$G308*$S$311/$G$311/Cadastro!$E$33),"")</f>
        <v>73.813333333333333</v>
      </c>
      <c r="I308" s="90">
        <f>IFERROR(IF($D308="","",VLOOKUP($D308,Cadastro!$C$4:$G$7,5,FALSE())),"")</f>
        <v>0.6</v>
      </c>
      <c r="J308" s="91">
        <f t="shared" si="65"/>
        <v>15.500799999999998</v>
      </c>
      <c r="K308" s="64">
        <f t="shared" si="66"/>
        <v>67.2</v>
      </c>
      <c r="L308" s="61"/>
      <c r="M308" s="61"/>
      <c r="N308" s="61"/>
      <c r="O308" s="65"/>
      <c r="P308" s="65"/>
      <c r="Q308" s="66" t="str">
        <f t="shared" ca="1" si="67"/>
        <v/>
      </c>
      <c r="R308" s="63"/>
      <c r="S308" s="81"/>
    </row>
    <row r="309" spans="1:20" ht="15" customHeight="1">
      <c r="A309" s="18">
        <v>46246</v>
      </c>
      <c r="B309" s="68">
        <f t="shared" si="68"/>
        <v>0.74999999999999956</v>
      </c>
      <c r="C309" s="70" t="s">
        <v>38</v>
      </c>
      <c r="D309" s="75" t="s">
        <v>31</v>
      </c>
      <c r="E309" s="100" t="s">
        <v>274</v>
      </c>
      <c r="F309" s="88">
        <f>IFERROR(IF($D309="","",VLOOKUP($D309,Cadastro!$C$4:$E$7,3,FALSE())),"")</f>
        <v>0.35</v>
      </c>
      <c r="G309" s="63">
        <v>7</v>
      </c>
      <c r="H309" s="69">
        <f>IFERROR(IF($G309="","",$G309*$S$311/$G$311/Cadastro!$E$33),"")</f>
        <v>32.293333333333329</v>
      </c>
      <c r="I309" s="90">
        <f>IFERROR(IF($D309="","",VLOOKUP($D309,Cadastro!$C$4:$G$7,5,FALSE())),"")</f>
        <v>0.6</v>
      </c>
      <c r="J309" s="91">
        <f t="shared" si="65"/>
        <v>6.7815999999999992</v>
      </c>
      <c r="K309" s="69">
        <f t="shared" si="66"/>
        <v>29.400000000000002</v>
      </c>
      <c r="L309" s="70"/>
      <c r="M309" s="70"/>
      <c r="N309" s="70"/>
      <c r="O309" s="65"/>
      <c r="P309" s="65"/>
      <c r="Q309" s="71" t="str">
        <f t="shared" ca="1" si="67"/>
        <v/>
      </c>
      <c r="R309" s="63"/>
      <c r="S309" s="81"/>
    </row>
    <row r="310" spans="1:20" ht="15" customHeight="1">
      <c r="A310" s="59">
        <v>46246</v>
      </c>
      <c r="B310" s="60">
        <f t="shared" si="68"/>
        <v>0.79166666666666619</v>
      </c>
      <c r="C310" s="70" t="s">
        <v>38</v>
      </c>
      <c r="D310" s="75" t="s">
        <v>31</v>
      </c>
      <c r="E310" s="100" t="s">
        <v>274</v>
      </c>
      <c r="F310" s="92">
        <f>IFERROR(IF($D310="","",VLOOKUP($D310,Cadastro!$C$4:$E$7,3,FALSE())),"")</f>
        <v>0.35</v>
      </c>
      <c r="G310" s="63">
        <v>5</v>
      </c>
      <c r="H310" s="69">
        <f>IFERROR(IF($G310="","",$G310*$S$311/$G$311/Cadastro!$E$33),"")</f>
        <v>23.066666666666666</v>
      </c>
      <c r="I310" s="93">
        <f>IFERROR(IF($D310="","",VLOOKUP($D310,Cadastro!$C$4:$G$7,5,FALSE())),"")</f>
        <v>0.6</v>
      </c>
      <c r="J310" s="94">
        <f t="shared" si="65"/>
        <v>4.8439999999999994</v>
      </c>
      <c r="K310" s="64">
        <f t="shared" si="66"/>
        <v>21</v>
      </c>
      <c r="L310" s="61"/>
      <c r="M310" s="61"/>
      <c r="N310" s="61"/>
      <c r="O310" s="65"/>
      <c r="P310" s="65"/>
      <c r="Q310" s="66" t="str">
        <f t="shared" ca="1" si="67"/>
        <v/>
      </c>
      <c r="R310" s="63"/>
      <c r="S310" s="81"/>
    </row>
    <row r="311" spans="1:20" ht="15.75" customHeight="1">
      <c r="A311" s="156" t="s">
        <v>260</v>
      </c>
      <c r="B311" s="156"/>
      <c r="C311" s="156"/>
      <c r="D311" s="156"/>
      <c r="E311" s="156"/>
      <c r="F311" s="95"/>
      <c r="G311" s="96">
        <f>SUM(G299:G310)</f>
        <v>123</v>
      </c>
      <c r="H311" s="95">
        <f>IFERROR(SUM(H299:H310),"")</f>
        <v>567.43999999999994</v>
      </c>
      <c r="I311" s="97"/>
      <c r="J311" s="98">
        <f>IFERROR(SUM(J299:J310),"")</f>
        <v>96.630879999999991</v>
      </c>
      <c r="K311" s="2">
        <f>SUM(K299:K310)</f>
        <v>516.59999999999991</v>
      </c>
      <c r="L311" s="72"/>
      <c r="M311" s="72"/>
      <c r="N311" s="72"/>
      <c r="O311" s="72"/>
      <c r="P311" s="72"/>
      <c r="Q311" s="73">
        <f ca="1">IFERROR(SUM(Q299:Q310),"")</f>
        <v>2.8472222222223065E-2</v>
      </c>
      <c r="R311" s="2" t="s">
        <v>261</v>
      </c>
      <c r="S311" s="74">
        <v>567440</v>
      </c>
      <c r="T311" s="99">
        <f>IFERROR(J311,"")</f>
        <v>96.630879999999991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274</v>
      </c>
      <c r="F312" s="101">
        <f>IFERROR(IF($D312="","",VLOOKUP($D312,Cadastro!$C$4:$E$7,3,FALSE())),"")</f>
        <v>0.24</v>
      </c>
      <c r="G312" s="63">
        <v>8</v>
      </c>
      <c r="H312" s="64">
        <f>IFERROR(IF($G312="","",$G312*$S$324/$G$324/Cadastro!$E$33),"")</f>
        <v>37.353548387096772</v>
      </c>
      <c r="I312" s="102">
        <f>IFERROR(IF($D312="","",VLOOKUP($D312,Cadastro!$C$4:$G$7,5,FALSE())),"")</f>
        <v>0.6</v>
      </c>
      <c r="J312" s="103">
        <f t="shared" ref="J312:J323" si="69">IFERROR(IF($H312="","",$H312*$F312*$I312),"")</f>
        <v>5.3789109677419349</v>
      </c>
      <c r="K312" s="64">
        <v>33.6</v>
      </c>
      <c r="L312" s="61" t="s">
        <v>28</v>
      </c>
      <c r="M312" s="61" t="s">
        <v>56</v>
      </c>
      <c r="N312" s="61" t="s">
        <v>36</v>
      </c>
      <c r="O312" s="65">
        <v>6.5972222222222196E-2</v>
      </c>
      <c r="P312" s="65">
        <v>7.9861111111111105E-2</v>
      </c>
      <c r="Q312" s="66">
        <f t="shared" ref="Q312:Q323" ca="1" si="70">IFERROR(IF(O312="","",IF(P312="",MOD(NOW()-O312,1),IF(P312&gt;=O312,P312-O312,P312+1-O312))),"")</f>
        <v>1.3888888888888909E-2</v>
      </c>
      <c r="R312" s="63"/>
      <c r="S312" s="81"/>
    </row>
    <row r="313" spans="1:20" ht="15" customHeight="1">
      <c r="A313" s="18">
        <v>46246</v>
      </c>
      <c r="B313" s="68">
        <f t="shared" ref="B313:B323" si="71">B312+TIME(0,60,0)</f>
        <v>0.87499999999999967</v>
      </c>
      <c r="C313" s="61" t="s">
        <v>30</v>
      </c>
      <c r="D313" s="62" t="s">
        <v>39</v>
      </c>
      <c r="E313" s="87" t="s">
        <v>274</v>
      </c>
      <c r="F313" s="88">
        <f>IFERROR(IF($D313="","",VLOOKUP($D313,Cadastro!$C$4:$E$7,3,FALSE())),"")</f>
        <v>0.24</v>
      </c>
      <c r="G313" s="63">
        <v>4</v>
      </c>
      <c r="H313" s="64">
        <f>IFERROR(IF($G313="","",$G313*$S$324/$G$324/Cadastro!$E$33),"")</f>
        <v>18.676774193548386</v>
      </c>
      <c r="I313" s="90">
        <f>IFERROR(IF($D313="","",VLOOKUP($D313,Cadastro!$C$4:$G$7,5,FALSE())),"")</f>
        <v>0.6</v>
      </c>
      <c r="J313" s="91">
        <f t="shared" si="69"/>
        <v>2.6894554838709674</v>
      </c>
      <c r="K313" s="69">
        <v>20</v>
      </c>
      <c r="L313" s="70" t="s">
        <v>27</v>
      </c>
      <c r="M313" s="70" t="s">
        <v>148</v>
      </c>
      <c r="N313" s="70" t="s">
        <v>109</v>
      </c>
      <c r="O313" s="65">
        <v>0.18402777777777801</v>
      </c>
      <c r="P313" s="65">
        <v>0.19097222222222199</v>
      </c>
      <c r="Q313" s="71">
        <f t="shared" ca="1" si="70"/>
        <v>6.9444444444439757E-3</v>
      </c>
      <c r="R313" s="63"/>
      <c r="S313" s="81"/>
    </row>
    <row r="314" spans="1:20" ht="15" customHeight="1">
      <c r="A314" s="59">
        <v>46246</v>
      </c>
      <c r="B314" s="60">
        <f t="shared" si="71"/>
        <v>0.9166666666666663</v>
      </c>
      <c r="C314" s="61" t="s">
        <v>30</v>
      </c>
      <c r="D314" s="62" t="s">
        <v>39</v>
      </c>
      <c r="E314" s="87" t="s">
        <v>274</v>
      </c>
      <c r="F314" s="88">
        <f>IFERROR(IF($D314="","",VLOOKUP($D314,Cadastro!$C$4:$E$7,3,FALSE())),"")</f>
        <v>0.24</v>
      </c>
      <c r="G314" s="63">
        <v>10</v>
      </c>
      <c r="H314" s="64">
        <f>IFERROR(IF($G314="","",$G314*$S$324/$G$324/Cadastro!$E$33),"")</f>
        <v>46.691935483870971</v>
      </c>
      <c r="I314" s="90">
        <f>IFERROR(IF($D314="","",VLOOKUP($D314,Cadastro!$C$4:$G$7,5,FALSE())),"")</f>
        <v>0.6</v>
      </c>
      <c r="J314" s="91">
        <f t="shared" si="69"/>
        <v>6.7236387096774193</v>
      </c>
      <c r="K314" s="64">
        <v>42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0"/>
        <v>7.6388888888890005E-3</v>
      </c>
      <c r="R314" s="63"/>
      <c r="S314" s="81"/>
    </row>
    <row r="315" spans="1:20" ht="15" customHeight="1">
      <c r="A315" s="18">
        <v>46246</v>
      </c>
      <c r="B315" s="68">
        <f t="shared" si="71"/>
        <v>0.95833333333333293</v>
      </c>
      <c r="C315" s="61" t="s">
        <v>30</v>
      </c>
      <c r="D315" s="62" t="s">
        <v>39</v>
      </c>
      <c r="E315" s="87" t="s">
        <v>274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28.015161290322581</v>
      </c>
      <c r="I315" s="90">
        <f>IFERROR(IF($D315="","",VLOOKUP($D315,Cadastro!$C$4:$G$7,5,FALSE())),"")</f>
        <v>0.6</v>
      </c>
      <c r="J315" s="91">
        <f t="shared" si="69"/>
        <v>4.0341832258064514</v>
      </c>
      <c r="K315" s="69">
        <v>25.2</v>
      </c>
      <c r="L315" s="70" t="s">
        <v>26</v>
      </c>
      <c r="M315" s="70" t="s">
        <v>145</v>
      </c>
      <c r="N315" s="70" t="s">
        <v>58</v>
      </c>
      <c r="O315" s="65">
        <v>0.23263888888888901</v>
      </c>
      <c r="P315" s="65">
        <v>0.241666666666667</v>
      </c>
      <c r="Q315" s="71">
        <f t="shared" ca="1" si="70"/>
        <v>9.0277777777779955E-3</v>
      </c>
      <c r="R315" s="63"/>
      <c r="S315" s="81"/>
    </row>
    <row r="316" spans="1:20" ht="15" customHeight="1">
      <c r="A316" s="59">
        <v>46246</v>
      </c>
      <c r="B316" s="60">
        <f t="shared" si="71"/>
        <v>0.99999999999999956</v>
      </c>
      <c r="C316" s="61" t="s">
        <v>30</v>
      </c>
      <c r="D316" s="62" t="s">
        <v>39</v>
      </c>
      <c r="E316" s="87" t="s">
        <v>274</v>
      </c>
      <c r="F316" s="88">
        <f>IFERROR(IF($D316="","",VLOOKUP($D316,Cadastro!$C$4:$E$7,3,FALSE())),"")</f>
        <v>0.24</v>
      </c>
      <c r="G316" s="63">
        <v>6</v>
      </c>
      <c r="H316" s="64">
        <f>IFERROR(IF($G316="","",$G316*$S$324/$G$324/Cadastro!$E$33),"")</f>
        <v>28.015161290322581</v>
      </c>
      <c r="I316" s="90">
        <f>IFERROR(IF($D316="","",VLOOKUP($D316,Cadastro!$C$4:$G$7,5,FALSE())),"")</f>
        <v>0.6</v>
      </c>
      <c r="J316" s="91">
        <f t="shared" si="69"/>
        <v>4.0341832258064514</v>
      </c>
      <c r="K316" s="64">
        <v>25.2</v>
      </c>
      <c r="L316" s="61" t="s">
        <v>26</v>
      </c>
      <c r="M316" s="61" t="s">
        <v>145</v>
      </c>
      <c r="N316" s="61" t="s">
        <v>58</v>
      </c>
      <c r="O316" s="65">
        <v>0.250694444444444</v>
      </c>
      <c r="P316" s="65">
        <v>0.28125</v>
      </c>
      <c r="Q316" s="66">
        <f t="shared" ca="1" si="70"/>
        <v>3.0555555555556002E-2</v>
      </c>
      <c r="R316" s="63"/>
      <c r="S316" s="81"/>
    </row>
    <row r="317" spans="1:20" ht="15" customHeight="1">
      <c r="A317" s="18">
        <v>46246</v>
      </c>
      <c r="B317" s="68">
        <f t="shared" si="71"/>
        <v>1.0416666666666663</v>
      </c>
      <c r="C317" s="61" t="s">
        <v>30</v>
      </c>
      <c r="D317" s="62" t="s">
        <v>39</v>
      </c>
      <c r="E317" s="87" t="s">
        <v>274</v>
      </c>
      <c r="F317" s="88">
        <f>IFERROR(IF($D317="","",VLOOKUP($D317,Cadastro!$C$4:$E$7,3,FALSE())),"")</f>
        <v>0.24</v>
      </c>
      <c r="G317" s="63">
        <v>8</v>
      </c>
      <c r="H317" s="64">
        <f>IFERROR(IF($G317="","",$G317*$S$324/$G$324/Cadastro!$E$33),"")</f>
        <v>37.353548387096772</v>
      </c>
      <c r="I317" s="90">
        <f>IFERROR(IF($D317="","",VLOOKUP($D317,Cadastro!$C$4:$G$7,5,FALSE())),"")</f>
        <v>0.6</v>
      </c>
      <c r="J317" s="91">
        <f t="shared" si="69"/>
        <v>5.3789109677419349</v>
      </c>
      <c r="K317" s="69">
        <v>33.6</v>
      </c>
      <c r="L317" s="70"/>
      <c r="M317" s="70"/>
      <c r="N317" s="70"/>
      <c r="O317" s="65"/>
      <c r="P317" s="65"/>
      <c r="Q317" s="71" t="str">
        <f t="shared" ca="1" si="70"/>
        <v/>
      </c>
      <c r="R317" s="63"/>
      <c r="S317" s="81"/>
    </row>
    <row r="318" spans="1:20" ht="15" customHeight="1">
      <c r="A318" s="59">
        <v>46246</v>
      </c>
      <c r="B318" s="60">
        <f t="shared" si="71"/>
        <v>1.083333333333333</v>
      </c>
      <c r="C318" s="61" t="s">
        <v>30</v>
      </c>
      <c r="D318" s="62" t="s">
        <v>39</v>
      </c>
      <c r="E318" s="87" t="s">
        <v>274</v>
      </c>
      <c r="F318" s="88">
        <f>IFERROR(IF($D318="","",VLOOKUP($D318,Cadastro!$C$4:$E$7,3,FALSE())),"")</f>
        <v>0.24</v>
      </c>
      <c r="G318" s="63">
        <v>3</v>
      </c>
      <c r="H318" s="64">
        <f>IFERROR(IF($G318="","",$G318*$S$324/$G$324/Cadastro!$E$33),"")</f>
        <v>14.007580645161291</v>
      </c>
      <c r="I318" s="90">
        <f>IFERROR(IF($D318="","",VLOOKUP($D318,Cadastro!$C$4:$G$7,5,FALSE())),"")</f>
        <v>0.6</v>
      </c>
      <c r="J318" s="91">
        <f t="shared" si="69"/>
        <v>2.0170916129032257</v>
      </c>
      <c r="K318" s="64">
        <v>12.6</v>
      </c>
      <c r="L318" s="61"/>
      <c r="M318" s="61"/>
      <c r="N318" s="61"/>
      <c r="O318" s="65"/>
      <c r="P318" s="65"/>
      <c r="Q318" s="66" t="str">
        <f t="shared" ca="1" si="70"/>
        <v/>
      </c>
      <c r="R318" s="63"/>
      <c r="S318" s="81"/>
    </row>
    <row r="319" spans="1:20" ht="15" customHeight="1">
      <c r="A319" s="18">
        <v>46246</v>
      </c>
      <c r="B319" s="68">
        <f t="shared" si="71"/>
        <v>1.1249999999999998</v>
      </c>
      <c r="C319" s="61" t="s">
        <v>30</v>
      </c>
      <c r="D319" s="62" t="s">
        <v>39</v>
      </c>
      <c r="E319" s="87" t="s">
        <v>274</v>
      </c>
      <c r="F319" s="88">
        <f>IFERROR(IF($D319="","",VLOOKUP($D319,Cadastro!$C$4:$E$7,3,FALSE())),"")</f>
        <v>0.24</v>
      </c>
      <c r="G319" s="63">
        <v>6</v>
      </c>
      <c r="H319" s="64">
        <f>IFERROR(IF($G319="","",$G319*$S$324/$G$324/Cadastro!$E$33),"")</f>
        <v>28.015161290322581</v>
      </c>
      <c r="I319" s="90">
        <f>IFERROR(IF($D319="","",VLOOKUP($D319,Cadastro!$C$4:$G$7,5,FALSE())),"")</f>
        <v>0.6</v>
      </c>
      <c r="J319" s="91">
        <f t="shared" si="69"/>
        <v>4.0341832258064514</v>
      </c>
      <c r="K319" s="69">
        <v>25.2</v>
      </c>
      <c r="L319" s="70"/>
      <c r="M319" s="70"/>
      <c r="N319" s="70"/>
      <c r="O319" s="65"/>
      <c r="P319" s="65"/>
      <c r="Q319" s="71" t="str">
        <f t="shared" ca="1" si="70"/>
        <v/>
      </c>
      <c r="R319" s="63"/>
      <c r="S319" s="81"/>
    </row>
    <row r="320" spans="1:20" ht="15" customHeight="1">
      <c r="A320" s="59">
        <v>46246</v>
      </c>
      <c r="B320" s="60">
        <f t="shared" si="71"/>
        <v>1.1666666666666665</v>
      </c>
      <c r="C320" s="61" t="s">
        <v>30</v>
      </c>
      <c r="D320" s="62" t="s">
        <v>39</v>
      </c>
      <c r="E320" s="87" t="s">
        <v>274</v>
      </c>
      <c r="F320" s="88">
        <f>IFERROR(IF($D320="","",VLOOKUP($D320,Cadastro!$C$4:$E$7,3,FALSE())),"")</f>
        <v>0.24</v>
      </c>
      <c r="G320" s="63">
        <v>4</v>
      </c>
      <c r="H320" s="64">
        <f>IFERROR(IF($G320="","",$G320*$S$324/$G$324/Cadastro!$E$33),"")</f>
        <v>18.676774193548386</v>
      </c>
      <c r="I320" s="90">
        <f>IFERROR(IF($D320="","",VLOOKUP($D320,Cadastro!$C$4:$G$7,5,FALSE())),"")</f>
        <v>0.6</v>
      </c>
      <c r="J320" s="91">
        <f t="shared" si="69"/>
        <v>2.6894554838709674</v>
      </c>
      <c r="K320" s="64">
        <v>16.8</v>
      </c>
      <c r="L320" s="61"/>
      <c r="M320" s="61"/>
      <c r="N320" s="61"/>
      <c r="O320" s="65"/>
      <c r="P320" s="65"/>
      <c r="Q320" s="66" t="str">
        <f t="shared" ca="1" si="70"/>
        <v/>
      </c>
      <c r="R320" s="63"/>
      <c r="S320" s="81"/>
    </row>
    <row r="321" spans="1:20" ht="15" customHeight="1">
      <c r="A321" s="18">
        <v>46246</v>
      </c>
      <c r="B321" s="68">
        <f t="shared" si="71"/>
        <v>1.2083333333333333</v>
      </c>
      <c r="C321" s="61" t="s">
        <v>30</v>
      </c>
      <c r="D321" s="62" t="s">
        <v>39</v>
      </c>
      <c r="E321" s="87" t="s">
        <v>274</v>
      </c>
      <c r="F321" s="88">
        <f>IFERROR(IF($D321="","",VLOOKUP($D321,Cadastro!$C$4:$E$7,3,FALSE())),"")</f>
        <v>0.24</v>
      </c>
      <c r="G321" s="63">
        <v>5</v>
      </c>
      <c r="H321" s="64">
        <f>IFERROR(IF($G321="","",$G321*$S$324/$G$324/Cadastro!$E$33),"")</f>
        <v>23.345967741935485</v>
      </c>
      <c r="I321" s="90">
        <f>IFERROR(IF($D321="","",VLOOKUP($D321,Cadastro!$C$4:$G$7,5,FALSE())),"")</f>
        <v>0.6</v>
      </c>
      <c r="J321" s="91">
        <f t="shared" si="69"/>
        <v>3.3618193548387096</v>
      </c>
      <c r="K321" s="69">
        <v>21</v>
      </c>
      <c r="L321" s="70"/>
      <c r="M321" s="70"/>
      <c r="N321" s="70"/>
      <c r="O321" s="65"/>
      <c r="P321" s="65"/>
      <c r="Q321" s="71" t="str">
        <f t="shared" ca="1" si="70"/>
        <v/>
      </c>
      <c r="R321" s="63"/>
      <c r="S321" s="81"/>
    </row>
    <row r="322" spans="1:20" ht="15" customHeight="1">
      <c r="A322" s="59">
        <v>46246</v>
      </c>
      <c r="B322" s="60">
        <f t="shared" si="71"/>
        <v>1.25</v>
      </c>
      <c r="C322" s="61" t="s">
        <v>30</v>
      </c>
      <c r="D322" s="62" t="s">
        <v>39</v>
      </c>
      <c r="E322" s="87" t="s">
        <v>274</v>
      </c>
      <c r="F322" s="88">
        <f>IFERROR(IF($D322="","",VLOOKUP($D322,Cadastro!$C$4:$E$7,3,FALSE())),"")</f>
        <v>0.24</v>
      </c>
      <c r="G322" s="63">
        <v>2</v>
      </c>
      <c r="H322" s="64">
        <f>IFERROR(IF($G322="","",$G322*$S$324/$G$324/Cadastro!$E$33),"")</f>
        <v>9.3383870967741931</v>
      </c>
      <c r="I322" s="90">
        <f>IFERROR(IF($D322="","",VLOOKUP($D322,Cadastro!$C$4:$G$7,5,FALSE())),"")</f>
        <v>0.6</v>
      </c>
      <c r="J322" s="91">
        <f t="shared" si="69"/>
        <v>1.3447277419354837</v>
      </c>
      <c r="K322" s="64">
        <v>8.4</v>
      </c>
      <c r="L322" s="61"/>
      <c r="M322" s="61"/>
      <c r="N322" s="61"/>
      <c r="O322" s="65"/>
      <c r="P322" s="65"/>
      <c r="Q322" s="66" t="str">
        <f t="shared" ca="1" si="70"/>
        <v/>
      </c>
      <c r="R322" s="63"/>
      <c r="S322" s="81"/>
    </row>
    <row r="323" spans="1:20" ht="15" customHeight="1">
      <c r="A323" s="18">
        <v>46246</v>
      </c>
      <c r="B323" s="68">
        <f t="shared" si="71"/>
        <v>1.2916666666666667</v>
      </c>
      <c r="C323" s="61" t="s">
        <v>30</v>
      </c>
      <c r="D323" s="62" t="s">
        <v>39</v>
      </c>
      <c r="E323" s="87" t="s">
        <v>274</v>
      </c>
      <c r="F323" s="92">
        <f>IFERROR(IF($D323="","",VLOOKUP($D323,Cadastro!$C$4:$E$7,3,FALSE())),"")</f>
        <v>0.24</v>
      </c>
      <c r="G323" s="63">
        <v>0</v>
      </c>
      <c r="H323" s="64">
        <f>IFERROR(IF($G323="","",$G323*$S$324/$G$324/Cadastro!$E$33),"")</f>
        <v>0</v>
      </c>
      <c r="I323" s="93">
        <f>IFERROR(IF($D323="","",VLOOKUP($D323,Cadastro!$C$4:$G$7,5,FALSE())),"")</f>
        <v>0.6</v>
      </c>
      <c r="J323" s="94">
        <f t="shared" si="69"/>
        <v>0</v>
      </c>
      <c r="K323" s="69">
        <v>0</v>
      </c>
      <c r="L323" s="70"/>
      <c r="M323" s="70"/>
      <c r="N323" s="70"/>
      <c r="O323" s="65"/>
      <c r="P323" s="65"/>
      <c r="Q323" s="71" t="str">
        <f t="shared" ca="1" si="70"/>
        <v/>
      </c>
      <c r="R323" s="63"/>
      <c r="S323" s="81"/>
    </row>
    <row r="324" spans="1:20" ht="15.75" customHeight="1">
      <c r="A324" s="156" t="s">
        <v>263</v>
      </c>
      <c r="B324" s="156"/>
      <c r="C324" s="156"/>
      <c r="D324" s="156"/>
      <c r="E324" s="156"/>
      <c r="F324" s="105"/>
      <c r="G324" s="96">
        <f>SUM(G312:G323)</f>
        <v>62</v>
      </c>
      <c r="H324" s="105">
        <f>IFERROR(SUM(H312:H323),"")</f>
        <v>289.49</v>
      </c>
      <c r="I324" s="106"/>
      <c r="J324" s="107">
        <f>IFERROR(SUM(J312:J323),"")</f>
        <v>41.68656</v>
      </c>
      <c r="K324" s="2">
        <f>SUM(K312:K323)</f>
        <v>263.59999999999997</v>
      </c>
      <c r="L324" s="72"/>
      <c r="M324" s="72"/>
      <c r="N324" s="72"/>
      <c r="O324" s="72"/>
      <c r="P324" s="72"/>
      <c r="Q324" s="73">
        <f ca="1">IFERROR(SUM(Q312:Q323),"")</f>
        <v>6.8055555555555883E-2</v>
      </c>
      <c r="R324" s="2" t="s">
        <v>261</v>
      </c>
      <c r="S324" s="74">
        <v>289490</v>
      </c>
      <c r="T324" s="99">
        <f>IFERROR(J324,"")</f>
        <v>41.68656</v>
      </c>
    </row>
    <row r="325" spans="1:20" ht="18" customHeight="1">
      <c r="A325" s="157" t="s">
        <v>249</v>
      </c>
      <c r="B325" s="157"/>
      <c r="C325" s="157"/>
      <c r="D325" s="157"/>
      <c r="E325" s="157"/>
      <c r="F325" s="108"/>
      <c r="G325" s="109">
        <f>G311+G324</f>
        <v>185</v>
      </c>
      <c r="H325" s="108">
        <f>IFERROR(H311+H324,"")</f>
        <v>856.93</v>
      </c>
      <c r="I325" s="110"/>
      <c r="J325" s="111">
        <f>IFERROR(J311+J324,"")</f>
        <v>138.31743999999998</v>
      </c>
      <c r="K325" s="1">
        <f>K311+K324</f>
        <v>780.19999999999982</v>
      </c>
      <c r="L325" s="76"/>
      <c r="M325" s="76"/>
      <c r="N325" s="76"/>
      <c r="O325" s="76"/>
      <c r="P325" s="76"/>
      <c r="Q325" s="77">
        <f ca="1">IFERROR(Q311+Q324,"")</f>
        <v>9.6527777777778948E-2</v>
      </c>
      <c r="R325" s="1" t="s">
        <v>264</v>
      </c>
      <c r="S325" s="82">
        <f>IFERROR(S311+S324,"")</f>
        <v>856930</v>
      </c>
      <c r="T325" s="118">
        <f>IFERROR(J325,"")</f>
        <v>138.31743999999998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12</v>
      </c>
      <c r="H326" s="101">
        <f>IFERROR(IF($G326="","",$G326*$S$338/$G$338/Cadastro!$E$33),"")</f>
        <v>76.192131147540991</v>
      </c>
      <c r="I326" s="102">
        <f>IFERROR(IF($D326="","",VLOOKUP($D326,Cadastro!$C$4:$G$7,5,FALSE())),"")</f>
        <v>0.6</v>
      </c>
      <c r="J326" s="103">
        <f t="shared" ref="J326:J337" si="72">IFERROR(IF($H326="","",$H326*$F326*$I326),"")</f>
        <v>16.000347540983604</v>
      </c>
      <c r="K326" s="64">
        <f t="shared" ref="K326:K337" si="73">IF(G326="","",IF(E326="PC 17",G326*4.2,IF(E326="PC 19",G326*5,IF(E326="CB",G326*24,""))))</f>
        <v>60</v>
      </c>
      <c r="L326" s="61" t="s">
        <v>27</v>
      </c>
      <c r="M326" s="61" t="s">
        <v>148</v>
      </c>
      <c r="N326" s="61" t="s">
        <v>140</v>
      </c>
      <c r="O326" s="65">
        <v>0.454166666666667</v>
      </c>
      <c r="P326" s="65">
        <v>0.469444444444444</v>
      </c>
      <c r="Q326" s="66">
        <f t="shared" ref="Q326:Q337" ca="1" si="74">IFERROR(IF(O326="","",IF(P326="",MOD(NOW()-O326,1),IF(P326&gt;=O326,P326-O326,P326+1-O326))),"")</f>
        <v>1.5277777777777002E-2</v>
      </c>
      <c r="R326" s="63" t="s">
        <v>325</v>
      </c>
      <c r="S326" s="81"/>
    </row>
    <row r="327" spans="1:20" ht="15" customHeight="1">
      <c r="A327" s="18">
        <v>46247</v>
      </c>
      <c r="B327" s="68">
        <f t="shared" ref="B327:B337" si="75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11</v>
      </c>
      <c r="H327" s="88">
        <f>IFERROR(IF($G327="","",$G327*$S$338/$G$338/Cadastro!$E$33),"")</f>
        <v>69.8427868852459</v>
      </c>
      <c r="I327" s="90">
        <f>IFERROR(IF($D327="","",VLOOKUP($D327,Cadastro!$C$4:$G$7,5,FALSE())),"")</f>
        <v>0.6</v>
      </c>
      <c r="J327" s="91">
        <f t="shared" si="72"/>
        <v>14.666985245901639</v>
      </c>
      <c r="K327" s="69">
        <f t="shared" si="73"/>
        <v>55</v>
      </c>
      <c r="L327" s="61" t="s">
        <v>27</v>
      </c>
      <c r="M327" s="61" t="s">
        <v>148</v>
      </c>
      <c r="N327" s="61"/>
      <c r="O327" s="65">
        <v>0.48611111111111099</v>
      </c>
      <c r="P327" s="65">
        <v>0.50833333333333297</v>
      </c>
      <c r="Q327" s="71">
        <f t="shared" ca="1" si="74"/>
        <v>2.2222222222221977E-2</v>
      </c>
      <c r="R327" s="63" t="s">
        <v>356</v>
      </c>
      <c r="S327" s="81"/>
    </row>
    <row r="328" spans="1:20" ht="15" customHeight="1">
      <c r="A328" s="59">
        <v>46247</v>
      </c>
      <c r="B328" s="60">
        <f t="shared" si="75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11</v>
      </c>
      <c r="H328" s="88">
        <f>IFERROR(IF($G328="","",$G328*$S$338/$G$338/Cadastro!$E$33),"")</f>
        <v>69.8427868852459</v>
      </c>
      <c r="I328" s="90">
        <f>IFERROR(IF($D328="","",VLOOKUP($D328,Cadastro!$C$4:$G$7,5,FALSE())),"")</f>
        <v>0.6</v>
      </c>
      <c r="J328" s="91">
        <f t="shared" si="72"/>
        <v>14.666985245901639</v>
      </c>
      <c r="K328" s="64">
        <f t="shared" si="73"/>
        <v>55</v>
      </c>
      <c r="L328" s="61" t="s">
        <v>29</v>
      </c>
      <c r="M328" s="61" t="s">
        <v>136</v>
      </c>
      <c r="N328" s="61" t="s">
        <v>123</v>
      </c>
      <c r="O328" s="65">
        <v>0.52430555555555602</v>
      </c>
      <c r="P328" s="65">
        <v>0.54236111111111096</v>
      </c>
      <c r="Q328" s="66">
        <f t="shared" ca="1" si="74"/>
        <v>1.8055555555554936E-2</v>
      </c>
      <c r="R328" s="63"/>
      <c r="S328" s="81"/>
    </row>
    <row r="329" spans="1:20" ht="15" customHeight="1">
      <c r="A329" s="18">
        <v>46247</v>
      </c>
      <c r="B329" s="68">
        <f t="shared" si="75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12</v>
      </c>
      <c r="H329" s="88">
        <f>IFERROR(IF($G329="","",$G329*$S$338/$G$338/Cadastro!$E$33),"")</f>
        <v>76.192131147540991</v>
      </c>
      <c r="I329" s="90">
        <f>IFERROR(IF($D329="","",VLOOKUP($D329,Cadastro!$C$4:$G$7,5,FALSE())),"")</f>
        <v>0.6</v>
      </c>
      <c r="J329" s="91">
        <f t="shared" si="72"/>
        <v>16.000347540983604</v>
      </c>
      <c r="K329" s="69">
        <f t="shared" si="73"/>
        <v>60</v>
      </c>
      <c r="L329" s="70" t="s">
        <v>27</v>
      </c>
      <c r="M329" s="70" t="s">
        <v>148</v>
      </c>
      <c r="N329" s="70" t="s">
        <v>70</v>
      </c>
      <c r="O329" s="65">
        <v>0.56458333333333299</v>
      </c>
      <c r="P329" s="65">
        <v>0.74305555555555602</v>
      </c>
      <c r="Q329" s="71">
        <f t="shared" ca="1" si="74"/>
        <v>0.17847222222222303</v>
      </c>
      <c r="R329" s="63" t="s">
        <v>326</v>
      </c>
      <c r="S329" s="81"/>
    </row>
    <row r="330" spans="1:20" ht="15" customHeight="1">
      <c r="A330" s="59">
        <v>46247</v>
      </c>
      <c r="B330" s="60">
        <f t="shared" si="75"/>
        <v>0.49999999999999972</v>
      </c>
      <c r="C330" s="61" t="s">
        <v>38</v>
      </c>
      <c r="D330" s="62" t="s">
        <v>31</v>
      </c>
      <c r="E330" s="87" t="s">
        <v>259</v>
      </c>
      <c r="F330" s="88">
        <f>IFERROR(IF($D330="","",VLOOKUP($D330,Cadastro!$C$4:$E$7,3,FALSE())),"")</f>
        <v>0.35</v>
      </c>
      <c r="G330" s="89">
        <v>5</v>
      </c>
      <c r="H330" s="88">
        <f>IFERROR(IF($G330="","",$G330*$S$338/$G$338/Cadastro!$E$33),"")</f>
        <v>31.746721311475408</v>
      </c>
      <c r="I330" s="90">
        <f>IFERROR(IF($D330="","",VLOOKUP($D330,Cadastro!$C$4:$G$7,5,FALSE())),"")</f>
        <v>0.6</v>
      </c>
      <c r="J330" s="91">
        <f t="shared" si="72"/>
        <v>6.666811475409836</v>
      </c>
      <c r="K330" s="64">
        <f t="shared" si="73"/>
        <v>25</v>
      </c>
      <c r="L330" s="61"/>
      <c r="M330" s="61"/>
      <c r="N330" s="61"/>
      <c r="O330" s="65"/>
      <c r="P330" s="65"/>
      <c r="Q330" s="66" t="str">
        <f t="shared" ca="1" si="74"/>
        <v/>
      </c>
      <c r="R330" s="63"/>
      <c r="S330" s="81"/>
    </row>
    <row r="331" spans="1:20" ht="15" customHeight="1">
      <c r="A331" s="18">
        <v>46247</v>
      </c>
      <c r="B331" s="68">
        <f t="shared" si="75"/>
        <v>0.54166666666666641</v>
      </c>
      <c r="C331" s="61" t="s">
        <v>38</v>
      </c>
      <c r="D331" s="62" t="s">
        <v>31</v>
      </c>
      <c r="E331" s="87" t="s">
        <v>274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2"/>
        <v>0</v>
      </c>
      <c r="K331" s="69">
        <f t="shared" si="73"/>
        <v>0</v>
      </c>
      <c r="L331" s="70"/>
      <c r="M331" s="70"/>
      <c r="N331" s="70"/>
      <c r="O331" s="65"/>
      <c r="P331" s="65"/>
      <c r="Q331" s="71" t="str">
        <f t="shared" ca="1" si="74"/>
        <v/>
      </c>
      <c r="R331" s="63"/>
      <c r="S331" s="81"/>
    </row>
    <row r="332" spans="1:20" ht="15" customHeight="1">
      <c r="A332" s="59">
        <v>46247</v>
      </c>
      <c r="B332" s="60">
        <f t="shared" si="75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5</v>
      </c>
      <c r="H332" s="88">
        <f>IFERROR(IF($G332="","",$G332*$S$338/$G$338/Cadastro!$E$33),"")</f>
        <v>31.746721311475408</v>
      </c>
      <c r="I332" s="90">
        <f>IFERROR(IF($D332="","",VLOOKUP($D332,Cadastro!$C$4:$G$7,5,FALSE())),"")</f>
        <v>0.6</v>
      </c>
      <c r="J332" s="91">
        <f t="shared" si="72"/>
        <v>6.666811475409836</v>
      </c>
      <c r="K332" s="64">
        <f t="shared" si="73"/>
        <v>21</v>
      </c>
      <c r="L332" s="61"/>
      <c r="M332" s="61"/>
      <c r="N332" s="61"/>
      <c r="O332" s="65"/>
      <c r="P332" s="65"/>
      <c r="Q332" s="66" t="str">
        <f t="shared" ca="1" si="74"/>
        <v/>
      </c>
      <c r="R332" s="63"/>
      <c r="S332" s="81"/>
    </row>
    <row r="333" spans="1:20" ht="15" customHeight="1">
      <c r="A333" s="18">
        <v>46247</v>
      </c>
      <c r="B333" s="68">
        <f t="shared" si="75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2"/>
        <v>0</v>
      </c>
      <c r="K333" s="69">
        <f t="shared" si="73"/>
        <v>0</v>
      </c>
      <c r="L333" s="70"/>
      <c r="M333" s="70"/>
      <c r="N333" s="70"/>
      <c r="O333" s="65"/>
      <c r="P333" s="65"/>
      <c r="Q333" s="71" t="str">
        <f t="shared" ca="1" si="74"/>
        <v/>
      </c>
      <c r="R333" s="63"/>
      <c r="S333" s="81"/>
    </row>
    <row r="334" spans="1:20" ht="15" customHeight="1">
      <c r="A334" s="59">
        <v>46247</v>
      </c>
      <c r="B334" s="60">
        <f t="shared" si="75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2"/>
        <v>0</v>
      </c>
      <c r="K334" s="64">
        <f t="shared" si="73"/>
        <v>0</v>
      </c>
      <c r="L334" s="61"/>
      <c r="M334" s="61"/>
      <c r="N334" s="61"/>
      <c r="O334" s="65"/>
      <c r="P334" s="65"/>
      <c r="Q334" s="66" t="str">
        <f t="shared" ca="1" si="74"/>
        <v/>
      </c>
      <c r="R334" s="63"/>
      <c r="S334" s="81"/>
    </row>
    <row r="335" spans="1:20" ht="15" customHeight="1">
      <c r="A335" s="18">
        <v>46247</v>
      </c>
      <c r="B335" s="68">
        <f t="shared" si="75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2"/>
        <v>0</v>
      </c>
      <c r="K335" s="69">
        <f t="shared" si="73"/>
        <v>0</v>
      </c>
      <c r="L335" s="70"/>
      <c r="M335" s="70"/>
      <c r="N335" s="70"/>
      <c r="O335" s="65"/>
      <c r="P335" s="65"/>
      <c r="Q335" s="71" t="str">
        <f t="shared" ca="1" si="74"/>
        <v/>
      </c>
      <c r="R335" s="63"/>
      <c r="S335" s="81"/>
    </row>
    <row r="336" spans="1:20" ht="15" customHeight="1">
      <c r="A336" s="59">
        <v>46247</v>
      </c>
      <c r="B336" s="60">
        <f t="shared" si="75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2"/>
        <v>0</v>
      </c>
      <c r="K336" s="64">
        <f t="shared" si="73"/>
        <v>0</v>
      </c>
      <c r="L336" s="61"/>
      <c r="M336" s="61"/>
      <c r="N336" s="61"/>
      <c r="O336" s="65"/>
      <c r="P336" s="65"/>
      <c r="Q336" s="66" t="str">
        <f t="shared" ca="1" si="74"/>
        <v/>
      </c>
      <c r="R336" s="63"/>
      <c r="S336" s="81"/>
    </row>
    <row r="337" spans="1:20" ht="15" customHeight="1">
      <c r="A337" s="18">
        <v>46247</v>
      </c>
      <c r="B337" s="68">
        <f t="shared" si="75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5</v>
      </c>
      <c r="H337" s="92">
        <f>IFERROR(IF($G337="","",$G337*$S$338/$G$338/Cadastro!$E$33),"")</f>
        <v>31.746721311475408</v>
      </c>
      <c r="I337" s="93">
        <f>IFERROR(IF($D337="","",VLOOKUP($D337,Cadastro!$C$4:$G$7,5,FALSE())),"")</f>
        <v>0.6</v>
      </c>
      <c r="J337" s="94">
        <f t="shared" si="72"/>
        <v>6.666811475409836</v>
      </c>
      <c r="K337" s="69">
        <f t="shared" si="73"/>
        <v>21</v>
      </c>
      <c r="L337" s="70"/>
      <c r="M337" s="70"/>
      <c r="N337" s="70"/>
      <c r="O337" s="65"/>
      <c r="P337" s="65"/>
      <c r="Q337" s="71" t="str">
        <f t="shared" ca="1" si="74"/>
        <v/>
      </c>
      <c r="R337" s="63"/>
      <c r="S337" s="81"/>
    </row>
    <row r="338" spans="1:20" ht="15.75" customHeight="1">
      <c r="A338" s="156" t="s">
        <v>260</v>
      </c>
      <c r="B338" s="156"/>
      <c r="C338" s="156"/>
      <c r="D338" s="156"/>
      <c r="E338" s="156"/>
      <c r="F338" s="95"/>
      <c r="G338" s="96">
        <f>SUM(G326:G337)</f>
        <v>61</v>
      </c>
      <c r="H338" s="95">
        <f>IFERROR(SUM(H326:H337),"")</f>
        <v>387.31000000000006</v>
      </c>
      <c r="I338" s="97"/>
      <c r="J338" s="98">
        <f>IFERROR(SUM(J326:J337),"")</f>
        <v>81.335099999999983</v>
      </c>
      <c r="K338" s="2">
        <f>SUM(K326:K337)</f>
        <v>297</v>
      </c>
      <c r="L338" s="72"/>
      <c r="M338" s="72"/>
      <c r="N338" s="72"/>
      <c r="O338" s="72"/>
      <c r="P338" s="72"/>
      <c r="Q338" s="73">
        <f ca="1">IFERROR(SUM(Q326:Q337),"")</f>
        <v>0.23402777777777695</v>
      </c>
      <c r="R338" s="2" t="s">
        <v>261</v>
      </c>
      <c r="S338" s="74">
        <v>387310</v>
      </c>
      <c r="T338" s="99">
        <f>IFERROR(J338,"")</f>
        <v>81.335099999999983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8</v>
      </c>
      <c r="H339" s="101">
        <f>IFERROR(IF($G339="","",$G339*$S$351/$G$351/Cadastro!$E$33),"")</f>
        <v>34.155999999999999</v>
      </c>
      <c r="I339" s="102">
        <f>IFERROR(IF($D339="","",VLOOKUP($D339,Cadastro!$C$4:$G$7,5,FALSE())),"")</f>
        <v>0.6</v>
      </c>
      <c r="J339" s="103">
        <f t="shared" ref="J339:J350" si="76">IFERROR(IF($H339="","",$H339*$F339*$I339),"")</f>
        <v>7.1727599999999994</v>
      </c>
      <c r="K339" s="69">
        <f t="shared" ref="K339:K350" si="77">IF(G339="","",IF(E339="PC 17",G339*4.2,IF(E339="PC 19",G339*5,IF(E339="CB",G339*24,""))))</f>
        <v>33.6</v>
      </c>
      <c r="L339" s="70" t="s">
        <v>28</v>
      </c>
      <c r="M339" s="70" t="s">
        <v>56</v>
      </c>
      <c r="N339" s="70" t="s">
        <v>36</v>
      </c>
      <c r="O339" s="65">
        <v>0.96180555555555602</v>
      </c>
      <c r="P339" s="65">
        <v>0.969444444444444</v>
      </c>
      <c r="Q339" s="71">
        <f t="shared" ref="Q339:Q350" ca="1" si="78">IFERROR(IF(O339="","",IF(P339="",MOD(NOW()-O339,1),IF(P339&gt;=O339,P339-O339,P339+1-O339))),"")</f>
        <v>7.6388888888879736E-3</v>
      </c>
      <c r="R339" s="63"/>
      <c r="S339" s="81"/>
    </row>
    <row r="340" spans="1:20" ht="15" customHeight="1">
      <c r="A340" s="59">
        <v>46247</v>
      </c>
      <c r="B340" s="60">
        <f t="shared" ref="B340:B350" si="79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3</v>
      </c>
      <c r="H340" s="88">
        <f>IFERROR(IF($G340="","",$G340*$S$351/$G$351/Cadastro!$E$33),"")</f>
        <v>12.8085</v>
      </c>
      <c r="I340" s="90">
        <f>IFERROR(IF($D340="","",VLOOKUP($D340,Cadastro!$C$4:$G$7,5,FALSE())),"")</f>
        <v>0.6</v>
      </c>
      <c r="J340" s="91">
        <f t="shared" si="76"/>
        <v>2.6897849999999996</v>
      </c>
      <c r="K340" s="64">
        <f t="shared" si="77"/>
        <v>12.600000000000001</v>
      </c>
      <c r="L340" s="61" t="s">
        <v>26</v>
      </c>
      <c r="M340" s="61" t="s">
        <v>145</v>
      </c>
      <c r="N340" s="61" t="s">
        <v>58</v>
      </c>
      <c r="O340" s="65">
        <v>0.211805555555556</v>
      </c>
      <c r="P340" s="65">
        <v>0.218055555555556</v>
      </c>
      <c r="Q340" s="66">
        <f t="shared" ca="1" si="78"/>
        <v>6.2500000000000056E-3</v>
      </c>
      <c r="R340" s="63"/>
      <c r="S340" s="81"/>
    </row>
    <row r="341" spans="1:20" ht="15" customHeight="1">
      <c r="A341" s="18">
        <v>46247</v>
      </c>
      <c r="B341" s="68">
        <f t="shared" si="79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8</v>
      </c>
      <c r="H341" s="88">
        <f>IFERROR(IF($G341="","",$G341*$S$351/$G$351/Cadastro!$E$33),"")</f>
        <v>34.155999999999999</v>
      </c>
      <c r="I341" s="90">
        <f>IFERROR(IF($D341="","",VLOOKUP($D341,Cadastro!$C$4:$G$7,5,FALSE())),"")</f>
        <v>0.6</v>
      </c>
      <c r="J341" s="91">
        <f t="shared" si="76"/>
        <v>7.1727599999999994</v>
      </c>
      <c r="K341" s="69">
        <f t="shared" si="77"/>
        <v>33.6</v>
      </c>
      <c r="L341" s="70" t="s">
        <v>26</v>
      </c>
      <c r="M341" s="70" t="s">
        <v>145</v>
      </c>
      <c r="N341" s="70" t="s">
        <v>58</v>
      </c>
      <c r="O341" s="65">
        <v>0.22500000000000001</v>
      </c>
      <c r="P341" s="65">
        <v>0.22916666666666699</v>
      </c>
      <c r="Q341" s="71">
        <f t="shared" ca="1" si="78"/>
        <v>4.1666666666669849E-3</v>
      </c>
      <c r="R341" s="63"/>
      <c r="S341" s="81"/>
    </row>
    <row r="342" spans="1:20" ht="15" customHeight="1">
      <c r="A342" s="59">
        <v>46247</v>
      </c>
      <c r="B342" s="60">
        <f t="shared" si="79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4</v>
      </c>
      <c r="H342" s="88">
        <f>IFERROR(IF($G342="","",$G342*$S$351/$G$351/Cadastro!$E$33),"")</f>
        <v>17.077999999999999</v>
      </c>
      <c r="I342" s="90">
        <f>IFERROR(IF($D342="","",VLOOKUP($D342,Cadastro!$C$4:$G$7,5,FALSE())),"")</f>
        <v>0.6</v>
      </c>
      <c r="J342" s="91">
        <f t="shared" si="76"/>
        <v>3.5863799999999997</v>
      </c>
      <c r="K342" s="64">
        <f t="shared" si="77"/>
        <v>16.8</v>
      </c>
      <c r="L342" s="61"/>
      <c r="M342" s="61"/>
      <c r="N342" s="61"/>
      <c r="O342" s="65"/>
      <c r="P342" s="65"/>
      <c r="Q342" s="66" t="str">
        <f t="shared" ca="1" si="78"/>
        <v/>
      </c>
      <c r="R342" s="63"/>
      <c r="S342" s="81"/>
    </row>
    <row r="343" spans="1:20" ht="15" customHeight="1">
      <c r="A343" s="18">
        <v>46247</v>
      </c>
      <c r="B343" s="68">
        <f t="shared" si="79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2</v>
      </c>
      <c r="H343" s="88">
        <f>IFERROR(IF($G343="","",$G343*$S$351/$G$351/Cadastro!$E$33),"")</f>
        <v>8.5389999999999997</v>
      </c>
      <c r="I343" s="90">
        <f>IFERROR(IF($D343="","",VLOOKUP($D343,Cadastro!$C$4:$G$7,5,FALSE())),"")</f>
        <v>0.6</v>
      </c>
      <c r="J343" s="91">
        <f t="shared" si="76"/>
        <v>1.7931899999999998</v>
      </c>
      <c r="K343" s="69">
        <f t="shared" si="77"/>
        <v>8.4</v>
      </c>
      <c r="L343" s="70"/>
      <c r="M343" s="70"/>
      <c r="N343" s="70"/>
      <c r="O343" s="65"/>
      <c r="P343" s="65"/>
      <c r="Q343" s="71" t="str">
        <f t="shared" ca="1" si="78"/>
        <v/>
      </c>
      <c r="R343" s="63"/>
      <c r="S343" s="81"/>
    </row>
    <row r="344" spans="1:20" ht="15" customHeight="1">
      <c r="A344" s="59">
        <v>46247</v>
      </c>
      <c r="B344" s="60">
        <f t="shared" si="79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6</v>
      </c>
      <c r="H344" s="88">
        <f>IFERROR(IF($G344="","",$G344*$S$351/$G$351/Cadastro!$E$33),"")</f>
        <v>25.617000000000001</v>
      </c>
      <c r="I344" s="90">
        <f>IFERROR(IF($D344="","",VLOOKUP($D344,Cadastro!$C$4:$G$7,5,FALSE())),"")</f>
        <v>0.6</v>
      </c>
      <c r="J344" s="91">
        <f t="shared" si="76"/>
        <v>5.3795699999999993</v>
      </c>
      <c r="K344" s="64">
        <f t="shared" si="77"/>
        <v>25.200000000000003</v>
      </c>
      <c r="L344" s="61"/>
      <c r="M344" s="61"/>
      <c r="N344" s="61"/>
      <c r="O344" s="65"/>
      <c r="P344" s="65"/>
      <c r="Q344" s="66" t="str">
        <f t="shared" ca="1" si="78"/>
        <v/>
      </c>
      <c r="R344" s="63"/>
      <c r="S344" s="81"/>
    </row>
    <row r="345" spans="1:20" ht="15" customHeight="1">
      <c r="A345" s="18">
        <v>46247</v>
      </c>
      <c r="B345" s="68">
        <f t="shared" si="79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3</v>
      </c>
      <c r="H345" s="88">
        <f>IFERROR(IF($G345="","",$G345*$S$351/$G$351/Cadastro!$E$33),"")</f>
        <v>12.8085</v>
      </c>
      <c r="I345" s="90">
        <f>IFERROR(IF($D345="","",VLOOKUP($D345,Cadastro!$C$4:$G$7,5,FALSE())),"")</f>
        <v>0.6</v>
      </c>
      <c r="J345" s="91">
        <f t="shared" si="76"/>
        <v>2.6897849999999996</v>
      </c>
      <c r="K345" s="69">
        <f t="shared" si="77"/>
        <v>12.600000000000001</v>
      </c>
      <c r="L345" s="70"/>
      <c r="M345" s="70"/>
      <c r="N345" s="70"/>
      <c r="O345" s="65"/>
      <c r="P345" s="65"/>
      <c r="Q345" s="71" t="str">
        <f t="shared" ca="1" si="78"/>
        <v/>
      </c>
      <c r="R345" s="63"/>
      <c r="S345" s="81"/>
    </row>
    <row r="346" spans="1:20" ht="15" customHeight="1">
      <c r="A346" s="59">
        <v>46247</v>
      </c>
      <c r="B346" s="60">
        <f t="shared" si="79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4</v>
      </c>
      <c r="H346" s="88">
        <f>IFERROR(IF($G346="","",$G346*$S$351/$G$351/Cadastro!$E$33),"")</f>
        <v>17.077999999999999</v>
      </c>
      <c r="I346" s="90">
        <f>IFERROR(IF($D346="","",VLOOKUP($D346,Cadastro!$C$4:$G$7,5,FALSE())),"")</f>
        <v>0.6</v>
      </c>
      <c r="J346" s="91">
        <f t="shared" si="76"/>
        <v>3.5863799999999997</v>
      </c>
      <c r="K346" s="64">
        <f t="shared" si="77"/>
        <v>16.8</v>
      </c>
      <c r="L346" s="61"/>
      <c r="M346" s="61"/>
      <c r="N346" s="61"/>
      <c r="O346" s="65"/>
      <c r="P346" s="65"/>
      <c r="Q346" s="66" t="str">
        <f t="shared" ca="1" si="78"/>
        <v/>
      </c>
      <c r="R346" s="63"/>
      <c r="S346" s="81"/>
    </row>
    <row r="347" spans="1:20" ht="15" customHeight="1">
      <c r="A347" s="18">
        <v>46247</v>
      </c>
      <c r="B347" s="68">
        <f t="shared" si="79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9</v>
      </c>
      <c r="H347" s="88">
        <f>IFERROR(IF($G347="","",$G347*$S$351/$G$351/Cadastro!$E$33),"")</f>
        <v>38.4255</v>
      </c>
      <c r="I347" s="90">
        <f>IFERROR(IF($D347="","",VLOOKUP($D347,Cadastro!$C$4:$G$7,5,FALSE())),"")</f>
        <v>0.6</v>
      </c>
      <c r="J347" s="91">
        <f t="shared" si="76"/>
        <v>8.0693549999999998</v>
      </c>
      <c r="K347" s="69">
        <f t="shared" si="77"/>
        <v>37.800000000000004</v>
      </c>
      <c r="L347" s="70"/>
      <c r="M347" s="70"/>
      <c r="N347" s="70"/>
      <c r="O347" s="65"/>
      <c r="P347" s="65"/>
      <c r="Q347" s="71" t="str">
        <f t="shared" ca="1" si="78"/>
        <v/>
      </c>
      <c r="R347" s="63"/>
      <c r="S347" s="81"/>
    </row>
    <row r="348" spans="1:20" ht="15" customHeight="1">
      <c r="A348" s="59">
        <v>46247</v>
      </c>
      <c r="B348" s="60">
        <f t="shared" si="79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5</v>
      </c>
      <c r="H348" s="88">
        <f>IFERROR(IF($G348="","",$G348*$S$351/$G$351/Cadastro!$E$33),"")</f>
        <v>21.3475</v>
      </c>
      <c r="I348" s="90">
        <f>IFERROR(IF($D348="","",VLOOKUP($D348,Cadastro!$C$4:$G$7,5,FALSE())),"")</f>
        <v>0.6</v>
      </c>
      <c r="J348" s="91">
        <f t="shared" si="76"/>
        <v>4.4829749999999997</v>
      </c>
      <c r="K348" s="64">
        <f t="shared" si="77"/>
        <v>21</v>
      </c>
      <c r="L348" s="61"/>
      <c r="M348" s="61"/>
      <c r="N348" s="61"/>
      <c r="O348" s="65"/>
      <c r="P348" s="65"/>
      <c r="Q348" s="66" t="str">
        <f t="shared" ca="1" si="78"/>
        <v/>
      </c>
      <c r="R348" s="63"/>
      <c r="S348" s="81"/>
    </row>
    <row r="349" spans="1:20" ht="15" customHeight="1">
      <c r="A349" s="18">
        <v>46247</v>
      </c>
      <c r="B349" s="68">
        <f t="shared" si="79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4</v>
      </c>
      <c r="H349" s="88">
        <f>IFERROR(IF($G349="","",$G349*$S$351/$G$351/Cadastro!$E$33),"")</f>
        <v>17.077999999999999</v>
      </c>
      <c r="I349" s="90">
        <f>IFERROR(IF($D349="","",VLOOKUP($D349,Cadastro!$C$4:$G$7,5,FALSE())),"")</f>
        <v>0.6</v>
      </c>
      <c r="J349" s="91">
        <f t="shared" si="76"/>
        <v>3.5863799999999997</v>
      </c>
      <c r="K349" s="69">
        <f t="shared" si="77"/>
        <v>16.8</v>
      </c>
      <c r="L349" s="70"/>
      <c r="M349" s="70"/>
      <c r="N349" s="70"/>
      <c r="O349" s="65"/>
      <c r="P349" s="65"/>
      <c r="Q349" s="71" t="str">
        <f t="shared" ca="1" si="78"/>
        <v/>
      </c>
      <c r="R349" s="63"/>
      <c r="S349" s="81"/>
    </row>
    <row r="350" spans="1:20" ht="15" customHeight="1">
      <c r="A350" s="59">
        <v>46247</v>
      </c>
      <c r="B350" s="60">
        <f t="shared" si="79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4</v>
      </c>
      <c r="H350" s="92">
        <f>IFERROR(IF($G350="","",$G350*$S$351/$G$351/Cadastro!$E$33),"")</f>
        <v>17.077999999999999</v>
      </c>
      <c r="I350" s="93">
        <f>IFERROR(IF($D350="","",VLOOKUP($D350,Cadastro!$C$4:$G$7,5,FALSE())),"")</f>
        <v>0.6</v>
      </c>
      <c r="J350" s="94">
        <f t="shared" si="76"/>
        <v>3.5863799999999997</v>
      </c>
      <c r="K350" s="64">
        <f t="shared" si="77"/>
        <v>16.8</v>
      </c>
      <c r="L350" s="61"/>
      <c r="M350" s="61"/>
      <c r="N350" s="61"/>
      <c r="O350" s="65"/>
      <c r="P350" s="65"/>
      <c r="Q350" s="66" t="str">
        <f t="shared" ca="1" si="78"/>
        <v/>
      </c>
      <c r="R350" s="63"/>
      <c r="S350" s="81"/>
    </row>
    <row r="351" spans="1:20" ht="15.75" customHeight="1">
      <c r="A351" s="156" t="s">
        <v>263</v>
      </c>
      <c r="B351" s="156"/>
      <c r="C351" s="156"/>
      <c r="D351" s="156"/>
      <c r="E351" s="156"/>
      <c r="F351" s="105"/>
      <c r="G351" s="96">
        <f>SUM(G339:G350)</f>
        <v>60</v>
      </c>
      <c r="H351" s="105">
        <f>IFERROR(SUM(H339:H350),"")</f>
        <v>256.17</v>
      </c>
      <c r="I351" s="106"/>
      <c r="J351" s="107">
        <f>IFERROR(SUM(J339:J350),"")</f>
        <v>53.795699999999997</v>
      </c>
      <c r="K351" s="2">
        <f>SUM(K339:K350)</f>
        <v>252.00000000000006</v>
      </c>
      <c r="L351" s="72"/>
      <c r="M351" s="72"/>
      <c r="N351" s="72"/>
      <c r="O351" s="72"/>
      <c r="P351" s="72"/>
      <c r="Q351" s="73">
        <f ca="1">IFERROR(SUM(Q339:Q350),"")</f>
        <v>1.8055555555554964E-2</v>
      </c>
      <c r="R351" s="2" t="s">
        <v>261</v>
      </c>
      <c r="S351" s="74">
        <v>256170</v>
      </c>
      <c r="T351" s="99">
        <f>IFERROR(J351,"")</f>
        <v>53.795699999999997</v>
      </c>
    </row>
    <row r="352" spans="1:20" ht="18" customHeight="1">
      <c r="A352" s="157" t="s">
        <v>249</v>
      </c>
      <c r="B352" s="157"/>
      <c r="C352" s="157"/>
      <c r="D352" s="157"/>
      <c r="E352" s="157"/>
      <c r="F352" s="108"/>
      <c r="G352" s="109">
        <f>G338+G351</f>
        <v>121</v>
      </c>
      <c r="H352" s="108">
        <f>IFERROR(H338+H351,"")</f>
        <v>643.48</v>
      </c>
      <c r="I352" s="110"/>
      <c r="J352" s="111">
        <f>IFERROR(J338+J351,"")</f>
        <v>135.13079999999997</v>
      </c>
      <c r="K352" s="1">
        <f>K338+K351</f>
        <v>549</v>
      </c>
      <c r="L352" s="76"/>
      <c r="M352" s="76"/>
      <c r="N352" s="76"/>
      <c r="O352" s="76"/>
      <c r="P352" s="76"/>
      <c r="Q352" s="77">
        <f ca="1">IFERROR(Q338+Q351,"")</f>
        <v>0.25208333333333188</v>
      </c>
      <c r="R352" s="1" t="s">
        <v>264</v>
      </c>
      <c r="S352" s="82">
        <f>IFERROR(S338+S351,"")</f>
        <v>643480</v>
      </c>
      <c r="T352" s="118">
        <f>IFERROR(J352,"")</f>
        <v>135.13079999999997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0">IFERROR(IF($H353="","",$H353*$F353*$I353),"")</f>
        <v>0</v>
      </c>
      <c r="K353" s="69">
        <f t="shared" ref="K353:K364" si="81">IF(G353="","",IF(E353="PC 17",G353*4.2,IF(E353="PC 19",G353*5,IF(E353="CB",G353*24,""))))</f>
        <v>0</v>
      </c>
      <c r="L353" s="70" t="s">
        <v>29</v>
      </c>
      <c r="M353" s="70" t="s">
        <v>56</v>
      </c>
      <c r="N353" s="70" t="s">
        <v>71</v>
      </c>
      <c r="O353" s="65">
        <v>0.3</v>
      </c>
      <c r="P353" s="65">
        <v>0.31458333333333299</v>
      </c>
      <c r="Q353" s="71">
        <f t="shared" ref="Q353:Q364" ca="1" si="82">IFERROR(IF(O353="","",IF(P353="",MOD(NOW()-O353,1),IF(P353&gt;=O353,P353-O353,P353+1-O353))),"")</f>
        <v>1.4583333333333004E-2</v>
      </c>
      <c r="R353" s="63"/>
      <c r="S353" s="81"/>
    </row>
    <row r="354" spans="1:20" ht="15" customHeight="1">
      <c r="A354" s="59">
        <v>46248</v>
      </c>
      <c r="B354" s="60">
        <f t="shared" ref="B354:B364" si="83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36.903333333333336</v>
      </c>
      <c r="I354" s="90">
        <f>IFERROR(IF($D354="","",VLOOKUP($D354,Cadastro!$C$4:$G$7,5,FALSE())),"")</f>
        <v>0.6</v>
      </c>
      <c r="J354" s="91">
        <f t="shared" si="80"/>
        <v>7.7496999999999998</v>
      </c>
      <c r="K354" s="64">
        <f t="shared" si="81"/>
        <v>42</v>
      </c>
      <c r="L354" s="61" t="s">
        <v>29</v>
      </c>
      <c r="M354" s="61" t="s">
        <v>56</v>
      </c>
      <c r="N354" s="61" t="s">
        <v>71</v>
      </c>
      <c r="O354" s="65">
        <v>0.51944444444444504</v>
      </c>
      <c r="P354" s="65">
        <v>0.54861111111111105</v>
      </c>
      <c r="Q354" s="66">
        <f t="shared" ca="1" si="82"/>
        <v>2.9166666666666008E-2</v>
      </c>
      <c r="R354" s="80" t="s">
        <v>307</v>
      </c>
      <c r="S354" s="81"/>
    </row>
    <row r="355" spans="1:20" ht="15" customHeight="1">
      <c r="A355" s="18">
        <v>46248</v>
      </c>
      <c r="B355" s="68">
        <f t="shared" si="83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7</v>
      </c>
      <c r="H355" s="88">
        <f>IFERROR(IF($G355="","",$G355*$S$365/$G$365/Cadastro!$E$33),"")</f>
        <v>25.832333333333331</v>
      </c>
      <c r="I355" s="90">
        <f>IFERROR(IF($D355="","",VLOOKUP($D355,Cadastro!$C$4:$G$7,5,FALSE())),"")</f>
        <v>0.6</v>
      </c>
      <c r="J355" s="91">
        <f t="shared" si="80"/>
        <v>5.4247899999999989</v>
      </c>
      <c r="K355" s="69">
        <f t="shared" si="81"/>
        <v>29.400000000000002</v>
      </c>
      <c r="L355" s="70" t="s">
        <v>29</v>
      </c>
      <c r="M355" s="70" t="s">
        <v>168</v>
      </c>
      <c r="N355" s="70" t="s">
        <v>83</v>
      </c>
      <c r="O355" s="65">
        <v>0.57152777777777797</v>
      </c>
      <c r="P355" s="65">
        <v>0.57499999999999996</v>
      </c>
      <c r="Q355" s="71">
        <f t="shared" ca="1" si="82"/>
        <v>3.4722222222219878E-3</v>
      </c>
      <c r="R355" s="63"/>
      <c r="S355" s="81"/>
    </row>
    <row r="356" spans="1:20" ht="15" customHeight="1">
      <c r="A356" s="59">
        <v>46248</v>
      </c>
      <c r="B356" s="60">
        <f t="shared" si="83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7</v>
      </c>
      <c r="H356" s="88">
        <f>IFERROR(IF($G356="","",$G356*$S$365/$G$365/Cadastro!$E$33),"")</f>
        <v>25.832333333333331</v>
      </c>
      <c r="I356" s="90">
        <f>IFERROR(IF($D356="","",VLOOKUP($D356,Cadastro!$C$4:$G$7,5,FALSE())),"")</f>
        <v>0.6</v>
      </c>
      <c r="J356" s="91">
        <f t="shared" si="80"/>
        <v>5.4247899999999989</v>
      </c>
      <c r="K356" s="64">
        <f t="shared" si="81"/>
        <v>29.400000000000002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2"/>
        <v>1.1805555555555958E-2</v>
      </c>
      <c r="R356" s="63"/>
      <c r="S356" s="81"/>
    </row>
    <row r="357" spans="1:20" ht="15" customHeight="1">
      <c r="A357" s="18">
        <v>46248</v>
      </c>
      <c r="B357" s="68">
        <f t="shared" si="83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9</v>
      </c>
      <c r="H357" s="88">
        <f>IFERROR(IF($G357="","",$G357*$S$365/$G$365/Cadastro!$E$33),"")</f>
        <v>33.213000000000001</v>
      </c>
      <c r="I357" s="90">
        <f>IFERROR(IF($D357="","",VLOOKUP($D357,Cadastro!$C$4:$G$7,5,FALSE())),"")</f>
        <v>0.6</v>
      </c>
      <c r="J357" s="91">
        <f t="shared" si="80"/>
        <v>6.9747299999999992</v>
      </c>
      <c r="K357" s="69">
        <f t="shared" si="81"/>
        <v>37.800000000000004</v>
      </c>
      <c r="L357" s="70" t="s">
        <v>27</v>
      </c>
      <c r="M357" s="70" t="s">
        <v>145</v>
      </c>
      <c r="N357" s="70" t="s">
        <v>127</v>
      </c>
      <c r="O357" s="65">
        <v>0.655555555555556</v>
      </c>
      <c r="P357" s="65">
        <v>0.79166666666666696</v>
      </c>
      <c r="Q357" s="71">
        <f t="shared" ca="1" si="82"/>
        <v>0.13611111111111096</v>
      </c>
      <c r="R357" s="63"/>
      <c r="S357" s="81"/>
    </row>
    <row r="358" spans="1:20" ht="15" customHeight="1">
      <c r="A358" s="59">
        <v>46248</v>
      </c>
      <c r="B358" s="60">
        <f t="shared" si="83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5</v>
      </c>
      <c r="H358" s="88">
        <f>IFERROR(IF($G358="","",$G358*$S$365/$G$365/Cadastro!$E$33),"")</f>
        <v>18.451666666666668</v>
      </c>
      <c r="I358" s="90">
        <f>IFERROR(IF($D358="","",VLOOKUP($D358,Cadastro!$C$4:$G$7,5,FALSE())),"")</f>
        <v>0.6</v>
      </c>
      <c r="J358" s="91">
        <f t="shared" si="80"/>
        <v>3.8748499999999999</v>
      </c>
      <c r="K358" s="64">
        <f t="shared" si="81"/>
        <v>21</v>
      </c>
      <c r="L358" s="61"/>
      <c r="M358" s="61"/>
      <c r="N358" s="61"/>
      <c r="O358" s="65"/>
      <c r="P358" s="65"/>
      <c r="Q358" s="66" t="str">
        <f t="shared" ca="1" si="82"/>
        <v/>
      </c>
      <c r="R358" s="63"/>
      <c r="S358" s="81"/>
    </row>
    <row r="359" spans="1:20" ht="15" customHeight="1">
      <c r="A359" s="18">
        <v>46248</v>
      </c>
      <c r="B359" s="68">
        <f t="shared" si="83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55.354999999999997</v>
      </c>
      <c r="I359" s="90">
        <f>IFERROR(IF($D359="","",VLOOKUP($D359,Cadastro!$C$4:$G$7,5,FALSE())),"")</f>
        <v>0.6</v>
      </c>
      <c r="J359" s="91">
        <f t="shared" si="80"/>
        <v>11.624549999999997</v>
      </c>
      <c r="K359" s="69">
        <f t="shared" si="81"/>
        <v>63</v>
      </c>
      <c r="L359" s="70"/>
      <c r="M359" s="70"/>
      <c r="N359" s="70"/>
      <c r="O359" s="65"/>
      <c r="P359" s="65"/>
      <c r="Q359" s="71" t="str">
        <f t="shared" ca="1" si="82"/>
        <v/>
      </c>
      <c r="R359" s="63"/>
      <c r="S359" s="81"/>
    </row>
    <row r="360" spans="1:20" ht="15" customHeight="1">
      <c r="A360" s="59">
        <v>46248</v>
      </c>
      <c r="B360" s="60">
        <f t="shared" si="83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47.974333333333334</v>
      </c>
      <c r="I360" s="90">
        <f>IFERROR(IF($D360="","",VLOOKUP($D360,Cadastro!$C$4:$G$7,5,FALSE())),"")</f>
        <v>0.6</v>
      </c>
      <c r="J360" s="91">
        <f t="shared" si="80"/>
        <v>10.074609999999998</v>
      </c>
      <c r="K360" s="64">
        <f t="shared" si="81"/>
        <v>54.6</v>
      </c>
      <c r="L360" s="61"/>
      <c r="M360" s="61"/>
      <c r="N360" s="61"/>
      <c r="O360" s="65"/>
      <c r="P360" s="65"/>
      <c r="Q360" s="66" t="str">
        <f t="shared" ca="1" si="82"/>
        <v/>
      </c>
      <c r="R360" s="63"/>
      <c r="S360" s="81"/>
    </row>
    <row r="361" spans="1:20" ht="15" customHeight="1">
      <c r="A361" s="18">
        <v>46248</v>
      </c>
      <c r="B361" s="68">
        <f t="shared" si="83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8</v>
      </c>
      <c r="H361" s="88">
        <f>IFERROR(IF($G361="","",$G361*$S$365/$G$365/Cadastro!$E$33),"")</f>
        <v>29.522666666666669</v>
      </c>
      <c r="I361" s="90">
        <f>IFERROR(IF($D361="","",VLOOKUP($D361,Cadastro!$C$4:$G$7,5,FALSE())),"")</f>
        <v>0.6</v>
      </c>
      <c r="J361" s="91">
        <f t="shared" si="80"/>
        <v>6.1997599999999995</v>
      </c>
      <c r="K361" s="69">
        <f t="shared" si="81"/>
        <v>33.6</v>
      </c>
      <c r="L361" s="70"/>
      <c r="M361" s="70"/>
      <c r="N361" s="70"/>
      <c r="O361" s="65"/>
      <c r="P361" s="65"/>
      <c r="Q361" s="71" t="str">
        <f t="shared" ca="1" si="82"/>
        <v/>
      </c>
      <c r="R361" s="63"/>
      <c r="S361" s="81"/>
    </row>
    <row r="362" spans="1:20" ht="15" customHeight="1">
      <c r="A362" s="59">
        <v>46248</v>
      </c>
      <c r="B362" s="60">
        <f t="shared" si="83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0</v>
      </c>
      <c r="H362" s="88">
        <f>IFERROR(IF($G362="","",$G362*$S$365/$G$365/Cadastro!$E$33),"")</f>
        <v>0</v>
      </c>
      <c r="I362" s="90">
        <f>IFERROR(IF($D362="","",VLOOKUP($D362,Cadastro!$C$4:$G$7,5,FALSE())),"")</f>
        <v>0.6</v>
      </c>
      <c r="J362" s="91">
        <f t="shared" si="80"/>
        <v>0</v>
      </c>
      <c r="K362" s="64">
        <f t="shared" si="81"/>
        <v>0</v>
      </c>
      <c r="L362" s="61"/>
      <c r="M362" s="61"/>
      <c r="N362" s="61"/>
      <c r="O362" s="65"/>
      <c r="P362" s="65"/>
      <c r="Q362" s="66" t="str">
        <f t="shared" ca="1" si="82"/>
        <v/>
      </c>
      <c r="R362" s="63"/>
      <c r="S362" s="81"/>
    </row>
    <row r="363" spans="1:20" ht="15" customHeight="1">
      <c r="A363" s="18">
        <v>46248</v>
      </c>
      <c r="B363" s="68">
        <f t="shared" si="83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4</v>
      </c>
      <c r="H363" s="88">
        <f>IFERROR(IF($G363="","",$G363*$S$365/$G$365/Cadastro!$E$33),"")</f>
        <v>14.761333333333335</v>
      </c>
      <c r="I363" s="90">
        <f>IFERROR(IF($D363="","",VLOOKUP($D363,Cadastro!$C$4:$G$7,5,FALSE())),"")</f>
        <v>0.6</v>
      </c>
      <c r="J363" s="91">
        <f t="shared" si="80"/>
        <v>3.0998799999999997</v>
      </c>
      <c r="K363" s="69">
        <f t="shared" si="81"/>
        <v>16.8</v>
      </c>
      <c r="L363" s="70"/>
      <c r="M363" s="70"/>
      <c r="N363" s="70"/>
      <c r="O363" s="65"/>
      <c r="P363" s="65"/>
      <c r="Q363" s="71" t="str">
        <f t="shared" ca="1" si="82"/>
        <v/>
      </c>
      <c r="R363" s="63"/>
      <c r="S363" s="81"/>
    </row>
    <row r="364" spans="1:20" ht="15" customHeight="1">
      <c r="A364" s="59">
        <v>46248</v>
      </c>
      <c r="B364" s="60">
        <f t="shared" si="83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12</v>
      </c>
      <c r="H364" s="92">
        <f>IFERROR(IF($G364="","",$G364*$S$365/$G$365/Cadastro!$E$33),"")</f>
        <v>44.283999999999999</v>
      </c>
      <c r="I364" s="93">
        <f>IFERROR(IF($D364="","",VLOOKUP($D364,Cadastro!$C$4:$G$7,5,FALSE())),"")</f>
        <v>0.6</v>
      </c>
      <c r="J364" s="94">
        <f t="shared" si="80"/>
        <v>9.2996399999999984</v>
      </c>
      <c r="K364" s="64">
        <f t="shared" si="81"/>
        <v>50.400000000000006</v>
      </c>
      <c r="L364" s="61"/>
      <c r="M364" s="61"/>
      <c r="N364" s="61"/>
      <c r="O364" s="65"/>
      <c r="P364" s="65"/>
      <c r="Q364" s="66" t="str">
        <f t="shared" ca="1" si="82"/>
        <v/>
      </c>
      <c r="R364" s="63"/>
      <c r="S364" s="81"/>
    </row>
    <row r="365" spans="1:20" ht="15.75" customHeight="1">
      <c r="A365" s="156" t="s">
        <v>260</v>
      </c>
      <c r="B365" s="156"/>
      <c r="C365" s="156"/>
      <c r="D365" s="156"/>
      <c r="E365" s="156"/>
      <c r="F365" s="95"/>
      <c r="G365" s="96">
        <f>SUM(G353:G364)</f>
        <v>90</v>
      </c>
      <c r="H365" s="95">
        <f>IFERROR(SUM(H353:H364),"")</f>
        <v>332.12999999999994</v>
      </c>
      <c r="I365" s="97"/>
      <c r="J365" s="98">
        <f>IFERROR(SUM(J353:J364),"")</f>
        <v>69.747299999999981</v>
      </c>
      <c r="K365" s="2">
        <f>SUM(K353:K364)</f>
        <v>378.00000000000011</v>
      </c>
      <c r="L365" s="72"/>
      <c r="M365" s="72"/>
      <c r="N365" s="72"/>
      <c r="O365" s="72"/>
      <c r="P365" s="72"/>
      <c r="Q365" s="73">
        <f ca="1">IFERROR(SUM(Q353:Q364),"")</f>
        <v>0.19513888888888792</v>
      </c>
      <c r="R365" s="2" t="s">
        <v>261</v>
      </c>
      <c r="S365" s="74">
        <v>332130</v>
      </c>
      <c r="T365" s="99">
        <f>IFERROR(J365,"")</f>
        <v>69.747299999999981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4.5640506329113926</v>
      </c>
      <c r="I366" s="102">
        <f>IFERROR(IF($D366="","",VLOOKUP($D366,Cadastro!$C$4:$G$7,5,FALSE())),"")</f>
        <v>0.6</v>
      </c>
      <c r="J366" s="103">
        <f t="shared" ref="J366:J377" si="84">IFERROR(IF($H366="","",$H366*$F366*$I366),"")</f>
        <v>0.95845063291139232</v>
      </c>
      <c r="K366" s="64">
        <f t="shared" ref="K366:K377" si="85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0.80902777777777801</v>
      </c>
      <c r="P366" s="65">
        <v>0.87083333333333302</v>
      </c>
      <c r="Q366" s="66">
        <f t="shared" ref="Q366:Q377" ca="1" si="86">IFERROR(IF(O366="","",IF(P366="",MOD(NOW()-O366,1),IF(P366&gt;=O366,P366-O366,P366+1-O366))),"")</f>
        <v>6.1805555555555003E-2</v>
      </c>
      <c r="R366" s="63"/>
      <c r="S366" s="81"/>
    </row>
    <row r="367" spans="1:20" ht="15" customHeight="1">
      <c r="A367" s="18">
        <v>46248</v>
      </c>
      <c r="B367" s="68">
        <f t="shared" ref="B367:B377" si="87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0</v>
      </c>
      <c r="H367" s="88">
        <f>IFERROR(IF($G367="","",$G367*$S$378/$G$378/Cadastro!$E$33),"")</f>
        <v>0</v>
      </c>
      <c r="I367" s="90">
        <f>IFERROR(IF($D367="","",VLOOKUP($D367,Cadastro!$C$4:$G$7,5,FALSE())),"")</f>
        <v>0.6</v>
      </c>
      <c r="J367" s="91">
        <f t="shared" si="84"/>
        <v>0</v>
      </c>
      <c r="K367" s="69">
        <f t="shared" si="85"/>
        <v>0</v>
      </c>
      <c r="L367" s="70" t="s">
        <v>27</v>
      </c>
      <c r="M367" s="70" t="s">
        <v>145</v>
      </c>
      <c r="N367" s="70" t="s">
        <v>127</v>
      </c>
      <c r="O367" s="65">
        <v>0.88194444444444398</v>
      </c>
      <c r="P367" s="65">
        <v>0.90972222222222199</v>
      </c>
      <c r="Q367" s="71">
        <f t="shared" ca="1" si="86"/>
        <v>2.7777777777778012E-2</v>
      </c>
      <c r="R367" s="63"/>
      <c r="S367" s="81"/>
    </row>
    <row r="368" spans="1:20" ht="15" customHeight="1">
      <c r="A368" s="59">
        <v>46248</v>
      </c>
      <c r="B368" s="60">
        <f t="shared" si="87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2</v>
      </c>
      <c r="H368" s="88">
        <f>IFERROR(IF($G368="","",$G368*$S$378/$G$378/Cadastro!$E$33),"")</f>
        <v>9.1281012658227851</v>
      </c>
      <c r="I368" s="90">
        <f>IFERROR(IF($D368="","",VLOOKUP($D368,Cadastro!$C$4:$G$7,5,FALSE())),"")</f>
        <v>0.6</v>
      </c>
      <c r="J368" s="91">
        <f t="shared" si="84"/>
        <v>1.9169012658227846</v>
      </c>
      <c r="K368" s="64">
        <f t="shared" si="85"/>
        <v>8.4</v>
      </c>
      <c r="L368" s="61" t="s">
        <v>29</v>
      </c>
      <c r="M368" s="61" t="s">
        <v>56</v>
      </c>
      <c r="N368" s="61" t="s">
        <v>216</v>
      </c>
      <c r="O368" s="65">
        <v>0.91666666666666696</v>
      </c>
      <c r="P368" s="65">
        <v>0.92777777777777803</v>
      </c>
      <c r="Q368" s="66">
        <f t="shared" ca="1" si="86"/>
        <v>1.1111111111111072E-2</v>
      </c>
      <c r="R368" s="63"/>
      <c r="S368" s="81"/>
    </row>
    <row r="369" spans="1:20" ht="15" customHeight="1">
      <c r="A369" s="18">
        <v>46248</v>
      </c>
      <c r="B369" s="68">
        <f t="shared" si="87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4</v>
      </c>
      <c r="H369" s="88">
        <f>IFERROR(IF($G369="","",$G369*$S$378/$G$378/Cadastro!$E$33),"")</f>
        <v>18.25620253164557</v>
      </c>
      <c r="I369" s="90">
        <f>IFERROR(IF($D369="","",VLOOKUP($D369,Cadastro!$C$4:$G$7,5,FALSE())),"")</f>
        <v>0.6</v>
      </c>
      <c r="J369" s="91">
        <f t="shared" si="84"/>
        <v>3.8338025316455693</v>
      </c>
      <c r="K369" s="69">
        <f t="shared" si="85"/>
        <v>16.8</v>
      </c>
      <c r="L369" s="70" t="s">
        <v>28</v>
      </c>
      <c r="M369" s="70" t="s">
        <v>56</v>
      </c>
      <c r="N369" s="70" t="s">
        <v>36</v>
      </c>
      <c r="O369" s="65">
        <v>0.170833333333333</v>
      </c>
      <c r="P369" s="65">
        <v>0.18541666666666701</v>
      </c>
      <c r="Q369" s="71">
        <f t="shared" ca="1" si="86"/>
        <v>1.4583333333334003E-2</v>
      </c>
      <c r="R369" s="63"/>
      <c r="S369" s="81"/>
    </row>
    <row r="370" spans="1:20" ht="15" customHeight="1">
      <c r="A370" s="59">
        <v>46248</v>
      </c>
      <c r="B370" s="60">
        <f t="shared" si="87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9</v>
      </c>
      <c r="H370" s="88">
        <f>IFERROR(IF($G370="","",$G370*$S$378/$G$378/Cadastro!$E$33),"")</f>
        <v>41.07645569620253</v>
      </c>
      <c r="I370" s="90">
        <f>IFERROR(IF($D370="","",VLOOKUP($D370,Cadastro!$C$4:$G$7,5,FALSE())),"")</f>
        <v>0.6</v>
      </c>
      <c r="J370" s="91">
        <f t="shared" si="84"/>
        <v>8.6260556962025294</v>
      </c>
      <c r="K370" s="64">
        <f t="shared" si="85"/>
        <v>37.800000000000004</v>
      </c>
      <c r="L370" s="61"/>
      <c r="M370" s="61"/>
      <c r="N370" s="61"/>
      <c r="O370" s="65"/>
      <c r="P370" s="65"/>
      <c r="Q370" s="66" t="str">
        <f t="shared" ca="1" si="86"/>
        <v/>
      </c>
      <c r="R370" s="63"/>
      <c r="S370" s="81"/>
    </row>
    <row r="371" spans="1:20" ht="15" customHeight="1">
      <c r="A371" s="18">
        <v>46248</v>
      </c>
      <c r="B371" s="68">
        <f t="shared" si="87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10</v>
      </c>
      <c r="H371" s="88">
        <f>IFERROR(IF($G371="","",$G371*$S$378/$G$378/Cadastro!$E$33),"")</f>
        <v>45.640506329113926</v>
      </c>
      <c r="I371" s="90">
        <f>IFERROR(IF($D371="","",VLOOKUP($D371,Cadastro!$C$4:$G$7,5,FALSE())),"")</f>
        <v>0.6</v>
      </c>
      <c r="J371" s="91">
        <f t="shared" si="84"/>
        <v>9.584506329113923</v>
      </c>
      <c r="K371" s="69">
        <f t="shared" si="85"/>
        <v>42</v>
      </c>
      <c r="L371" s="70"/>
      <c r="M371" s="70"/>
      <c r="N371" s="70"/>
      <c r="O371" s="65"/>
      <c r="P371" s="65"/>
      <c r="Q371" s="71" t="str">
        <f t="shared" ca="1" si="86"/>
        <v/>
      </c>
      <c r="R371" s="63"/>
      <c r="S371" s="81"/>
    </row>
    <row r="372" spans="1:20" ht="15" customHeight="1">
      <c r="A372" s="59">
        <v>46248</v>
      </c>
      <c r="B372" s="60">
        <f t="shared" si="87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7</v>
      </c>
      <c r="H372" s="88">
        <f>IFERROR(IF($G372="","",$G372*$S$378/$G$378/Cadastro!$E$33),"")</f>
        <v>31.948354430379744</v>
      </c>
      <c r="I372" s="90">
        <f>IFERROR(IF($D372="","",VLOOKUP($D372,Cadastro!$C$4:$G$7,5,FALSE())),"")</f>
        <v>0.6</v>
      </c>
      <c r="J372" s="91">
        <f t="shared" si="84"/>
        <v>6.7091544303797459</v>
      </c>
      <c r="K372" s="64">
        <f t="shared" si="85"/>
        <v>29.400000000000002</v>
      </c>
      <c r="L372" s="61"/>
      <c r="M372" s="61"/>
      <c r="N372" s="61"/>
      <c r="O372" s="65"/>
      <c r="P372" s="65"/>
      <c r="Q372" s="66" t="str">
        <f t="shared" ca="1" si="86"/>
        <v/>
      </c>
      <c r="R372" s="63"/>
      <c r="S372" s="81"/>
    </row>
    <row r="373" spans="1:20" ht="15" customHeight="1">
      <c r="A373" s="18">
        <v>46248</v>
      </c>
      <c r="B373" s="68">
        <f t="shared" si="87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15</v>
      </c>
      <c r="H373" s="88">
        <f>IFERROR(IF($G373="","",$G373*$S$378/$G$378/Cadastro!$E$33),"")</f>
        <v>68.460759493670892</v>
      </c>
      <c r="I373" s="90">
        <f>IFERROR(IF($D373="","",VLOOKUP($D373,Cadastro!$C$4:$G$7,5,FALSE())),"")</f>
        <v>0.6</v>
      </c>
      <c r="J373" s="91">
        <f t="shared" si="84"/>
        <v>14.376759493670885</v>
      </c>
      <c r="K373" s="69">
        <f t="shared" si="85"/>
        <v>63</v>
      </c>
      <c r="L373" s="70"/>
      <c r="M373" s="70"/>
      <c r="N373" s="70"/>
      <c r="O373" s="65"/>
      <c r="P373" s="65"/>
      <c r="Q373" s="71" t="str">
        <f t="shared" ca="1" si="86"/>
        <v/>
      </c>
      <c r="R373" s="63"/>
      <c r="S373" s="81"/>
    </row>
    <row r="374" spans="1:20" ht="15" customHeight="1">
      <c r="A374" s="59">
        <v>46248</v>
      </c>
      <c r="B374" s="60">
        <f t="shared" si="87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13</v>
      </c>
      <c r="H374" s="88">
        <f>IFERROR(IF($G374="","",$G374*$S$378/$G$378/Cadastro!$E$33),"")</f>
        <v>59.3326582278481</v>
      </c>
      <c r="I374" s="90">
        <f>IFERROR(IF($D374="","",VLOOKUP($D374,Cadastro!$C$4:$G$7,5,FALSE())),"")</f>
        <v>0.6</v>
      </c>
      <c r="J374" s="91">
        <f t="shared" si="84"/>
        <v>12.4598582278481</v>
      </c>
      <c r="K374" s="64">
        <f t="shared" si="85"/>
        <v>54.6</v>
      </c>
      <c r="L374" s="61"/>
      <c r="M374" s="61"/>
      <c r="N374" s="61"/>
      <c r="O374" s="65"/>
      <c r="P374" s="65"/>
      <c r="Q374" s="66" t="str">
        <f t="shared" ca="1" si="86"/>
        <v/>
      </c>
      <c r="R374" s="63"/>
      <c r="S374" s="81"/>
    </row>
    <row r="375" spans="1:20" ht="15" customHeight="1">
      <c r="A375" s="18">
        <v>46248</v>
      </c>
      <c r="B375" s="68">
        <f t="shared" si="87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3</v>
      </c>
      <c r="H375" s="88">
        <f>IFERROR(IF($G375="","",$G375*$S$378/$G$378/Cadastro!$E$33),"")</f>
        <v>13.692151898734178</v>
      </c>
      <c r="I375" s="90">
        <f>IFERROR(IF($D375="","",VLOOKUP($D375,Cadastro!$C$4:$G$7,5,FALSE())),"")</f>
        <v>0.6</v>
      </c>
      <c r="J375" s="91">
        <f t="shared" si="84"/>
        <v>2.8753518987341766</v>
      </c>
      <c r="K375" s="69">
        <f t="shared" si="85"/>
        <v>12.600000000000001</v>
      </c>
      <c r="L375" s="70"/>
      <c r="M375" s="70"/>
      <c r="N375" s="70"/>
      <c r="O375" s="65"/>
      <c r="P375" s="65"/>
      <c r="Q375" s="71" t="str">
        <f t="shared" ca="1" si="86"/>
        <v/>
      </c>
      <c r="R375" s="63"/>
      <c r="S375" s="81"/>
    </row>
    <row r="376" spans="1:20" ht="15" customHeight="1">
      <c r="A376" s="59">
        <v>46248</v>
      </c>
      <c r="B376" s="60">
        <f t="shared" si="87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8</v>
      </c>
      <c r="H376" s="88">
        <f>IFERROR(IF($G376="","",$G376*$S$378/$G$378/Cadastro!$E$33),"")</f>
        <v>36.512405063291141</v>
      </c>
      <c r="I376" s="90">
        <f>IFERROR(IF($D376="","",VLOOKUP($D376,Cadastro!$C$4:$G$7,5,FALSE())),"")</f>
        <v>0.6</v>
      </c>
      <c r="J376" s="91">
        <f t="shared" si="84"/>
        <v>7.6676050632911386</v>
      </c>
      <c r="K376" s="64">
        <f t="shared" si="85"/>
        <v>33.6</v>
      </c>
      <c r="L376" s="61"/>
      <c r="M376" s="61"/>
      <c r="N376" s="61"/>
      <c r="O376" s="65"/>
      <c r="P376" s="65"/>
      <c r="Q376" s="66" t="str">
        <f t="shared" ca="1" si="86"/>
        <v/>
      </c>
      <c r="R376" s="63"/>
      <c r="S376" s="81"/>
    </row>
    <row r="377" spans="1:20" ht="15" customHeight="1">
      <c r="A377" s="18">
        <v>46248</v>
      </c>
      <c r="B377" s="68">
        <f t="shared" si="87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7</v>
      </c>
      <c r="H377" s="92">
        <f>IFERROR(IF($G377="","",$G377*$S$378/$G$378/Cadastro!$E$33),"")</f>
        <v>31.948354430379744</v>
      </c>
      <c r="I377" s="93">
        <f>IFERROR(IF($D377="","",VLOOKUP($D377,Cadastro!$C$4:$G$7,5,FALSE())),"")</f>
        <v>0.6</v>
      </c>
      <c r="J377" s="94">
        <f t="shared" si="84"/>
        <v>6.7091544303797459</v>
      </c>
      <c r="K377" s="69">
        <f t="shared" si="85"/>
        <v>29.400000000000002</v>
      </c>
      <c r="L377" s="70"/>
      <c r="M377" s="70"/>
      <c r="N377" s="70"/>
      <c r="O377" s="65"/>
      <c r="P377" s="65"/>
      <c r="Q377" s="71" t="str">
        <f t="shared" ca="1" si="86"/>
        <v/>
      </c>
      <c r="R377" s="63"/>
      <c r="S377" s="81"/>
    </row>
    <row r="378" spans="1:20" ht="15.75" customHeight="1">
      <c r="A378" s="156" t="s">
        <v>263</v>
      </c>
      <c r="B378" s="156"/>
      <c r="C378" s="156"/>
      <c r="D378" s="156"/>
      <c r="E378" s="156"/>
      <c r="F378" s="105"/>
      <c r="G378" s="96">
        <f>SUM(G366:G377)</f>
        <v>79</v>
      </c>
      <c r="H378" s="105">
        <f>IFERROR(SUM(H366:H377),"")</f>
        <v>360.56</v>
      </c>
      <c r="I378" s="106"/>
      <c r="J378" s="107">
        <f>IFERROR(SUM(J366:J377),"")</f>
        <v>75.71759999999999</v>
      </c>
      <c r="K378" s="2">
        <f>SUM(K366:K377)</f>
        <v>331.8</v>
      </c>
      <c r="L378" s="72"/>
      <c r="M378" s="72"/>
      <c r="N378" s="72"/>
      <c r="O378" s="72"/>
      <c r="P378" s="72"/>
      <c r="Q378" s="73">
        <f ca="1">IFERROR(SUM(Q366:Q377),"")</f>
        <v>0.11527777777777809</v>
      </c>
      <c r="R378" s="2" t="s">
        <v>261</v>
      </c>
      <c r="S378" s="74">
        <v>360560</v>
      </c>
      <c r="T378" s="99">
        <f>IFERROR(J378,"")</f>
        <v>75.71759999999999</v>
      </c>
    </row>
    <row r="379" spans="1:20" ht="18" customHeight="1">
      <c r="A379" s="157" t="s">
        <v>249</v>
      </c>
      <c r="B379" s="157"/>
      <c r="C379" s="157"/>
      <c r="D379" s="157"/>
      <c r="E379" s="157"/>
      <c r="F379" s="108"/>
      <c r="G379" s="109">
        <f>G365+G378</f>
        <v>169</v>
      </c>
      <c r="H379" s="108">
        <f>IFERROR(H365+H378,"")</f>
        <v>692.68999999999994</v>
      </c>
      <c r="I379" s="110"/>
      <c r="J379" s="111">
        <f>IFERROR(J365+J378,"")</f>
        <v>145.46489999999997</v>
      </c>
      <c r="K379" s="1">
        <f>K365+K378</f>
        <v>709.80000000000018</v>
      </c>
      <c r="L379" s="76"/>
      <c r="M379" s="76"/>
      <c r="N379" s="76"/>
      <c r="O379" s="76"/>
      <c r="P379" s="76"/>
      <c r="Q379" s="77">
        <f ca="1">IFERROR(Q365+Q378,"")</f>
        <v>0.31041666666666601</v>
      </c>
      <c r="R379" s="1" t="s">
        <v>264</v>
      </c>
      <c r="S379" s="82">
        <f>IFERROR(S365+S378,"")</f>
        <v>692690</v>
      </c>
      <c r="T379" s="118">
        <f>IFERROR(J379,"")</f>
        <v>145.46489999999997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274</v>
      </c>
      <c r="F380" s="101">
        <f>IFERROR(IF($D380="","",VLOOKUP($D380,Cadastro!$C$4:$E$7,3,FALSE())),"")</f>
        <v>0.35</v>
      </c>
      <c r="G380" s="89">
        <v>10</v>
      </c>
      <c r="H380" s="101">
        <f>IFERROR(IF($G380="","",$G380*$S$392/$G$392/Cadastro!$E$33),"")</f>
        <v>52.132608695652173</v>
      </c>
      <c r="I380" s="102">
        <f>IFERROR(IF($D380="","",VLOOKUP($D380,Cadastro!$C$4:$G$7,5,FALSE())),"")</f>
        <v>0.6</v>
      </c>
      <c r="J380" s="103">
        <f t="shared" ref="J380:J391" si="88">IFERROR(IF($H380="","",$H380*$F380*$I380),"")</f>
        <v>10.947847826086955</v>
      </c>
      <c r="K380" s="64">
        <f>IF(G380="","",IF(E380="PC 17",G380*4.2,IF(E380="PC 19",G380*5,IF(E380="CB",G380*24,""))))</f>
        <v>42</v>
      </c>
      <c r="L380" s="61" t="s">
        <v>29</v>
      </c>
      <c r="M380" s="61"/>
      <c r="N380" s="61" t="s">
        <v>83</v>
      </c>
      <c r="O380" s="65">
        <v>0.33888888888888902</v>
      </c>
      <c r="P380" s="65">
        <v>0.34513888888888899</v>
      </c>
      <c r="Q380" s="66">
        <f t="shared" ref="Q380:Q391" ca="1" si="89">IFERROR(IF(O380="","",IF(P380="",MOD(NOW()-O380,1),IF(P380&gt;=O380,P380-O380,P380+1-O380))),"")</f>
        <v>6.2499999999999778E-3</v>
      </c>
      <c r="R380" s="63"/>
      <c r="S380" s="81"/>
    </row>
    <row r="381" spans="1:20" ht="15" customHeight="1">
      <c r="A381" s="18">
        <v>46249</v>
      </c>
      <c r="B381" s="68">
        <f t="shared" ref="B381:B391" si="90">B380+TIME(0,60,0)</f>
        <v>0.37499999999999967</v>
      </c>
      <c r="C381" s="61" t="s">
        <v>54</v>
      </c>
      <c r="D381" s="62" t="s">
        <v>31</v>
      </c>
      <c r="F381" s="88">
        <f>IFERROR(IF($D381="","",VLOOKUP($D381,Cadastro!$C$4:$E$7,3,FALSE())),"")</f>
        <v>0.35</v>
      </c>
      <c r="G381" s="89">
        <v>11</v>
      </c>
      <c r="H381" s="88">
        <f>IFERROR(IF($G381="","",$G381*$S$392/$G$392/Cadastro!$E$33),"")</f>
        <v>57.345869565217392</v>
      </c>
      <c r="I381" s="90">
        <f>IFERROR(IF($D381="","",VLOOKUP($D381,Cadastro!$C$4:$G$7,5,FALSE())),"")</f>
        <v>0.6</v>
      </c>
      <c r="J381" s="91">
        <f t="shared" si="88"/>
        <v>12.04263260869565</v>
      </c>
      <c r="K381" s="69">
        <f>IF(G381="","",IF(E382="PC 17",G381*4.2,IF(E382="PC 19",G381*5,"")))</f>
        <v>46.2</v>
      </c>
      <c r="L381" s="70" t="s">
        <v>29</v>
      </c>
      <c r="M381" s="70"/>
      <c r="N381" s="70" t="s">
        <v>83</v>
      </c>
      <c r="O381" s="65">
        <v>0.39374999999999999</v>
      </c>
      <c r="P381" s="65">
        <v>0.39930555555555602</v>
      </c>
      <c r="Q381" s="71">
        <f t="shared" ca="1" si="89"/>
        <v>5.5555555555560354E-3</v>
      </c>
      <c r="R381" s="63"/>
      <c r="S381" s="81"/>
    </row>
    <row r="382" spans="1:20" ht="15" customHeight="1">
      <c r="A382" s="59">
        <v>46249</v>
      </c>
      <c r="B382" s="60">
        <f t="shared" si="90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7</v>
      </c>
      <c r="H382" s="88">
        <f>IFERROR(IF($G382="","",$G382*$S$392/$G$392/Cadastro!$E$33),"")</f>
        <v>36.492826086956519</v>
      </c>
      <c r="I382" s="90">
        <f>IFERROR(IF($D382="","",VLOOKUP($D382,Cadastro!$C$4:$G$7,5,FALSE())),"")</f>
        <v>0.6</v>
      </c>
      <c r="J382" s="91">
        <f t="shared" si="88"/>
        <v>7.6634934782608681</v>
      </c>
      <c r="K382" s="64"/>
      <c r="L382" s="61" t="s">
        <v>26</v>
      </c>
      <c r="M382" s="61"/>
      <c r="N382" s="70" t="s">
        <v>34</v>
      </c>
      <c r="O382" s="65">
        <v>0.483333333333333</v>
      </c>
      <c r="P382" s="65">
        <v>0.49166666666666697</v>
      </c>
      <c r="Q382" s="66">
        <f t="shared" ca="1" si="89"/>
        <v>8.3333333333339699E-3</v>
      </c>
      <c r="R382" s="63"/>
      <c r="S382" s="81"/>
    </row>
    <row r="383" spans="1:20" ht="15" customHeight="1">
      <c r="A383" s="18">
        <v>46249</v>
      </c>
      <c r="B383" s="68">
        <f t="shared" si="90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6</v>
      </c>
      <c r="H383" s="88">
        <f>IFERROR(IF($G383="","",$G383*$S$392/$G$392/Cadastro!$E$33),"")</f>
        <v>31.279565217391305</v>
      </c>
      <c r="I383" s="90">
        <f>IFERROR(IF($D383="","",VLOOKUP($D383,Cadastro!$C$4:$G$7,5,FALSE())),"")</f>
        <v>0.6</v>
      </c>
      <c r="J383" s="91">
        <f t="shared" si="88"/>
        <v>6.5687086956521741</v>
      </c>
      <c r="K383" s="69">
        <f t="shared" ref="K383:K391" si="91">IF(G383="","",IF(E383="PC 17",G383*4.2,IF(E383="PC 19",G383*5,IF(E383="CB",G383*24,""))))</f>
        <v>25.200000000000003</v>
      </c>
      <c r="L383" s="70" t="s">
        <v>29</v>
      </c>
      <c r="M383" s="70" t="s">
        <v>56</v>
      </c>
      <c r="N383" s="70" t="s">
        <v>65</v>
      </c>
      <c r="O383" s="65">
        <v>0.49097222222222198</v>
      </c>
      <c r="P383" s="65">
        <v>0.51805555555555605</v>
      </c>
      <c r="Q383" s="71">
        <f t="shared" ca="1" si="89"/>
        <v>2.708333333333407E-2</v>
      </c>
      <c r="R383" s="63" t="s">
        <v>357</v>
      </c>
      <c r="S383" s="81"/>
    </row>
    <row r="384" spans="1:20" ht="15" customHeight="1">
      <c r="A384" s="59">
        <v>46249</v>
      </c>
      <c r="B384" s="60">
        <f t="shared" si="90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0</v>
      </c>
      <c r="H384" s="88">
        <f>IFERROR(IF($G384="","",$G384*$S$392/$G$392/Cadastro!$E$33),"")</f>
        <v>0</v>
      </c>
      <c r="I384" s="90">
        <f>IFERROR(IF($D384="","",VLOOKUP($D384,Cadastro!$C$4:$G$7,5,FALSE())),"")</f>
        <v>0.6</v>
      </c>
      <c r="J384" s="91">
        <f t="shared" si="88"/>
        <v>0</v>
      </c>
      <c r="K384" s="64">
        <f t="shared" si="91"/>
        <v>0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89"/>
        <v>2.6388888888889017E-2</v>
      </c>
      <c r="R384" s="63" t="s">
        <v>329</v>
      </c>
      <c r="S384" s="81"/>
    </row>
    <row r="385" spans="1:20" ht="15" customHeight="1">
      <c r="A385" s="18">
        <v>46249</v>
      </c>
      <c r="B385" s="68">
        <f t="shared" si="90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8</v>
      </c>
      <c r="H385" s="88">
        <f>IFERROR(IF($G385="","",$G385*$S$392/$G$392/Cadastro!$E$33),"")</f>
        <v>41.706086956521737</v>
      </c>
      <c r="I385" s="90">
        <f>IFERROR(IF($D385="","",VLOOKUP($D385,Cadastro!$C$4:$G$7,5,FALSE())),"")</f>
        <v>0.6</v>
      </c>
      <c r="J385" s="91">
        <f t="shared" si="88"/>
        <v>8.7582782608695631</v>
      </c>
      <c r="K385" s="69">
        <f t="shared" si="91"/>
        <v>33.6</v>
      </c>
      <c r="L385" s="70"/>
      <c r="M385" s="70"/>
      <c r="N385" s="70"/>
      <c r="O385" s="65"/>
      <c r="P385" s="65"/>
      <c r="Q385" s="71" t="str">
        <f t="shared" ca="1" si="89"/>
        <v/>
      </c>
      <c r="R385" s="63"/>
      <c r="S385" s="81"/>
    </row>
    <row r="386" spans="1:20" ht="15" customHeight="1">
      <c r="A386" s="59">
        <v>46249</v>
      </c>
      <c r="B386" s="60">
        <f t="shared" si="90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11</v>
      </c>
      <c r="H386" s="88">
        <f>IFERROR(IF($G386="","",$G386*$S$392/$G$392/Cadastro!$E$33),"")</f>
        <v>57.345869565217392</v>
      </c>
      <c r="I386" s="90">
        <f>IFERROR(IF($D386="","",VLOOKUP($D386,Cadastro!$C$4:$G$7,5,FALSE())),"")</f>
        <v>0.6</v>
      </c>
      <c r="J386" s="91">
        <f t="shared" si="88"/>
        <v>12.04263260869565</v>
      </c>
      <c r="K386" s="64">
        <f t="shared" si="91"/>
        <v>46.2</v>
      </c>
      <c r="L386" s="61"/>
      <c r="M386" s="61"/>
      <c r="N386" s="61"/>
      <c r="O386" s="65"/>
      <c r="P386" s="65"/>
      <c r="Q386" s="66" t="str">
        <f t="shared" ca="1" si="89"/>
        <v/>
      </c>
      <c r="R386" s="63"/>
      <c r="S386" s="81"/>
    </row>
    <row r="387" spans="1:20" ht="15" customHeight="1">
      <c r="A387" s="18">
        <v>46249</v>
      </c>
      <c r="B387" s="68">
        <f t="shared" si="90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3</v>
      </c>
      <c r="H387" s="88">
        <f>IFERROR(IF($G387="","",$G387*$S$392/$G$392/Cadastro!$E$33),"")</f>
        <v>15.639782608695652</v>
      </c>
      <c r="I387" s="90">
        <f>IFERROR(IF($D387="","",VLOOKUP($D387,Cadastro!$C$4:$G$7,5,FALSE())),"")</f>
        <v>0.6</v>
      </c>
      <c r="J387" s="91">
        <f t="shared" si="88"/>
        <v>3.284354347826087</v>
      </c>
      <c r="K387" s="69">
        <f t="shared" si="91"/>
        <v>12.600000000000001</v>
      </c>
      <c r="L387" s="70"/>
      <c r="M387" s="70"/>
      <c r="N387" s="70"/>
      <c r="O387" s="65"/>
      <c r="P387" s="65"/>
      <c r="Q387" s="71" t="str">
        <f t="shared" ca="1" si="89"/>
        <v/>
      </c>
      <c r="R387" s="63"/>
      <c r="S387" s="81"/>
    </row>
    <row r="388" spans="1:20" ht="15" customHeight="1">
      <c r="A388" s="59">
        <v>46249</v>
      </c>
      <c r="B388" s="60">
        <f t="shared" si="90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13</v>
      </c>
      <c r="H388" s="88">
        <f>IFERROR(IF($G388="","",$G388*$S$392/$G$392/Cadastro!$E$33),"")</f>
        <v>67.772391304347821</v>
      </c>
      <c r="I388" s="90">
        <f>IFERROR(IF($D388="","",VLOOKUP($D388,Cadastro!$C$4:$G$7,5,FALSE())),"")</f>
        <v>0.6</v>
      </c>
      <c r="J388" s="91">
        <f t="shared" si="88"/>
        <v>14.23220217391304</v>
      </c>
      <c r="K388" s="64">
        <f t="shared" si="91"/>
        <v>54.6</v>
      </c>
      <c r="L388" s="61"/>
      <c r="M388" s="61"/>
      <c r="N388" s="61"/>
      <c r="O388" s="65"/>
      <c r="P388" s="65"/>
      <c r="Q388" s="66" t="str">
        <f t="shared" ca="1" si="89"/>
        <v/>
      </c>
      <c r="R388" s="63"/>
      <c r="S388" s="81"/>
    </row>
    <row r="389" spans="1:20" ht="15" customHeight="1">
      <c r="A389" s="18">
        <v>46249</v>
      </c>
      <c r="B389" s="68">
        <f t="shared" si="90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41.706086956521737</v>
      </c>
      <c r="I389" s="90">
        <f>IFERROR(IF($D389="","",VLOOKUP($D389,Cadastro!$C$4:$G$7,5,FALSE())),"")</f>
        <v>0.6</v>
      </c>
      <c r="J389" s="91">
        <f t="shared" si="88"/>
        <v>8.7582782608695631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89"/>
        <v/>
      </c>
      <c r="R389" s="63"/>
      <c r="S389" s="81"/>
    </row>
    <row r="390" spans="1:20" ht="15" customHeight="1">
      <c r="A390" s="59">
        <v>46249</v>
      </c>
      <c r="B390" s="60">
        <f t="shared" si="90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7</v>
      </c>
      <c r="H390" s="88">
        <f>IFERROR(IF($G390="","",$G390*$S$392/$G$392/Cadastro!$E$33),"")</f>
        <v>36.492826086956519</v>
      </c>
      <c r="I390" s="90">
        <f>IFERROR(IF($D390="","",VLOOKUP($D390,Cadastro!$C$4:$G$7,5,FALSE())),"")</f>
        <v>0.6</v>
      </c>
      <c r="J390" s="91">
        <f t="shared" si="88"/>
        <v>7.6634934782608681</v>
      </c>
      <c r="K390" s="64">
        <f t="shared" si="91"/>
        <v>29.400000000000002</v>
      </c>
      <c r="L390" s="61"/>
      <c r="M390" s="61"/>
      <c r="N390" s="61"/>
      <c r="O390" s="65"/>
      <c r="P390" s="65"/>
      <c r="Q390" s="66" t="str">
        <f t="shared" ca="1" si="89"/>
        <v/>
      </c>
      <c r="R390" s="63"/>
      <c r="S390" s="81"/>
    </row>
    <row r="391" spans="1:20" ht="15" customHeight="1">
      <c r="A391" s="18">
        <v>46249</v>
      </c>
      <c r="B391" s="68">
        <f t="shared" si="90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8</v>
      </c>
      <c r="H391" s="92">
        <f>IFERROR(IF($G391="","",$G391*$S$392/$G$392/Cadastro!$E$33),"")</f>
        <v>41.706086956521737</v>
      </c>
      <c r="I391" s="93">
        <f>IFERROR(IF($D391="","",VLOOKUP($D391,Cadastro!$C$4:$G$7,5,FALSE())),"")</f>
        <v>0.6</v>
      </c>
      <c r="J391" s="94">
        <f t="shared" si="88"/>
        <v>8.7582782608695631</v>
      </c>
      <c r="K391" s="69">
        <f t="shared" si="91"/>
        <v>33.6</v>
      </c>
      <c r="L391" s="70"/>
      <c r="M391" s="70"/>
      <c r="N391" s="70"/>
      <c r="O391" s="65"/>
      <c r="P391" s="65"/>
      <c r="Q391" s="71" t="str">
        <f t="shared" ca="1" si="89"/>
        <v/>
      </c>
      <c r="R391" s="63"/>
      <c r="S391" s="81"/>
    </row>
    <row r="392" spans="1:20" ht="15.75" customHeight="1">
      <c r="A392" s="156" t="s">
        <v>260</v>
      </c>
      <c r="B392" s="156"/>
      <c r="C392" s="156"/>
      <c r="D392" s="156"/>
      <c r="E392" s="156"/>
      <c r="F392" s="95"/>
      <c r="G392" s="96">
        <f>SUM(G380:G391)</f>
        <v>92</v>
      </c>
      <c r="H392" s="95">
        <f>IFERROR(SUM(H380:H391),"")</f>
        <v>479.62000000000006</v>
      </c>
      <c r="I392" s="97"/>
      <c r="J392" s="98">
        <f>IFERROR(SUM(J380:J391),"")</f>
        <v>100.72019999999998</v>
      </c>
      <c r="K392" s="2">
        <f>SUM(K380:K391)</f>
        <v>357</v>
      </c>
      <c r="L392" s="72"/>
      <c r="M392" s="72"/>
      <c r="N392" s="72"/>
      <c r="O392" s="72"/>
      <c r="P392" s="72"/>
      <c r="Q392" s="73">
        <f ca="1">IFERROR(SUM(Q380:Q391),"")</f>
        <v>7.361111111111307E-2</v>
      </c>
      <c r="R392" s="2" t="s">
        <v>261</v>
      </c>
      <c r="S392" s="74">
        <v>479620</v>
      </c>
      <c r="T392" s="99">
        <f>IFERROR(J392,"")</f>
        <v>100.72019999999998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9</v>
      </c>
      <c r="H393" s="101">
        <f>IFERROR(IF($G393="","",$G393*$S$405/$G$405/Cadastro!$E$33),"")</f>
        <v>39.323571428571427</v>
      </c>
      <c r="I393" s="102">
        <f>IFERROR(IF($D393="","",VLOOKUP($D393,Cadastro!$C$4:$G$7,5,FALSE())),"")</f>
        <v>0.6</v>
      </c>
      <c r="J393" s="103">
        <f t="shared" ref="J393:J404" si="92">IFERROR(IF($H393="","",$H393*$F393*$I393),"")</f>
        <v>8.2579499999999992</v>
      </c>
      <c r="K393" s="69">
        <f t="shared" ref="K393:K404" si="93">IF(G393="","",IF(E393="PC 17",G393*4.2,IF(E393="PC 19",G393*5,IF(E393="CB",G393*24,""))))</f>
        <v>37.800000000000004</v>
      </c>
      <c r="L393" s="70" t="s">
        <v>28</v>
      </c>
      <c r="M393" s="70" t="s">
        <v>56</v>
      </c>
      <c r="N393" s="70" t="s">
        <v>36</v>
      </c>
      <c r="O393" s="65">
        <v>0.89861111111111103</v>
      </c>
      <c r="P393" s="65">
        <v>0.91180555555555598</v>
      </c>
      <c r="Q393" s="71">
        <f t="shared" ref="Q393:Q404" ca="1" si="94">IFERROR(IF(O393="","",IF(P393="",MOD(NOW()-O393,1),IF(P393&gt;=O393,P393-O393,P393+1-O393))),"")</f>
        <v>1.3194444444444953E-2</v>
      </c>
      <c r="R393" s="63"/>
      <c r="S393" s="81"/>
    </row>
    <row r="394" spans="1:20" ht="15" customHeight="1">
      <c r="A394" s="59">
        <v>46249</v>
      </c>
      <c r="B394" s="60">
        <f t="shared" ref="B394:B404" si="95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17</v>
      </c>
      <c r="H394" s="88">
        <f>IFERROR(IF($G394="","",$G394*$S$405/$G$405/Cadastro!$E$33),"")</f>
        <v>74.277857142857144</v>
      </c>
      <c r="I394" s="90">
        <f>IFERROR(IF($D394="","",VLOOKUP($D394,Cadastro!$C$4:$G$7,5,FALSE())),"")</f>
        <v>0.6</v>
      </c>
      <c r="J394" s="91">
        <f t="shared" si="92"/>
        <v>15.598349999999998</v>
      </c>
      <c r="K394" s="64">
        <f t="shared" si="93"/>
        <v>71.400000000000006</v>
      </c>
      <c r="L394" s="61" t="s">
        <v>29</v>
      </c>
      <c r="M394" s="61" t="s">
        <v>56</v>
      </c>
      <c r="N394" s="61" t="s">
        <v>45</v>
      </c>
      <c r="O394" s="65">
        <v>0.92708333333333304</v>
      </c>
      <c r="P394" s="65">
        <v>0.93402777777777801</v>
      </c>
      <c r="Q394" s="66">
        <f t="shared" ca="1" si="94"/>
        <v>6.9444444444449749E-3</v>
      </c>
      <c r="R394" s="63"/>
      <c r="S394" s="81"/>
    </row>
    <row r="395" spans="1:20" ht="15" customHeight="1">
      <c r="A395" s="18">
        <v>46249</v>
      </c>
      <c r="B395" s="68">
        <f t="shared" si="95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6</v>
      </c>
      <c r="H395" s="88">
        <f>IFERROR(IF($G395="","",$G395*$S$405/$G$405/Cadastro!$E$33),"")</f>
        <v>26.215714285714288</v>
      </c>
      <c r="I395" s="90">
        <f>IFERROR(IF($D395="","",VLOOKUP($D395,Cadastro!$C$4:$G$7,5,FALSE())),"")</f>
        <v>0.6</v>
      </c>
      <c r="J395" s="91">
        <f t="shared" si="92"/>
        <v>5.5052999999999992</v>
      </c>
      <c r="K395" s="69">
        <f t="shared" si="93"/>
        <v>25.200000000000003</v>
      </c>
      <c r="L395" s="70" t="s">
        <v>29</v>
      </c>
      <c r="M395" s="70" t="s">
        <v>168</v>
      </c>
      <c r="N395" s="70" t="s">
        <v>83</v>
      </c>
      <c r="O395" s="65">
        <v>0.16666666666666699</v>
      </c>
      <c r="P395" s="65">
        <v>0.179166666666667</v>
      </c>
      <c r="Q395" s="71">
        <f t="shared" ca="1" si="94"/>
        <v>1.2500000000000011E-2</v>
      </c>
      <c r="R395" s="63"/>
      <c r="S395" s="81"/>
    </row>
    <row r="396" spans="1:20" ht="15" customHeight="1">
      <c r="A396" s="59">
        <v>46249</v>
      </c>
      <c r="B396" s="60">
        <f t="shared" si="95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7</v>
      </c>
      <c r="H396" s="88">
        <f>IFERROR(IF($G396="","",$G396*$S$405/$G$405/Cadastro!$E$33),"")</f>
        <v>30.585000000000001</v>
      </c>
      <c r="I396" s="90">
        <f>IFERROR(IF($D396="","",VLOOKUP($D396,Cadastro!$C$4:$G$7,5,FALSE())),"")</f>
        <v>0.6</v>
      </c>
      <c r="J396" s="91">
        <f t="shared" si="92"/>
        <v>6.4228499999999995</v>
      </c>
      <c r="K396" s="64">
        <f t="shared" si="93"/>
        <v>29.400000000000002</v>
      </c>
      <c r="L396" s="61" t="s">
        <v>29</v>
      </c>
      <c r="M396" s="61" t="s">
        <v>168</v>
      </c>
      <c r="N396" s="61" t="s">
        <v>83</v>
      </c>
      <c r="O396" s="65">
        <v>0.25347222222222199</v>
      </c>
      <c r="P396" s="65">
        <v>0.27777777777777801</v>
      </c>
      <c r="Q396" s="66">
        <f t="shared" ca="1" si="94"/>
        <v>2.4305555555556024E-2</v>
      </c>
      <c r="R396" s="63"/>
      <c r="S396" s="81"/>
    </row>
    <row r="397" spans="1:20" ht="15" customHeight="1">
      <c r="A397" s="18">
        <v>46249</v>
      </c>
      <c r="B397" s="68">
        <f t="shared" si="95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20</v>
      </c>
      <c r="H397" s="88">
        <f>IFERROR(IF($G397="","",$G397*$S$405/$G$405/Cadastro!$E$33),"")</f>
        <v>87.385714285714286</v>
      </c>
      <c r="I397" s="90">
        <f>IFERROR(IF($D397="","",VLOOKUP($D397,Cadastro!$C$4:$G$7,5,FALSE())),"")</f>
        <v>0.6</v>
      </c>
      <c r="J397" s="91">
        <f t="shared" si="92"/>
        <v>18.350999999999999</v>
      </c>
      <c r="K397" s="69">
        <f t="shared" si="93"/>
        <v>84</v>
      </c>
      <c r="L397" s="70"/>
      <c r="M397" s="70"/>
      <c r="N397" s="70"/>
      <c r="O397" s="65"/>
      <c r="P397" s="65"/>
      <c r="Q397" s="71" t="str">
        <f t="shared" ca="1" si="94"/>
        <v/>
      </c>
      <c r="R397" s="63"/>
      <c r="S397" s="81"/>
    </row>
    <row r="398" spans="1:20" ht="15" customHeight="1">
      <c r="A398" s="59">
        <v>46249</v>
      </c>
      <c r="B398" s="60">
        <f t="shared" si="95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10</v>
      </c>
      <c r="H398" s="88">
        <f>IFERROR(IF($G398="","",$G398*$S$405/$G$405/Cadastro!$E$33),"")</f>
        <v>43.692857142857143</v>
      </c>
      <c r="I398" s="90">
        <f>IFERROR(IF($D398="","",VLOOKUP($D398,Cadastro!$C$4:$G$7,5,FALSE())),"")</f>
        <v>0.6</v>
      </c>
      <c r="J398" s="91">
        <f t="shared" si="92"/>
        <v>9.1754999999999995</v>
      </c>
      <c r="K398" s="64">
        <f t="shared" si="93"/>
        <v>42</v>
      </c>
      <c r="L398" s="61"/>
      <c r="M398" s="61"/>
      <c r="N398" s="61"/>
      <c r="O398" s="65"/>
      <c r="P398" s="65"/>
      <c r="Q398" s="66" t="str">
        <f t="shared" ca="1" si="94"/>
        <v/>
      </c>
      <c r="R398" s="63"/>
      <c r="S398" s="81"/>
    </row>
    <row r="399" spans="1:20" ht="15" customHeight="1">
      <c r="A399" s="18">
        <v>46249</v>
      </c>
      <c r="B399" s="68">
        <f t="shared" si="95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5</v>
      </c>
      <c r="H399" s="88">
        <f>IFERROR(IF($G399="","",$G399*$S$405/$G$405/Cadastro!$E$33),"")</f>
        <v>21.846428571428572</v>
      </c>
      <c r="I399" s="90">
        <f>IFERROR(IF($D399="","",VLOOKUP($D399,Cadastro!$C$4:$G$7,5,FALSE())),"")</f>
        <v>0.6</v>
      </c>
      <c r="J399" s="91">
        <f t="shared" si="92"/>
        <v>4.5877499999999998</v>
      </c>
      <c r="K399" s="69">
        <f t="shared" si="93"/>
        <v>21</v>
      </c>
      <c r="L399" s="70"/>
      <c r="M399" s="70"/>
      <c r="N399" s="70"/>
      <c r="O399" s="65"/>
      <c r="P399" s="65"/>
      <c r="Q399" s="71" t="str">
        <f t="shared" ca="1" si="94"/>
        <v/>
      </c>
      <c r="R399" s="63"/>
      <c r="S399" s="81"/>
    </row>
    <row r="400" spans="1:20" ht="15" customHeight="1">
      <c r="A400" s="59">
        <v>46249</v>
      </c>
      <c r="B400" s="60">
        <f t="shared" si="95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16</v>
      </c>
      <c r="H400" s="88">
        <f>IFERROR(IF($G400="","",$G400*$S$405/$G$405/Cadastro!$E$33),"")</f>
        <v>69.908571428571435</v>
      </c>
      <c r="I400" s="90">
        <f>IFERROR(IF($D400="","",VLOOKUP($D400,Cadastro!$C$4:$G$7,5,FALSE())),"")</f>
        <v>0.6</v>
      </c>
      <c r="J400" s="91">
        <f t="shared" si="92"/>
        <v>14.6808</v>
      </c>
      <c r="K400" s="64">
        <f t="shared" si="93"/>
        <v>67.2</v>
      </c>
      <c r="L400" s="61"/>
      <c r="M400" s="61"/>
      <c r="N400" s="61"/>
      <c r="O400" s="65"/>
      <c r="P400" s="65"/>
      <c r="Q400" s="66" t="str">
        <f t="shared" ca="1" si="94"/>
        <v/>
      </c>
      <c r="R400" s="63"/>
      <c r="S400" s="81"/>
    </row>
    <row r="401" spans="1:20" ht="15" customHeight="1">
      <c r="A401" s="18">
        <v>46249</v>
      </c>
      <c r="B401" s="68">
        <f t="shared" si="95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10</v>
      </c>
      <c r="H401" s="88">
        <f>IFERROR(IF($G401="","",$G401*$S$405/$G$405/Cadastro!$E$33),"")</f>
        <v>43.692857142857143</v>
      </c>
      <c r="I401" s="90">
        <f>IFERROR(IF($D401="","",VLOOKUP($D401,Cadastro!$C$4:$G$7,5,FALSE())),"")</f>
        <v>0.6</v>
      </c>
      <c r="J401" s="91">
        <f t="shared" si="92"/>
        <v>9.1754999999999995</v>
      </c>
      <c r="K401" s="69">
        <f t="shared" si="93"/>
        <v>42</v>
      </c>
      <c r="L401" s="70"/>
      <c r="M401" s="70"/>
      <c r="N401" s="70"/>
      <c r="O401" s="65"/>
      <c r="P401" s="65"/>
      <c r="Q401" s="71" t="str">
        <f t="shared" ca="1" si="94"/>
        <v/>
      </c>
      <c r="R401" s="63"/>
      <c r="S401" s="81"/>
    </row>
    <row r="402" spans="1:20" ht="15" customHeight="1">
      <c r="A402" s="59">
        <v>46249</v>
      </c>
      <c r="B402" s="60">
        <f t="shared" si="95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6</v>
      </c>
      <c r="H402" s="88">
        <f>IFERROR(IF($G402="","",$G402*$S$405/$G$405/Cadastro!$E$33),"")</f>
        <v>26.215714285714288</v>
      </c>
      <c r="I402" s="90">
        <f>IFERROR(IF($D402="","",VLOOKUP($D402,Cadastro!$C$4:$G$7,5,FALSE())),"")</f>
        <v>0.6</v>
      </c>
      <c r="J402" s="91">
        <f t="shared" si="92"/>
        <v>3.7750628571428573</v>
      </c>
      <c r="K402" s="64">
        <f t="shared" si="93"/>
        <v>25.200000000000003</v>
      </c>
      <c r="L402" s="61"/>
      <c r="M402" s="61"/>
      <c r="N402" s="61"/>
      <c r="O402" s="65"/>
      <c r="P402" s="65"/>
      <c r="Q402" s="66" t="str">
        <f t="shared" ca="1" si="94"/>
        <v/>
      </c>
      <c r="R402" s="63"/>
      <c r="S402" s="81"/>
    </row>
    <row r="403" spans="1:20" ht="15" customHeight="1">
      <c r="A403" s="18">
        <v>46249</v>
      </c>
      <c r="B403" s="68">
        <f t="shared" si="95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6</v>
      </c>
      <c r="H403" s="88">
        <f>IFERROR(IF($G403="","",$G403*$S$405/$G$405/Cadastro!$E$33),"")</f>
        <v>26.215714285714288</v>
      </c>
      <c r="I403" s="90">
        <f>IFERROR(IF($D403="","",VLOOKUP($D403,Cadastro!$C$4:$G$7,5,FALSE())),"")</f>
        <v>0.6</v>
      </c>
      <c r="J403" s="91">
        <f t="shared" si="92"/>
        <v>3.7750628571428573</v>
      </c>
      <c r="K403" s="69">
        <f t="shared" si="93"/>
        <v>25.200000000000003</v>
      </c>
      <c r="L403" s="70"/>
      <c r="M403" s="70"/>
      <c r="N403" s="70"/>
      <c r="O403" s="65"/>
      <c r="P403" s="65"/>
      <c r="Q403" s="71" t="str">
        <f t="shared" ca="1" si="94"/>
        <v/>
      </c>
      <c r="R403" s="63"/>
      <c r="S403" s="81"/>
    </row>
    <row r="404" spans="1:20" ht="15" customHeight="1">
      <c r="A404" s="59">
        <v>46249</v>
      </c>
      <c r="B404" s="60">
        <f t="shared" si="95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0</v>
      </c>
      <c r="H404" s="92">
        <f>IFERROR(IF($G404="","",$G404*$S$405/$G$405/Cadastro!$E$33),"")</f>
        <v>0</v>
      </c>
      <c r="I404" s="93">
        <f>IFERROR(IF($D404="","",VLOOKUP($D404,Cadastro!$C$4:$G$7,5,FALSE())),"")</f>
        <v>0.6</v>
      </c>
      <c r="J404" s="94">
        <f t="shared" si="92"/>
        <v>0</v>
      </c>
      <c r="K404" s="64">
        <f t="shared" si="93"/>
        <v>0</v>
      </c>
      <c r="L404" s="61"/>
      <c r="M404" s="61"/>
      <c r="N404" s="61"/>
      <c r="O404" s="65"/>
      <c r="P404" s="65"/>
      <c r="Q404" s="66" t="str">
        <f t="shared" ca="1" si="94"/>
        <v/>
      </c>
      <c r="R404" s="63"/>
      <c r="S404" s="81"/>
    </row>
    <row r="405" spans="1:20" ht="15.75" customHeight="1">
      <c r="A405" s="156" t="s">
        <v>263</v>
      </c>
      <c r="B405" s="156"/>
      <c r="C405" s="156"/>
      <c r="D405" s="156"/>
      <c r="E405" s="156"/>
      <c r="F405" s="105"/>
      <c r="G405" s="96">
        <f>SUM(G393:G404)</f>
        <v>112</v>
      </c>
      <c r="H405" s="105">
        <f>IFERROR(SUM(H393:H404),"")</f>
        <v>489.35999999999996</v>
      </c>
      <c r="I405" s="106"/>
      <c r="J405" s="107">
        <f>IFERROR(SUM(J393:J404),"")</f>
        <v>99.305125714285708</v>
      </c>
      <c r="K405" s="2">
        <f>SUM(K393:K404)</f>
        <v>470.40000000000003</v>
      </c>
      <c r="L405" s="72"/>
      <c r="M405" s="72"/>
      <c r="N405" s="72"/>
      <c r="O405" s="72"/>
      <c r="P405" s="72"/>
      <c r="Q405" s="73">
        <f ca="1">IFERROR(SUM(Q393:Q404),"")</f>
        <v>5.6944444444445963E-2</v>
      </c>
      <c r="R405" s="2" t="s">
        <v>261</v>
      </c>
      <c r="S405" s="74">
        <v>489360</v>
      </c>
      <c r="T405" s="99">
        <f>IFERROR(J405,"")</f>
        <v>99.305125714285708</v>
      </c>
    </row>
    <row r="406" spans="1:20" ht="18" customHeight="1">
      <c r="A406" s="157" t="s">
        <v>249</v>
      </c>
      <c r="B406" s="157"/>
      <c r="C406" s="157"/>
      <c r="D406" s="157"/>
      <c r="E406" s="157"/>
      <c r="F406" s="108"/>
      <c r="G406" s="109">
        <f>G392+G405</f>
        <v>204</v>
      </c>
      <c r="H406" s="108">
        <f>IFERROR(H392+H405,"")</f>
        <v>968.98</v>
      </c>
      <c r="I406" s="110"/>
      <c r="J406" s="111">
        <f>IFERROR(J392+J405,"")</f>
        <v>200.02532571428569</v>
      </c>
      <c r="K406" s="1">
        <f>K392+K405</f>
        <v>827.40000000000009</v>
      </c>
      <c r="L406" s="76"/>
      <c r="M406" s="76"/>
      <c r="N406" s="76"/>
      <c r="O406" s="76"/>
      <c r="P406" s="76"/>
      <c r="Q406" s="77">
        <f ca="1">IFERROR(Q392+Q405,"")</f>
        <v>0.13055555555555903</v>
      </c>
      <c r="R406" s="1" t="s">
        <v>264</v>
      </c>
      <c r="S406" s="82">
        <f>IFERROR(S392+S405,"")</f>
        <v>968980</v>
      </c>
      <c r="T406" s="118">
        <f>IFERROR(J406,"")</f>
        <v>200.02532571428569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16</v>
      </c>
      <c r="H407" s="101">
        <f>IFERROR(IF($G407="","",$G407*$S$419/$G$419/Cadastro!$E$33),"")</f>
        <v>59.189421487603305</v>
      </c>
      <c r="I407" s="102">
        <f>IFERROR(IF($D407="","",VLOOKUP($D407,Cadastro!$C$4:$G$7,5,FALSE())),"")</f>
        <v>0.6</v>
      </c>
      <c r="J407" s="103">
        <f t="shared" ref="J407:J418" si="96">IFERROR(IF($H407="","",$H407*$F407*$I407),"")</f>
        <v>8.523276694214875</v>
      </c>
      <c r="K407" s="69">
        <f t="shared" ref="K407:K418" si="97">IF(G407="","",IF(E407="PC 17",G407*4.2,IF(E407="PC 19",G407*5,IF(E407="CB",G407*24,""))))</f>
        <v>67.2</v>
      </c>
      <c r="L407" s="70" t="s">
        <v>28</v>
      </c>
      <c r="M407" s="70" t="s">
        <v>56</v>
      </c>
      <c r="N407" s="70" t="s">
        <v>36</v>
      </c>
      <c r="O407" s="65">
        <v>0.34027777777777801</v>
      </c>
      <c r="P407" s="65">
        <v>0.375</v>
      </c>
      <c r="Q407" s="71">
        <f t="shared" ref="Q407:Q418" ca="1" si="98">IFERROR(IF(O407="","",IF(P407="",MOD(NOW()-O407,1),IF(P407&gt;=O407,P407-O407,P407+1-O407))),"")</f>
        <v>3.4722222222221988E-2</v>
      </c>
      <c r="R407" s="63"/>
      <c r="S407" s="81"/>
    </row>
    <row r="408" spans="1:20" ht="15" customHeight="1">
      <c r="A408" s="59">
        <v>46250</v>
      </c>
      <c r="B408" s="60">
        <f t="shared" ref="B408:B418" si="99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8</v>
      </c>
      <c r="H408" s="88">
        <f>IFERROR(IF($G408="","",$G408*$S$419/$G$419/Cadastro!$E$33),"")</f>
        <v>29.594710743801652</v>
      </c>
      <c r="I408" s="90">
        <f>IFERROR(IF($D408="","",VLOOKUP($D408,Cadastro!$C$4:$G$7,5,FALSE())),"")</f>
        <v>0.6</v>
      </c>
      <c r="J408" s="91">
        <f t="shared" si="96"/>
        <v>4.2616383471074375</v>
      </c>
      <c r="K408" s="64">
        <f t="shared" si="97"/>
        <v>33.6</v>
      </c>
      <c r="L408" s="61" t="s">
        <v>29</v>
      </c>
      <c r="M408" s="61" t="s">
        <v>56</v>
      </c>
      <c r="N408" s="61" t="s">
        <v>45</v>
      </c>
      <c r="O408" s="65">
        <v>0.72777777777777797</v>
      </c>
      <c r="P408" s="65">
        <v>0.76597222222222205</v>
      </c>
      <c r="Q408" s="66">
        <f t="shared" ca="1" si="98"/>
        <v>3.8194444444444087E-2</v>
      </c>
      <c r="R408" s="63" t="s">
        <v>358</v>
      </c>
      <c r="S408" s="81"/>
    </row>
    <row r="409" spans="1:20" ht="15" customHeight="1">
      <c r="A409" s="18">
        <v>46250</v>
      </c>
      <c r="B409" s="68">
        <f t="shared" si="99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12</v>
      </c>
      <c r="H409" s="88">
        <f>IFERROR(IF($G409="","",$G409*$S$419/$G$419/Cadastro!$E$33),"")</f>
        <v>44.392066115702484</v>
      </c>
      <c r="I409" s="90">
        <f>IFERROR(IF($D409="","",VLOOKUP($D409,Cadastro!$C$4:$G$7,5,FALSE())),"")</f>
        <v>0.6</v>
      </c>
      <c r="J409" s="91">
        <f t="shared" si="96"/>
        <v>6.392457520661158</v>
      </c>
      <c r="K409" s="69">
        <f t="shared" si="97"/>
        <v>50.400000000000006</v>
      </c>
      <c r="L409" s="70"/>
      <c r="M409" s="70"/>
      <c r="N409" s="70"/>
      <c r="O409" s="65"/>
      <c r="P409" s="65"/>
      <c r="Q409" s="71" t="str">
        <f t="shared" ca="1" si="98"/>
        <v/>
      </c>
      <c r="R409" s="63"/>
      <c r="S409" s="81"/>
    </row>
    <row r="410" spans="1:20" ht="15" customHeight="1">
      <c r="A410" s="59">
        <v>46250</v>
      </c>
      <c r="B410" s="60">
        <f t="shared" si="99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9</v>
      </c>
      <c r="H410" s="88">
        <f>IFERROR(IF($G410="","",$G410*$S$419/$G$419/Cadastro!$E$33),"")</f>
        <v>33.294049586776865</v>
      </c>
      <c r="I410" s="90">
        <f>IFERROR(IF($D410="","",VLOOKUP($D410,Cadastro!$C$4:$G$7,5,FALSE())),"")</f>
        <v>0.6</v>
      </c>
      <c r="J410" s="91">
        <f t="shared" si="96"/>
        <v>4.7943431404958678</v>
      </c>
      <c r="K410" s="64">
        <f t="shared" si="97"/>
        <v>37.800000000000004</v>
      </c>
      <c r="L410" s="61"/>
      <c r="M410" s="61"/>
      <c r="N410" s="61"/>
      <c r="O410" s="65"/>
      <c r="P410" s="65"/>
      <c r="Q410" s="66" t="str">
        <f t="shared" ca="1" si="98"/>
        <v/>
      </c>
      <c r="R410" s="63"/>
      <c r="S410" s="81"/>
    </row>
    <row r="411" spans="1:20" ht="15" customHeight="1">
      <c r="A411" s="18">
        <v>46250</v>
      </c>
      <c r="B411" s="68">
        <f t="shared" si="99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6</v>
      </c>
      <c r="H411" s="88">
        <f>IFERROR(IF($G411="","",$G411*$S$419/$G$419/Cadastro!$E$33),"")</f>
        <v>22.196033057851242</v>
      </c>
      <c r="I411" s="90">
        <f>IFERROR(IF($D411="","",VLOOKUP($D411,Cadastro!$C$4:$G$7,5,FALSE())),"")</f>
        <v>0.6</v>
      </c>
      <c r="J411" s="91">
        <f t="shared" si="96"/>
        <v>3.196228760330579</v>
      </c>
      <c r="K411" s="69">
        <f t="shared" si="97"/>
        <v>25.200000000000003</v>
      </c>
      <c r="L411" s="70"/>
      <c r="M411" s="70"/>
      <c r="N411" s="70"/>
      <c r="O411" s="65"/>
      <c r="P411" s="65"/>
      <c r="Q411" s="71" t="str">
        <f t="shared" ca="1" si="98"/>
        <v/>
      </c>
      <c r="R411" s="63"/>
      <c r="S411" s="81"/>
    </row>
    <row r="412" spans="1:20" ht="15" customHeight="1">
      <c r="A412" s="59">
        <v>46250</v>
      </c>
      <c r="B412" s="60">
        <f t="shared" si="99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11</v>
      </c>
      <c r="H412" s="88">
        <f>IFERROR(IF($G412="","",$G412*$S$419/$G$419/Cadastro!$E$33),"")</f>
        <v>40.692727272727275</v>
      </c>
      <c r="I412" s="90">
        <f>IFERROR(IF($D412="","",VLOOKUP($D412,Cadastro!$C$4:$G$7,5,FALSE())),"")</f>
        <v>0.6</v>
      </c>
      <c r="J412" s="91">
        <f t="shared" si="96"/>
        <v>5.8597527272727268</v>
      </c>
      <c r="K412" s="64">
        <f t="shared" si="97"/>
        <v>46.2</v>
      </c>
      <c r="L412" s="61"/>
      <c r="M412" s="61"/>
      <c r="N412" s="61"/>
      <c r="O412" s="65"/>
      <c r="P412" s="65"/>
      <c r="Q412" s="66" t="str">
        <f t="shared" ca="1" si="98"/>
        <v/>
      </c>
      <c r="R412" s="63"/>
      <c r="S412" s="81"/>
    </row>
    <row r="413" spans="1:20" ht="15" customHeight="1">
      <c r="A413" s="18">
        <v>46250</v>
      </c>
      <c r="B413" s="68">
        <f t="shared" si="99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51.790743801652887</v>
      </c>
      <c r="I413" s="90">
        <f>IFERROR(IF($D413="","",VLOOKUP($D413,Cadastro!$C$4:$G$7,5,FALSE())),"")</f>
        <v>0.6</v>
      </c>
      <c r="J413" s="91">
        <f t="shared" si="96"/>
        <v>7.4578671074380152</v>
      </c>
      <c r="K413" s="69">
        <f t="shared" si="97"/>
        <v>58.800000000000004</v>
      </c>
      <c r="L413" s="70"/>
      <c r="M413" s="70"/>
      <c r="N413" s="70"/>
      <c r="O413" s="65"/>
      <c r="P413" s="65"/>
      <c r="Q413" s="71" t="str">
        <f t="shared" ca="1" si="98"/>
        <v/>
      </c>
      <c r="R413" s="63"/>
      <c r="S413" s="81"/>
    </row>
    <row r="414" spans="1:20" ht="15" customHeight="1">
      <c r="A414" s="59">
        <v>46250</v>
      </c>
      <c r="B414" s="60">
        <f t="shared" si="99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12</v>
      </c>
      <c r="H414" s="88">
        <f>IFERROR(IF($G414="","",$G414*$S$419/$G$419/Cadastro!$E$33),"")</f>
        <v>44.392066115702484</v>
      </c>
      <c r="I414" s="90">
        <f>IFERROR(IF($D414="","",VLOOKUP($D414,Cadastro!$C$4:$G$7,5,FALSE())),"")</f>
        <v>0.6</v>
      </c>
      <c r="J414" s="91">
        <f t="shared" si="96"/>
        <v>6.392457520661158</v>
      </c>
      <c r="K414" s="64">
        <f t="shared" si="97"/>
        <v>50.400000000000006</v>
      </c>
      <c r="L414" s="61"/>
      <c r="M414" s="61"/>
      <c r="N414" s="61"/>
      <c r="O414" s="65"/>
      <c r="P414" s="65"/>
      <c r="Q414" s="66" t="str">
        <f t="shared" ca="1" si="98"/>
        <v/>
      </c>
      <c r="R414" s="63"/>
      <c r="S414" s="81"/>
    </row>
    <row r="415" spans="1:20" ht="15" customHeight="1">
      <c r="A415" s="18">
        <v>46250</v>
      </c>
      <c r="B415" s="68">
        <f t="shared" si="99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40.692727272727275</v>
      </c>
      <c r="I415" s="90">
        <f>IFERROR(IF($D415="","",VLOOKUP($D415,Cadastro!$C$4:$G$7,5,FALSE())),"")</f>
        <v>0.6</v>
      </c>
      <c r="J415" s="91">
        <f t="shared" si="96"/>
        <v>5.8597527272727268</v>
      </c>
      <c r="K415" s="69">
        <f t="shared" si="97"/>
        <v>46.2</v>
      </c>
      <c r="L415" s="70"/>
      <c r="M415" s="70"/>
      <c r="N415" s="70"/>
      <c r="O415" s="65"/>
      <c r="P415" s="65"/>
      <c r="Q415" s="71" t="str">
        <f t="shared" ca="1" si="98"/>
        <v/>
      </c>
      <c r="R415" s="63"/>
      <c r="S415" s="81"/>
    </row>
    <row r="416" spans="1:20" ht="15" customHeight="1">
      <c r="A416" s="59">
        <v>46250</v>
      </c>
      <c r="B416" s="60">
        <f t="shared" si="99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17</v>
      </c>
      <c r="H416" s="88">
        <f>IFERROR(IF($G416="","",$G416*$S$419/$G$419/Cadastro!$E$33),"")</f>
        <v>62.888760330578513</v>
      </c>
      <c r="I416" s="90">
        <f>IFERROR(IF($D416="","",VLOOKUP($D416,Cadastro!$C$4:$G$7,5,FALSE())),"")</f>
        <v>0.6</v>
      </c>
      <c r="J416" s="91">
        <f t="shared" si="96"/>
        <v>9.0559814876033045</v>
      </c>
      <c r="K416" s="64">
        <f t="shared" si="97"/>
        <v>71.400000000000006</v>
      </c>
      <c r="L416" s="61"/>
      <c r="M416" s="61"/>
      <c r="N416" s="61"/>
      <c r="O416" s="65"/>
      <c r="P416" s="65"/>
      <c r="Q416" s="66" t="str">
        <f t="shared" ca="1" si="98"/>
        <v/>
      </c>
      <c r="R416" s="63"/>
      <c r="S416" s="81"/>
    </row>
    <row r="417" spans="1:20" ht="15" customHeight="1">
      <c r="A417" s="18">
        <v>46250</v>
      </c>
      <c r="B417" s="68">
        <f t="shared" si="99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5</v>
      </c>
      <c r="H417" s="88">
        <f>IFERROR(IF($G417="","",$G417*$S$419/$G$419/Cadastro!$E$33),"")</f>
        <v>18.496694214876033</v>
      </c>
      <c r="I417" s="90">
        <f>IFERROR(IF($D417="","",VLOOKUP($D417,Cadastro!$C$4:$G$7,5,FALSE())),"")</f>
        <v>0.6</v>
      </c>
      <c r="J417" s="91">
        <f t="shared" si="96"/>
        <v>2.6635239669421487</v>
      </c>
      <c r="K417" s="69">
        <f t="shared" si="97"/>
        <v>21</v>
      </c>
      <c r="L417" s="70"/>
      <c r="M417" s="70"/>
      <c r="N417" s="70"/>
      <c r="O417" s="65"/>
      <c r="P417" s="65"/>
      <c r="Q417" s="71" t="str">
        <f t="shared" ca="1" si="98"/>
        <v/>
      </c>
      <c r="R417" s="63"/>
      <c r="S417" s="81"/>
    </row>
    <row r="418" spans="1:20" ht="15" customHeight="1">
      <c r="A418" s="59">
        <v>46250</v>
      </c>
      <c r="B418" s="60">
        <f t="shared" si="99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0</v>
      </c>
      <c r="H418" s="92">
        <f>IFERROR(IF($G418="","",$G418*$S$419/$G$419/Cadastro!$E$33),"")</f>
        <v>0</v>
      </c>
      <c r="I418" s="93">
        <f>IFERROR(IF($D418="","",VLOOKUP($D418,Cadastro!$C$4:$G$7,5,FALSE())),"")</f>
        <v>0.6</v>
      </c>
      <c r="J418" s="94">
        <f t="shared" si="96"/>
        <v>0</v>
      </c>
      <c r="K418" s="64">
        <f t="shared" si="97"/>
        <v>0</v>
      </c>
      <c r="L418" s="61"/>
      <c r="M418" s="61"/>
      <c r="N418" s="61"/>
      <c r="O418" s="65"/>
      <c r="P418" s="65"/>
      <c r="Q418" s="66" t="str">
        <f t="shared" ca="1" si="98"/>
        <v/>
      </c>
      <c r="R418" s="63"/>
    </row>
    <row r="419" spans="1:20" ht="15.75" customHeight="1">
      <c r="A419" s="156" t="s">
        <v>260</v>
      </c>
      <c r="B419" s="156"/>
      <c r="C419" s="156"/>
      <c r="D419" s="156"/>
      <c r="E419" s="156"/>
      <c r="F419" s="95"/>
      <c r="G419" s="96">
        <f>SUM(G407:G418)</f>
        <v>121</v>
      </c>
      <c r="H419" s="95">
        <f>IFERROR(SUM(H407:H418),"")</f>
        <v>447.62</v>
      </c>
      <c r="I419" s="97"/>
      <c r="J419" s="98">
        <f>IFERROR(SUM(J407:J418),"")</f>
        <v>64.457279999999997</v>
      </c>
      <c r="K419" s="2">
        <f>SUM(K407:K418)</f>
        <v>508.20000000000005</v>
      </c>
      <c r="L419" s="72"/>
      <c r="M419" s="72"/>
      <c r="N419" s="72"/>
      <c r="O419" s="72"/>
      <c r="P419" s="72"/>
      <c r="Q419" s="73">
        <f ca="1">IFERROR(SUM(Q407:Q418),"")</f>
        <v>7.2916666666666075E-2</v>
      </c>
      <c r="R419" s="2" t="s">
        <v>261</v>
      </c>
      <c r="S419" s="74">
        <v>447620</v>
      </c>
      <c r="T419" s="99">
        <f>IFERROR(J419,"")</f>
        <v>64.457279999999997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6</v>
      </c>
      <c r="H420" s="101">
        <f>IFERROR(IF($G420="","",$G420*$S$432/$G$432/Cadastro!$E$33),"")</f>
        <v>26.363414634146341</v>
      </c>
      <c r="I420" s="102">
        <f>IFERROR(IF($D420="","",VLOOKUP($D420,Cadastro!$C$4:$G$7,5,FALSE())),"")</f>
        <v>0.6</v>
      </c>
      <c r="J420" s="103">
        <f t="shared" ref="J420:J431" si="100">IFERROR(IF($H420="","",$H420*$F420*$I420),"")</f>
        <v>3.7963317073170728</v>
      </c>
      <c r="K420" s="64">
        <f t="shared" ref="K420:K431" si="101">IF(G420="","",IF(E420="PC 17",G420*4.2,IF(E420="PC 19",G420*5,IF(E420="CB",G420*24,""))))</f>
        <v>25.200000000000003</v>
      </c>
      <c r="L420" s="61" t="s">
        <v>29</v>
      </c>
      <c r="M420" s="61" t="s">
        <v>56</v>
      </c>
      <c r="N420" s="61" t="s">
        <v>65</v>
      </c>
      <c r="O420" s="65">
        <v>0.86875000000000002</v>
      </c>
      <c r="P420" s="65">
        <v>0.89791666666666703</v>
      </c>
      <c r="Q420" s="66">
        <f t="shared" ref="Q420:Q431" ca="1" si="102">IFERROR(IF(O420="","",IF(P420="",MOD(NOW()-O420,1),IF(P420&gt;=O420,P420-O420,P420+1-O420))),"")</f>
        <v>2.9166666666667007E-2</v>
      </c>
      <c r="R420" s="126" t="s">
        <v>359</v>
      </c>
    </row>
    <row r="421" spans="1:20" ht="15" customHeight="1">
      <c r="A421" s="18">
        <v>46250</v>
      </c>
      <c r="B421" s="68">
        <f t="shared" ref="B421:B431" si="103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3</v>
      </c>
      <c r="H421" s="88">
        <f>IFERROR(IF($G421="","",$G421*$S$432/$G$432/Cadastro!$E$33),"")</f>
        <v>13.181707317073171</v>
      </c>
      <c r="I421" s="90">
        <f>IFERROR(IF($D421="","",VLOOKUP($D421,Cadastro!$C$4:$G$7,5,FALSE())),"")</f>
        <v>0.6</v>
      </c>
      <c r="J421" s="91">
        <f t="shared" si="100"/>
        <v>1.8981658536585364</v>
      </c>
      <c r="K421" s="69">
        <f t="shared" si="101"/>
        <v>12.600000000000001</v>
      </c>
      <c r="L421" s="70" t="s">
        <v>29</v>
      </c>
      <c r="M421" s="70" t="s">
        <v>56</v>
      </c>
      <c r="N421" s="70" t="s">
        <v>71</v>
      </c>
      <c r="O421" s="65">
        <v>0.91458333333333297</v>
      </c>
      <c r="P421" s="65">
        <v>0.95138888888888895</v>
      </c>
      <c r="Q421" s="127">
        <f t="shared" ca="1" si="102"/>
        <v>3.680555555555598E-2</v>
      </c>
      <c r="R421" s="128"/>
      <c r="S421" s="81"/>
    </row>
    <row r="422" spans="1:20" ht="15" customHeight="1">
      <c r="A422" s="59">
        <v>46250</v>
      </c>
      <c r="B422" s="60">
        <f t="shared" si="103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2</v>
      </c>
      <c r="H422" s="88">
        <f>IFERROR(IF($G422="","",$G422*$S$432/$G$432/Cadastro!$E$33),"")</f>
        <v>8.7878048780487799</v>
      </c>
      <c r="I422" s="90">
        <f>IFERROR(IF($D422="","",VLOOKUP($D422,Cadastro!$C$4:$G$7,5,FALSE())),"")</f>
        <v>0.6</v>
      </c>
      <c r="J422" s="91">
        <f t="shared" si="100"/>
        <v>1.265443902439024</v>
      </c>
      <c r="K422" s="64">
        <f t="shared" si="101"/>
        <v>8.4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2"/>
        <v>1.0416666666666297E-2</v>
      </c>
      <c r="R422" s="129"/>
      <c r="S422" s="81"/>
    </row>
    <row r="423" spans="1:20" ht="15" customHeight="1">
      <c r="A423" s="18">
        <v>46250</v>
      </c>
      <c r="B423" s="68">
        <f t="shared" si="103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2</v>
      </c>
      <c r="H423" s="88">
        <f>IFERROR(IF($G423="","",$G423*$S$432/$G$432/Cadastro!$E$33),"")</f>
        <v>8.7878048780487799</v>
      </c>
      <c r="I423" s="90">
        <f>IFERROR(IF($D423="","",VLOOKUP($D423,Cadastro!$C$4:$G$7,5,FALSE())),"")</f>
        <v>0.6</v>
      </c>
      <c r="J423" s="91">
        <f t="shared" si="100"/>
        <v>1.265443902439024</v>
      </c>
      <c r="K423" s="69">
        <f t="shared" si="101"/>
        <v>8.4</v>
      </c>
      <c r="L423" s="70" t="s">
        <v>29</v>
      </c>
      <c r="M423" s="70" t="s">
        <v>56</v>
      </c>
      <c r="N423" s="70" t="s">
        <v>65</v>
      </c>
      <c r="O423" s="65">
        <v>9.0277777777777804E-2</v>
      </c>
      <c r="P423" s="65">
        <v>9.8611111111111094E-2</v>
      </c>
      <c r="Q423" s="71">
        <f t="shared" ca="1" si="102"/>
        <v>8.3333333333332898E-3</v>
      </c>
      <c r="R423" s="63"/>
      <c r="S423" s="81"/>
    </row>
    <row r="424" spans="1:20" ht="15" customHeight="1">
      <c r="A424" s="59">
        <v>46250</v>
      </c>
      <c r="B424" s="60">
        <f t="shared" si="103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4</v>
      </c>
      <c r="H424" s="88">
        <f>IFERROR(IF($G424="","",$G424*$S$432/$G$432/Cadastro!$E$33),"")</f>
        <v>17.57560975609756</v>
      </c>
      <c r="I424" s="90">
        <f>IFERROR(IF($D424="","",VLOOKUP($D424,Cadastro!$C$4:$G$7,5,FALSE())),"")</f>
        <v>0.6</v>
      </c>
      <c r="J424" s="91">
        <f t="shared" si="100"/>
        <v>2.5308878048780481</v>
      </c>
      <c r="K424" s="64">
        <f t="shared" si="101"/>
        <v>16.8</v>
      </c>
      <c r="L424" s="61" t="s">
        <v>29</v>
      </c>
      <c r="M424" s="61" t="s">
        <v>56</v>
      </c>
      <c r="N424" s="61" t="s">
        <v>37</v>
      </c>
      <c r="O424" s="65">
        <v>0.25277777777777799</v>
      </c>
      <c r="P424" s="65">
        <v>0.26041666666666702</v>
      </c>
      <c r="Q424" s="66">
        <f t="shared" ca="1" si="102"/>
        <v>7.6388888888890283E-3</v>
      </c>
      <c r="R424" s="63"/>
      <c r="S424" s="81"/>
    </row>
    <row r="425" spans="1:20" ht="15" customHeight="1">
      <c r="A425" s="18">
        <v>46250</v>
      </c>
      <c r="B425" s="68">
        <f t="shared" si="103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4</v>
      </c>
      <c r="H425" s="88">
        <f>IFERROR(IF($G425="","",$G425*$S$432/$G$432/Cadastro!$E$33),"")</f>
        <v>17.57560975609756</v>
      </c>
      <c r="I425" s="90">
        <f>IFERROR(IF($D425="","",VLOOKUP($D425,Cadastro!$C$4:$G$7,5,FALSE())),"")</f>
        <v>0.6</v>
      </c>
      <c r="J425" s="91">
        <f t="shared" si="100"/>
        <v>2.5308878048780481</v>
      </c>
      <c r="K425" s="69">
        <f t="shared" si="101"/>
        <v>16.8</v>
      </c>
      <c r="L425" s="70" t="s">
        <v>29</v>
      </c>
      <c r="M425" s="70" t="s">
        <v>168</v>
      </c>
      <c r="N425" s="70" t="s">
        <v>83</v>
      </c>
      <c r="O425" s="65">
        <v>0.26736111111111099</v>
      </c>
      <c r="P425" s="65">
        <v>0.28472222222222199</v>
      </c>
      <c r="Q425" s="71">
        <f t="shared" ca="1" si="102"/>
        <v>1.7361111111110994E-2</v>
      </c>
      <c r="R425" s="63"/>
      <c r="S425" s="81"/>
    </row>
    <row r="426" spans="1:20" ht="15" customHeight="1">
      <c r="A426" s="59">
        <v>46250</v>
      </c>
      <c r="B426" s="60">
        <f t="shared" si="103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5</v>
      </c>
      <c r="H426" s="88">
        <f>IFERROR(IF($G426="","",$G426*$S$432/$G$432/Cadastro!$E$33),"")</f>
        <v>21.969512195121951</v>
      </c>
      <c r="I426" s="90">
        <f>IFERROR(IF($D426="","",VLOOKUP($D426,Cadastro!$C$4:$G$7,5,FALSE())),"")</f>
        <v>0.6</v>
      </c>
      <c r="J426" s="91">
        <f t="shared" si="100"/>
        <v>3.1636097560975607</v>
      </c>
      <c r="K426" s="64">
        <f t="shared" si="101"/>
        <v>21</v>
      </c>
      <c r="L426" s="61"/>
      <c r="M426" s="61"/>
      <c r="N426" s="61"/>
      <c r="O426" s="65"/>
      <c r="P426" s="65"/>
      <c r="Q426" s="66" t="str">
        <f t="shared" ca="1" si="102"/>
        <v/>
      </c>
      <c r="R426" s="63"/>
      <c r="S426" s="81"/>
    </row>
    <row r="427" spans="1:20" ht="15" customHeight="1">
      <c r="A427" s="18">
        <v>46250</v>
      </c>
      <c r="B427" s="68">
        <f t="shared" si="103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4</v>
      </c>
      <c r="H427" s="88">
        <f>IFERROR(IF($G427="","",$G427*$S$432/$G$432/Cadastro!$E$33),"")</f>
        <v>17.57560975609756</v>
      </c>
      <c r="I427" s="90">
        <f>IFERROR(IF($D427="","",VLOOKUP($D427,Cadastro!$C$4:$G$7,5,FALSE())),"")</f>
        <v>0.6</v>
      </c>
      <c r="J427" s="91">
        <f t="shared" si="100"/>
        <v>2.5308878048780481</v>
      </c>
      <c r="K427" s="69">
        <f t="shared" si="101"/>
        <v>16.8</v>
      </c>
      <c r="L427" s="70"/>
      <c r="M427" s="70"/>
      <c r="N427" s="70"/>
      <c r="O427" s="65"/>
      <c r="P427" s="65"/>
      <c r="Q427" s="71" t="str">
        <f t="shared" ca="1" si="102"/>
        <v/>
      </c>
      <c r="R427" s="63"/>
      <c r="S427" s="81"/>
    </row>
    <row r="428" spans="1:20" ht="15" customHeight="1">
      <c r="A428" s="59">
        <v>46250</v>
      </c>
      <c r="B428" s="60">
        <f t="shared" si="103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0</v>
      </c>
      <c r="H428" s="88">
        <f>IFERROR(IF($G428="","",$G428*$S$432/$G$432/Cadastro!$E$33),"")</f>
        <v>0</v>
      </c>
      <c r="I428" s="90">
        <f>IFERROR(IF($D428="","",VLOOKUP($D428,Cadastro!$C$4:$G$7,5,FALSE())),"")</f>
        <v>0.6</v>
      </c>
      <c r="J428" s="91">
        <f t="shared" si="100"/>
        <v>0</v>
      </c>
      <c r="K428" s="64">
        <f t="shared" si="101"/>
        <v>0</v>
      </c>
      <c r="L428" s="61"/>
      <c r="M428" s="61"/>
      <c r="N428" s="61"/>
      <c r="O428" s="65"/>
      <c r="P428" s="65"/>
      <c r="Q428" s="66" t="str">
        <f t="shared" ca="1" si="102"/>
        <v/>
      </c>
      <c r="R428" s="63"/>
      <c r="S428" s="81"/>
    </row>
    <row r="429" spans="1:20" ht="15" customHeight="1">
      <c r="A429" s="18">
        <v>46250</v>
      </c>
      <c r="B429" s="68">
        <f t="shared" si="103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5</v>
      </c>
      <c r="H429" s="88">
        <f>IFERROR(IF($G429="","",$G429*$S$432/$G$432/Cadastro!$E$33),"")</f>
        <v>21.969512195121951</v>
      </c>
      <c r="I429" s="90">
        <f>IFERROR(IF($D429="","",VLOOKUP($D429,Cadastro!$C$4:$G$7,5,FALSE())),"")</f>
        <v>0.6</v>
      </c>
      <c r="J429" s="91">
        <f t="shared" si="100"/>
        <v>3.1636097560975607</v>
      </c>
      <c r="K429" s="69">
        <f t="shared" si="101"/>
        <v>21</v>
      </c>
      <c r="L429" s="70"/>
      <c r="M429" s="70"/>
      <c r="N429" s="70"/>
      <c r="O429" s="65"/>
      <c r="P429" s="65"/>
      <c r="Q429" s="71" t="str">
        <f t="shared" ca="1" si="102"/>
        <v/>
      </c>
      <c r="R429" s="63"/>
      <c r="S429" s="81"/>
    </row>
    <row r="430" spans="1:20" ht="15" customHeight="1">
      <c r="A430" s="59">
        <v>46250</v>
      </c>
      <c r="B430" s="60">
        <f t="shared" si="103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6</v>
      </c>
      <c r="H430" s="88">
        <f>IFERROR(IF($G430="","",$G430*$S$432/$G$432/Cadastro!$E$33),"")</f>
        <v>26.363414634146341</v>
      </c>
      <c r="I430" s="90">
        <f>IFERROR(IF($D430="","",VLOOKUP($D430,Cadastro!$C$4:$G$7,5,FALSE())),"")</f>
        <v>0.6</v>
      </c>
      <c r="J430" s="91">
        <f t="shared" si="100"/>
        <v>3.7963317073170728</v>
      </c>
      <c r="K430" s="64">
        <f t="shared" si="101"/>
        <v>25.200000000000003</v>
      </c>
      <c r="L430" s="61"/>
      <c r="M430" s="61"/>
      <c r="N430" s="61"/>
      <c r="O430" s="65"/>
      <c r="P430" s="65"/>
      <c r="Q430" s="66" t="str">
        <f t="shared" ca="1" si="102"/>
        <v/>
      </c>
      <c r="R430" s="63"/>
      <c r="S430" s="81"/>
    </row>
    <row r="431" spans="1:20" ht="15" customHeight="1">
      <c r="A431" s="18">
        <v>46250</v>
      </c>
      <c r="B431" s="68">
        <f t="shared" si="103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0</v>
      </c>
      <c r="H431" s="92">
        <f>IFERROR(IF($G431="","",$G431*$S$432/$G$432/Cadastro!$E$33),"")</f>
        <v>0</v>
      </c>
      <c r="I431" s="93">
        <f>IFERROR(IF($D431="","",VLOOKUP($D431,Cadastro!$C$4:$G$7,5,FALSE())),"")</f>
        <v>0.6</v>
      </c>
      <c r="J431" s="94">
        <f t="shared" si="100"/>
        <v>0</v>
      </c>
      <c r="K431" s="69">
        <f t="shared" si="101"/>
        <v>0</v>
      </c>
      <c r="L431" s="70"/>
      <c r="M431" s="70"/>
      <c r="N431" s="70"/>
      <c r="O431" s="65"/>
      <c r="P431" s="65"/>
      <c r="Q431" s="71" t="str">
        <f t="shared" ca="1" si="102"/>
        <v/>
      </c>
      <c r="R431" s="63"/>
      <c r="S431" s="81"/>
    </row>
    <row r="432" spans="1:20" ht="15.75" customHeight="1">
      <c r="A432" s="156" t="s">
        <v>263</v>
      </c>
      <c r="B432" s="156"/>
      <c r="C432" s="156"/>
      <c r="D432" s="156"/>
      <c r="E432" s="156"/>
      <c r="F432" s="105"/>
      <c r="G432" s="96">
        <f>SUM(G420:G431)</f>
        <v>41</v>
      </c>
      <c r="H432" s="105">
        <f>IFERROR(SUM(H420:H431),"")</f>
        <v>180.15</v>
      </c>
      <c r="I432" s="106"/>
      <c r="J432" s="107">
        <f>IFERROR(SUM(J420:J431),"")</f>
        <v>25.941599999999998</v>
      </c>
      <c r="K432" s="2">
        <f>SUM(K420:K431)</f>
        <v>172.2</v>
      </c>
      <c r="L432" s="72"/>
      <c r="M432" s="72"/>
      <c r="N432" s="72"/>
      <c r="O432" s="72"/>
      <c r="P432" s="72"/>
      <c r="Q432" s="73">
        <f ca="1">IFERROR(SUM(Q420:Q431),"")</f>
        <v>0.1097222222222226</v>
      </c>
      <c r="R432" s="2" t="s">
        <v>261</v>
      </c>
      <c r="S432" s="74">
        <v>180150</v>
      </c>
      <c r="T432" s="99">
        <f>IFERROR(J432,"")</f>
        <v>25.941599999999998</v>
      </c>
    </row>
    <row r="433" spans="1:20" ht="18" customHeight="1">
      <c r="A433" s="157" t="s">
        <v>249</v>
      </c>
      <c r="B433" s="157"/>
      <c r="C433" s="157"/>
      <c r="D433" s="157"/>
      <c r="E433" s="157"/>
      <c r="F433" s="108"/>
      <c r="G433" s="109">
        <f>G419+G432</f>
        <v>162</v>
      </c>
      <c r="H433" s="108">
        <f>IFERROR(H419+H432,"")</f>
        <v>627.77</v>
      </c>
      <c r="I433" s="110"/>
      <c r="J433" s="111">
        <f>IFERROR(J419+J432,"")</f>
        <v>90.398879999999991</v>
      </c>
      <c r="K433" s="1">
        <f>K419+K432</f>
        <v>680.40000000000009</v>
      </c>
      <c r="L433" s="76"/>
      <c r="M433" s="76"/>
      <c r="N433" s="76"/>
      <c r="O433" s="76"/>
      <c r="P433" s="76"/>
      <c r="Q433" s="77">
        <f ca="1">IFERROR(Q419+Q432,"")</f>
        <v>0.18263888888888868</v>
      </c>
      <c r="R433" s="1" t="s">
        <v>264</v>
      </c>
      <c r="S433" s="82">
        <f>IFERROR(S419+S432,"")</f>
        <v>627770</v>
      </c>
      <c r="T433" s="118">
        <f>IFERROR(J433,"")</f>
        <v>90.398879999999991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274</v>
      </c>
      <c r="F434" s="101">
        <f>IFERROR(IF($D434="","",VLOOKUP($D434,Cadastro!$C$4:$E$7,3,FALSE())),"")</f>
        <v>0.35</v>
      </c>
      <c r="G434" s="89">
        <v>6</v>
      </c>
      <c r="H434" s="101">
        <f>IFERROR(IF($G434="","",$G434*$S$446/$G$446/Cadastro!$E$33),"")</f>
        <v>27.478588235294119</v>
      </c>
      <c r="I434" s="102">
        <f>IFERROR(IF($D434="","",VLOOKUP($D434,Cadastro!$C$4:$G$7,5,FALSE())),"")</f>
        <v>0.6</v>
      </c>
      <c r="J434" s="103">
        <f t="shared" ref="J434:J445" si="104">IFERROR(IF($H434="","",$H434*$F434*$I434),"")</f>
        <v>5.7705035294117639</v>
      </c>
      <c r="K434" s="64">
        <f t="shared" ref="K434:K445" si="105">IF(G434="","",IF(E434="PC 17",G434*4.2,IF(E434="PC 19",G434*5,IF(E434="CB",G434*24,""))))</f>
        <v>25.200000000000003</v>
      </c>
      <c r="L434" s="61" t="s">
        <v>29</v>
      </c>
      <c r="M434" s="61" t="s">
        <v>56</v>
      </c>
      <c r="N434" s="61" t="s">
        <v>65</v>
      </c>
      <c r="O434" s="65">
        <v>0.34513888888888899</v>
      </c>
      <c r="P434" s="65">
        <v>0.35486111111111102</v>
      </c>
      <c r="Q434" s="66">
        <f t="shared" ref="Q434:Q445" ca="1" si="106">IFERROR(IF(O434="","",IF(P434="",MOD(NOW()-O434,1),IF(P434&gt;=O434,P434-O434,P434+1-O434))),"")</f>
        <v>9.7222222222220211E-3</v>
      </c>
      <c r="R434" s="63" t="s">
        <v>360</v>
      </c>
      <c r="S434" s="81"/>
    </row>
    <row r="435" spans="1:20" ht="15" customHeight="1">
      <c r="A435" s="18">
        <v>46251</v>
      </c>
      <c r="B435" s="68">
        <f t="shared" ref="B435:B445" si="107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3</v>
      </c>
      <c r="H435" s="88">
        <f>IFERROR(IF($G435="","",$G435*$S$446/$G$446/Cadastro!$E$33),"")</f>
        <v>13.739294117647059</v>
      </c>
      <c r="I435" s="90">
        <f>IFERROR(IF($D435="","",VLOOKUP($D435,Cadastro!$C$4:$G$7,5,FALSE())),"")</f>
        <v>0.6</v>
      </c>
      <c r="J435" s="91">
        <f t="shared" si="104"/>
        <v>2.885251764705882</v>
      </c>
      <c r="K435" s="64">
        <f t="shared" si="105"/>
        <v>12.600000000000001</v>
      </c>
      <c r="L435" s="70" t="s">
        <v>28</v>
      </c>
      <c r="M435" s="70" t="s">
        <v>56</v>
      </c>
      <c r="N435" s="70" t="s">
        <v>36</v>
      </c>
      <c r="O435" s="65">
        <v>0.55555555555555602</v>
      </c>
      <c r="P435" s="65">
        <v>0.57291666666666696</v>
      </c>
      <c r="Q435" s="71">
        <f t="shared" ca="1" si="106"/>
        <v>1.7361111111110938E-2</v>
      </c>
      <c r="R435" s="63"/>
      <c r="S435" s="81"/>
    </row>
    <row r="436" spans="1:20" ht="15" customHeight="1">
      <c r="A436" s="59">
        <v>46251</v>
      </c>
      <c r="B436" s="60">
        <f t="shared" si="107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50.377411764705883</v>
      </c>
      <c r="I436" s="90">
        <f>IFERROR(IF($D436="","",VLOOKUP($D436,Cadastro!$C$4:$G$7,5,FALSE())),"")</f>
        <v>0.6</v>
      </c>
      <c r="J436" s="91">
        <f t="shared" si="104"/>
        <v>10.579256470588234</v>
      </c>
      <c r="K436" s="64">
        <f t="shared" si="105"/>
        <v>46.2</v>
      </c>
      <c r="L436" s="61" t="s">
        <v>29</v>
      </c>
      <c r="M436" s="61" t="s">
        <v>56</v>
      </c>
      <c r="N436" s="61" t="s">
        <v>60</v>
      </c>
      <c r="O436" s="65">
        <v>0.73194444444444395</v>
      </c>
      <c r="P436" s="65">
        <v>0.75</v>
      </c>
      <c r="Q436" s="66">
        <f t="shared" ca="1" si="106"/>
        <v>1.8055555555556047E-2</v>
      </c>
      <c r="R436" s="63" t="s">
        <v>360</v>
      </c>
      <c r="S436" s="81"/>
    </row>
    <row r="437" spans="1:20" ht="15" customHeight="1">
      <c r="A437" s="18">
        <v>46251</v>
      </c>
      <c r="B437" s="68">
        <f t="shared" si="107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12</v>
      </c>
      <c r="H437" s="88">
        <f>IFERROR(IF($G437="","",$G437*$S$446/$G$446/Cadastro!$E$33),"")</f>
        <v>54.957176470588237</v>
      </c>
      <c r="I437" s="90">
        <f>IFERROR(IF($D437="","",VLOOKUP($D437,Cadastro!$C$4:$G$7,5,FALSE())),"")</f>
        <v>0.6</v>
      </c>
      <c r="J437" s="91">
        <f t="shared" si="104"/>
        <v>11.541007058823528</v>
      </c>
      <c r="K437" s="69">
        <f t="shared" si="105"/>
        <v>50.400000000000006</v>
      </c>
      <c r="L437" s="70"/>
      <c r="M437" s="70"/>
      <c r="N437" s="70"/>
      <c r="O437" s="65"/>
      <c r="P437" s="65"/>
      <c r="Q437" s="71" t="str">
        <f t="shared" ca="1" si="106"/>
        <v/>
      </c>
      <c r="R437" s="63"/>
      <c r="S437" s="81"/>
    </row>
    <row r="438" spans="1:20" ht="15" customHeight="1">
      <c r="A438" s="59">
        <v>46251</v>
      </c>
      <c r="B438" s="60">
        <f t="shared" si="107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0</v>
      </c>
      <c r="H438" s="88">
        <f>IFERROR(IF($G438="","",$G438*$S$446/$G$446/Cadastro!$E$33),"")</f>
        <v>0</v>
      </c>
      <c r="I438" s="90">
        <f>IFERROR(IF($D438="","",VLOOKUP($D438,Cadastro!$C$4:$G$7,5,FALSE())),"")</f>
        <v>0.6</v>
      </c>
      <c r="J438" s="91">
        <f t="shared" si="104"/>
        <v>0</v>
      </c>
      <c r="K438" s="64">
        <f t="shared" si="105"/>
        <v>0</v>
      </c>
      <c r="L438" s="61"/>
      <c r="M438" s="61"/>
      <c r="N438" s="61"/>
      <c r="O438" s="65"/>
      <c r="P438" s="65"/>
      <c r="Q438" s="66" t="str">
        <f t="shared" ca="1" si="106"/>
        <v/>
      </c>
      <c r="R438" s="63"/>
      <c r="S438" s="81"/>
    </row>
    <row r="439" spans="1:20" ht="15" customHeight="1">
      <c r="A439" s="18">
        <v>46251</v>
      </c>
      <c r="B439" s="68">
        <f t="shared" si="107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45.797647058823529</v>
      </c>
      <c r="I439" s="90">
        <f>IFERROR(IF($D439="","",VLOOKUP($D439,Cadastro!$C$4:$G$7,5,FALSE())),"")</f>
        <v>0.6</v>
      </c>
      <c r="J439" s="91">
        <f t="shared" si="104"/>
        <v>9.6175058823529387</v>
      </c>
      <c r="K439" s="69">
        <f t="shared" si="105"/>
        <v>42</v>
      </c>
      <c r="L439" s="70"/>
      <c r="M439" s="70"/>
      <c r="N439" s="70"/>
      <c r="O439" s="65"/>
      <c r="P439" s="65"/>
      <c r="Q439" s="71" t="str">
        <f t="shared" ca="1" si="106"/>
        <v/>
      </c>
      <c r="R439" s="80"/>
      <c r="S439" s="81"/>
    </row>
    <row r="440" spans="1:20" ht="15" customHeight="1">
      <c r="A440" s="59">
        <v>46251</v>
      </c>
      <c r="B440" s="60">
        <f t="shared" si="107"/>
        <v>0.58333333333333304</v>
      </c>
      <c r="C440" s="61" t="s">
        <v>54</v>
      </c>
      <c r="D440" s="62" t="s">
        <v>31</v>
      </c>
      <c r="E440" s="87" t="s">
        <v>274</v>
      </c>
      <c r="F440" s="88">
        <f>IFERROR(IF($D440="","",VLOOKUP($D440,Cadastro!$C$4:$E$7,3,FALSE())),"")</f>
        <v>0.35</v>
      </c>
      <c r="G440" s="89">
        <v>2</v>
      </c>
      <c r="H440" s="88">
        <f>IFERROR(IF($G440="","",$G440*$S$446/$G$446/Cadastro!$E$33),"")</f>
        <v>9.1595294117647068</v>
      </c>
      <c r="I440" s="90">
        <f>IFERROR(IF($D440="","",VLOOKUP($D440,Cadastro!$C$4:$G$7,5,FALSE())),"")</f>
        <v>0.6</v>
      </c>
      <c r="J440" s="91">
        <f t="shared" si="104"/>
        <v>1.9235011764705883</v>
      </c>
      <c r="K440" s="64">
        <f t="shared" si="105"/>
        <v>8.4</v>
      </c>
      <c r="L440" s="61"/>
      <c r="M440" s="61"/>
      <c r="N440" s="61"/>
      <c r="O440" s="65"/>
      <c r="P440" s="65"/>
      <c r="Q440" s="66" t="str">
        <f t="shared" ca="1" si="106"/>
        <v/>
      </c>
      <c r="R440" s="63"/>
      <c r="S440" s="81"/>
    </row>
    <row r="441" spans="1:20" ht="15" customHeight="1">
      <c r="A441" s="18">
        <v>46251</v>
      </c>
      <c r="B441" s="68">
        <f t="shared" si="107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13</v>
      </c>
      <c r="H441" s="88">
        <f>IFERROR(IF($G441="","",$G441*$S$446/$G$446/Cadastro!$E$33),"")</f>
        <v>59.536941176470584</v>
      </c>
      <c r="I441" s="90">
        <f>IFERROR(IF($D441="","",VLOOKUP($D441,Cadastro!$C$4:$G$7,5,FALSE())),"")</f>
        <v>0.6</v>
      </c>
      <c r="J441" s="91">
        <f t="shared" si="104"/>
        <v>8.5733195294117639</v>
      </c>
      <c r="K441" s="69">
        <f t="shared" si="105"/>
        <v>54.6</v>
      </c>
      <c r="L441" s="70"/>
      <c r="M441" s="70"/>
      <c r="N441" s="70"/>
      <c r="O441" s="65"/>
      <c r="P441" s="65"/>
      <c r="Q441" s="71" t="str">
        <f t="shared" ca="1" si="106"/>
        <v/>
      </c>
      <c r="R441" s="63"/>
      <c r="S441" s="81"/>
    </row>
    <row r="442" spans="1:20" ht="15" customHeight="1">
      <c r="A442" s="59">
        <v>46251</v>
      </c>
      <c r="B442" s="60">
        <f t="shared" si="107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11</v>
      </c>
      <c r="H442" s="88">
        <f>IFERROR(IF($G442="","",$G442*$S$446/$G$446/Cadastro!$E$33),"")</f>
        <v>50.377411764705883</v>
      </c>
      <c r="I442" s="90">
        <f>IFERROR(IF($D442="","",VLOOKUP($D442,Cadastro!$C$4:$G$7,5,FALSE())),"")</f>
        <v>0.6</v>
      </c>
      <c r="J442" s="91">
        <f t="shared" si="104"/>
        <v>7.2543472941176459</v>
      </c>
      <c r="K442" s="64">
        <f t="shared" si="105"/>
        <v>46.2</v>
      </c>
      <c r="L442" s="61"/>
      <c r="M442" s="61"/>
      <c r="N442" s="61"/>
      <c r="O442" s="65"/>
      <c r="P442" s="65"/>
      <c r="Q442" s="66" t="str">
        <f t="shared" ca="1" si="106"/>
        <v/>
      </c>
      <c r="R442" s="63"/>
      <c r="S442" s="81"/>
    </row>
    <row r="443" spans="1:20" ht="15" customHeight="1">
      <c r="A443" s="18">
        <v>46251</v>
      </c>
      <c r="B443" s="68">
        <f t="shared" si="107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41.217882352941174</v>
      </c>
      <c r="I443" s="90">
        <f>IFERROR(IF($D443="","",VLOOKUP($D443,Cadastro!$C$4:$G$7,5,FALSE())),"")</f>
        <v>0.6</v>
      </c>
      <c r="J443" s="91">
        <f t="shared" si="104"/>
        <v>8.6557552941176468</v>
      </c>
      <c r="K443" s="69">
        <f t="shared" si="105"/>
        <v>37.800000000000004</v>
      </c>
      <c r="L443" s="70"/>
      <c r="M443" s="70"/>
      <c r="N443" s="70"/>
      <c r="O443" s="65"/>
      <c r="P443" s="65"/>
      <c r="Q443" s="71" t="str">
        <f t="shared" ca="1" si="106"/>
        <v/>
      </c>
      <c r="R443" s="63"/>
      <c r="S443" s="81"/>
    </row>
    <row r="444" spans="1:20" ht="15" customHeight="1">
      <c r="A444" s="59">
        <v>46251</v>
      </c>
      <c r="B444" s="60">
        <f t="shared" si="107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8</v>
      </c>
      <c r="H444" s="88">
        <f>IFERROR(IF($G444="","",$G444*$S$446/$G$446/Cadastro!$E$33),"")</f>
        <v>36.638117647058827</v>
      </c>
      <c r="I444" s="90">
        <f>IFERROR(IF($D444="","",VLOOKUP($D444,Cadastro!$C$4:$G$7,5,FALSE())),"")</f>
        <v>0.6</v>
      </c>
      <c r="J444" s="91">
        <f t="shared" si="104"/>
        <v>7.6940047058823531</v>
      </c>
      <c r="K444" s="64">
        <f t="shared" si="105"/>
        <v>33.6</v>
      </c>
      <c r="L444" s="61"/>
      <c r="M444" s="61"/>
      <c r="N444" s="61"/>
      <c r="O444" s="65"/>
      <c r="P444" s="65"/>
      <c r="Q444" s="66" t="str">
        <f t="shared" ca="1" si="106"/>
        <v/>
      </c>
      <c r="R444" s="63"/>
      <c r="S444" s="81"/>
    </row>
    <row r="445" spans="1:20" ht="15" customHeight="1">
      <c r="A445" s="18">
        <v>46251</v>
      </c>
      <c r="B445" s="68">
        <f t="shared" si="107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0</v>
      </c>
      <c r="H445" s="92">
        <f>IFERROR(IF($G445="","",$G445*$S$446/$G$446/Cadastro!$E$33),"")</f>
        <v>0</v>
      </c>
      <c r="I445" s="93">
        <f>IFERROR(IF($D445="","",VLOOKUP($D445,Cadastro!$C$4:$G$7,5,FALSE())),"")</f>
        <v>0.6</v>
      </c>
      <c r="J445" s="94">
        <f t="shared" si="104"/>
        <v>0</v>
      </c>
      <c r="K445" s="69">
        <f t="shared" si="105"/>
        <v>0</v>
      </c>
      <c r="L445" s="70"/>
      <c r="M445" s="70"/>
      <c r="N445" s="70"/>
      <c r="O445" s="65"/>
      <c r="P445" s="65"/>
      <c r="Q445" s="71" t="str">
        <f t="shared" ca="1" si="106"/>
        <v/>
      </c>
      <c r="R445" s="63"/>
      <c r="S445" s="81"/>
    </row>
    <row r="446" spans="1:20" ht="15.75" customHeight="1">
      <c r="A446" s="156" t="s">
        <v>260</v>
      </c>
      <c r="B446" s="156"/>
      <c r="C446" s="156"/>
      <c r="D446" s="156"/>
      <c r="E446" s="156"/>
      <c r="F446" s="95"/>
      <c r="G446" s="96">
        <f>SUM(G434:G445)</f>
        <v>85</v>
      </c>
      <c r="H446" s="95">
        <f>IFERROR(SUM(H434:H445),"")</f>
        <v>389.28</v>
      </c>
      <c r="I446" s="97"/>
      <c r="J446" s="98">
        <f>IFERROR(SUM(J434:J445),"")</f>
        <v>74.494452705882338</v>
      </c>
      <c r="K446" s="2">
        <f>SUM(K434:K445)</f>
        <v>357.00000000000006</v>
      </c>
      <c r="L446" s="72"/>
      <c r="M446" s="72"/>
      <c r="N446" s="72"/>
      <c r="O446" s="72"/>
      <c r="P446" s="72"/>
      <c r="Q446" s="73">
        <f ca="1">IFERROR(SUM(Q434:Q445),"")</f>
        <v>4.5138888888889006E-2</v>
      </c>
      <c r="R446" s="2" t="s">
        <v>261</v>
      </c>
      <c r="S446" s="74">
        <v>389280</v>
      </c>
      <c r="T446" s="99">
        <f>IFERROR(J446,"")</f>
        <v>74.494452705882338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15</v>
      </c>
      <c r="H447" s="101">
        <f>IFERROR(IF($G447="","",$G447*$S$459/$G$459/Cadastro!$E$33),"")</f>
        <v>63.77162162162162</v>
      </c>
      <c r="I447" s="102">
        <f>IFERROR(IF($D447="","",VLOOKUP($D447,Cadastro!$C$4:$G$7,5,FALSE())),"")</f>
        <v>0.6</v>
      </c>
      <c r="J447" s="103">
        <f t="shared" ref="J447:J458" si="108">IFERROR(IF($H447="","",$H447*$F447*$I447),"")</f>
        <v>13.39204054054054</v>
      </c>
      <c r="K447" s="69">
        <f t="shared" ref="K447:K458" si="109">IF(G447="","",IF(E447="PC 17",G447*4.2,IF(E447="PC 19",G447*5,IF(E447="CB",G447*24,""))))</f>
        <v>63</v>
      </c>
      <c r="L447" s="70" t="s">
        <v>29</v>
      </c>
      <c r="M447" s="70" t="s">
        <v>136</v>
      </c>
      <c r="N447" s="70" t="s">
        <v>221</v>
      </c>
      <c r="O447" s="65">
        <v>0.83333333333333304</v>
      </c>
      <c r="P447" s="65">
        <v>0.84027777777777801</v>
      </c>
      <c r="Q447" s="71">
        <f t="shared" ref="Q447:Q458" ca="1" si="110">IFERROR(IF(O447="","",IF(P447="",MOD(NOW()-O447,1),IF(P447&gt;=O447,P447-O447,P447+1-O447))),"")</f>
        <v>6.9444444444449749E-3</v>
      </c>
      <c r="R447" s="63"/>
      <c r="S447" s="81"/>
    </row>
    <row r="448" spans="1:20" ht="15" customHeight="1">
      <c r="A448" s="59">
        <v>46251</v>
      </c>
      <c r="B448" s="60">
        <f t="shared" ref="B448:B458" si="111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16</v>
      </c>
      <c r="H448" s="88">
        <f>IFERROR(IF($G448="","",$G448*$S$459/$G$459/Cadastro!$E$33),"")</f>
        <v>68.023063063063063</v>
      </c>
      <c r="I448" s="90">
        <f>IFERROR(IF($D448="","",VLOOKUP($D448,Cadastro!$C$4:$G$7,5,FALSE())),"")</f>
        <v>0.6</v>
      </c>
      <c r="J448" s="91">
        <f t="shared" si="108"/>
        <v>14.284843243243243</v>
      </c>
      <c r="K448" s="64">
        <f t="shared" si="109"/>
        <v>67.2</v>
      </c>
      <c r="L448" s="61" t="s">
        <v>29</v>
      </c>
      <c r="M448" s="61" t="s">
        <v>56</v>
      </c>
      <c r="N448" s="61" t="s">
        <v>60</v>
      </c>
      <c r="O448" s="65">
        <v>0.98611111111111105</v>
      </c>
      <c r="P448" s="65">
        <v>0.99305555555555602</v>
      </c>
      <c r="Q448" s="66">
        <f t="shared" ca="1" si="110"/>
        <v>6.9444444444449749E-3</v>
      </c>
      <c r="R448" s="63"/>
      <c r="S448" s="81"/>
    </row>
    <row r="449" spans="1:20" ht="15" customHeight="1">
      <c r="A449" s="18">
        <v>46251</v>
      </c>
      <c r="B449" s="68">
        <f t="shared" si="111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6</v>
      </c>
      <c r="H449" s="88">
        <f>IFERROR(IF($G449="","",$G449*$S$459/$G$459/Cadastro!$E$33),"")</f>
        <v>25.508648648648649</v>
      </c>
      <c r="I449" s="90">
        <f>IFERROR(IF($D449="","",VLOOKUP($D449,Cadastro!$C$4:$G$7,5,FALSE())),"")</f>
        <v>0.6</v>
      </c>
      <c r="J449" s="91">
        <f t="shared" si="108"/>
        <v>5.3568162162162158</v>
      </c>
      <c r="K449" s="69">
        <f t="shared" si="109"/>
        <v>25.200000000000003</v>
      </c>
      <c r="L449" s="70" t="s">
        <v>29</v>
      </c>
      <c r="M449" s="70"/>
      <c r="N449" s="70" t="s">
        <v>210</v>
      </c>
      <c r="O449" s="65">
        <v>2.0833333333333298E-3</v>
      </c>
      <c r="P449" s="65">
        <v>2.7777777777777801E-2</v>
      </c>
      <c r="Q449" s="71">
        <f t="shared" ca="1" si="110"/>
        <v>2.5694444444444471E-2</v>
      </c>
      <c r="R449" s="63" t="s">
        <v>361</v>
      </c>
      <c r="S449" s="81"/>
    </row>
    <row r="450" spans="1:20" ht="15" customHeight="1">
      <c r="A450" s="59">
        <v>46251</v>
      </c>
      <c r="B450" s="60">
        <f t="shared" si="111"/>
        <v>0.95833333333333293</v>
      </c>
      <c r="C450" s="70" t="s">
        <v>30</v>
      </c>
      <c r="D450" s="75" t="s">
        <v>39</v>
      </c>
      <c r="E450" s="100" t="s">
        <v>274</v>
      </c>
      <c r="F450" s="88">
        <f>IFERROR(IF($D450="","",VLOOKUP($D450,Cadastro!$C$4:$E$7,3,FALSE())),"")</f>
        <v>0.24</v>
      </c>
      <c r="G450" s="89">
        <v>11</v>
      </c>
      <c r="H450" s="88">
        <f>IFERROR(IF($G450="","",$G450*$S$459/$G$459/Cadastro!$E$33),"")</f>
        <v>46.765855855855861</v>
      </c>
      <c r="I450" s="90">
        <f>IFERROR(IF($D450="","",VLOOKUP($D450,Cadastro!$C$4:$G$7,5,FALSE())),"")</f>
        <v>0.6</v>
      </c>
      <c r="J450" s="91">
        <f t="shared" si="108"/>
        <v>6.7342832432432429</v>
      </c>
      <c r="K450" s="64">
        <f t="shared" si="109"/>
        <v>46.2</v>
      </c>
      <c r="L450" s="61" t="s">
        <v>28</v>
      </c>
      <c r="M450" s="61" t="s">
        <v>56</v>
      </c>
      <c r="N450" s="61" t="s">
        <v>36</v>
      </c>
      <c r="O450" s="65">
        <v>0.16666666666666699</v>
      </c>
      <c r="P450" s="65">
        <v>0.19305555555555601</v>
      </c>
      <c r="Q450" s="66">
        <f t="shared" ca="1" si="110"/>
        <v>2.6388888888889017E-2</v>
      </c>
      <c r="R450" s="63"/>
      <c r="S450" s="81"/>
    </row>
    <row r="451" spans="1:20" ht="15" customHeight="1">
      <c r="A451" s="18">
        <v>46251</v>
      </c>
      <c r="B451" s="68">
        <f t="shared" si="111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3</v>
      </c>
      <c r="H451" s="88">
        <f>IFERROR(IF($G451="","",$G451*$S$459/$G$459/Cadastro!$E$33),"")</f>
        <v>12.754324324324324</v>
      </c>
      <c r="I451" s="90">
        <f>IFERROR(IF($D451="","",VLOOKUP($D451,Cadastro!$C$4:$G$7,5,FALSE())),"")</f>
        <v>0.6</v>
      </c>
      <c r="J451" s="91">
        <f t="shared" si="108"/>
        <v>1.8366227027027024</v>
      </c>
      <c r="K451" s="69">
        <f t="shared" si="109"/>
        <v>12.600000000000001</v>
      </c>
      <c r="L451" s="70"/>
      <c r="M451" s="70"/>
      <c r="N451" s="70"/>
      <c r="O451" s="65"/>
      <c r="P451" s="65"/>
      <c r="Q451" s="71" t="str">
        <f t="shared" ca="1" si="110"/>
        <v/>
      </c>
      <c r="R451" s="63"/>
      <c r="S451" s="81"/>
    </row>
    <row r="452" spans="1:20" ht="15" customHeight="1">
      <c r="A452" s="59">
        <v>46251</v>
      </c>
      <c r="B452" s="60">
        <f t="shared" si="111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34.011531531531531</v>
      </c>
      <c r="I452" s="90">
        <f>IFERROR(IF($D452="","",VLOOKUP($D452,Cadastro!$C$4:$G$7,5,FALSE())),"")</f>
        <v>0.6</v>
      </c>
      <c r="J452" s="91">
        <f t="shared" si="108"/>
        <v>4.8976605405405396</v>
      </c>
      <c r="K452" s="64">
        <f t="shared" si="109"/>
        <v>33.6</v>
      </c>
      <c r="L452" s="61"/>
      <c r="M452" s="61"/>
      <c r="N452" s="61"/>
      <c r="O452" s="65"/>
      <c r="P452" s="65"/>
      <c r="Q452" s="66" t="str">
        <f t="shared" ca="1" si="110"/>
        <v/>
      </c>
      <c r="R452" s="63"/>
      <c r="S452" s="81"/>
    </row>
    <row r="453" spans="1:20" ht="15" customHeight="1">
      <c r="A453" s="18">
        <v>46251</v>
      </c>
      <c r="B453" s="68">
        <f t="shared" si="111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10</v>
      </c>
      <c r="H453" s="88">
        <f>IFERROR(IF($G453="","",$G453*$S$459/$G$459/Cadastro!$E$33),"")</f>
        <v>42.514414414414418</v>
      </c>
      <c r="I453" s="90">
        <f>IFERROR(IF($D453="","",VLOOKUP($D453,Cadastro!$C$4:$G$7,5,FALSE())),"")</f>
        <v>0.6</v>
      </c>
      <c r="J453" s="91">
        <f t="shared" si="108"/>
        <v>8.9280270270270279</v>
      </c>
      <c r="K453" s="69">
        <f t="shared" si="109"/>
        <v>42</v>
      </c>
      <c r="L453" s="70"/>
      <c r="M453" s="70"/>
      <c r="N453" s="70"/>
      <c r="O453" s="65"/>
      <c r="P453" s="65"/>
      <c r="Q453" s="71" t="str">
        <f t="shared" ca="1" si="110"/>
        <v/>
      </c>
      <c r="R453" s="63"/>
      <c r="S453" s="81"/>
    </row>
    <row r="454" spans="1:20" ht="15" customHeight="1">
      <c r="A454" s="59">
        <v>46251</v>
      </c>
      <c r="B454" s="60">
        <f t="shared" si="111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2</v>
      </c>
      <c r="H454" s="88">
        <f>IFERROR(IF($G454="","",$G454*$S$459/$G$459/Cadastro!$E$33),"")</f>
        <v>8.5028828828828829</v>
      </c>
      <c r="I454" s="90">
        <f>IFERROR(IF($D454="","",VLOOKUP($D454,Cadastro!$C$4:$G$7,5,FALSE())),"")</f>
        <v>0.6</v>
      </c>
      <c r="J454" s="91">
        <f t="shared" si="108"/>
        <v>1.7856054054054054</v>
      </c>
      <c r="K454" s="64">
        <f t="shared" si="109"/>
        <v>8.4</v>
      </c>
      <c r="L454" s="61"/>
      <c r="M454" s="61"/>
      <c r="N454" s="61"/>
      <c r="O454" s="65"/>
      <c r="P454" s="65"/>
      <c r="Q454" s="66" t="str">
        <f t="shared" ca="1" si="110"/>
        <v/>
      </c>
      <c r="R454" s="63"/>
      <c r="S454" s="81"/>
    </row>
    <row r="455" spans="1:20" ht="15" customHeight="1">
      <c r="A455" s="18">
        <v>46251</v>
      </c>
      <c r="B455" s="68">
        <f t="shared" si="111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16</v>
      </c>
      <c r="H455" s="88">
        <f>IFERROR(IF($G455="","",$G455*$S$459/$G$459/Cadastro!$E$33),"")</f>
        <v>68.023063063063063</v>
      </c>
      <c r="I455" s="90">
        <f>IFERROR(IF($D455="","",VLOOKUP($D455,Cadastro!$C$4:$G$7,5,FALSE())),"")</f>
        <v>0.6</v>
      </c>
      <c r="J455" s="91">
        <f t="shared" si="108"/>
        <v>14.284843243243243</v>
      </c>
      <c r="K455" s="69">
        <f t="shared" si="109"/>
        <v>67.2</v>
      </c>
      <c r="L455" s="70"/>
      <c r="M455" s="70"/>
      <c r="N455" s="70"/>
      <c r="O455" s="65"/>
      <c r="P455" s="65"/>
      <c r="Q455" s="71" t="str">
        <f t="shared" ca="1" si="110"/>
        <v/>
      </c>
      <c r="R455" s="63"/>
      <c r="S455" s="81"/>
    </row>
    <row r="456" spans="1:20" ht="15" customHeight="1">
      <c r="A456" s="59">
        <v>46251</v>
      </c>
      <c r="B456" s="60">
        <f t="shared" si="111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7</v>
      </c>
      <c r="H456" s="88">
        <f>IFERROR(IF($G456="","",$G456*$S$459/$G$459/Cadastro!$E$33),"")</f>
        <v>29.760090090090088</v>
      </c>
      <c r="I456" s="90">
        <f>IFERROR(IF($D456="","",VLOOKUP($D456,Cadastro!$C$4:$G$7,5,FALSE())),"")</f>
        <v>0.6</v>
      </c>
      <c r="J456" s="91">
        <f t="shared" si="108"/>
        <v>6.2496189189189177</v>
      </c>
      <c r="K456" s="64">
        <f t="shared" si="109"/>
        <v>29.400000000000002</v>
      </c>
      <c r="L456" s="61"/>
      <c r="M456" s="61"/>
      <c r="N456" s="61"/>
      <c r="O456" s="65"/>
      <c r="P456" s="65"/>
      <c r="Q456" s="66" t="str">
        <f t="shared" ca="1" si="110"/>
        <v/>
      </c>
      <c r="R456" s="63"/>
      <c r="S456" s="81"/>
    </row>
    <row r="457" spans="1:20" ht="15" customHeight="1">
      <c r="A457" s="18">
        <v>46251</v>
      </c>
      <c r="B457" s="68">
        <f t="shared" si="111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13</v>
      </c>
      <c r="H457" s="88">
        <f>IFERROR(IF($G457="","",$G457*$S$459/$G$459/Cadastro!$E$33),"")</f>
        <v>55.268738738738733</v>
      </c>
      <c r="I457" s="90">
        <f>IFERROR(IF($D457="","",VLOOKUP($D457,Cadastro!$C$4:$G$7,5,FALSE())),"")</f>
        <v>0.6</v>
      </c>
      <c r="J457" s="91">
        <f t="shared" si="108"/>
        <v>11.606435135135133</v>
      </c>
      <c r="K457" s="69">
        <f t="shared" si="109"/>
        <v>54.6</v>
      </c>
      <c r="L457" s="70"/>
      <c r="M457" s="70"/>
      <c r="N457" s="70"/>
      <c r="O457" s="65"/>
      <c r="P457" s="65"/>
      <c r="Q457" s="71" t="str">
        <f t="shared" ca="1" si="110"/>
        <v/>
      </c>
      <c r="R457" s="63"/>
      <c r="S457" s="81"/>
    </row>
    <row r="458" spans="1:20" ht="15" customHeight="1">
      <c r="A458" s="59">
        <v>46251</v>
      </c>
      <c r="B458" s="60">
        <f t="shared" si="111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4</v>
      </c>
      <c r="H458" s="92">
        <f>IFERROR(IF($G458="","",$G458*$S$459/$G$459/Cadastro!$E$33),"")</f>
        <v>17.005765765765766</v>
      </c>
      <c r="I458" s="93">
        <f>IFERROR(IF($D458="","",VLOOKUP($D458,Cadastro!$C$4:$G$7,5,FALSE())),"")</f>
        <v>0.6</v>
      </c>
      <c r="J458" s="94">
        <f t="shared" si="108"/>
        <v>3.5712108108108107</v>
      </c>
      <c r="K458" s="64">
        <f t="shared" si="109"/>
        <v>16.8</v>
      </c>
      <c r="L458" s="61"/>
      <c r="M458" s="61"/>
      <c r="N458" s="61"/>
      <c r="O458" s="65"/>
      <c r="P458" s="65"/>
      <c r="Q458" s="66" t="str">
        <f t="shared" ca="1" si="110"/>
        <v/>
      </c>
      <c r="R458" s="63"/>
      <c r="S458" s="81"/>
    </row>
    <row r="459" spans="1:20" ht="15.75" customHeight="1">
      <c r="A459" s="156" t="s">
        <v>263</v>
      </c>
      <c r="B459" s="156"/>
      <c r="C459" s="156"/>
      <c r="D459" s="156"/>
      <c r="E459" s="156"/>
      <c r="F459" s="105"/>
      <c r="G459" s="96">
        <f>SUM(G447:G458)</f>
        <v>111</v>
      </c>
      <c r="H459" s="105">
        <f>IFERROR(SUM(H447:H458),"")</f>
        <v>471.91000000000008</v>
      </c>
      <c r="I459" s="106"/>
      <c r="J459" s="107">
        <f>IFERROR(SUM(J447:J458),"")</f>
        <v>92.928007027027007</v>
      </c>
      <c r="K459" s="2">
        <f>SUM(K447:K458)</f>
        <v>466.19999999999993</v>
      </c>
      <c r="L459" s="72"/>
      <c r="M459" s="72"/>
      <c r="N459" s="72"/>
      <c r="O459" s="72"/>
      <c r="P459" s="72"/>
      <c r="Q459" s="73">
        <f ca="1">IFERROR(SUM(Q447:Q458),"")</f>
        <v>6.5972222222223431E-2</v>
      </c>
      <c r="R459" s="2" t="s">
        <v>261</v>
      </c>
      <c r="S459" s="74">
        <v>471910</v>
      </c>
      <c r="T459" s="99">
        <f>IFERROR(J459,"")</f>
        <v>92.928007027027007</v>
      </c>
    </row>
    <row r="460" spans="1:20" ht="18" customHeight="1">
      <c r="A460" s="157" t="s">
        <v>249</v>
      </c>
      <c r="B460" s="157"/>
      <c r="C460" s="157"/>
      <c r="D460" s="157"/>
      <c r="E460" s="157"/>
      <c r="F460" s="108"/>
      <c r="G460" s="109">
        <f>G446+G459</f>
        <v>196</v>
      </c>
      <c r="H460" s="108">
        <f>IFERROR(H446+H459,"")</f>
        <v>861.19</v>
      </c>
      <c r="I460" s="110"/>
      <c r="J460" s="111">
        <f>IFERROR(J446+J459,"")</f>
        <v>167.42245973290935</v>
      </c>
      <c r="K460" s="1">
        <f>K446+K459</f>
        <v>823.2</v>
      </c>
      <c r="L460" s="76"/>
      <c r="M460" s="76"/>
      <c r="N460" s="76"/>
      <c r="O460" s="76"/>
      <c r="P460" s="76"/>
      <c r="Q460" s="77">
        <f ca="1">IFERROR(Q446+Q459,"")</f>
        <v>0.11111111111111244</v>
      </c>
      <c r="R460" s="1" t="s">
        <v>264</v>
      </c>
      <c r="S460" s="82">
        <f>IFERROR(S446+S459,"")</f>
        <v>861190</v>
      </c>
      <c r="T460" s="118">
        <f>IFERROR(J460,"")</f>
        <v>167.42245973290935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4</v>
      </c>
      <c r="H461" s="101">
        <f>IFERROR(IF($G461="","",$G461*$S$473/$G$473/Cadastro!$E$33),"")</f>
        <v>21.432727272727274</v>
      </c>
      <c r="I461" s="102">
        <f>IFERROR(IF($D461="","",VLOOKUP($D461,Cadastro!$C$4:$G$7,5,FALSE())),"")</f>
        <v>0.6</v>
      </c>
      <c r="J461" s="103">
        <f t="shared" ref="J461:J472" si="112">IFERROR(IF($H461="","",$H461*$F461*$I461),"")</f>
        <v>3.0863127272727273</v>
      </c>
      <c r="K461" s="69">
        <f t="shared" ref="K461:K472" si="113">IF(G461="","",IF(E461="PC 17",G461*4.2,IF(E461="PC 19",G461*5,IF(E461="CB",G461*24,""))))</f>
        <v>16.8</v>
      </c>
      <c r="L461" s="70" t="s">
        <v>27</v>
      </c>
      <c r="M461" s="70" t="s">
        <v>56</v>
      </c>
      <c r="N461" s="70" t="s">
        <v>43</v>
      </c>
      <c r="O461" s="65">
        <v>0.43263888888888902</v>
      </c>
      <c r="P461" s="65">
        <v>0.65763888888888899</v>
      </c>
      <c r="Q461" s="71">
        <f t="shared" ref="Q461:Q472" ca="1" si="114">IFERROR(IF(O461="","",IF(P461="",MOD(NOW()-O461,1),IF(P461&gt;=O461,P461-O461,P461+1-O461))),"")</f>
        <v>0.22499999999999998</v>
      </c>
      <c r="R461" s="63"/>
      <c r="S461" s="81"/>
    </row>
    <row r="462" spans="1:20" ht="15" customHeight="1">
      <c r="A462" s="59">
        <v>46252</v>
      </c>
      <c r="B462" s="60">
        <f t="shared" ref="B462:B472" si="115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21</v>
      </c>
      <c r="H462" s="88">
        <f>IFERROR(IF($G462="","",$G462*$S$473/$G$473/Cadastro!$E$33),"")</f>
        <v>112.52181818181818</v>
      </c>
      <c r="I462" s="90">
        <f>IFERROR(IF($D462="","",VLOOKUP($D462,Cadastro!$C$4:$G$7,5,FALSE())),"")</f>
        <v>0.6</v>
      </c>
      <c r="J462" s="91">
        <f t="shared" si="112"/>
        <v>16.203141818181816</v>
      </c>
      <c r="K462" s="64">
        <f t="shared" si="113"/>
        <v>88.2</v>
      </c>
      <c r="L462" s="61" t="s">
        <v>25</v>
      </c>
      <c r="M462" s="61" t="s">
        <v>56</v>
      </c>
      <c r="N462" s="61" t="s">
        <v>67</v>
      </c>
      <c r="O462" s="65">
        <v>0.72013888888888899</v>
      </c>
      <c r="P462" s="65">
        <v>0.78680555555555598</v>
      </c>
      <c r="Q462" s="66">
        <f t="shared" ca="1" si="114"/>
        <v>6.6666666666666985E-2</v>
      </c>
      <c r="R462" s="63"/>
      <c r="S462" s="81"/>
    </row>
    <row r="463" spans="1:20" ht="15" customHeight="1">
      <c r="A463" s="18">
        <v>46252</v>
      </c>
      <c r="B463" s="68">
        <f t="shared" si="115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13</v>
      </c>
      <c r="H463" s="88">
        <f>IFERROR(IF($G463="","",$G463*$S$473/$G$473/Cadastro!$E$33),"")</f>
        <v>69.656363636363636</v>
      </c>
      <c r="I463" s="90">
        <f>IFERROR(IF($D463="","",VLOOKUP($D463,Cadastro!$C$4:$G$7,5,FALSE())),"")</f>
        <v>0.6</v>
      </c>
      <c r="J463" s="91">
        <f t="shared" si="112"/>
        <v>10.030516363636362</v>
      </c>
      <c r="K463" s="69">
        <f t="shared" si="113"/>
        <v>54.6</v>
      </c>
      <c r="L463" s="70"/>
      <c r="M463" s="70"/>
      <c r="N463" s="70"/>
      <c r="O463" s="65"/>
      <c r="P463" s="65"/>
      <c r="Q463" s="71" t="str">
        <f t="shared" ca="1" si="114"/>
        <v/>
      </c>
      <c r="R463" s="63"/>
      <c r="S463" s="81"/>
    </row>
    <row r="464" spans="1:20" ht="15" customHeight="1">
      <c r="A464" s="59">
        <v>46252</v>
      </c>
      <c r="B464" s="60">
        <f t="shared" si="115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8</v>
      </c>
      <c r="H464" s="88">
        <f>IFERROR(IF($G464="","",$G464*$S$473/$G$473/Cadastro!$E$33),"")</f>
        <v>42.865454545454547</v>
      </c>
      <c r="I464" s="90">
        <f>IFERROR(IF($D464="","",VLOOKUP($D464,Cadastro!$C$4:$G$7,5,FALSE())),"")</f>
        <v>0.6</v>
      </c>
      <c r="J464" s="91">
        <f t="shared" si="112"/>
        <v>6.1726254545454546</v>
      </c>
      <c r="K464" s="64">
        <f t="shared" si="113"/>
        <v>33.6</v>
      </c>
      <c r="L464" s="61"/>
      <c r="M464" s="61"/>
      <c r="N464" s="61"/>
      <c r="O464" s="65"/>
      <c r="P464" s="65"/>
      <c r="Q464" s="66" t="str">
        <f t="shared" ca="1" si="114"/>
        <v/>
      </c>
      <c r="R464" s="63"/>
      <c r="S464" s="81"/>
    </row>
    <row r="465" spans="1:20" ht="15" customHeight="1">
      <c r="A465" s="18">
        <v>46252</v>
      </c>
      <c r="B465" s="68">
        <f t="shared" si="115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0</v>
      </c>
      <c r="H465" s="88">
        <f>IFERROR(IF($G465="","",$G465*$S$473/$G$473/Cadastro!$E$33),"")</f>
        <v>0</v>
      </c>
      <c r="I465" s="90">
        <f>IFERROR(IF($D465="","",VLOOKUP($D465,Cadastro!$C$4:$G$7,5,FALSE())),"")</f>
        <v>0.6</v>
      </c>
      <c r="J465" s="91">
        <f t="shared" si="112"/>
        <v>0</v>
      </c>
      <c r="K465" s="69">
        <f t="shared" si="113"/>
        <v>0</v>
      </c>
      <c r="L465" s="70"/>
      <c r="M465" s="70"/>
      <c r="N465" s="70"/>
      <c r="O465" s="65"/>
      <c r="P465" s="65"/>
      <c r="Q465" s="71" t="str">
        <f t="shared" ca="1" si="114"/>
        <v/>
      </c>
      <c r="R465" s="63"/>
      <c r="S465" s="81"/>
    </row>
    <row r="466" spans="1:20" ht="15" customHeight="1">
      <c r="A466" s="59">
        <v>46252</v>
      </c>
      <c r="B466" s="60">
        <f t="shared" si="115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0</v>
      </c>
      <c r="H466" s="88">
        <f>IFERROR(IF($G466="","",$G466*$S$473/$G$473/Cadastro!$E$33),"")</f>
        <v>0</v>
      </c>
      <c r="I466" s="90">
        <f>IFERROR(IF($D466="","",VLOOKUP($D466,Cadastro!$C$4:$G$7,5,FALSE())),"")</f>
        <v>0.6</v>
      </c>
      <c r="J466" s="91">
        <f t="shared" si="112"/>
        <v>0</v>
      </c>
      <c r="K466" s="64">
        <f t="shared" si="113"/>
        <v>0</v>
      </c>
      <c r="L466" s="61"/>
      <c r="M466" s="61"/>
      <c r="N466" s="61"/>
      <c r="O466" s="65"/>
      <c r="P466" s="65"/>
      <c r="Q466" s="66" t="str">
        <f t="shared" ca="1" si="114"/>
        <v/>
      </c>
      <c r="R466" s="63"/>
      <c r="S466" s="81"/>
    </row>
    <row r="467" spans="1:20" ht="15" customHeight="1">
      <c r="A467" s="18">
        <v>46252</v>
      </c>
      <c r="B467" s="68">
        <f t="shared" si="115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0</v>
      </c>
      <c r="H467" s="88">
        <f>IFERROR(IF($G467="","",$G467*$S$473/$G$473/Cadastro!$E$33),"")</f>
        <v>0</v>
      </c>
      <c r="I467" s="90">
        <f>IFERROR(IF($D467="","",VLOOKUP($D467,Cadastro!$C$4:$G$7,5,FALSE())),"")</f>
        <v>0.6</v>
      </c>
      <c r="J467" s="91">
        <f t="shared" si="112"/>
        <v>0</v>
      </c>
      <c r="K467" s="69">
        <f t="shared" si="113"/>
        <v>0</v>
      </c>
      <c r="L467" s="70"/>
      <c r="M467" s="70"/>
      <c r="N467" s="70"/>
      <c r="O467" s="65"/>
      <c r="P467" s="65"/>
      <c r="Q467" s="71" t="str">
        <f t="shared" ca="1" si="114"/>
        <v/>
      </c>
      <c r="R467" s="63"/>
      <c r="S467" s="81"/>
    </row>
    <row r="468" spans="1:20" ht="15" customHeight="1">
      <c r="A468" s="59">
        <v>46252</v>
      </c>
      <c r="B468" s="60">
        <f t="shared" si="115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0</v>
      </c>
      <c r="H468" s="88">
        <f>IFERROR(IF($G468="","",$G468*$S$473/$G$473/Cadastro!$E$33),"")</f>
        <v>0</v>
      </c>
      <c r="I468" s="90">
        <f>IFERROR(IF($D468="","",VLOOKUP($D468,Cadastro!$C$4:$G$7,5,FALSE())),"")</f>
        <v>0.6</v>
      </c>
      <c r="J468" s="91">
        <f t="shared" si="112"/>
        <v>0</v>
      </c>
      <c r="K468" s="64">
        <f t="shared" si="113"/>
        <v>0</v>
      </c>
      <c r="L468" s="61"/>
      <c r="M468" s="61"/>
      <c r="N468" s="61"/>
      <c r="O468" s="65"/>
      <c r="P468" s="65"/>
      <c r="Q468" s="66" t="str">
        <f t="shared" ca="1" si="114"/>
        <v/>
      </c>
      <c r="R468" s="63"/>
      <c r="S468" s="81"/>
    </row>
    <row r="469" spans="1:20" ht="15" customHeight="1">
      <c r="A469" s="18">
        <v>46252</v>
      </c>
      <c r="B469" s="68">
        <f t="shared" si="115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0</v>
      </c>
      <c r="H469" s="88">
        <f>IFERROR(IF($G469="","",$G469*$S$473/$G$473/Cadastro!$E$33),"")</f>
        <v>0</v>
      </c>
      <c r="I469" s="90">
        <f>IFERROR(IF($D469="","",VLOOKUP($D469,Cadastro!$C$4:$G$7,5,FALSE())),"")</f>
        <v>0.6</v>
      </c>
      <c r="J469" s="91">
        <f t="shared" si="112"/>
        <v>0</v>
      </c>
      <c r="K469" s="69">
        <f t="shared" si="113"/>
        <v>0</v>
      </c>
      <c r="L469" s="70"/>
      <c r="M469" s="70"/>
      <c r="N469" s="70"/>
      <c r="O469" s="65"/>
      <c r="P469" s="65"/>
      <c r="Q469" s="71" t="str">
        <f t="shared" ca="1" si="114"/>
        <v/>
      </c>
      <c r="R469" s="63"/>
      <c r="S469" s="81"/>
    </row>
    <row r="470" spans="1:20" ht="15" customHeight="1">
      <c r="A470" s="59">
        <v>46252</v>
      </c>
      <c r="B470" s="60">
        <f t="shared" si="115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20</v>
      </c>
      <c r="H470" s="88">
        <f>IFERROR(IF($G470="","",$G470*$S$473/$G$473/Cadastro!$E$33),"")</f>
        <v>107.16363636363637</v>
      </c>
      <c r="I470" s="90">
        <f>IFERROR(IF($D470="","",VLOOKUP($D470,Cadastro!$C$4:$G$7,5,FALSE())),"")</f>
        <v>0.6</v>
      </c>
      <c r="J470" s="91">
        <f t="shared" si="112"/>
        <v>15.431563636363636</v>
      </c>
      <c r="K470" s="64">
        <f t="shared" si="113"/>
        <v>84</v>
      </c>
      <c r="L470" s="61"/>
      <c r="M470" s="61"/>
      <c r="N470" s="61"/>
      <c r="O470" s="65"/>
      <c r="P470" s="65"/>
      <c r="Q470" s="66" t="str">
        <f t="shared" ca="1" si="114"/>
        <v/>
      </c>
      <c r="R470" s="63"/>
      <c r="S470" s="81"/>
    </row>
    <row r="471" spans="1:20" ht="15" customHeight="1">
      <c r="A471" s="18">
        <v>46252</v>
      </c>
      <c r="B471" s="68">
        <f t="shared" si="115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0</v>
      </c>
      <c r="H471" s="88">
        <f>IFERROR(IF($G471="","",$G471*$S$473/$G$473/Cadastro!$E$33),"")</f>
        <v>0</v>
      </c>
      <c r="I471" s="90">
        <f>IFERROR(IF($D471="","",VLOOKUP($D471,Cadastro!$C$4:$G$7,5,FALSE())),"")</f>
        <v>0.6</v>
      </c>
      <c r="J471" s="91">
        <f t="shared" si="112"/>
        <v>0</v>
      </c>
      <c r="K471" s="69">
        <f t="shared" si="113"/>
        <v>0</v>
      </c>
      <c r="L471" s="70"/>
      <c r="M471" s="70"/>
      <c r="N471" s="70"/>
      <c r="O471" s="65"/>
      <c r="P471" s="65"/>
      <c r="Q471" s="71" t="str">
        <f t="shared" ca="1" si="114"/>
        <v/>
      </c>
      <c r="R471" s="63"/>
      <c r="S471" s="81"/>
    </row>
    <row r="472" spans="1:20" ht="15" customHeight="1">
      <c r="A472" s="59">
        <v>46252</v>
      </c>
      <c r="B472" s="60">
        <f t="shared" si="115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0</v>
      </c>
      <c r="H472" s="92">
        <f>IFERROR(IF($G472="","",$G472*$S$473/$G$473/Cadastro!$E$33),"")</f>
        <v>0</v>
      </c>
      <c r="I472" s="93">
        <f>IFERROR(IF($D472="","",VLOOKUP($D472,Cadastro!$C$4:$G$7,5,FALSE())),"")</f>
        <v>0.6</v>
      </c>
      <c r="J472" s="94">
        <f t="shared" si="112"/>
        <v>0</v>
      </c>
      <c r="K472" s="64">
        <f t="shared" si="113"/>
        <v>0</v>
      </c>
      <c r="L472" s="61"/>
      <c r="M472" s="61"/>
      <c r="N472" s="61"/>
      <c r="O472" s="65"/>
      <c r="P472" s="65"/>
      <c r="Q472" s="66" t="str">
        <f t="shared" ca="1" si="114"/>
        <v/>
      </c>
      <c r="R472" s="63"/>
      <c r="S472" s="81"/>
    </row>
    <row r="473" spans="1:20" ht="15.75" customHeight="1">
      <c r="A473" s="156" t="s">
        <v>260</v>
      </c>
      <c r="B473" s="156"/>
      <c r="C473" s="156"/>
      <c r="D473" s="156"/>
      <c r="E473" s="156"/>
      <c r="F473" s="95"/>
      <c r="G473" s="96">
        <f>SUM(G461:G472)</f>
        <v>66</v>
      </c>
      <c r="H473" s="95">
        <f>IFERROR(SUM(H461:H472),"")</f>
        <v>353.64</v>
      </c>
      <c r="I473" s="97"/>
      <c r="J473" s="98">
        <f>IFERROR(SUM(J461:J472),"")</f>
        <v>50.924159999999993</v>
      </c>
      <c r="K473" s="2">
        <f>SUM(K461:K472)</f>
        <v>277.2</v>
      </c>
      <c r="L473" s="72"/>
      <c r="M473" s="72"/>
      <c r="N473" s="72"/>
      <c r="O473" s="72"/>
      <c r="P473" s="72"/>
      <c r="Q473" s="73">
        <f ca="1">IFERROR(SUM(Q461:Q472),"")</f>
        <v>0.29166666666666696</v>
      </c>
      <c r="R473" s="2" t="s">
        <v>261</v>
      </c>
      <c r="S473" s="74">
        <v>353640</v>
      </c>
      <c r="T473" s="99">
        <f>IFERROR(J473,"")</f>
        <v>50.924159999999993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0</v>
      </c>
      <c r="H474" s="101">
        <f>IFERROR(IF($G474="","",$G474*$S$486/$G$486/Cadastro!$E$33),"")</f>
        <v>0</v>
      </c>
      <c r="I474" s="102">
        <f>IFERROR(IF($D474="","",VLOOKUP($D474,Cadastro!$C$4:$G$7,5,FALSE())),"")</f>
        <v>0.6</v>
      </c>
      <c r="J474" s="103">
        <f t="shared" ref="J474:J485" si="116">IFERROR(IF($H474="","",$H474*$F474*$I474),"")</f>
        <v>0</v>
      </c>
      <c r="K474" s="64">
        <f t="shared" ref="K474:K485" si="117">IF(G474="","",IF(E474="PC 17",G474*4.2,IF(E474="PC 19",G474*5,IF(E474="CB",G474*24,""))))</f>
        <v>0</v>
      </c>
      <c r="L474" s="61" t="s">
        <v>25</v>
      </c>
      <c r="M474" s="61" t="s">
        <v>56</v>
      </c>
      <c r="N474" s="61" t="s">
        <v>67</v>
      </c>
      <c r="O474" s="65">
        <v>0.79166666666666696</v>
      </c>
      <c r="P474" s="65">
        <v>0.86250000000000004</v>
      </c>
      <c r="Q474" s="66">
        <f t="shared" ref="Q474:Q485" ca="1" si="118">IFERROR(IF(O474="","",IF(P474="",MOD(NOW()-O474,1),IF(P474&gt;=O474,P474-O474,P474+1-O474))),"")</f>
        <v>7.0833333333333082E-2</v>
      </c>
      <c r="R474" s="63" t="s">
        <v>307</v>
      </c>
      <c r="S474" s="81"/>
    </row>
    <row r="475" spans="1:20" ht="15" customHeight="1">
      <c r="A475" s="18">
        <v>46252</v>
      </c>
      <c r="B475" s="68">
        <f t="shared" ref="B475:B485" si="119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4</v>
      </c>
      <c r="H475" s="88">
        <f>IFERROR(IF($G475="","",$G475*$S$486/$G$486/Cadastro!$E$33),"")</f>
        <v>17.722033898305085</v>
      </c>
      <c r="I475" s="90">
        <f>IFERROR(IF($D475="","",VLOOKUP($D475,Cadastro!$C$4:$G$7,5,FALSE())),"")</f>
        <v>0.6</v>
      </c>
      <c r="J475" s="91">
        <f t="shared" si="116"/>
        <v>2.5519728813559324</v>
      </c>
      <c r="K475" s="69">
        <f t="shared" si="117"/>
        <v>16.8</v>
      </c>
      <c r="L475" s="70" t="s">
        <v>27</v>
      </c>
      <c r="M475" s="70" t="s">
        <v>136</v>
      </c>
      <c r="N475" s="70" t="s">
        <v>194</v>
      </c>
      <c r="O475" s="65">
        <v>0.98750000000000004</v>
      </c>
      <c r="P475" s="65">
        <v>1.38888888888889E-3</v>
      </c>
      <c r="Q475" s="71">
        <f t="shared" ca="1" si="118"/>
        <v>1.388888888888884E-2</v>
      </c>
      <c r="R475" s="63"/>
      <c r="S475" s="81"/>
    </row>
    <row r="476" spans="1:20" ht="15" customHeight="1">
      <c r="A476" s="59">
        <v>46252</v>
      </c>
      <c r="B476" s="60">
        <f t="shared" si="119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5</v>
      </c>
      <c r="H476" s="88">
        <f>IFERROR(IF($G476="","",$G476*$S$486/$G$486/Cadastro!$E$33),"")</f>
        <v>22.152542372881356</v>
      </c>
      <c r="I476" s="90">
        <f>IFERROR(IF($D476="","",VLOOKUP($D476,Cadastro!$C$4:$G$7,5,FALSE())),"")</f>
        <v>0.6</v>
      </c>
      <c r="J476" s="91">
        <f t="shared" si="116"/>
        <v>3.1899661016949152</v>
      </c>
      <c r="K476" s="64">
        <f t="shared" si="117"/>
        <v>21</v>
      </c>
      <c r="L476" s="61" t="s">
        <v>29</v>
      </c>
      <c r="M476" s="61" t="s">
        <v>168</v>
      </c>
      <c r="N476" s="61" t="s">
        <v>83</v>
      </c>
      <c r="O476" s="65">
        <v>0.24583333333333299</v>
      </c>
      <c r="P476" s="65">
        <v>0.249305555555556</v>
      </c>
      <c r="Q476" s="66">
        <f t="shared" ca="1" si="118"/>
        <v>3.4722222222230148E-3</v>
      </c>
      <c r="R476" s="63"/>
      <c r="S476" s="81"/>
    </row>
    <row r="477" spans="1:20" ht="15" customHeight="1">
      <c r="A477" s="18">
        <v>46252</v>
      </c>
      <c r="B477" s="68">
        <f t="shared" si="119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5</v>
      </c>
      <c r="H477" s="88">
        <f>IFERROR(IF($G477="","",$G477*$S$486/$G$486/Cadastro!$E$33),"")</f>
        <v>22.152542372881356</v>
      </c>
      <c r="I477" s="90">
        <f>IFERROR(IF($D477="","",VLOOKUP($D477,Cadastro!$C$4:$G$7,5,FALSE())),"")</f>
        <v>0.6</v>
      </c>
      <c r="J477" s="91">
        <f t="shared" si="116"/>
        <v>3.1899661016949152</v>
      </c>
      <c r="K477" s="69">
        <f t="shared" si="117"/>
        <v>21</v>
      </c>
      <c r="L477" s="70" t="s">
        <v>27</v>
      </c>
      <c r="M477" s="70" t="s">
        <v>56</v>
      </c>
      <c r="N477" s="70" t="s">
        <v>140</v>
      </c>
      <c r="O477" s="65">
        <v>0.25833333333333303</v>
      </c>
      <c r="P477" s="65">
        <v>0.26805555555555599</v>
      </c>
      <c r="Q477" s="71">
        <f t="shared" ca="1" si="118"/>
        <v>9.7222222222229648E-3</v>
      </c>
      <c r="R477" s="63" t="s">
        <v>362</v>
      </c>
      <c r="S477" s="81"/>
    </row>
    <row r="478" spans="1:20" ht="15" customHeight="1">
      <c r="A478" s="59">
        <v>46252</v>
      </c>
      <c r="B478" s="60">
        <f t="shared" si="119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44.305084745762713</v>
      </c>
      <c r="I478" s="90">
        <f>IFERROR(IF($D478="","",VLOOKUP($D478,Cadastro!$C$4:$G$7,5,FALSE())),"")</f>
        <v>0.6</v>
      </c>
      <c r="J478" s="91">
        <f t="shared" si="116"/>
        <v>6.3799322033898305</v>
      </c>
      <c r="K478" s="64">
        <f t="shared" si="117"/>
        <v>42</v>
      </c>
      <c r="L478" s="61"/>
      <c r="M478" s="61"/>
      <c r="N478" s="61"/>
      <c r="O478" s="65"/>
      <c r="P478" s="65"/>
      <c r="Q478" s="66" t="str">
        <f t="shared" ca="1" si="118"/>
        <v/>
      </c>
      <c r="R478" s="63"/>
      <c r="S478" s="81"/>
    </row>
    <row r="479" spans="1:20" ht="15" customHeight="1">
      <c r="A479" s="18">
        <v>46252</v>
      </c>
      <c r="B479" s="68">
        <f t="shared" si="119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10</v>
      </c>
      <c r="H479" s="88">
        <f>IFERROR(IF($G479="","",$G479*$S$486/$G$486/Cadastro!$E$33),"")</f>
        <v>44.305084745762713</v>
      </c>
      <c r="I479" s="90">
        <f>IFERROR(IF($D479="","",VLOOKUP($D479,Cadastro!$C$4:$G$7,5,FALSE())),"")</f>
        <v>0.6</v>
      </c>
      <c r="J479" s="91">
        <f t="shared" si="116"/>
        <v>6.3799322033898305</v>
      </c>
      <c r="K479" s="69">
        <f t="shared" si="117"/>
        <v>42</v>
      </c>
      <c r="L479" s="70"/>
      <c r="M479" s="70"/>
      <c r="N479" s="70"/>
      <c r="O479" s="65"/>
      <c r="P479" s="65"/>
      <c r="Q479" s="71" t="str">
        <f t="shared" ca="1" si="118"/>
        <v/>
      </c>
      <c r="R479" s="63"/>
      <c r="S479" s="81"/>
    </row>
    <row r="480" spans="1:20" ht="15" customHeight="1">
      <c r="A480" s="59">
        <v>46252</v>
      </c>
      <c r="B480" s="60">
        <f t="shared" si="119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3</v>
      </c>
      <c r="H480" s="88">
        <f>IFERROR(IF($G480="","",$G480*$S$486/$G$486/Cadastro!$E$33),"")</f>
        <v>13.291525423728814</v>
      </c>
      <c r="I480" s="90">
        <f>IFERROR(IF($D480="","",VLOOKUP($D480,Cadastro!$C$4:$G$7,5,FALSE())),"")</f>
        <v>0.6</v>
      </c>
      <c r="J480" s="91">
        <f t="shared" si="116"/>
        <v>1.9139796610169491</v>
      </c>
      <c r="K480" s="64">
        <f t="shared" si="117"/>
        <v>12.600000000000001</v>
      </c>
      <c r="L480" s="61"/>
      <c r="M480" s="61"/>
      <c r="N480" s="61"/>
      <c r="O480" s="65"/>
      <c r="P480" s="65"/>
      <c r="Q480" s="66" t="str">
        <f t="shared" ca="1" si="118"/>
        <v/>
      </c>
      <c r="R480" s="63"/>
      <c r="S480" s="81"/>
    </row>
    <row r="481" spans="1:20" ht="15" customHeight="1">
      <c r="A481" s="18">
        <v>46252</v>
      </c>
      <c r="B481" s="68">
        <f t="shared" si="119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6</v>
      </c>
      <c r="H481" s="88">
        <f>IFERROR(IF($G481="","",$G481*$S$486/$G$486/Cadastro!$E$33),"")</f>
        <v>26.583050847457628</v>
      </c>
      <c r="I481" s="90">
        <f>IFERROR(IF($D481="","",VLOOKUP($D481,Cadastro!$C$4:$G$7,5,FALSE())),"")</f>
        <v>0.6</v>
      </c>
      <c r="J481" s="91">
        <f t="shared" si="116"/>
        <v>3.8279593220338981</v>
      </c>
      <c r="K481" s="69">
        <f t="shared" si="117"/>
        <v>25.200000000000003</v>
      </c>
      <c r="L481" s="70"/>
      <c r="M481" s="70"/>
      <c r="N481" s="70"/>
      <c r="O481" s="65"/>
      <c r="P481" s="65"/>
      <c r="Q481" s="71" t="str">
        <f t="shared" ca="1" si="118"/>
        <v/>
      </c>
      <c r="R481" s="63"/>
      <c r="S481" s="81"/>
    </row>
    <row r="482" spans="1:20" ht="15" customHeight="1">
      <c r="A482" s="59">
        <v>46252</v>
      </c>
      <c r="B482" s="60">
        <f t="shared" si="119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3</v>
      </c>
      <c r="H482" s="88">
        <f>IFERROR(IF($G482="","",$G482*$S$486/$G$486/Cadastro!$E$33),"")</f>
        <v>13.291525423728814</v>
      </c>
      <c r="I482" s="90">
        <f>IFERROR(IF($D482="","",VLOOKUP($D482,Cadastro!$C$4:$G$7,5,FALSE())),"")</f>
        <v>0.6</v>
      </c>
      <c r="J482" s="91">
        <f t="shared" si="116"/>
        <v>1.9139796610169491</v>
      </c>
      <c r="K482" s="64">
        <f t="shared" si="117"/>
        <v>12.600000000000001</v>
      </c>
      <c r="L482" s="61"/>
      <c r="M482" s="61"/>
      <c r="N482" s="61"/>
      <c r="O482" s="65"/>
      <c r="P482" s="65"/>
      <c r="Q482" s="66" t="str">
        <f t="shared" ca="1" si="118"/>
        <v/>
      </c>
      <c r="R482" s="63"/>
      <c r="S482" s="81"/>
    </row>
    <row r="483" spans="1:20" ht="15" customHeight="1">
      <c r="A483" s="18">
        <v>46252</v>
      </c>
      <c r="B483" s="68">
        <f t="shared" si="119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3</v>
      </c>
      <c r="H483" s="88">
        <f>IFERROR(IF($G483="","",$G483*$S$486/$G$486/Cadastro!$E$33),"")</f>
        <v>13.291525423728814</v>
      </c>
      <c r="I483" s="90">
        <f>IFERROR(IF($D483="","",VLOOKUP($D483,Cadastro!$C$4:$G$7,5,FALSE())),"")</f>
        <v>0.6</v>
      </c>
      <c r="J483" s="91">
        <f t="shared" si="116"/>
        <v>1.9139796610169491</v>
      </c>
      <c r="K483" s="69">
        <f t="shared" si="117"/>
        <v>12.600000000000001</v>
      </c>
      <c r="L483" s="70"/>
      <c r="M483" s="70"/>
      <c r="N483" s="70"/>
      <c r="O483" s="65"/>
      <c r="P483" s="65"/>
      <c r="Q483" s="71" t="str">
        <f t="shared" ca="1" si="118"/>
        <v/>
      </c>
      <c r="R483" s="63"/>
      <c r="S483" s="81"/>
    </row>
    <row r="484" spans="1:20" ht="15" customHeight="1">
      <c r="A484" s="59">
        <v>46252</v>
      </c>
      <c r="B484" s="60">
        <f t="shared" si="119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7</v>
      </c>
      <c r="H484" s="88">
        <f>IFERROR(IF($G484="","",$G484*$S$486/$G$486/Cadastro!$E$33),"")</f>
        <v>31.013559322033899</v>
      </c>
      <c r="I484" s="90">
        <f>IFERROR(IF($D484="","",VLOOKUP($D484,Cadastro!$C$4:$G$7,5,FALSE())),"")</f>
        <v>0.6</v>
      </c>
      <c r="J484" s="91">
        <f t="shared" si="116"/>
        <v>4.4659525423728814</v>
      </c>
      <c r="K484" s="64">
        <f t="shared" si="117"/>
        <v>29.400000000000002</v>
      </c>
      <c r="L484" s="61"/>
      <c r="M484" s="61"/>
      <c r="N484" s="61"/>
      <c r="O484" s="65"/>
      <c r="P484" s="65"/>
      <c r="Q484" s="66" t="str">
        <f t="shared" ca="1" si="118"/>
        <v/>
      </c>
      <c r="R484" s="63"/>
      <c r="S484" s="81"/>
    </row>
    <row r="485" spans="1:20" ht="15" customHeight="1">
      <c r="A485" s="18">
        <v>46252</v>
      </c>
      <c r="B485" s="68">
        <f t="shared" si="119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3</v>
      </c>
      <c r="H485" s="92">
        <f>IFERROR(IF($G485="","",$G485*$S$486/$G$486/Cadastro!$E$33),"")</f>
        <v>13.291525423728814</v>
      </c>
      <c r="I485" s="93">
        <f>IFERROR(IF($D485="","",VLOOKUP($D485,Cadastro!$C$4:$G$7,5,FALSE())),"")</f>
        <v>0.6</v>
      </c>
      <c r="J485" s="94">
        <f t="shared" si="116"/>
        <v>1.9139796610169491</v>
      </c>
      <c r="K485" s="69">
        <f t="shared" si="117"/>
        <v>12.600000000000001</v>
      </c>
      <c r="L485" s="70"/>
      <c r="M485" s="70"/>
      <c r="N485" s="70"/>
      <c r="O485" s="65"/>
      <c r="P485" s="65"/>
      <c r="Q485" s="71" t="str">
        <f t="shared" ca="1" si="118"/>
        <v/>
      </c>
      <c r="R485" s="63"/>
      <c r="S485" s="81"/>
    </row>
    <row r="486" spans="1:20" ht="15.75" customHeight="1">
      <c r="A486" s="156" t="s">
        <v>263</v>
      </c>
      <c r="B486" s="156"/>
      <c r="C486" s="156"/>
      <c r="D486" s="156"/>
      <c r="E486" s="156"/>
      <c r="F486" s="105"/>
      <c r="G486" s="96">
        <f>SUM(G474:G485)</f>
        <v>59</v>
      </c>
      <c r="H486" s="105">
        <f>IFERROR(SUM(H474:H485),"")</f>
        <v>261.39999999999998</v>
      </c>
      <c r="I486" s="106"/>
      <c r="J486" s="107">
        <f>IFERROR(SUM(J474:J485),"")</f>
        <v>37.641599999999997</v>
      </c>
      <c r="K486" s="2">
        <f>SUM(K474:K485)</f>
        <v>247.8</v>
      </c>
      <c r="L486" s="72"/>
      <c r="M486" s="72"/>
      <c r="N486" s="72"/>
      <c r="O486" s="72"/>
      <c r="P486" s="72"/>
      <c r="Q486" s="73">
        <f ca="1">IFERROR(SUM(Q474:Q485),"")</f>
        <v>9.7916666666667901E-2</v>
      </c>
      <c r="R486" s="2" t="s">
        <v>261</v>
      </c>
      <c r="S486" s="74">
        <v>261400</v>
      </c>
      <c r="T486" s="99">
        <f>IFERROR(J486,"")</f>
        <v>37.641599999999997</v>
      </c>
    </row>
    <row r="487" spans="1:20" ht="18" customHeight="1">
      <c r="A487" s="157" t="s">
        <v>249</v>
      </c>
      <c r="B487" s="157"/>
      <c r="C487" s="157"/>
      <c r="D487" s="157"/>
      <c r="E487" s="157"/>
      <c r="F487" s="108"/>
      <c r="G487" s="109">
        <f>G473+G486</f>
        <v>125</v>
      </c>
      <c r="H487" s="108">
        <f>IFERROR(H473+H486,"")</f>
        <v>615.04</v>
      </c>
      <c r="I487" s="110"/>
      <c r="J487" s="111">
        <f>IFERROR(J473+J486,"")</f>
        <v>88.565759999999983</v>
      </c>
      <c r="K487" s="1">
        <f>K473+K486</f>
        <v>525</v>
      </c>
      <c r="L487" s="76"/>
      <c r="M487" s="76"/>
      <c r="N487" s="76"/>
      <c r="O487" s="76"/>
      <c r="P487" s="76"/>
      <c r="Q487" s="77">
        <f ca="1">IFERROR(Q473+Q486,"")</f>
        <v>0.38958333333333484</v>
      </c>
      <c r="R487" s="1" t="s">
        <v>264</v>
      </c>
      <c r="S487" s="82">
        <f>IFERROR(S473+S486,"")</f>
        <v>615040</v>
      </c>
      <c r="T487" s="118">
        <f>IFERROR(J487,"")</f>
        <v>88.565759999999983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3</v>
      </c>
      <c r="H488" s="101">
        <f>IFERROR(IF($G488="","",$G488*$S$500/$G$500/Cadastro!$E$33),"")</f>
        <v>15.510416666666666</v>
      </c>
      <c r="I488" s="102">
        <f>IFERROR(IF($D488="","",VLOOKUP($D488,Cadastro!$C$4:$G$7,5,FALSE())),"")</f>
        <v>0.6</v>
      </c>
      <c r="J488" s="103">
        <f t="shared" ref="J488:J499" si="120">IFERROR(IF($H488="","",$H488*$F488*$I488),"")</f>
        <v>2.2334999999999998</v>
      </c>
      <c r="K488" s="64">
        <f>IF(G488="","",IF(E488="PC 17",G488*4.2,IF(E488="PC 19",G488*5,IF(E488="CB",G488*24,""))))</f>
        <v>12.600000000000001</v>
      </c>
      <c r="L488" s="61" t="s">
        <v>28</v>
      </c>
      <c r="M488" s="61" t="s">
        <v>56</v>
      </c>
      <c r="N488" s="61" t="s">
        <v>36</v>
      </c>
      <c r="O488" s="65">
        <v>0.5229166666666667</v>
      </c>
      <c r="P488" s="65">
        <v>0.55833333333333335</v>
      </c>
      <c r="Q488" s="66">
        <f t="shared" ref="Q488:Q499" ca="1" si="121">IFERROR(IF(O488="","",IF(P488="",MOD(NOW()-O488,1),IF(P488&gt;=O488,P488-O488,P488+1-O488))),"")</f>
        <v>3.5416666666666652E-2</v>
      </c>
      <c r="R488" s="63"/>
      <c r="S488" s="81"/>
    </row>
    <row r="489" spans="1:20" ht="15" customHeight="1">
      <c r="A489" s="18">
        <v>46253</v>
      </c>
      <c r="B489" s="68">
        <f t="shared" ref="B489:B499" si="122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9</v>
      </c>
      <c r="H489" s="88">
        <f>IFERROR(IF($G489="","",$G489*$S$500/$G$500/Cadastro!$E$33),"")</f>
        <v>46.53125</v>
      </c>
      <c r="I489" s="90">
        <f>IFERROR(IF($D489="","",VLOOKUP($D489,Cadastro!$C$4:$G$7,5,FALSE())),"")</f>
        <v>0.6</v>
      </c>
      <c r="J489" s="91">
        <f t="shared" si="120"/>
        <v>6.7004999999999999</v>
      </c>
      <c r="K489" s="69">
        <f>IF(G489="","",IF(E489="PC 17",G489*4.2,IF(E489="PC 19",G489*5,IF(E489="CB",G489*24,""))))</f>
        <v>37.800000000000004</v>
      </c>
      <c r="L489" s="70" t="s">
        <v>29</v>
      </c>
      <c r="M489" s="70" t="s">
        <v>48</v>
      </c>
      <c r="N489" s="70" t="s">
        <v>60</v>
      </c>
      <c r="O489" s="65">
        <v>0.56388888888888888</v>
      </c>
      <c r="P489" s="65">
        <v>0.6166666666666667</v>
      </c>
      <c r="Q489" s="71">
        <f t="shared" ca="1" si="121"/>
        <v>5.2777777777777812E-2</v>
      </c>
      <c r="R489" s="63"/>
      <c r="S489" s="81"/>
    </row>
    <row r="490" spans="1:20" ht="15" customHeight="1">
      <c r="A490" s="59">
        <v>46253</v>
      </c>
      <c r="B490" s="60">
        <f t="shared" si="122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5</v>
      </c>
      <c r="H490" s="88">
        <f>IFERROR(IF($G490="","",$G490*$S$500/$G$500/Cadastro!$E$33),"")</f>
        <v>25.850694444444446</v>
      </c>
      <c r="I490" s="90">
        <f>IFERROR(IF($D490="","",VLOOKUP($D490,Cadastro!$C$4:$G$7,5,FALSE())),"")</f>
        <v>0.6</v>
      </c>
      <c r="J490" s="91">
        <f t="shared" si="120"/>
        <v>3.7224999999999997</v>
      </c>
      <c r="K490" s="64">
        <f>IF(G490="","",IF(E490="PC 17",G490*4.2,IF(E490="PC 19",G490*5,IF(E490="CB",G490*24,""))))</f>
        <v>21</v>
      </c>
      <c r="L490" s="61" t="s">
        <v>29</v>
      </c>
      <c r="M490" s="61"/>
      <c r="N490" s="61" t="s">
        <v>83</v>
      </c>
      <c r="O490" s="65">
        <v>0.66666666666666663</v>
      </c>
      <c r="P490" s="65">
        <v>0.6743055555555556</v>
      </c>
      <c r="Q490" s="66">
        <f t="shared" ca="1" si="121"/>
        <v>7.6388888888889728E-3</v>
      </c>
      <c r="R490" s="63"/>
      <c r="S490" s="81"/>
    </row>
    <row r="491" spans="1:20" ht="15" customHeight="1">
      <c r="A491" s="18">
        <v>46253</v>
      </c>
      <c r="B491" s="68">
        <f t="shared" si="122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5</v>
      </c>
      <c r="H491" s="88">
        <f>IFERROR(IF($G491="","",$G491*$S$500/$G$500/Cadastro!$E$33),"")</f>
        <v>25.850694444444446</v>
      </c>
      <c r="I491" s="90">
        <f>IFERROR(IF($D491="","",VLOOKUP($D491,Cadastro!$C$4:$G$7,5,FALSE())),"")</f>
        <v>0.6</v>
      </c>
      <c r="J491" s="91">
        <f t="shared" si="120"/>
        <v>3.7224999999999997</v>
      </c>
      <c r="K491" s="69">
        <f>IF(G491="","",IF(E491="PC 17",G491*4.2,IF(E491="PC 19",G491*5,IF(E491="CB",G491*24,""))))</f>
        <v>21</v>
      </c>
      <c r="L491" s="70"/>
      <c r="M491" s="70"/>
      <c r="N491" s="70"/>
      <c r="O491" s="65"/>
      <c r="P491" s="65"/>
      <c r="Q491" s="71" t="str">
        <f t="shared" ca="1" si="121"/>
        <v/>
      </c>
      <c r="R491" s="63"/>
      <c r="S491" s="81"/>
    </row>
    <row r="492" spans="1:20" ht="15" customHeight="1">
      <c r="A492" s="59">
        <v>46253</v>
      </c>
      <c r="B492" s="60">
        <f t="shared" si="122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5</v>
      </c>
      <c r="H492" s="88">
        <f>IFERROR(IF($G492="","",$G492*$S$500/$G$500/Cadastro!$E$33),"")</f>
        <v>25.850694444444446</v>
      </c>
      <c r="I492" s="90">
        <f>IFERROR(IF($D492="","",VLOOKUP($D492,Cadastro!$C$4:$G$7,5,FALSE())),"")</f>
        <v>0.6</v>
      </c>
      <c r="J492" s="91">
        <f t="shared" si="120"/>
        <v>3.7224999999999997</v>
      </c>
      <c r="K492" s="64">
        <f>IF(G492="","",IF(E492="PC 17",G492*4.2,IF(E492="PC 19",G492*5,IF(E492="CB",G492*24,""))))</f>
        <v>25</v>
      </c>
      <c r="L492" s="61"/>
      <c r="M492" s="61"/>
      <c r="N492" s="61"/>
      <c r="O492" s="65"/>
      <c r="P492" s="65"/>
      <c r="Q492" s="66" t="str">
        <f t="shared" ca="1" si="121"/>
        <v/>
      </c>
      <c r="R492" s="63"/>
      <c r="S492" s="81"/>
    </row>
    <row r="493" spans="1:20" ht="15" customHeight="1">
      <c r="A493" s="18">
        <v>46253</v>
      </c>
      <c r="B493" s="68">
        <f t="shared" si="122"/>
        <v>0.54166666666666641</v>
      </c>
      <c r="C493" s="61" t="s">
        <v>54</v>
      </c>
      <c r="D493" s="62" t="s">
        <v>39</v>
      </c>
      <c r="E493" s="124" t="s">
        <v>274</v>
      </c>
      <c r="F493" s="88">
        <f>IFERROR(IF($D493="","",VLOOKUP($D493,Cadastro!$C$4:$E$7,3,FALSE())),"")</f>
        <v>0.24</v>
      </c>
      <c r="G493" s="89">
        <v>6</v>
      </c>
      <c r="H493" s="88">
        <f>IFERROR(IF($G493="","",$G493*$S$500/$G$500/Cadastro!$E$33),"")</f>
        <v>31.020833333333332</v>
      </c>
      <c r="I493" s="90">
        <f>IFERROR(IF($D493="","",VLOOKUP($D493,Cadastro!$C$4:$G$7,5,FALSE())),"")</f>
        <v>0.6</v>
      </c>
      <c r="J493" s="91">
        <f t="shared" si="120"/>
        <v>4.4669999999999996</v>
      </c>
      <c r="K493" s="69">
        <f>IF(G493="","",IF(E494="PC 17",G493*4.2,IF(E494="PC 19",G493*5,IF(E494="CB",G493*24,""))))</f>
        <v>25.200000000000003</v>
      </c>
      <c r="L493" s="70"/>
      <c r="M493" s="70"/>
      <c r="N493" s="70"/>
      <c r="O493" s="65"/>
      <c r="P493" s="65"/>
      <c r="Q493" s="71" t="str">
        <f t="shared" ca="1" si="121"/>
        <v/>
      </c>
      <c r="R493" s="63"/>
      <c r="S493" s="81"/>
    </row>
    <row r="494" spans="1:20" ht="15" customHeight="1">
      <c r="A494" s="59">
        <v>46253</v>
      </c>
      <c r="B494" s="60">
        <f t="shared" si="122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/>
      <c r="H494" s="88" t="str">
        <f>IFERROR(IF($G494="","",$G494*$S$500/$G$500/Cadastro!$E$33),"")</f>
        <v/>
      </c>
      <c r="I494" s="90">
        <f>IFERROR(IF($D494="","",VLOOKUP($D494,Cadastro!$C$4:$G$7,5,FALSE())),"")</f>
        <v>0.6</v>
      </c>
      <c r="J494" s="91" t="str">
        <f t="shared" si="120"/>
        <v/>
      </c>
      <c r="K494" s="64" t="str">
        <f>IF(G494="","",IF(#REF!="PC 17",G494*4.2,IF(#REF!="PC 19",G494*5,IF(#REF!="CB",G494*24,""))))</f>
        <v/>
      </c>
      <c r="L494" s="61"/>
      <c r="M494" s="61"/>
      <c r="N494" s="61"/>
      <c r="O494" s="65"/>
      <c r="P494" s="65"/>
      <c r="Q494" s="66" t="str">
        <f t="shared" ca="1" si="121"/>
        <v/>
      </c>
      <c r="R494" s="63"/>
      <c r="S494" s="81"/>
    </row>
    <row r="495" spans="1:20" ht="15" customHeight="1">
      <c r="A495" s="18">
        <v>46253</v>
      </c>
      <c r="B495" s="68">
        <f t="shared" si="122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3</v>
      </c>
      <c r="H495" s="88">
        <f>IFERROR(IF($G495="","",$G495*$S$500/$G$500/Cadastro!$E$33),"")</f>
        <v>15.510416666666666</v>
      </c>
      <c r="I495" s="90">
        <f>IFERROR(IF($D495="","",VLOOKUP($D495,Cadastro!$C$4:$G$7,5,FALSE())),"")</f>
        <v>0.6</v>
      </c>
      <c r="J495" s="91">
        <f t="shared" si="120"/>
        <v>2.2334999999999998</v>
      </c>
      <c r="K495" s="69">
        <f>IF(G495="","",IF(E495="PC 17",G495*4.2,IF(E495="PC 19",G495*5,IF(E495="CB",G495*24,""))))</f>
        <v>12.600000000000001</v>
      </c>
      <c r="L495" s="70"/>
      <c r="M495" s="70"/>
      <c r="N495" s="70"/>
      <c r="O495" s="65"/>
      <c r="P495" s="65"/>
      <c r="Q495" s="71" t="str">
        <f t="shared" ca="1" si="121"/>
        <v/>
      </c>
      <c r="R495" s="63"/>
      <c r="S495" s="81"/>
    </row>
    <row r="496" spans="1:20" ht="15" customHeight="1">
      <c r="A496" s="59">
        <v>46253</v>
      </c>
      <c r="B496" s="60">
        <f t="shared" si="122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67.211805555555557</v>
      </c>
      <c r="I496" s="90">
        <f>IFERROR(IF($D496="","",VLOOKUP($D496,Cadastro!$C$4:$G$7,5,FALSE())),"")</f>
        <v>0.6</v>
      </c>
      <c r="J496" s="91">
        <f t="shared" si="120"/>
        <v>9.6784999999999979</v>
      </c>
      <c r="K496" s="64">
        <f>IF(G496="","",IF(E496="PC 17",G496*4.2,IF(E496="PC 19",G496*5,IF(E496="CB",G496*24,""))))</f>
        <v>54.6</v>
      </c>
      <c r="L496" s="61"/>
      <c r="M496" s="61"/>
      <c r="N496" s="61"/>
      <c r="O496" s="65"/>
      <c r="P496" s="65"/>
      <c r="Q496" s="66" t="str">
        <f t="shared" ca="1" si="121"/>
        <v/>
      </c>
      <c r="R496" s="63"/>
      <c r="S496" s="81"/>
    </row>
    <row r="497" spans="1:20" ht="15" customHeight="1">
      <c r="A497" s="18">
        <v>46253</v>
      </c>
      <c r="B497" s="68">
        <f t="shared" si="122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4</v>
      </c>
      <c r="H497" s="88">
        <f>IFERROR(IF($G497="","",$G497*$S$500/$G$500/Cadastro!$E$33),"")</f>
        <v>20.680555555555554</v>
      </c>
      <c r="I497" s="90">
        <f>IFERROR(IF($D497="","",VLOOKUP($D497,Cadastro!$C$4:$G$7,5,FALSE())),"")</f>
        <v>0.6</v>
      </c>
      <c r="J497" s="91">
        <f t="shared" si="120"/>
        <v>2.9779999999999998</v>
      </c>
      <c r="K497" s="69">
        <f>IF(G497="","",IF(E497="PC 17",G497*4.2,IF(E497="PC 19",G497*5,IF(E497="CB",G497*24,""))))</f>
        <v>16.8</v>
      </c>
      <c r="L497" s="70"/>
      <c r="M497" s="70"/>
      <c r="N497" s="70"/>
      <c r="O497" s="65"/>
      <c r="P497" s="65"/>
      <c r="Q497" s="71" t="str">
        <f t="shared" ca="1" si="121"/>
        <v/>
      </c>
      <c r="R497" s="63" t="s">
        <v>347</v>
      </c>
      <c r="S497" s="81"/>
    </row>
    <row r="498" spans="1:20" ht="15" customHeight="1">
      <c r="A498" s="59">
        <v>46253</v>
      </c>
      <c r="B498" s="60">
        <f t="shared" si="122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12</v>
      </c>
      <c r="H498" s="88">
        <f>IFERROR(IF($G498="","",$G498*$S$500/$G$500/Cadastro!$E$33),"")</f>
        <v>62.041666666666664</v>
      </c>
      <c r="I498" s="90">
        <f>IFERROR(IF($D498="","",VLOOKUP($D498,Cadastro!$C$4:$G$7,5,FALSE())),"")</f>
        <v>0.6</v>
      </c>
      <c r="J498" s="91">
        <f t="shared" si="120"/>
        <v>8.9339999999999993</v>
      </c>
      <c r="K498" s="64">
        <f>IF(G498="","",IF(E498="PC 17",G498*4.2,IF(E498="PC 19",G498*5,IF(E498="CB",G498*24,""))))</f>
        <v>50.400000000000006</v>
      </c>
      <c r="L498" s="61"/>
      <c r="M498" s="61"/>
      <c r="N498" s="61"/>
      <c r="O498" s="65"/>
      <c r="P498" s="65"/>
      <c r="Q498" s="66" t="str">
        <f t="shared" ca="1" si="121"/>
        <v/>
      </c>
      <c r="R498" s="63"/>
      <c r="S498" s="81"/>
    </row>
    <row r="499" spans="1:20" ht="15" customHeight="1">
      <c r="A499" s="18">
        <v>46253</v>
      </c>
      <c r="B499" s="68">
        <f t="shared" si="122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7</v>
      </c>
      <c r="H499" s="92">
        <f>IFERROR(IF($G499="","",$G499*$S$500/$G$500/Cadastro!$E$33),"")</f>
        <v>36.190972222222221</v>
      </c>
      <c r="I499" s="93">
        <f>IFERROR(IF($D499="","",VLOOKUP($D499,Cadastro!$C$4:$G$7,5,FALSE())),"")</f>
        <v>0.6</v>
      </c>
      <c r="J499" s="94">
        <f t="shared" si="120"/>
        <v>5.2115</v>
      </c>
      <c r="K499" s="69">
        <f>IF(G499="","",IF(E499="PC 17",G499*4.2,IF(E499="PC 19",G499*5,IF(E499="CB",G499*24,""))))</f>
        <v>29.400000000000002</v>
      </c>
      <c r="L499" s="70"/>
      <c r="M499" s="70"/>
      <c r="N499" s="70"/>
      <c r="O499" s="65"/>
      <c r="P499" s="65"/>
      <c r="Q499" s="71" t="str">
        <f t="shared" ca="1" si="121"/>
        <v/>
      </c>
      <c r="R499" s="63"/>
      <c r="S499" s="81"/>
    </row>
    <row r="500" spans="1:20" ht="15.75" customHeight="1">
      <c r="A500" s="156" t="s">
        <v>260</v>
      </c>
      <c r="B500" s="156"/>
      <c r="C500" s="156"/>
      <c r="D500" s="156"/>
      <c r="E500" s="156"/>
      <c r="F500" s="95"/>
      <c r="G500" s="96">
        <f>SUM(G488:G499)</f>
        <v>72</v>
      </c>
      <c r="H500" s="95">
        <f>IFERROR(SUM(H488:H499),"")</f>
        <v>372.25</v>
      </c>
      <c r="I500" s="97"/>
      <c r="J500" s="98">
        <f>IFERROR(SUM(J488:J499),"")</f>
        <v>53.603999999999992</v>
      </c>
      <c r="K500" s="2">
        <f>SUM(K488:K499)</f>
        <v>306.39999999999998</v>
      </c>
      <c r="L500" s="72"/>
      <c r="M500" s="72"/>
      <c r="N500" s="72"/>
      <c r="O500" s="72"/>
      <c r="P500" s="72"/>
      <c r="Q500" s="73">
        <f ca="1">IFERROR(SUM(Q488:Q499),"")</f>
        <v>9.5833333333333437E-2</v>
      </c>
      <c r="R500" s="2" t="s">
        <v>261</v>
      </c>
      <c r="S500" s="74">
        <v>372250</v>
      </c>
      <c r="T500" s="99">
        <f>IFERROR(J500,"")</f>
        <v>53.603999999999992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274</v>
      </c>
      <c r="F501" s="101">
        <f>IFERROR(IF($D501="","",VLOOKUP($D501,Cadastro!$C$4:$E$7,3,FALSE())),"")</f>
        <v>0.24</v>
      </c>
      <c r="G501" s="89">
        <v>7</v>
      </c>
      <c r="H501" s="101">
        <f>IFERROR(IF($G501="","",$G501*$S$513/$G$513/Cadastro!$E$33),"")</f>
        <v>29.761666666666667</v>
      </c>
      <c r="I501" s="102">
        <f>IFERROR(IF($D501="","",VLOOKUP($D501,Cadastro!$C$4:$G$7,5,FALSE())),"")</f>
        <v>0.6</v>
      </c>
      <c r="J501" s="103">
        <f t="shared" ref="J501:J512" si="123">IFERROR(IF($H501="","",$H501*$F501*$I501),"")</f>
        <v>4.2856799999999993</v>
      </c>
      <c r="K501" s="69">
        <f t="shared" ref="K501:K512" si="124">IF(G501="","",IF(E501="PC 17",G501*4.2,IF(E501="PC 19",G501*5,IF(E501="CB",G501*24,""))))</f>
        <v>29.400000000000002</v>
      </c>
      <c r="L501" s="70" t="s">
        <v>29</v>
      </c>
      <c r="M501" s="70" t="s">
        <v>133</v>
      </c>
      <c r="N501" s="70" t="s">
        <v>123</v>
      </c>
      <c r="O501" s="65">
        <v>0.96111111111111114</v>
      </c>
      <c r="P501" s="65">
        <v>0.98263888888888884</v>
      </c>
      <c r="Q501" s="71">
        <f t="shared" ref="Q501:Q512" ca="1" si="125">IFERROR(IF(O501="","",IF(P501="",MOD(NOW()-O501,1),IF(P501&gt;=O501,P501-O501,P501+1-O501))),"")</f>
        <v>2.1527777777777701E-2</v>
      </c>
      <c r="R501" s="63" t="s">
        <v>363</v>
      </c>
      <c r="S501" s="81"/>
    </row>
    <row r="502" spans="1:20" ht="15" customHeight="1">
      <c r="A502" s="59">
        <v>46253</v>
      </c>
      <c r="B502" s="60">
        <f t="shared" ref="B502:B512" si="126">B501+TIME(0,60,0)</f>
        <v>0.87499999999999967</v>
      </c>
      <c r="C502" s="70" t="s">
        <v>38</v>
      </c>
      <c r="D502" s="75" t="s">
        <v>39</v>
      </c>
      <c r="E502" s="100" t="s">
        <v>274</v>
      </c>
      <c r="F502" s="88">
        <f>IFERROR(IF($D502="","",VLOOKUP($D502,Cadastro!$C$4:$E$7,3,FALSE())),"")</f>
        <v>0.24</v>
      </c>
      <c r="G502" s="89">
        <v>9</v>
      </c>
      <c r="H502" s="88">
        <f>IFERROR(IF($G502="","",$G502*$S$513/$G$513/Cadastro!$E$33),"")</f>
        <v>38.265000000000001</v>
      </c>
      <c r="I502" s="90">
        <f>IFERROR(IF($D502="","",VLOOKUP($D502,Cadastro!$C$4:$G$7,5,FALSE())),"")</f>
        <v>0.6</v>
      </c>
      <c r="J502" s="91">
        <f t="shared" si="123"/>
        <v>5.5101599999999999</v>
      </c>
      <c r="K502" s="64">
        <f t="shared" si="124"/>
        <v>37.800000000000004</v>
      </c>
      <c r="L502" s="61" t="s">
        <v>29</v>
      </c>
      <c r="M502" s="61" t="s">
        <v>56</v>
      </c>
      <c r="N502" s="61" t="s">
        <v>60</v>
      </c>
      <c r="O502" s="65">
        <v>0.98888888888888893</v>
      </c>
      <c r="P502" s="65">
        <v>0.99652777777777779</v>
      </c>
      <c r="Q502" s="66">
        <f t="shared" ca="1" si="125"/>
        <v>7.6388888888888618E-3</v>
      </c>
      <c r="R502" s="124"/>
      <c r="S502" s="81"/>
    </row>
    <row r="503" spans="1:20" ht="15" customHeight="1">
      <c r="A503" s="18">
        <v>46253</v>
      </c>
      <c r="B503" s="68">
        <f t="shared" si="126"/>
        <v>0.9166666666666663</v>
      </c>
      <c r="C503" s="70" t="s">
        <v>38</v>
      </c>
      <c r="D503" s="75" t="s">
        <v>39</v>
      </c>
      <c r="E503" s="100" t="s">
        <v>274</v>
      </c>
      <c r="F503" s="88">
        <f>IFERROR(IF($D503="","",VLOOKUP($D503,Cadastro!$C$4:$E$7,3,FALSE())),"")</f>
        <v>0.24</v>
      </c>
      <c r="G503" s="89">
        <v>7</v>
      </c>
      <c r="H503" s="88">
        <f>IFERROR(IF($G503="","",$G503*$S$513/$G$513/Cadastro!$E$33),"")</f>
        <v>29.761666666666667</v>
      </c>
      <c r="I503" s="90">
        <f>IFERROR(IF($D503="","",VLOOKUP($D503,Cadastro!$C$4:$G$7,5,FALSE())),"")</f>
        <v>0.6</v>
      </c>
      <c r="J503" s="91">
        <f t="shared" si="123"/>
        <v>4.2856799999999993</v>
      </c>
      <c r="K503" s="69">
        <f t="shared" si="124"/>
        <v>29.400000000000002</v>
      </c>
      <c r="L503" s="70" t="s">
        <v>29</v>
      </c>
      <c r="M503" s="61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5"/>
        <v>2.7083333333333331E-2</v>
      </c>
      <c r="R503" s="63"/>
      <c r="S503" s="81"/>
    </row>
    <row r="504" spans="1:20" ht="15" customHeight="1">
      <c r="A504" s="59">
        <v>46253</v>
      </c>
      <c r="B504" s="60">
        <f t="shared" si="126"/>
        <v>0.95833333333333293</v>
      </c>
      <c r="C504" s="70" t="s">
        <v>38</v>
      </c>
      <c r="D504" s="75" t="s">
        <v>39</v>
      </c>
      <c r="E504" s="100" t="s">
        <v>274</v>
      </c>
      <c r="F504" s="88">
        <f>IFERROR(IF($D504="","",VLOOKUP($D504,Cadastro!$C$4:$E$7,3,FALSE())),"")</f>
        <v>0.24</v>
      </c>
      <c r="G504" s="89">
        <v>6</v>
      </c>
      <c r="H504" s="88">
        <f>IFERROR(IF($G504="","",$G504*$S$513/$G$513/Cadastro!$E$33),"")</f>
        <v>25.51</v>
      </c>
      <c r="I504" s="90">
        <f>IFERROR(IF($D504="","",VLOOKUP($D504,Cadastro!$C$4:$G$7,5,FALSE())),"")</f>
        <v>0.6</v>
      </c>
      <c r="J504" s="91">
        <f t="shared" si="123"/>
        <v>3.6734399999999998</v>
      </c>
      <c r="K504" s="64">
        <f t="shared" si="124"/>
        <v>25.200000000000003</v>
      </c>
      <c r="L504" s="61" t="s">
        <v>29</v>
      </c>
      <c r="M504" s="124"/>
      <c r="N504" s="61" t="s">
        <v>210</v>
      </c>
      <c r="O504" s="65">
        <v>4.8611111111111112E-2</v>
      </c>
      <c r="P504" s="65">
        <v>6.25E-2</v>
      </c>
      <c r="Q504" s="66">
        <f t="shared" ca="1" si="125"/>
        <v>1.3888888888888888E-2</v>
      </c>
      <c r="R504" s="63"/>
      <c r="S504" s="81"/>
    </row>
    <row r="505" spans="1:20" ht="15" customHeight="1">
      <c r="A505" s="18">
        <v>46253</v>
      </c>
      <c r="B505" s="68">
        <f t="shared" si="126"/>
        <v>0.99999999999999956</v>
      </c>
      <c r="C505" s="70" t="s">
        <v>38</v>
      </c>
      <c r="D505" s="75" t="s">
        <v>39</v>
      </c>
      <c r="E505" s="100" t="s">
        <v>274</v>
      </c>
      <c r="F505" s="88">
        <f>IFERROR(IF($D505="","",VLOOKUP($D505,Cadastro!$C$4:$E$7,3,FALSE())),"")</f>
        <v>0.24</v>
      </c>
      <c r="G505" s="89">
        <v>6</v>
      </c>
      <c r="H505" s="88">
        <f>IFERROR(IF($G505="","",$G505*$S$513/$G$513/Cadastro!$E$33),"")</f>
        <v>25.51</v>
      </c>
      <c r="I505" s="90">
        <f>IFERROR(IF($D505="","",VLOOKUP($D505,Cadastro!$C$4:$G$7,5,FALSE())),"")</f>
        <v>0.6</v>
      </c>
      <c r="J505" s="91">
        <f t="shared" si="123"/>
        <v>3.6734399999999998</v>
      </c>
      <c r="K505" s="69">
        <f t="shared" si="124"/>
        <v>25.200000000000003</v>
      </c>
      <c r="L505" s="70" t="s">
        <v>27</v>
      </c>
      <c r="M505" s="70" t="s">
        <v>56</v>
      </c>
      <c r="N505" s="70" t="s">
        <v>167</v>
      </c>
      <c r="O505" s="65">
        <v>0.13055555555555556</v>
      </c>
      <c r="P505" s="65">
        <v>0.16319444444444445</v>
      </c>
      <c r="Q505" s="71">
        <f t="shared" ca="1" si="125"/>
        <v>3.2638888888888884E-2</v>
      </c>
      <c r="R505" s="63" t="s">
        <v>364</v>
      </c>
      <c r="S505" s="81"/>
    </row>
    <row r="506" spans="1:20" ht="15" customHeight="1">
      <c r="A506" s="59">
        <v>46253</v>
      </c>
      <c r="B506" s="60">
        <f t="shared" si="126"/>
        <v>1.0416666666666663</v>
      </c>
      <c r="C506" s="70" t="s">
        <v>38</v>
      </c>
      <c r="D506" s="75" t="s">
        <v>39</v>
      </c>
      <c r="E506" s="100" t="s">
        <v>274</v>
      </c>
      <c r="F506" s="88">
        <f>IFERROR(IF($D506="","",VLOOKUP($D506,Cadastro!$C$4:$E$7,3,FALSE())),"")</f>
        <v>0.24</v>
      </c>
      <c r="G506" s="89">
        <v>0</v>
      </c>
      <c r="H506" s="88">
        <f>IFERROR(IF($G506="","",$G506*$S$513/$G$513/Cadastro!$E$33),"")</f>
        <v>0</v>
      </c>
      <c r="I506" s="90">
        <f>IFERROR(IF($D506="","",VLOOKUP($D506,Cadastro!$C$4:$G$7,5,FALSE())),"")</f>
        <v>0.6</v>
      </c>
      <c r="J506" s="91">
        <f t="shared" si="123"/>
        <v>0</v>
      </c>
      <c r="K506" s="64">
        <f t="shared" si="124"/>
        <v>0</v>
      </c>
      <c r="L506" s="61" t="s">
        <v>26</v>
      </c>
      <c r="M506" s="61"/>
      <c r="N506" s="61" t="s">
        <v>34</v>
      </c>
      <c r="O506" s="65">
        <v>0.25069444444444444</v>
      </c>
      <c r="P506" s="65">
        <v>0.26597222222222222</v>
      </c>
      <c r="Q506" s="66">
        <f t="shared" ca="1" si="125"/>
        <v>1.5277777777777779E-2</v>
      </c>
      <c r="R506" s="63"/>
      <c r="S506" s="81"/>
    </row>
    <row r="507" spans="1:20" ht="15" customHeight="1">
      <c r="A507" s="18">
        <v>46253</v>
      </c>
      <c r="B507" s="68">
        <f t="shared" si="126"/>
        <v>1.083333333333333</v>
      </c>
      <c r="C507" s="70" t="s">
        <v>38</v>
      </c>
      <c r="D507" s="75" t="s">
        <v>39</v>
      </c>
      <c r="E507" s="100" t="s">
        <v>274</v>
      </c>
      <c r="F507" s="88">
        <f>IFERROR(IF($D507="","",VLOOKUP($D507,Cadastro!$C$4:$E$7,3,FALSE())),"")</f>
        <v>0.24</v>
      </c>
      <c r="G507" s="89">
        <v>12</v>
      </c>
      <c r="H507" s="88">
        <f>IFERROR(IF($G507="","",$G507*$S$513/$G$513/Cadastro!$E$33),"")</f>
        <v>51.02</v>
      </c>
      <c r="I507" s="90">
        <f>IFERROR(IF($D507="","",VLOOKUP($D507,Cadastro!$C$4:$G$7,5,FALSE())),"")</f>
        <v>0.6</v>
      </c>
      <c r="J507" s="91">
        <f t="shared" si="123"/>
        <v>7.3468799999999996</v>
      </c>
      <c r="K507" s="69">
        <f t="shared" si="124"/>
        <v>50.400000000000006</v>
      </c>
      <c r="L507" s="70"/>
      <c r="M507" s="70"/>
      <c r="N507" s="70"/>
      <c r="O507" s="65"/>
      <c r="P507" s="65"/>
      <c r="Q507" s="71" t="str">
        <f t="shared" ca="1" si="125"/>
        <v/>
      </c>
      <c r="R507" s="63"/>
      <c r="S507" s="81"/>
    </row>
    <row r="508" spans="1:20" ht="15" customHeight="1">
      <c r="A508" s="59">
        <v>46253</v>
      </c>
      <c r="B508" s="60">
        <f t="shared" si="126"/>
        <v>1.1249999999999998</v>
      </c>
      <c r="C508" s="70" t="s">
        <v>38</v>
      </c>
      <c r="D508" s="75" t="s">
        <v>31</v>
      </c>
      <c r="E508" s="100" t="s">
        <v>274</v>
      </c>
      <c r="F508" s="88">
        <f>IFERROR(IF($D508="","",VLOOKUP($D508,Cadastro!$C$4:$E$7,3,FALSE())),"")</f>
        <v>0.35</v>
      </c>
      <c r="G508" s="89">
        <v>5</v>
      </c>
      <c r="H508" s="88">
        <f>IFERROR(IF($G508="","",$G508*$S$513/$G$513/Cadastro!$E$33),"")</f>
        <v>21.258333333333333</v>
      </c>
      <c r="I508" s="90">
        <f>IFERROR(IF($D508="","",VLOOKUP($D508,Cadastro!$C$4:$G$7,5,FALSE())),"")</f>
        <v>0.6</v>
      </c>
      <c r="J508" s="91">
        <f t="shared" si="123"/>
        <v>4.4642499999999989</v>
      </c>
      <c r="K508" s="64">
        <f t="shared" si="124"/>
        <v>21</v>
      </c>
      <c r="L508" s="61"/>
      <c r="M508" s="61"/>
      <c r="N508" s="61"/>
      <c r="O508" s="65"/>
      <c r="P508" s="65"/>
      <c r="Q508" s="66" t="str">
        <f t="shared" ca="1" si="125"/>
        <v/>
      </c>
      <c r="R508" s="63"/>
      <c r="S508" s="81"/>
    </row>
    <row r="509" spans="1:20" ht="15" customHeight="1">
      <c r="A509" s="18">
        <v>46253</v>
      </c>
      <c r="B509" s="68">
        <f t="shared" si="126"/>
        <v>1.1666666666666665</v>
      </c>
      <c r="C509" s="70" t="s">
        <v>38</v>
      </c>
      <c r="D509" s="75" t="s">
        <v>31</v>
      </c>
      <c r="E509" s="100" t="s">
        <v>274</v>
      </c>
      <c r="F509" s="88">
        <f>IFERROR(IF($D509="","",VLOOKUP($D509,Cadastro!$C$4:$E$7,3,FALSE())),"")</f>
        <v>0.35</v>
      </c>
      <c r="G509" s="89">
        <v>10</v>
      </c>
      <c r="H509" s="88">
        <f>IFERROR(IF($G509="","",$G509*$S$513/$G$513/Cadastro!$E$33),"")</f>
        <v>42.516666666666666</v>
      </c>
      <c r="I509" s="90">
        <f>IFERROR(IF($D509="","",VLOOKUP($D509,Cadastro!$C$4:$G$7,5,FALSE())),"")</f>
        <v>0.6</v>
      </c>
      <c r="J509" s="91">
        <f t="shared" si="123"/>
        <v>8.9284999999999979</v>
      </c>
      <c r="K509" s="69">
        <f t="shared" si="124"/>
        <v>42</v>
      </c>
      <c r="L509" s="70"/>
      <c r="M509" s="70"/>
      <c r="N509" s="70"/>
      <c r="O509" s="65"/>
      <c r="P509" s="65"/>
      <c r="Q509" s="71" t="str">
        <f t="shared" ca="1" si="125"/>
        <v/>
      </c>
      <c r="R509" s="63"/>
      <c r="S509" s="81"/>
    </row>
    <row r="510" spans="1:20" ht="15" customHeight="1">
      <c r="A510" s="59">
        <v>46253</v>
      </c>
      <c r="B510" s="60">
        <f t="shared" si="126"/>
        <v>1.2083333333333333</v>
      </c>
      <c r="C510" s="70" t="s">
        <v>38</v>
      </c>
      <c r="D510" s="75" t="s">
        <v>31</v>
      </c>
      <c r="E510" s="100" t="s">
        <v>274</v>
      </c>
      <c r="F510" s="88">
        <f>IFERROR(IF($D510="","",VLOOKUP($D510,Cadastro!$C$4:$E$7,3,FALSE())),"")</f>
        <v>0.35</v>
      </c>
      <c r="G510" s="89">
        <v>10</v>
      </c>
      <c r="H510" s="88">
        <f>IFERROR(IF($G510="","",$G510*$S$513/$G$513/Cadastro!$E$33),"")</f>
        <v>42.516666666666666</v>
      </c>
      <c r="I510" s="90">
        <f>IFERROR(IF($D510="","",VLOOKUP($D510,Cadastro!$C$4:$G$7,5,FALSE())),"")</f>
        <v>0.6</v>
      </c>
      <c r="J510" s="91">
        <f t="shared" si="123"/>
        <v>8.9284999999999979</v>
      </c>
      <c r="K510" s="64">
        <f t="shared" si="124"/>
        <v>42</v>
      </c>
      <c r="L510" s="61"/>
      <c r="M510" s="61"/>
      <c r="N510" s="61"/>
      <c r="O510" s="65"/>
      <c r="P510" s="65"/>
      <c r="Q510" s="66" t="str">
        <f t="shared" ca="1" si="125"/>
        <v/>
      </c>
      <c r="R510" s="63"/>
      <c r="S510" s="81"/>
    </row>
    <row r="511" spans="1:20" ht="15" customHeight="1">
      <c r="A511" s="18">
        <v>46253</v>
      </c>
      <c r="B511" s="68">
        <f t="shared" si="126"/>
        <v>1.25</v>
      </c>
      <c r="C511" s="70" t="s">
        <v>38</v>
      </c>
      <c r="D511" s="75" t="s">
        <v>31</v>
      </c>
      <c r="E511" s="100" t="s">
        <v>274</v>
      </c>
      <c r="F511" s="88">
        <f>IFERROR(IF($D511="","",VLOOKUP($D511,Cadastro!$C$4:$E$7,3,FALSE())),"")</f>
        <v>0.35</v>
      </c>
      <c r="G511" s="89">
        <v>12</v>
      </c>
      <c r="H511" s="88">
        <f>IFERROR(IF($G511="","",$G511*$S$513/$G$513/Cadastro!$E$33),"")</f>
        <v>51.02</v>
      </c>
      <c r="I511" s="90">
        <f>IFERROR(IF($D511="","",VLOOKUP($D511,Cadastro!$C$4:$G$7,5,FALSE())),"")</f>
        <v>0.6</v>
      </c>
      <c r="J511" s="91">
        <f t="shared" si="123"/>
        <v>10.7142</v>
      </c>
      <c r="K511" s="69">
        <f t="shared" si="124"/>
        <v>50.400000000000006</v>
      </c>
      <c r="L511" s="70"/>
      <c r="M511" s="70"/>
      <c r="N511" s="70"/>
      <c r="O511" s="65"/>
      <c r="P511" s="65"/>
      <c r="Q511" s="71" t="str">
        <f t="shared" ca="1" si="125"/>
        <v/>
      </c>
      <c r="R511" s="63"/>
      <c r="S511" s="81"/>
    </row>
    <row r="512" spans="1:20" ht="15" customHeight="1">
      <c r="A512" s="59">
        <v>46253</v>
      </c>
      <c r="B512" s="60">
        <f t="shared" si="126"/>
        <v>1.2916666666666667</v>
      </c>
      <c r="C512" s="70" t="s">
        <v>38</v>
      </c>
      <c r="D512" s="75" t="s">
        <v>31</v>
      </c>
      <c r="E512" s="100" t="s">
        <v>274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3"/>
        <v>0</v>
      </c>
      <c r="K512" s="64">
        <f t="shared" si="124"/>
        <v>0</v>
      </c>
      <c r="L512" s="61"/>
      <c r="M512" s="61"/>
      <c r="N512" s="61"/>
      <c r="O512" s="65"/>
      <c r="P512" s="65"/>
      <c r="Q512" s="66" t="str">
        <f t="shared" ca="1" si="125"/>
        <v/>
      </c>
      <c r="R512" s="63"/>
      <c r="S512" s="81"/>
    </row>
    <row r="513" spans="1:20" ht="15.75" customHeight="1">
      <c r="A513" s="156" t="s">
        <v>263</v>
      </c>
      <c r="B513" s="156"/>
      <c r="C513" s="156"/>
      <c r="D513" s="156"/>
      <c r="E513" s="156"/>
      <c r="F513" s="105"/>
      <c r="G513" s="96">
        <f>SUM(G501:G512)</f>
        <v>84</v>
      </c>
      <c r="H513" s="105">
        <f>IFERROR(SUM(H501:H512),"")</f>
        <v>357.14</v>
      </c>
      <c r="I513" s="106"/>
      <c r="J513" s="107">
        <f>IFERROR(SUM(J501:J512),"")</f>
        <v>61.810729999999992</v>
      </c>
      <c r="K513" s="2">
        <f>SUM(K501:K512)</f>
        <v>352.79999999999995</v>
      </c>
      <c r="L513" s="72"/>
      <c r="M513" s="72"/>
      <c r="N513" s="72"/>
      <c r="O513" s="72"/>
      <c r="P513" s="72"/>
      <c r="Q513" s="73">
        <f ca="1">IFERROR(SUM(Q501:Q512),"")</f>
        <v>0.11805555555555544</v>
      </c>
      <c r="R513" s="2" t="s">
        <v>261</v>
      </c>
      <c r="S513" s="74">
        <v>357140</v>
      </c>
      <c r="T513" s="99">
        <f>IFERROR(J513,"")</f>
        <v>61.810729999999992</v>
      </c>
    </row>
    <row r="514" spans="1:20" ht="18" customHeight="1">
      <c r="A514" s="157" t="s">
        <v>249</v>
      </c>
      <c r="B514" s="157"/>
      <c r="C514" s="157"/>
      <c r="D514" s="157"/>
      <c r="E514" s="157"/>
      <c r="F514" s="108"/>
      <c r="G514" s="109">
        <f>G500+G513</f>
        <v>156</v>
      </c>
      <c r="H514" s="108">
        <f>IFERROR(H500+H513,"")</f>
        <v>729.39</v>
      </c>
      <c r="I514" s="110"/>
      <c r="J514" s="111">
        <f>IFERROR(J500+J513,"")</f>
        <v>115.41472999999999</v>
      </c>
      <c r="K514" s="1">
        <f>K500+K513</f>
        <v>659.19999999999993</v>
      </c>
      <c r="L514" s="76"/>
      <c r="M514" s="76"/>
      <c r="N514" s="76"/>
      <c r="O514" s="76"/>
      <c r="P514" s="76"/>
      <c r="Q514" s="77">
        <f ca="1">IFERROR(Q500+Q513,"")</f>
        <v>0.21388888888888888</v>
      </c>
      <c r="R514" s="1" t="s">
        <v>264</v>
      </c>
      <c r="S514" s="82">
        <f>IFERROR(S500+S513,"")</f>
        <v>729390</v>
      </c>
      <c r="T514" s="118">
        <f>IFERROR(J514,"")</f>
        <v>115.41472999999999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274</v>
      </c>
      <c r="F515" s="101">
        <f>IFERROR(IF($D515="","",VLOOKUP($D515,Cadastro!$C$4:$E$7,3,FALSE())),"")</f>
        <v>0.35</v>
      </c>
      <c r="G515" s="89">
        <v>6</v>
      </c>
      <c r="H515" s="101">
        <f>IFERROR(IF($G515="","",$G515*$S$527/$G$527/Cadastro!$E$33),"")</f>
        <v>30.633506493506495</v>
      </c>
      <c r="I515" s="102">
        <f>IFERROR(IF($D515="","",VLOOKUP($D515,Cadastro!$C$4:$G$7,5,FALSE())),"")</f>
        <v>0.6</v>
      </c>
      <c r="J515" s="103">
        <f t="shared" ref="J515:J526" si="127">IFERROR(IF($H515="","",$H515*$F515*$I515),"")</f>
        <v>6.4330363636363641</v>
      </c>
      <c r="K515" s="155">
        <f>IF(G515="","",IF(E515="PC 17",G515*4.2,IF(E515="PC 19",G515*5,IF(E515="CB",G515*24,""))))</f>
        <v>25.200000000000003</v>
      </c>
      <c r="L515" s="70" t="s">
        <v>29</v>
      </c>
      <c r="M515" s="70"/>
      <c r="N515" s="70" t="s">
        <v>83</v>
      </c>
      <c r="O515" s="65">
        <v>0.31666666666666665</v>
      </c>
      <c r="P515" s="65">
        <v>0.32916666666666666</v>
      </c>
      <c r="Q515" s="71">
        <f t="shared" ref="Q515:Q526" ca="1" si="128">IFERROR(IF(O515="","",IF(P515="",MOD(NOW()-O515,1),IF(P515&gt;=O515,P515-O515,P515+1-O515))),"")</f>
        <v>1.2500000000000011E-2</v>
      </c>
      <c r="R515" s="63"/>
      <c r="S515" s="81"/>
    </row>
    <row r="516" spans="1:20" ht="15" customHeight="1">
      <c r="A516" s="59">
        <v>46254</v>
      </c>
      <c r="B516" s="60">
        <f t="shared" ref="B516:B526" si="129">B515+TIME(0,60,0)</f>
        <v>0.37499999999999967</v>
      </c>
      <c r="C516" s="70" t="s">
        <v>54</v>
      </c>
      <c r="D516" s="75" t="s">
        <v>31</v>
      </c>
      <c r="E516" s="100" t="s">
        <v>274</v>
      </c>
      <c r="F516" s="88">
        <f>IFERROR(IF($D516="","",VLOOKUP($D516,Cadastro!$C$4:$E$7,3,FALSE())),"")</f>
        <v>0.35</v>
      </c>
      <c r="G516" s="89">
        <v>7</v>
      </c>
      <c r="H516" s="88">
        <f>IFERROR(IF($G516="","",$G516*$S$527/$G$527/Cadastro!$E$33),"")</f>
        <v>35.739090909090912</v>
      </c>
      <c r="I516" s="90">
        <f>IFERROR(IF($D516="","",VLOOKUP($D516,Cadastro!$C$4:$G$7,5,FALSE())),"")</f>
        <v>0.6</v>
      </c>
      <c r="J516" s="91">
        <f t="shared" si="127"/>
        <v>7.5052090909090907</v>
      </c>
      <c r="K516" s="64">
        <f t="shared" ref="K515:K526" si="130">IF(G516="","",IF(E516="PC 17",G516*4.2,IF(E516="PC 19",G516*5,IF(E516="CB",G516*24,""))))</f>
        <v>29.400000000000002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28"/>
        <v>4.8611111111110938E-3</v>
      </c>
      <c r="R516" s="63"/>
      <c r="S516" s="81"/>
    </row>
    <row r="517" spans="1:20" ht="15" customHeight="1">
      <c r="A517" s="18">
        <v>46254</v>
      </c>
      <c r="B517" s="68">
        <f t="shared" si="129"/>
        <v>0.41666666666666635</v>
      </c>
      <c r="C517" s="70" t="s">
        <v>54</v>
      </c>
      <c r="D517" s="75" t="s">
        <v>31</v>
      </c>
      <c r="E517" s="100" t="s">
        <v>274</v>
      </c>
      <c r="F517" s="88">
        <f>IFERROR(IF($D517="","",VLOOKUP($D517,Cadastro!$C$4:$E$7,3,FALSE())),"")</f>
        <v>0.35</v>
      </c>
      <c r="G517" s="89">
        <v>11</v>
      </c>
      <c r="H517" s="88">
        <f>IFERROR(IF($G517="","",$G517*$S$527/$G$527/Cadastro!$E$33),"")</f>
        <v>56.161428571428573</v>
      </c>
      <c r="I517" s="90">
        <f>IFERROR(IF($D517="","",VLOOKUP($D517,Cadastro!$C$4:$G$7,5,FALSE())),"")</f>
        <v>0.6</v>
      </c>
      <c r="J517" s="91">
        <f t="shared" si="127"/>
        <v>11.793899999999999</v>
      </c>
      <c r="K517" s="69">
        <f t="shared" si="130"/>
        <v>46.2</v>
      </c>
      <c r="L517" s="70" t="s">
        <v>28</v>
      </c>
      <c r="M517" s="70" t="s">
        <v>56</v>
      </c>
      <c r="N517" s="70" t="s">
        <v>36</v>
      </c>
      <c r="O517" s="65">
        <v>0.59097222222222223</v>
      </c>
      <c r="P517" s="65">
        <v>0.63263888888888886</v>
      </c>
      <c r="Q517" s="71">
        <f t="shared" ca="1" si="128"/>
        <v>4.166666666666663E-2</v>
      </c>
      <c r="R517" s="63" t="s">
        <v>365</v>
      </c>
      <c r="S517" s="81"/>
    </row>
    <row r="518" spans="1:20" ht="15" customHeight="1">
      <c r="A518" s="59">
        <v>46254</v>
      </c>
      <c r="B518" s="60">
        <f t="shared" si="129"/>
        <v>0.45833333333333304</v>
      </c>
      <c r="C518" s="70" t="s">
        <v>54</v>
      </c>
      <c r="D518" s="75" t="s">
        <v>31</v>
      </c>
      <c r="E518" s="100" t="s">
        <v>274</v>
      </c>
      <c r="F518" s="88">
        <f>IFERROR(IF($D518="","",VLOOKUP($D518,Cadastro!$C$4:$E$7,3,FALSE())),"")</f>
        <v>0.35</v>
      </c>
      <c r="G518" s="89">
        <v>4</v>
      </c>
      <c r="H518" s="88">
        <f>IFERROR(IF($G518="","",$G518*$S$527/$G$527/Cadastro!$E$33),"")</f>
        <v>20.422337662337661</v>
      </c>
      <c r="I518" s="90">
        <f>IFERROR(IF($D518="","",VLOOKUP($D518,Cadastro!$C$4:$G$7,5,FALSE())),"")</f>
        <v>0.6</v>
      </c>
      <c r="J518" s="91">
        <f t="shared" si="127"/>
        <v>4.2886909090909082</v>
      </c>
      <c r="K518" s="64">
        <f t="shared" si="130"/>
        <v>16.8</v>
      </c>
      <c r="L518" s="70" t="s">
        <v>29</v>
      </c>
      <c r="M518" s="61"/>
      <c r="N518" s="61" t="s">
        <v>83</v>
      </c>
      <c r="O518" s="65">
        <v>0.65138888888888891</v>
      </c>
      <c r="P518" s="65">
        <v>0.66111111111111109</v>
      </c>
      <c r="Q518" s="66">
        <f t="shared" ca="1" si="128"/>
        <v>9.7222222222221877E-3</v>
      </c>
      <c r="R518" s="63"/>
      <c r="S518" s="81"/>
    </row>
    <row r="519" spans="1:20" ht="15" customHeight="1">
      <c r="A519" s="18">
        <v>46254</v>
      </c>
      <c r="B519" s="68">
        <f t="shared" si="129"/>
        <v>0.49999999999999972</v>
      </c>
      <c r="C519" s="70" t="s">
        <v>54</v>
      </c>
      <c r="D519" s="75" t="s">
        <v>31</v>
      </c>
      <c r="E519" s="100" t="s">
        <v>274</v>
      </c>
      <c r="F519" s="88">
        <f>IFERROR(IF($D519="","",VLOOKUP($D519,Cadastro!$C$4:$E$7,3,FALSE())),"")</f>
        <v>0.35</v>
      </c>
      <c r="G519" s="89">
        <v>7</v>
      </c>
      <c r="H519" s="88">
        <f>IFERROR(IF($G519="","",$G519*$S$527/$G$527/Cadastro!$E$33),"")</f>
        <v>35.739090909090912</v>
      </c>
      <c r="I519" s="90">
        <f>IFERROR(IF($D519="","",VLOOKUP($D519,Cadastro!$C$4:$G$7,5,FALSE())),"")</f>
        <v>0.6</v>
      </c>
      <c r="J519" s="91">
        <f t="shared" si="127"/>
        <v>7.5052090909090907</v>
      </c>
      <c r="K519" s="69">
        <f t="shared" si="130"/>
        <v>29.400000000000002</v>
      </c>
      <c r="L519" s="70"/>
      <c r="M519" s="70"/>
      <c r="N519" s="70"/>
      <c r="O519" s="65"/>
      <c r="P519" s="65"/>
      <c r="Q519" s="71" t="str">
        <f t="shared" ca="1" si="128"/>
        <v/>
      </c>
      <c r="R519" s="63"/>
      <c r="S519" s="81"/>
    </row>
    <row r="520" spans="1:20" ht="15" customHeight="1">
      <c r="A520" s="59">
        <v>46254</v>
      </c>
      <c r="B520" s="60">
        <f t="shared" si="129"/>
        <v>0.54166666666666641</v>
      </c>
      <c r="C520" s="70" t="s">
        <v>54</v>
      </c>
      <c r="D520" s="75" t="s">
        <v>31</v>
      </c>
      <c r="E520" s="100" t="s">
        <v>274</v>
      </c>
      <c r="F520" s="88">
        <f>IFERROR(IF($D520="","",VLOOKUP($D520,Cadastro!$C$4:$E$7,3,FALSE())),"")</f>
        <v>0.35</v>
      </c>
      <c r="G520" s="89">
        <v>10</v>
      </c>
      <c r="H520" s="88">
        <f>IFERROR(IF($G520="","",$G520*$S$527/$G$527/Cadastro!$E$33),"")</f>
        <v>51.055844155844156</v>
      </c>
      <c r="I520" s="90">
        <f>IFERROR(IF($D520="","",VLOOKUP($D520,Cadastro!$C$4:$G$7,5,FALSE())),"")</f>
        <v>0.6</v>
      </c>
      <c r="J520" s="91">
        <f t="shared" si="127"/>
        <v>10.721727272727271</v>
      </c>
      <c r="K520" s="64">
        <f t="shared" si="130"/>
        <v>42</v>
      </c>
      <c r="L520" s="61"/>
      <c r="M520" s="61"/>
      <c r="N520" s="61"/>
      <c r="O520" s="65"/>
      <c r="P520" s="65"/>
      <c r="Q520" s="66" t="str">
        <f t="shared" ca="1" si="128"/>
        <v/>
      </c>
      <c r="R520" s="63"/>
      <c r="S520" s="81"/>
    </row>
    <row r="521" spans="1:20" ht="15" customHeight="1">
      <c r="A521" s="18">
        <v>46254</v>
      </c>
      <c r="B521" s="68">
        <f t="shared" si="129"/>
        <v>0.58333333333333304</v>
      </c>
      <c r="C521" s="70" t="s">
        <v>54</v>
      </c>
      <c r="D521" s="75" t="s">
        <v>31</v>
      </c>
      <c r="E521" s="100" t="s">
        <v>259</v>
      </c>
      <c r="F521" s="88">
        <f>IFERROR(IF($D521="","",VLOOKUP($D521,Cadastro!$C$4:$E$7,3,FALSE())),"")</f>
        <v>0.35</v>
      </c>
      <c r="G521" s="89">
        <v>7</v>
      </c>
      <c r="H521" s="88">
        <f>IFERROR(IF($G521="","",$G521*$S$527/$G$527/Cadastro!$E$33),"")</f>
        <v>35.739090909090912</v>
      </c>
      <c r="I521" s="90">
        <f>IFERROR(IF($D521="","",VLOOKUP($D521,Cadastro!$C$4:$G$7,5,FALSE())),"")</f>
        <v>0.6</v>
      </c>
      <c r="J521" s="91">
        <f t="shared" si="127"/>
        <v>7.5052090909090907</v>
      </c>
      <c r="K521" s="69">
        <f t="shared" si="130"/>
        <v>35</v>
      </c>
      <c r="L521" s="70"/>
      <c r="M521" s="70"/>
      <c r="N521" s="70"/>
      <c r="O521" s="65"/>
      <c r="P521" s="65"/>
      <c r="Q521" s="71" t="str">
        <f t="shared" ca="1" si="128"/>
        <v/>
      </c>
      <c r="R521" s="63"/>
      <c r="S521" s="81"/>
    </row>
    <row r="522" spans="1:20" ht="15" customHeight="1">
      <c r="A522" s="59">
        <v>46254</v>
      </c>
      <c r="B522" s="60">
        <f t="shared" si="129"/>
        <v>0.62499999999999967</v>
      </c>
      <c r="C522" s="70" t="s">
        <v>54</v>
      </c>
      <c r="D522" s="75" t="s">
        <v>31</v>
      </c>
      <c r="E522" s="100" t="s">
        <v>259</v>
      </c>
      <c r="F522" s="88">
        <f>IFERROR(IF($D522="","",VLOOKUP($D522,Cadastro!$C$4:$E$7,3,FALSE())),"")</f>
        <v>0.35</v>
      </c>
      <c r="G522" s="89">
        <v>2</v>
      </c>
      <c r="H522" s="88">
        <f>IFERROR(IF($G522="","",$G522*$S$527/$G$527/Cadastro!$E$33),"")</f>
        <v>10.21116883116883</v>
      </c>
      <c r="I522" s="90">
        <f>IFERROR(IF($D522="","",VLOOKUP($D522,Cadastro!$C$4:$G$7,5,FALSE())),"")</f>
        <v>0.6</v>
      </c>
      <c r="J522" s="91">
        <f t="shared" si="127"/>
        <v>2.1443454545454541</v>
      </c>
      <c r="K522" s="64">
        <f t="shared" si="130"/>
        <v>10</v>
      </c>
      <c r="L522" s="61"/>
      <c r="M522" s="61"/>
      <c r="N522" s="61"/>
      <c r="O522" s="65"/>
      <c r="P522" s="65"/>
      <c r="Q522" s="66" t="str">
        <f t="shared" ca="1" si="128"/>
        <v/>
      </c>
      <c r="R522" s="63"/>
      <c r="S522" s="81"/>
    </row>
    <row r="523" spans="1:20" ht="15" customHeight="1">
      <c r="A523" s="18">
        <v>46254</v>
      </c>
      <c r="B523" s="68">
        <f t="shared" si="129"/>
        <v>0.6666666666666663</v>
      </c>
      <c r="C523" s="70" t="s">
        <v>54</v>
      </c>
      <c r="D523" s="75" t="s">
        <v>31</v>
      </c>
      <c r="E523" s="100" t="s">
        <v>259</v>
      </c>
      <c r="F523" s="88">
        <f>IFERROR(IF($D523="","",VLOOKUP($D523,Cadastro!$C$4:$E$7,3,FALSE())),"")</f>
        <v>0.35</v>
      </c>
      <c r="G523" s="89">
        <v>6</v>
      </c>
      <c r="H523" s="88">
        <f>IFERROR(IF($G523="","",$G523*$S$527/$G$527/Cadastro!$E$33),"")</f>
        <v>30.633506493506495</v>
      </c>
      <c r="I523" s="90">
        <f>IFERROR(IF($D523="","",VLOOKUP($D523,Cadastro!$C$4:$G$7,5,FALSE())),"")</f>
        <v>0.6</v>
      </c>
      <c r="J523" s="91">
        <f t="shared" si="127"/>
        <v>6.4330363636363641</v>
      </c>
      <c r="K523" s="69">
        <f t="shared" si="130"/>
        <v>30</v>
      </c>
      <c r="L523" s="70"/>
      <c r="M523" s="70"/>
      <c r="N523" s="70"/>
      <c r="O523" s="65"/>
      <c r="P523" s="65"/>
      <c r="Q523" s="71" t="str">
        <f t="shared" ca="1" si="128"/>
        <v/>
      </c>
      <c r="R523" s="63"/>
      <c r="S523" s="81"/>
    </row>
    <row r="524" spans="1:20" ht="15" customHeight="1">
      <c r="A524" s="59">
        <v>46254</v>
      </c>
      <c r="B524" s="60">
        <f t="shared" si="129"/>
        <v>0.70833333333333293</v>
      </c>
      <c r="C524" s="70" t="s">
        <v>54</v>
      </c>
      <c r="D524" s="75" t="s">
        <v>31</v>
      </c>
      <c r="E524" s="100" t="s">
        <v>259</v>
      </c>
      <c r="F524" s="88">
        <f>IFERROR(IF($D524="","",VLOOKUP($D524,Cadastro!$C$4:$E$7,3,FALSE())),"")</f>
        <v>0.35</v>
      </c>
      <c r="G524" s="89">
        <v>5</v>
      </c>
      <c r="H524" s="88">
        <f>IFERROR(IF($G524="","",$G524*$S$527/$G$527/Cadastro!$E$33),"")</f>
        <v>25.527922077922078</v>
      </c>
      <c r="I524" s="90">
        <f>IFERROR(IF($D524="","",VLOOKUP($D524,Cadastro!$C$4:$G$7,5,FALSE())),"")</f>
        <v>0.6</v>
      </c>
      <c r="J524" s="91">
        <f t="shared" si="127"/>
        <v>5.3608636363636357</v>
      </c>
      <c r="K524" s="64">
        <f t="shared" si="130"/>
        <v>25</v>
      </c>
      <c r="L524" s="61"/>
      <c r="M524" s="61"/>
      <c r="N524" s="61"/>
      <c r="O524" s="65"/>
      <c r="P524" s="65"/>
      <c r="Q524" s="66" t="str">
        <f t="shared" ca="1" si="128"/>
        <v/>
      </c>
      <c r="R524" s="63"/>
      <c r="S524" s="81"/>
    </row>
    <row r="525" spans="1:20" ht="15" customHeight="1">
      <c r="A525" s="18">
        <v>46254</v>
      </c>
      <c r="B525" s="68">
        <f t="shared" si="129"/>
        <v>0.74999999999999956</v>
      </c>
      <c r="C525" s="70" t="s">
        <v>54</v>
      </c>
      <c r="D525" s="75" t="s">
        <v>31</v>
      </c>
      <c r="E525" s="100" t="s">
        <v>259</v>
      </c>
      <c r="F525" s="88">
        <f>IFERROR(IF($D525="","",VLOOKUP($D525,Cadastro!$C$4:$E$7,3,FALSE())),"")</f>
        <v>0.35</v>
      </c>
      <c r="G525" s="89">
        <v>10</v>
      </c>
      <c r="H525" s="88">
        <f>IFERROR(IF($G525="","",$G525*$S$527/$G$527/Cadastro!$E$33),"")</f>
        <v>51.055844155844156</v>
      </c>
      <c r="I525" s="90">
        <f>IFERROR(IF($D525="","",VLOOKUP($D525,Cadastro!$C$4:$G$7,5,FALSE())),"")</f>
        <v>0.6</v>
      </c>
      <c r="J525" s="91">
        <f t="shared" si="127"/>
        <v>10.721727272727271</v>
      </c>
      <c r="K525" s="69">
        <f t="shared" si="130"/>
        <v>50</v>
      </c>
      <c r="L525" s="70"/>
      <c r="M525" s="70"/>
      <c r="N525" s="70"/>
      <c r="O525" s="65"/>
      <c r="P525" s="65"/>
      <c r="Q525" s="71" t="str">
        <f t="shared" ca="1" si="128"/>
        <v/>
      </c>
      <c r="R525" s="63"/>
      <c r="S525" s="81"/>
    </row>
    <row r="526" spans="1:20" ht="15" customHeight="1">
      <c r="A526" s="59">
        <v>46254</v>
      </c>
      <c r="B526" s="60">
        <f t="shared" si="129"/>
        <v>0.79166666666666619</v>
      </c>
      <c r="C526" s="70" t="s">
        <v>54</v>
      </c>
      <c r="D526" s="75" t="s">
        <v>31</v>
      </c>
      <c r="E526" s="100" t="s">
        <v>259</v>
      </c>
      <c r="F526" s="92">
        <f>IFERROR(IF($D526="","",VLOOKUP($D526,Cadastro!$C$4:$E$7,3,FALSE())),"")</f>
        <v>0.35</v>
      </c>
      <c r="G526" s="89">
        <v>2</v>
      </c>
      <c r="H526" s="92">
        <f>IFERROR(IF($G526="","",$G526*$S$527/$G$527/Cadastro!$E$33),"")</f>
        <v>10.21116883116883</v>
      </c>
      <c r="I526" s="93">
        <f>IFERROR(IF($D526="","",VLOOKUP($D526,Cadastro!$C$4:$G$7,5,FALSE())),"")</f>
        <v>0.6</v>
      </c>
      <c r="J526" s="94">
        <f t="shared" si="127"/>
        <v>2.1443454545454541</v>
      </c>
      <c r="K526" s="64">
        <f t="shared" si="130"/>
        <v>10</v>
      </c>
      <c r="L526" s="61"/>
      <c r="M526" s="61"/>
      <c r="N526" s="61"/>
      <c r="O526" s="65"/>
      <c r="P526" s="65"/>
      <c r="Q526" s="66" t="str">
        <f t="shared" ca="1" si="128"/>
        <v/>
      </c>
      <c r="R526" s="63"/>
      <c r="S526" s="81"/>
    </row>
    <row r="527" spans="1:20" ht="15.75" customHeight="1">
      <c r="A527" s="156" t="s">
        <v>260</v>
      </c>
      <c r="B527" s="156"/>
      <c r="C527" s="156"/>
      <c r="D527" s="156"/>
      <c r="E527" s="156"/>
      <c r="F527" s="95"/>
      <c r="G527" s="96">
        <f>SUM(G515:G526)</f>
        <v>77</v>
      </c>
      <c r="H527" s="95">
        <f>IFERROR(SUM(H515:H526),"")</f>
        <v>393.13000000000005</v>
      </c>
      <c r="I527" s="97"/>
      <c r="J527" s="98">
        <f>IFERROR(SUM(J515:J526),"")</f>
        <v>82.557299999999998</v>
      </c>
      <c r="K527" s="2">
        <f>SUM(K515:K526)</f>
        <v>349</v>
      </c>
      <c r="L527" s="72"/>
      <c r="M527" s="72"/>
      <c r="N527" s="72"/>
      <c r="O527" s="72"/>
      <c r="P527" s="72"/>
      <c r="Q527" s="73">
        <f ca="1">IFERROR(SUM(Q515:Q526),"")</f>
        <v>6.8749999999999922E-2</v>
      </c>
      <c r="R527" s="2" t="s">
        <v>261</v>
      </c>
      <c r="S527" s="74">
        <v>393130</v>
      </c>
      <c r="T527" s="99">
        <f>IFERROR(J527,"")</f>
        <v>82.557299999999998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274</v>
      </c>
      <c r="F528" s="101">
        <f>IFERROR(IF($D528="","",VLOOKUP($D528,Cadastro!$C$4:$E$7,3,FALSE())),"")</f>
        <v>0.35</v>
      </c>
      <c r="G528" s="89">
        <v>19</v>
      </c>
      <c r="H528" s="101">
        <f>IFERROR(IF($G528="","",$G528*$S$540/$G$540/Cadastro!$E$33),"")</f>
        <v>84.241639344262296</v>
      </c>
      <c r="I528" s="102">
        <f>IFERROR(IF($D528="","",VLOOKUP($D528,Cadastro!$C$4:$G$7,5,FALSE())),"")</f>
        <v>0.6</v>
      </c>
      <c r="J528" s="103">
        <f t="shared" ref="J528:J539" si="131">IFERROR(IF($H528="","",$H528*$F528*$I528),"")</f>
        <v>17.69074426229508</v>
      </c>
      <c r="K528" s="64">
        <f t="shared" ref="K528:K539" si="132">IF(G528="","",IF(E528="PC 17",G528*4.2,IF(E528="PC 19",G528*5,IF(E528="CB",G528*24,""))))</f>
        <v>79.8</v>
      </c>
      <c r="L528" s="61" t="s">
        <v>29</v>
      </c>
      <c r="M528" s="61" t="s">
        <v>56</v>
      </c>
      <c r="N528" s="61" t="s">
        <v>71</v>
      </c>
      <c r="O528" s="65">
        <v>0.86111111111111116</v>
      </c>
      <c r="P528" s="65">
        <v>0.86319444444444449</v>
      </c>
      <c r="Q528" s="66">
        <f t="shared" ref="Q528:Q539" ca="1" si="133">IFERROR(IF(O528="","",IF(P528="",MOD(NOW()-O528,1),IF(P528&gt;=O528,P528-O528,P528+1-O528))),"")</f>
        <v>2.0833333333333259E-3</v>
      </c>
      <c r="R528" s="63"/>
      <c r="S528" s="81"/>
    </row>
    <row r="529" spans="1:20" ht="15" customHeight="1">
      <c r="A529" s="18">
        <v>46254</v>
      </c>
      <c r="B529" s="68">
        <f t="shared" ref="B529:B539" si="134">B528+TIME(0,60,0)</f>
        <v>0.87499999999999967</v>
      </c>
      <c r="C529" s="61" t="s">
        <v>38</v>
      </c>
      <c r="D529" s="62" t="s">
        <v>39</v>
      </c>
      <c r="E529" s="87" t="s">
        <v>274</v>
      </c>
      <c r="F529" s="88">
        <f>IFERROR(IF($D529="","",VLOOKUP($D529,Cadastro!$C$4:$E$7,3,FALSE())),"")</f>
        <v>0.24</v>
      </c>
      <c r="G529" s="89">
        <v>11</v>
      </c>
      <c r="H529" s="88">
        <f>IFERROR(IF($G529="","",$G529*$S$540/$G$540/Cadastro!$E$33),"")</f>
        <v>48.771475409836064</v>
      </c>
      <c r="I529" s="90">
        <f>IFERROR(IF($D529="","",VLOOKUP($D529,Cadastro!$C$4:$G$7,5,FALSE())),"")</f>
        <v>0.6</v>
      </c>
      <c r="J529" s="91">
        <f t="shared" si="131"/>
        <v>7.023092459016393</v>
      </c>
      <c r="K529" s="69">
        <f t="shared" si="132"/>
        <v>46.2</v>
      </c>
      <c r="L529" s="70" t="s">
        <v>29</v>
      </c>
      <c r="M529" s="70" t="s">
        <v>56</v>
      </c>
      <c r="N529" s="70" t="s">
        <v>71</v>
      </c>
      <c r="O529" s="65">
        <v>0.87013888888888891</v>
      </c>
      <c r="P529" s="65">
        <v>0.87777777777777777</v>
      </c>
      <c r="Q529" s="71">
        <f t="shared" ca="1" si="133"/>
        <v>7.6388888888888618E-3</v>
      </c>
      <c r="R529" s="63"/>
      <c r="S529" s="81"/>
    </row>
    <row r="530" spans="1:20" ht="15" customHeight="1">
      <c r="A530" s="59">
        <v>46254</v>
      </c>
      <c r="B530" s="60">
        <f t="shared" si="134"/>
        <v>0.9166666666666663</v>
      </c>
      <c r="C530" s="61" t="s">
        <v>38</v>
      </c>
      <c r="D530" s="62" t="s">
        <v>39</v>
      </c>
      <c r="E530" s="87" t="s">
        <v>259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22.168852459016396</v>
      </c>
      <c r="I530" s="90">
        <f>IFERROR(IF($D530="","",VLOOKUP($D530,Cadastro!$C$4:$G$7,5,FALSE())),"")</f>
        <v>0.6</v>
      </c>
      <c r="J530" s="91">
        <f t="shared" si="131"/>
        <v>3.1923147540983607</v>
      </c>
      <c r="K530" s="64">
        <f t="shared" si="132"/>
        <v>25</v>
      </c>
      <c r="L530" s="61" t="s">
        <v>29</v>
      </c>
      <c r="M530" s="61" t="s">
        <v>168</v>
      </c>
      <c r="N530" s="61" t="s">
        <v>83</v>
      </c>
      <c r="O530" s="65">
        <v>0.93263888888888891</v>
      </c>
      <c r="P530" s="65">
        <v>0.9375</v>
      </c>
      <c r="Q530" s="66">
        <f t="shared" ca="1" si="133"/>
        <v>4.8611111111110938E-3</v>
      </c>
      <c r="R530" s="63"/>
      <c r="S530" s="81"/>
    </row>
    <row r="531" spans="1:20" ht="15" customHeight="1">
      <c r="A531" s="18">
        <v>46254</v>
      </c>
      <c r="B531" s="68">
        <f t="shared" si="134"/>
        <v>0.95833333333333293</v>
      </c>
      <c r="C531" s="61" t="s">
        <v>38</v>
      </c>
      <c r="D531" s="62" t="s">
        <v>39</v>
      </c>
      <c r="E531" s="87" t="s">
        <v>274</v>
      </c>
      <c r="F531" s="88">
        <f>IFERROR(IF($D531="","",VLOOKUP($D531,Cadastro!$C$4:$E$7,3,FALSE())),"")</f>
        <v>0.24</v>
      </c>
      <c r="G531" s="89">
        <v>2</v>
      </c>
      <c r="H531" s="88">
        <f>IFERROR(IF($G531="","",$G531*$S$540/$G$540/Cadastro!$E$33),"")</f>
        <v>8.867540983606558</v>
      </c>
      <c r="I531" s="90">
        <f>IFERROR(IF($D531="","",VLOOKUP($D531,Cadastro!$C$4:$G$7,5,FALSE())),"")</f>
        <v>0.6</v>
      </c>
      <c r="J531" s="91">
        <f t="shared" si="131"/>
        <v>1.2769259016393442</v>
      </c>
      <c r="K531" s="69">
        <f t="shared" si="132"/>
        <v>8.4</v>
      </c>
      <c r="L531" s="70" t="s">
        <v>29</v>
      </c>
      <c r="M531" s="70" t="s">
        <v>136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3"/>
        <v>1.4583333333333393E-2</v>
      </c>
      <c r="R531" s="63" t="s">
        <v>307</v>
      </c>
      <c r="S531" s="81"/>
    </row>
    <row r="532" spans="1:20" ht="15" customHeight="1">
      <c r="A532" s="59">
        <v>46254</v>
      </c>
      <c r="B532" s="60">
        <f t="shared" si="134"/>
        <v>0.99999999999999956</v>
      </c>
      <c r="C532" s="61" t="s">
        <v>38</v>
      </c>
      <c r="D532" s="62" t="s">
        <v>39</v>
      </c>
      <c r="E532" s="87" t="s">
        <v>274</v>
      </c>
      <c r="F532" s="88">
        <f>IFERROR(IF($D532="","",VLOOKUP($D532,Cadastro!$C$4:$E$7,3,FALSE())),"")</f>
        <v>0.24</v>
      </c>
      <c r="G532" s="89">
        <v>2</v>
      </c>
      <c r="H532" s="88">
        <f>IFERROR(IF($G532="","",$G532*$S$540/$G$540/Cadastro!$E$33),"")</f>
        <v>8.867540983606558</v>
      </c>
      <c r="I532" s="90">
        <f>IFERROR(IF($D532="","",VLOOKUP($D532,Cadastro!$C$4:$G$7,5,FALSE())),"")</f>
        <v>0.6</v>
      </c>
      <c r="J532" s="91">
        <f t="shared" si="131"/>
        <v>1.2769259016393442</v>
      </c>
      <c r="K532" s="64">
        <f t="shared" si="132"/>
        <v>8.4</v>
      </c>
      <c r="L532" s="61" t="s">
        <v>29</v>
      </c>
      <c r="M532" s="61" t="s">
        <v>168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3"/>
        <v>6.9444444444444441E-3</v>
      </c>
      <c r="R532" s="63"/>
      <c r="S532" s="81"/>
    </row>
    <row r="533" spans="1:20" ht="15" customHeight="1">
      <c r="A533" s="18">
        <v>46254</v>
      </c>
      <c r="B533" s="68">
        <f t="shared" si="134"/>
        <v>1.0416666666666663</v>
      </c>
      <c r="C533" s="61" t="s">
        <v>38</v>
      </c>
      <c r="D533" s="62" t="s">
        <v>39</v>
      </c>
      <c r="E533" s="87" t="s">
        <v>274</v>
      </c>
      <c r="F533" s="88">
        <f>IFERROR(IF($D533="","",VLOOKUP($D533,Cadastro!$C$4:$E$7,3,FALSE())),"")</f>
        <v>0.24</v>
      </c>
      <c r="G533" s="89">
        <v>2</v>
      </c>
      <c r="H533" s="88">
        <f>IFERROR(IF($G533="","",$G533*$S$540/$G$540/Cadastro!$E$33),"")</f>
        <v>8.867540983606558</v>
      </c>
      <c r="I533" s="90">
        <f>IFERROR(IF($D533="","",VLOOKUP($D533,Cadastro!$C$4:$G$7,5,FALSE())),"")</f>
        <v>0.6</v>
      </c>
      <c r="J533" s="91">
        <f t="shared" si="131"/>
        <v>1.2769259016393442</v>
      </c>
      <c r="K533" s="69">
        <f t="shared" si="132"/>
        <v>8.4</v>
      </c>
      <c r="L533" s="70" t="s">
        <v>29</v>
      </c>
      <c r="M533" s="70" t="s">
        <v>56</v>
      </c>
      <c r="N533" s="70" t="s">
        <v>60</v>
      </c>
      <c r="O533" s="65">
        <v>0.11527777777777778</v>
      </c>
      <c r="P533" s="65">
        <v>0.29166666666666669</v>
      </c>
      <c r="Q533" s="71">
        <f t="shared" ca="1" si="133"/>
        <v>0.1763888888888889</v>
      </c>
      <c r="R533" s="63" t="s">
        <v>366</v>
      </c>
      <c r="S533" s="81"/>
    </row>
    <row r="534" spans="1:20" ht="15" customHeight="1">
      <c r="A534" s="59">
        <v>46254</v>
      </c>
      <c r="B534" s="60">
        <f t="shared" si="134"/>
        <v>1.083333333333333</v>
      </c>
      <c r="C534" s="61" t="s">
        <v>38</v>
      </c>
      <c r="D534" s="62" t="s">
        <v>39</v>
      </c>
      <c r="E534" s="87" t="s">
        <v>274</v>
      </c>
      <c r="F534" s="88">
        <f>IFERROR(IF($D534="","",VLOOKUP($D534,Cadastro!$C$4:$E$7,3,FALSE())),"")</f>
        <v>0.24</v>
      </c>
      <c r="G534" s="89">
        <v>12</v>
      </c>
      <c r="H534" s="88">
        <f>IFERROR(IF($G534="","",$G534*$S$540/$G$540/Cadastro!$E$33),"")</f>
        <v>53.205245901639344</v>
      </c>
      <c r="I534" s="90">
        <f>IFERROR(IF($D534="","",VLOOKUP($D534,Cadastro!$C$4:$G$7,5,FALSE())),"")</f>
        <v>0.6</v>
      </c>
      <c r="J534" s="91">
        <f t="shared" si="131"/>
        <v>7.6615554098360654</v>
      </c>
      <c r="K534" s="64">
        <f t="shared" si="132"/>
        <v>50.400000000000006</v>
      </c>
      <c r="L534" s="61"/>
      <c r="M534" s="61"/>
      <c r="N534" s="61"/>
      <c r="O534" s="65"/>
      <c r="P534" s="65"/>
      <c r="Q534" s="66" t="str">
        <f t="shared" ca="1" si="133"/>
        <v/>
      </c>
      <c r="R534" s="63"/>
      <c r="S534" s="81"/>
    </row>
    <row r="535" spans="1:20" ht="15" customHeight="1">
      <c r="A535" s="18">
        <v>46254</v>
      </c>
      <c r="B535" s="68">
        <f t="shared" si="134"/>
        <v>1.1249999999999998</v>
      </c>
      <c r="C535" s="61" t="s">
        <v>38</v>
      </c>
      <c r="D535" s="62" t="s">
        <v>39</v>
      </c>
      <c r="E535" s="87" t="s">
        <v>274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1"/>
        <v>0</v>
      </c>
      <c r="K535" s="69">
        <f t="shared" si="132"/>
        <v>0</v>
      </c>
      <c r="L535" s="70"/>
      <c r="M535" s="70"/>
      <c r="N535" s="70"/>
      <c r="O535" s="65"/>
      <c r="P535" s="65"/>
      <c r="Q535" s="71" t="str">
        <f t="shared" ca="1" si="133"/>
        <v/>
      </c>
      <c r="R535" s="63"/>
      <c r="S535" s="81"/>
    </row>
    <row r="536" spans="1:20" ht="15" customHeight="1">
      <c r="A536" s="59">
        <v>46254</v>
      </c>
      <c r="B536" s="60">
        <f t="shared" si="134"/>
        <v>1.1666666666666665</v>
      </c>
      <c r="C536" s="61" t="s">
        <v>38</v>
      </c>
      <c r="D536" s="62" t="s">
        <v>31</v>
      </c>
      <c r="E536" s="87" t="s">
        <v>274</v>
      </c>
      <c r="F536" s="88">
        <f>IFERROR(IF($D536="","",VLOOKUP($D536,Cadastro!$C$4:$E$7,3,FALSE())),"")</f>
        <v>0.35</v>
      </c>
      <c r="G536" s="89">
        <v>8</v>
      </c>
      <c r="H536" s="88">
        <f>IFERROR(IF($G536="","",$G536*$S$540/$G$540/Cadastro!$E$33),"")</f>
        <v>35.470163934426232</v>
      </c>
      <c r="I536" s="90">
        <f>IFERROR(IF($D536="","",VLOOKUP($D536,Cadastro!$C$4:$G$7,5,FALSE())),"")</f>
        <v>0.6</v>
      </c>
      <c r="J536" s="91">
        <f t="shared" si="131"/>
        <v>7.4487344262295077</v>
      </c>
      <c r="K536" s="64">
        <f t="shared" si="132"/>
        <v>33.6</v>
      </c>
      <c r="L536" s="61"/>
      <c r="M536" s="61"/>
      <c r="N536" s="61"/>
      <c r="O536" s="65"/>
      <c r="P536" s="65"/>
      <c r="Q536" s="66" t="str">
        <f t="shared" ca="1" si="133"/>
        <v/>
      </c>
      <c r="R536" s="63"/>
      <c r="S536" s="81"/>
    </row>
    <row r="537" spans="1:20" ht="15" customHeight="1">
      <c r="A537" s="18">
        <v>46254</v>
      </c>
      <c r="B537" s="68">
        <f t="shared" si="134"/>
        <v>1.2083333333333333</v>
      </c>
      <c r="C537" s="61" t="s">
        <v>38</v>
      </c>
      <c r="D537" s="62" t="s">
        <v>31</v>
      </c>
      <c r="E537" s="87" t="s">
        <v>274</v>
      </c>
      <c r="F537" s="88">
        <f>IFERROR(IF($D537="","",VLOOKUP($D537,Cadastro!$C$4:$E$7,3,FALSE())),"")</f>
        <v>0.35</v>
      </c>
      <c r="G537" s="89">
        <v>0</v>
      </c>
      <c r="H537" s="88">
        <f>IFERROR(IF($G537="","",$G537*$S$540/$G$540/Cadastro!$E$33),"")</f>
        <v>0</v>
      </c>
      <c r="I537" s="90">
        <f>IFERROR(IF($D537="","",VLOOKUP($D537,Cadastro!$C$4:$G$7,5,FALSE())),"")</f>
        <v>0.6</v>
      </c>
      <c r="J537" s="91">
        <f t="shared" si="131"/>
        <v>0</v>
      </c>
      <c r="K537" s="69">
        <f t="shared" si="132"/>
        <v>0</v>
      </c>
      <c r="L537" s="70"/>
      <c r="M537" s="70"/>
      <c r="N537" s="70"/>
      <c r="O537" s="65"/>
      <c r="P537" s="65"/>
      <c r="Q537" s="71" t="str">
        <f t="shared" ca="1" si="133"/>
        <v/>
      </c>
      <c r="R537" s="63"/>
      <c r="S537" s="81"/>
    </row>
    <row r="538" spans="1:20" ht="15" customHeight="1">
      <c r="A538" s="59">
        <v>46254</v>
      </c>
      <c r="B538" s="60">
        <f t="shared" si="134"/>
        <v>1.25</v>
      </c>
      <c r="C538" s="61" t="s">
        <v>38</v>
      </c>
      <c r="D538" s="62" t="s">
        <v>31</v>
      </c>
      <c r="E538" s="87" t="s">
        <v>274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1"/>
        <v>0</v>
      </c>
      <c r="K538" s="64">
        <f t="shared" si="132"/>
        <v>0</v>
      </c>
      <c r="L538" s="61"/>
      <c r="M538" s="61"/>
      <c r="N538" s="61"/>
      <c r="O538" s="65"/>
      <c r="P538" s="65"/>
      <c r="Q538" s="66" t="str">
        <f t="shared" ca="1" si="133"/>
        <v/>
      </c>
      <c r="R538" s="63"/>
      <c r="S538" s="81"/>
    </row>
    <row r="539" spans="1:20" ht="15" customHeight="1">
      <c r="A539" s="18">
        <v>46254</v>
      </c>
      <c r="B539" s="68">
        <f t="shared" si="134"/>
        <v>1.2916666666666667</v>
      </c>
      <c r="C539" s="61" t="s">
        <v>38</v>
      </c>
      <c r="D539" s="62" t="s">
        <v>31</v>
      </c>
      <c r="E539" s="87" t="s">
        <v>274</v>
      </c>
      <c r="F539" s="92">
        <f>IFERROR(IF($D539="","",VLOOKUP($D539,Cadastro!$C$4:$E$7,3,FALSE())),"")</f>
        <v>0.35</v>
      </c>
      <c r="G539" s="89">
        <v>0</v>
      </c>
      <c r="H539" s="92">
        <f>IFERROR(IF($G539="","",$G539*$S$540/$G$540/Cadastro!$E$33),"")</f>
        <v>0</v>
      </c>
      <c r="I539" s="93">
        <f>IFERROR(IF($D539="","",VLOOKUP($D539,Cadastro!$C$4:$G$7,5,FALSE())),"")</f>
        <v>0.6</v>
      </c>
      <c r="J539" s="94">
        <f t="shared" si="131"/>
        <v>0</v>
      </c>
      <c r="K539" s="69">
        <f t="shared" si="132"/>
        <v>0</v>
      </c>
      <c r="L539" s="70"/>
      <c r="M539" s="70"/>
      <c r="N539" s="70"/>
      <c r="O539" s="65"/>
      <c r="P539" s="65"/>
      <c r="Q539" s="71" t="str">
        <f t="shared" ca="1" si="133"/>
        <v/>
      </c>
      <c r="R539" s="63"/>
      <c r="S539" s="81"/>
    </row>
    <row r="540" spans="1:20" ht="15.75" customHeight="1">
      <c r="A540" s="156" t="s">
        <v>263</v>
      </c>
      <c r="B540" s="156"/>
      <c r="C540" s="156"/>
      <c r="D540" s="156"/>
      <c r="E540" s="156"/>
      <c r="F540" s="105"/>
      <c r="G540" s="96">
        <f>SUM(G528:G539)</f>
        <v>61</v>
      </c>
      <c r="H540" s="105">
        <f>IFERROR(SUM(H528:H539),"")</f>
        <v>270.45999999999998</v>
      </c>
      <c r="I540" s="106"/>
      <c r="J540" s="107">
        <f>IFERROR(SUM(J528:J539),"")</f>
        <v>46.847219016393439</v>
      </c>
      <c r="K540" s="2">
        <f>SUM(K528:K539)</f>
        <v>260.20000000000005</v>
      </c>
      <c r="L540" s="72"/>
      <c r="M540" s="72"/>
      <c r="N540" s="72"/>
      <c r="O540" s="72"/>
      <c r="P540" s="72"/>
      <c r="Q540" s="73">
        <f ca="1">IFERROR(SUM(Q528:Q539),"")</f>
        <v>0.21250000000000002</v>
      </c>
      <c r="R540" s="2" t="s">
        <v>261</v>
      </c>
      <c r="S540" s="74">
        <v>270460</v>
      </c>
      <c r="T540" s="99">
        <f>IFERROR(J540,"")</f>
        <v>46.847219016393439</v>
      </c>
    </row>
    <row r="541" spans="1:20" ht="18" customHeight="1">
      <c r="A541" s="157" t="s">
        <v>249</v>
      </c>
      <c r="B541" s="157"/>
      <c r="C541" s="157"/>
      <c r="D541" s="157"/>
      <c r="E541" s="157"/>
      <c r="F541" s="108"/>
      <c r="G541" s="109">
        <f>G527+G540</f>
        <v>138</v>
      </c>
      <c r="H541" s="108">
        <f>IFERROR(H527+H540,"")</f>
        <v>663.59</v>
      </c>
      <c r="I541" s="110"/>
      <c r="J541" s="111">
        <f>IFERROR(J527+J540,"")</f>
        <v>129.40451901639344</v>
      </c>
      <c r="K541" s="1">
        <f>K527+K540</f>
        <v>609.20000000000005</v>
      </c>
      <c r="L541" s="76"/>
      <c r="M541" s="76"/>
      <c r="N541" s="76"/>
      <c r="O541" s="76"/>
      <c r="P541" s="76"/>
      <c r="Q541" s="77">
        <f ca="1">IFERROR(Q527+Q540,"")</f>
        <v>0.28124999999999994</v>
      </c>
      <c r="R541" s="1" t="s">
        <v>264</v>
      </c>
      <c r="S541" s="82">
        <f>IFERROR(S527+S540,"")</f>
        <v>663590</v>
      </c>
      <c r="T541" s="118">
        <f>IFERROR(J541,"")</f>
        <v>129.40451901639344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274</v>
      </c>
      <c r="F542" s="101">
        <f>IFERROR(IF($D542="","",VLOOKUP($D542,Cadastro!$C$4:$E$7,3,FALSE())),"")</f>
        <v>0.24</v>
      </c>
      <c r="G542" s="89">
        <v>0</v>
      </c>
      <c r="H542" s="101" t="str">
        <f>IFERROR(IF($G542="","",$G542*$S$554/$G$554/Cadastro!$E$33),"")</f>
        <v/>
      </c>
      <c r="I542" s="102">
        <f>IFERROR(IF($D542="","",VLOOKUP($D542,Cadastro!$C$4:$G$7,5,FALSE())),"")</f>
        <v>0.6</v>
      </c>
      <c r="J542" s="103" t="str">
        <f t="shared" ref="J542:J553" si="135">IFERROR(IF($H542="","",$H542*$F542*$I542),"")</f>
        <v/>
      </c>
      <c r="K542" s="64">
        <f t="shared" ref="K542:K553" si="136">IF(G542="","",IF(E542="PC 17",G542*4.2,IF(E542="PC 19",G542*5,IF(E542="CB",G542*24,""))))</f>
        <v>0</v>
      </c>
      <c r="L542" s="61" t="s">
        <v>29</v>
      </c>
      <c r="M542" s="61" t="s">
        <v>56</v>
      </c>
      <c r="N542" s="61" t="s">
        <v>60</v>
      </c>
      <c r="O542" s="65">
        <v>0.29166666666666669</v>
      </c>
      <c r="P542" s="65"/>
      <c r="Q542" s="66">
        <f t="shared" ref="Q542:Q553" ca="1" si="137">IFERROR(IF(O542="","",IF(P542="",MOD(NOW()-O542,1),IF(P542&gt;=O542,P542-O542,P542+1-O542))),"")</f>
        <v>0.19243009259662358</v>
      </c>
      <c r="R542" s="63" t="s">
        <v>367</v>
      </c>
      <c r="S542" s="81"/>
    </row>
    <row r="543" spans="1:20" ht="15" customHeight="1">
      <c r="A543" s="18">
        <v>46255</v>
      </c>
      <c r="B543" s="68">
        <f t="shared" ref="B543:B553" si="138">B542+TIME(0,60,0)</f>
        <v>0.37499999999999967</v>
      </c>
      <c r="C543" s="61" t="s">
        <v>30</v>
      </c>
      <c r="D543" s="62" t="s">
        <v>39</v>
      </c>
      <c r="E543" s="87" t="s">
        <v>274</v>
      </c>
      <c r="F543" s="88">
        <f>IFERROR(IF($D543="","",VLOOKUP($D543,Cadastro!$C$4:$E$7,3,FALSE())),"")</f>
        <v>0.24</v>
      </c>
      <c r="G543" s="89">
        <v>0</v>
      </c>
      <c r="H543" s="88" t="str">
        <f>IFERROR(IF($G543="","",$G543*$S$554/$G$554/Cadastro!$E$33),"")</f>
        <v/>
      </c>
      <c r="I543" s="90">
        <f>IFERROR(IF($D543="","",VLOOKUP($D543,Cadastro!$C$4:$G$7,5,FALSE())),"")</f>
        <v>0.6</v>
      </c>
      <c r="J543" s="91" t="str">
        <f t="shared" si="135"/>
        <v/>
      </c>
      <c r="K543" s="69">
        <f t="shared" si="136"/>
        <v>0</v>
      </c>
      <c r="L543" s="70"/>
      <c r="M543" s="70"/>
      <c r="N543" s="70"/>
      <c r="O543" s="65"/>
      <c r="P543" s="65"/>
      <c r="Q543" s="71" t="str">
        <f t="shared" ca="1" si="137"/>
        <v/>
      </c>
      <c r="R543" s="63"/>
      <c r="S543" s="81"/>
    </row>
    <row r="544" spans="1:20" ht="15" customHeight="1">
      <c r="A544" s="59">
        <v>46255</v>
      </c>
      <c r="B544" s="60">
        <f t="shared" si="138"/>
        <v>0.41666666666666635</v>
      </c>
      <c r="C544" s="61" t="s">
        <v>30</v>
      </c>
      <c r="D544" s="62" t="s">
        <v>39</v>
      </c>
      <c r="E544" s="87" t="s">
        <v>274</v>
      </c>
      <c r="F544" s="88">
        <f>IFERROR(IF($D544="","",VLOOKUP($D544,Cadastro!$C$4:$E$7,3,FALSE())),"")</f>
        <v>0.24</v>
      </c>
      <c r="G544" s="89">
        <v>0</v>
      </c>
      <c r="H544" s="88" t="str">
        <f>IFERROR(IF($G544="","",$G544*$S$554/$G$554/Cadastro!$E$33),"")</f>
        <v/>
      </c>
      <c r="I544" s="90">
        <f>IFERROR(IF($D544="","",VLOOKUP($D544,Cadastro!$C$4:$G$7,5,FALSE())),"")</f>
        <v>0.6</v>
      </c>
      <c r="J544" s="91" t="str">
        <f t="shared" si="135"/>
        <v/>
      </c>
      <c r="K544" s="64">
        <f t="shared" si="136"/>
        <v>0</v>
      </c>
      <c r="L544" s="61"/>
      <c r="M544" s="61"/>
      <c r="N544" s="61"/>
      <c r="O544" s="65"/>
      <c r="P544" s="65"/>
      <c r="Q544" s="66" t="str">
        <f t="shared" ca="1" si="137"/>
        <v/>
      </c>
      <c r="R544" s="63"/>
      <c r="S544" s="81"/>
    </row>
    <row r="545" spans="1:20" ht="15" customHeight="1">
      <c r="A545" s="18">
        <v>46255</v>
      </c>
      <c r="B545" s="68">
        <f t="shared" si="138"/>
        <v>0.45833333333333304</v>
      </c>
      <c r="C545" s="61" t="s">
        <v>30</v>
      </c>
      <c r="D545" s="62" t="s">
        <v>39</v>
      </c>
      <c r="E545" s="87" t="s">
        <v>274</v>
      </c>
      <c r="F545" s="88">
        <f>IFERROR(IF($D545="","",VLOOKUP($D545,Cadastro!$C$4:$E$7,3,FALSE())),"")</f>
        <v>0.24</v>
      </c>
      <c r="G545" s="89">
        <v>0</v>
      </c>
      <c r="H545" s="88" t="str">
        <f>IFERROR(IF($G545="","",$G545*$S$554/$G$554/Cadastro!$E$33),"")</f>
        <v/>
      </c>
      <c r="I545" s="90">
        <f>IFERROR(IF($D545="","",VLOOKUP($D545,Cadastro!$C$4:$G$7,5,FALSE())),"")</f>
        <v>0.6</v>
      </c>
      <c r="J545" s="91" t="str">
        <f t="shared" si="135"/>
        <v/>
      </c>
      <c r="K545" s="69">
        <f t="shared" si="136"/>
        <v>0</v>
      </c>
      <c r="L545" s="70"/>
      <c r="M545" s="70"/>
      <c r="N545" s="70"/>
      <c r="O545" s="65"/>
      <c r="P545" s="65"/>
      <c r="Q545" s="71" t="str">
        <f t="shared" ca="1" si="137"/>
        <v/>
      </c>
      <c r="R545" s="63"/>
      <c r="S545" s="81"/>
    </row>
    <row r="546" spans="1:20" ht="15" customHeight="1">
      <c r="A546" s="59">
        <v>46255</v>
      </c>
      <c r="B546" s="60">
        <f t="shared" si="138"/>
        <v>0.49999999999999972</v>
      </c>
      <c r="C546" s="61" t="s">
        <v>30</v>
      </c>
      <c r="D546" s="62" t="s">
        <v>39</v>
      </c>
      <c r="E546" s="87" t="s">
        <v>274</v>
      </c>
      <c r="F546" s="88">
        <f>IFERROR(IF($D546="","",VLOOKUP($D546,Cadastro!$C$4:$E$7,3,FALSE())),"")</f>
        <v>0.24</v>
      </c>
      <c r="G546" s="89"/>
      <c r="H546" s="88" t="str">
        <f>IFERROR(IF($G546="","",$G546*$S$554/$G$554/Cadastro!$E$33),"")</f>
        <v/>
      </c>
      <c r="I546" s="90">
        <f>IFERROR(IF($D546="","",VLOOKUP($D546,Cadastro!$C$4:$G$7,5,FALSE())),"")</f>
        <v>0.6</v>
      </c>
      <c r="J546" s="91" t="str">
        <f t="shared" si="135"/>
        <v/>
      </c>
      <c r="K546" s="64" t="str">
        <f t="shared" si="136"/>
        <v/>
      </c>
      <c r="L546" s="61"/>
      <c r="M546" s="61"/>
      <c r="N546" s="61"/>
      <c r="O546" s="65"/>
      <c r="P546" s="65"/>
      <c r="Q546" s="66" t="str">
        <f t="shared" ca="1" si="137"/>
        <v/>
      </c>
      <c r="R546" s="63"/>
      <c r="S546" s="81"/>
    </row>
    <row r="547" spans="1:20" ht="15" customHeight="1">
      <c r="A547" s="18">
        <v>46255</v>
      </c>
      <c r="B547" s="68">
        <f t="shared" si="138"/>
        <v>0.54166666666666641</v>
      </c>
      <c r="C547" s="61" t="s">
        <v>30</v>
      </c>
      <c r="D547" s="62" t="s">
        <v>39</v>
      </c>
      <c r="E547" s="87" t="s">
        <v>274</v>
      </c>
      <c r="F547" s="88">
        <f>IFERROR(IF($D547="","",VLOOKUP($D547,Cadastro!$C$4:$E$7,3,FALSE())),"")</f>
        <v>0.24</v>
      </c>
      <c r="G547" s="89"/>
      <c r="H547" s="88" t="str">
        <f>IFERROR(IF($G547="","",$G547*$S$554/$G$554/Cadastro!$E$33),"")</f>
        <v/>
      </c>
      <c r="I547" s="90">
        <f>IFERROR(IF($D547="","",VLOOKUP($D547,Cadastro!$C$4:$G$7,5,FALSE())),"")</f>
        <v>0.6</v>
      </c>
      <c r="J547" s="91" t="str">
        <f t="shared" si="135"/>
        <v/>
      </c>
      <c r="K547" s="69" t="str">
        <f t="shared" si="136"/>
        <v/>
      </c>
      <c r="L547" s="70"/>
      <c r="M547" s="70"/>
      <c r="N547" s="70"/>
      <c r="O547" s="65"/>
      <c r="P547" s="65"/>
      <c r="Q547" s="71" t="str">
        <f t="shared" ca="1" si="137"/>
        <v/>
      </c>
      <c r="R547" s="63"/>
      <c r="S547" s="81"/>
    </row>
    <row r="548" spans="1:20" ht="15" customHeight="1">
      <c r="A548" s="59">
        <v>46255</v>
      </c>
      <c r="B548" s="60">
        <f t="shared" si="138"/>
        <v>0.58333333333333304</v>
      </c>
      <c r="C548" s="61" t="s">
        <v>30</v>
      </c>
      <c r="D548" s="62" t="s">
        <v>39</v>
      </c>
      <c r="E548" s="87" t="s">
        <v>274</v>
      </c>
      <c r="F548" s="88">
        <f>IFERROR(IF($D548="","",VLOOKUP($D548,Cadastro!$C$4:$E$7,3,FALSE())),"")</f>
        <v>0.24</v>
      </c>
      <c r="G548" s="89"/>
      <c r="H548" s="88" t="str">
        <f>IFERROR(IF($G548="","",$G548*$S$554/$G$554/Cadastro!$E$33),"")</f>
        <v/>
      </c>
      <c r="I548" s="90">
        <f>IFERROR(IF($D548="","",VLOOKUP($D548,Cadastro!$C$4:$G$7,5,FALSE())),"")</f>
        <v>0.6</v>
      </c>
      <c r="J548" s="91" t="str">
        <f t="shared" si="135"/>
        <v/>
      </c>
      <c r="K548" s="64" t="str">
        <f t="shared" si="136"/>
        <v/>
      </c>
      <c r="L548" s="61"/>
      <c r="M548" s="61"/>
      <c r="N548" s="61"/>
      <c r="O548" s="65"/>
      <c r="P548" s="65"/>
      <c r="Q548" s="66" t="str">
        <f t="shared" ca="1" si="137"/>
        <v/>
      </c>
      <c r="R548" s="63"/>
      <c r="S548" s="81"/>
    </row>
    <row r="549" spans="1:20" ht="15" customHeight="1">
      <c r="A549" s="18">
        <v>46255</v>
      </c>
      <c r="B549" s="68">
        <f t="shared" si="138"/>
        <v>0.62499999999999967</v>
      </c>
      <c r="C549" s="61" t="s">
        <v>30</v>
      </c>
      <c r="D549" s="62" t="s">
        <v>39</v>
      </c>
      <c r="E549" s="87" t="s">
        <v>274</v>
      </c>
      <c r="F549" s="88">
        <f>IFERROR(IF($D549="","",VLOOKUP($D549,Cadastro!$C$4:$E$7,3,FALSE())),"")</f>
        <v>0.24</v>
      </c>
      <c r="G549" s="89"/>
      <c r="H549" s="88" t="str">
        <f>IFERROR(IF($G549="","",$G549*$S$554/$G$554/Cadastro!$E$33),"")</f>
        <v/>
      </c>
      <c r="I549" s="90">
        <f>IFERROR(IF($D549="","",VLOOKUP($D549,Cadastro!$C$4:$G$7,5,FALSE())),"")</f>
        <v>0.6</v>
      </c>
      <c r="J549" s="91" t="str">
        <f t="shared" si="135"/>
        <v/>
      </c>
      <c r="K549" s="69" t="str">
        <f t="shared" si="136"/>
        <v/>
      </c>
      <c r="L549" s="70"/>
      <c r="M549" s="70"/>
      <c r="N549" s="70"/>
      <c r="O549" s="65"/>
      <c r="P549" s="65"/>
      <c r="Q549" s="71" t="str">
        <f t="shared" ca="1" si="137"/>
        <v/>
      </c>
      <c r="R549" s="63"/>
      <c r="S549" s="81"/>
    </row>
    <row r="550" spans="1:20" ht="15" customHeight="1">
      <c r="A550" s="59">
        <v>46255</v>
      </c>
      <c r="B550" s="60">
        <f t="shared" si="138"/>
        <v>0.6666666666666663</v>
      </c>
      <c r="C550" s="61" t="s">
        <v>30</v>
      </c>
      <c r="D550" s="62" t="s">
        <v>39</v>
      </c>
      <c r="E550" s="87" t="s">
        <v>274</v>
      </c>
      <c r="F550" s="88">
        <f>IFERROR(IF($D550="","",VLOOKUP($D550,Cadastro!$C$4:$E$7,3,FALSE())),"")</f>
        <v>0.24</v>
      </c>
      <c r="G550" s="89"/>
      <c r="H550" s="88" t="str">
        <f>IFERROR(IF($G550="","",$G550*$S$554/$G$554/Cadastro!$E$33),"")</f>
        <v/>
      </c>
      <c r="I550" s="90">
        <f>IFERROR(IF($D550="","",VLOOKUP($D550,Cadastro!$C$4:$G$7,5,FALSE())),"")</f>
        <v>0.6</v>
      </c>
      <c r="J550" s="91" t="str">
        <f t="shared" si="135"/>
        <v/>
      </c>
      <c r="K550" s="64" t="str">
        <f t="shared" si="136"/>
        <v/>
      </c>
      <c r="L550" s="61"/>
      <c r="M550" s="61"/>
      <c r="N550" s="61"/>
      <c r="O550" s="65"/>
      <c r="P550" s="65"/>
      <c r="Q550" s="66" t="str">
        <f t="shared" ca="1" si="137"/>
        <v/>
      </c>
      <c r="R550" s="63"/>
      <c r="S550" s="81"/>
    </row>
    <row r="551" spans="1:20" ht="15" customHeight="1">
      <c r="A551" s="18">
        <v>46255</v>
      </c>
      <c r="B551" s="68">
        <f t="shared" si="138"/>
        <v>0.70833333333333293</v>
      </c>
      <c r="C551" s="61" t="s">
        <v>30</v>
      </c>
      <c r="D551" s="62" t="s">
        <v>39</v>
      </c>
      <c r="E551" s="87" t="s">
        <v>274</v>
      </c>
      <c r="F551" s="88">
        <f>IFERROR(IF($D551="","",VLOOKUP($D551,Cadastro!$C$4:$E$7,3,FALSE())),"")</f>
        <v>0.24</v>
      </c>
      <c r="G551" s="89"/>
      <c r="H551" s="88" t="str">
        <f>IFERROR(IF($G551="","",$G551*$S$554/$G$554/Cadastro!$E$33),"")</f>
        <v/>
      </c>
      <c r="I551" s="90">
        <f>IFERROR(IF($D551="","",VLOOKUP($D551,Cadastro!$C$4:$G$7,5,FALSE())),"")</f>
        <v>0.6</v>
      </c>
      <c r="J551" s="91" t="str">
        <f t="shared" si="135"/>
        <v/>
      </c>
      <c r="K551" s="69" t="str">
        <f t="shared" si="136"/>
        <v/>
      </c>
      <c r="L551" s="70"/>
      <c r="M551" s="70"/>
      <c r="N551" s="70"/>
      <c r="O551" s="65"/>
      <c r="P551" s="65"/>
      <c r="Q551" s="71" t="str">
        <f t="shared" ca="1" si="137"/>
        <v/>
      </c>
      <c r="R551" s="63"/>
      <c r="S551" s="81"/>
    </row>
    <row r="552" spans="1:20" ht="15" customHeight="1">
      <c r="A552" s="59">
        <v>46255</v>
      </c>
      <c r="B552" s="60">
        <f t="shared" si="138"/>
        <v>0.74999999999999956</v>
      </c>
      <c r="C552" s="61" t="s">
        <v>30</v>
      </c>
      <c r="D552" s="62" t="s">
        <v>39</v>
      </c>
      <c r="E552" s="87" t="s">
        <v>274</v>
      </c>
      <c r="F552" s="88">
        <f>IFERROR(IF($D552="","",VLOOKUP($D552,Cadastro!$C$4:$E$7,3,FALSE())),"")</f>
        <v>0.24</v>
      </c>
      <c r="G552" s="89"/>
      <c r="H552" s="88" t="str">
        <f>IFERROR(IF($G552="","",$G552*$S$554/$G$554/Cadastro!$E$33),"")</f>
        <v/>
      </c>
      <c r="I552" s="90">
        <f>IFERROR(IF($D552="","",VLOOKUP($D552,Cadastro!$C$4:$G$7,5,FALSE())),"")</f>
        <v>0.6</v>
      </c>
      <c r="J552" s="91" t="str">
        <f t="shared" si="135"/>
        <v/>
      </c>
      <c r="K552" s="64" t="str">
        <f t="shared" si="136"/>
        <v/>
      </c>
      <c r="L552" s="61"/>
      <c r="M552" s="61"/>
      <c r="N552" s="61"/>
      <c r="O552" s="65"/>
      <c r="P552" s="65"/>
      <c r="Q552" s="66" t="str">
        <f t="shared" ca="1" si="137"/>
        <v/>
      </c>
      <c r="R552" s="63"/>
      <c r="S552" s="81"/>
    </row>
    <row r="553" spans="1:20" ht="15" customHeight="1">
      <c r="A553" s="18">
        <v>46255</v>
      </c>
      <c r="B553" s="68">
        <f t="shared" si="138"/>
        <v>0.79166666666666619</v>
      </c>
      <c r="C553" s="61" t="s">
        <v>30</v>
      </c>
      <c r="D553" s="62" t="s">
        <v>39</v>
      </c>
      <c r="E553" s="87" t="s">
        <v>274</v>
      </c>
      <c r="F553" s="92">
        <f>IFERROR(IF($D553="","",VLOOKUP($D553,Cadastro!$C$4:$E$7,3,FALSE())),"")</f>
        <v>0.24</v>
      </c>
      <c r="G553" s="89"/>
      <c r="H553" s="92" t="str">
        <f>IFERROR(IF($G553="","",$G553*$S$554/$G$554/Cadastro!$E$33),"")</f>
        <v/>
      </c>
      <c r="I553" s="93">
        <f>IFERROR(IF($D553="","",VLOOKUP($D553,Cadastro!$C$4:$G$7,5,FALSE())),"")</f>
        <v>0.6</v>
      </c>
      <c r="J553" s="94" t="str">
        <f t="shared" si="135"/>
        <v/>
      </c>
      <c r="K553" s="69" t="str">
        <f t="shared" si="136"/>
        <v/>
      </c>
      <c r="L553" s="70"/>
      <c r="M553" s="70"/>
      <c r="N553" s="70"/>
      <c r="O553" s="65"/>
      <c r="P553" s="65"/>
      <c r="Q553" s="71" t="str">
        <f t="shared" ca="1" si="137"/>
        <v/>
      </c>
      <c r="R553" s="63"/>
      <c r="S553" s="81"/>
    </row>
    <row r="554" spans="1:20" ht="15.75" customHeight="1">
      <c r="A554" s="156" t="s">
        <v>260</v>
      </c>
      <c r="B554" s="156"/>
      <c r="C554" s="156"/>
      <c r="D554" s="156"/>
      <c r="E554" s="156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72"/>
      <c r="P554" s="72"/>
      <c r="Q554" s="73">
        <f ca="1">IFERROR(SUM(Q542:Q553),"")</f>
        <v>0.19243009259662358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39">IFERROR(IF($H555="","",$H555*$F555*$I555),"")</f>
        <v/>
      </c>
      <c r="K555" s="69" t="str">
        <f t="shared" ref="K555:K566" si="140">IF(G555="","",IF(E555="PC 17",G555*4.2,IF(E555="PC 19",G555*5,IF(E555="CB",G555*24,""))))</f>
        <v/>
      </c>
      <c r="L555" s="70"/>
      <c r="M555" s="70"/>
      <c r="N555" s="70"/>
      <c r="O555" s="65"/>
      <c r="P555" s="65"/>
      <c r="Q555" s="71" t="str">
        <f t="shared" ref="Q555:Q566" ca="1" si="141">IFERROR(IF(O555="","",IF(P555="",MOD(NOW()-O555,1),IF(P555&gt;=O555,P555-O555,P555+1-O555))),"")</f>
        <v/>
      </c>
      <c r="R555" s="63"/>
      <c r="S555" s="81"/>
    </row>
    <row r="556" spans="1:20" ht="15" customHeight="1">
      <c r="A556" s="59">
        <v>46255</v>
      </c>
      <c r="B556" s="60">
        <f t="shared" ref="B556:B566" si="142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39"/>
        <v/>
      </c>
      <c r="K556" s="64" t="str">
        <f t="shared" si="140"/>
        <v/>
      </c>
      <c r="L556" s="61"/>
      <c r="M556" s="61"/>
      <c r="N556" s="61"/>
      <c r="O556" s="65"/>
      <c r="P556" s="65"/>
      <c r="Q556" s="66" t="str">
        <f t="shared" ca="1" si="141"/>
        <v/>
      </c>
      <c r="R556" s="63"/>
      <c r="S556" s="81"/>
    </row>
    <row r="557" spans="1:20" ht="15" customHeight="1">
      <c r="A557" s="18">
        <v>46255</v>
      </c>
      <c r="B557" s="68">
        <f t="shared" si="142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39"/>
        <v/>
      </c>
      <c r="K557" s="69" t="str">
        <f t="shared" si="140"/>
        <v/>
      </c>
      <c r="L557" s="70"/>
      <c r="M557" s="70"/>
      <c r="N557" s="70"/>
      <c r="O557" s="65"/>
      <c r="P557" s="65"/>
      <c r="Q557" s="71" t="str">
        <f t="shared" ca="1" si="141"/>
        <v/>
      </c>
      <c r="R557" s="63"/>
      <c r="S557" s="81"/>
    </row>
    <row r="558" spans="1:20" ht="15" customHeight="1">
      <c r="A558" s="59">
        <v>46255</v>
      </c>
      <c r="B558" s="60">
        <f t="shared" si="142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39"/>
        <v/>
      </c>
      <c r="K558" s="64" t="str">
        <f t="shared" si="140"/>
        <v/>
      </c>
      <c r="L558" s="61"/>
      <c r="M558" s="61"/>
      <c r="N558" s="61"/>
      <c r="O558" s="65"/>
      <c r="P558" s="65"/>
      <c r="Q558" s="66" t="str">
        <f t="shared" ca="1" si="141"/>
        <v/>
      </c>
      <c r="R558" s="63"/>
      <c r="S558" s="81"/>
    </row>
    <row r="559" spans="1:20" ht="15" customHeight="1">
      <c r="A559" s="18">
        <v>46255</v>
      </c>
      <c r="B559" s="68">
        <f t="shared" si="142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39"/>
        <v/>
      </c>
      <c r="K559" s="69" t="str">
        <f t="shared" si="140"/>
        <v/>
      </c>
      <c r="L559" s="70"/>
      <c r="M559" s="70"/>
      <c r="N559" s="70"/>
      <c r="O559" s="65"/>
      <c r="P559" s="65"/>
      <c r="Q559" s="71" t="str">
        <f t="shared" ca="1" si="141"/>
        <v/>
      </c>
      <c r="R559" s="63"/>
      <c r="S559" s="81"/>
    </row>
    <row r="560" spans="1:20" ht="15" customHeight="1">
      <c r="A560" s="59">
        <v>46255</v>
      </c>
      <c r="B560" s="60">
        <f t="shared" si="142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39"/>
        <v/>
      </c>
      <c r="K560" s="64" t="str">
        <f t="shared" si="140"/>
        <v/>
      </c>
      <c r="L560" s="61"/>
      <c r="M560" s="61"/>
      <c r="N560" s="61"/>
      <c r="O560" s="65"/>
      <c r="P560" s="65"/>
      <c r="Q560" s="66" t="str">
        <f t="shared" ca="1" si="141"/>
        <v/>
      </c>
      <c r="R560" s="63"/>
      <c r="S560" s="81"/>
    </row>
    <row r="561" spans="1:20" ht="15" customHeight="1">
      <c r="A561" s="18">
        <v>46255</v>
      </c>
      <c r="B561" s="68">
        <f t="shared" si="142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39"/>
        <v/>
      </c>
      <c r="K561" s="69" t="str">
        <f t="shared" si="140"/>
        <v/>
      </c>
      <c r="L561" s="70"/>
      <c r="M561" s="70"/>
      <c r="N561" s="70"/>
      <c r="O561" s="65"/>
      <c r="P561" s="65"/>
      <c r="Q561" s="71" t="str">
        <f t="shared" ca="1" si="141"/>
        <v/>
      </c>
      <c r="R561" s="63"/>
      <c r="S561" s="81"/>
    </row>
    <row r="562" spans="1:20" ht="15" customHeight="1">
      <c r="A562" s="59">
        <v>46255</v>
      </c>
      <c r="B562" s="60">
        <f t="shared" si="142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39"/>
        <v/>
      </c>
      <c r="K562" s="64" t="str">
        <f t="shared" si="140"/>
        <v/>
      </c>
      <c r="L562" s="61"/>
      <c r="M562" s="61"/>
      <c r="N562" s="61"/>
      <c r="O562" s="65"/>
      <c r="P562" s="65"/>
      <c r="Q562" s="66" t="str">
        <f t="shared" ca="1" si="141"/>
        <v/>
      </c>
      <c r="R562" s="63"/>
      <c r="S562" s="81"/>
    </row>
    <row r="563" spans="1:20" ht="15" customHeight="1">
      <c r="A563" s="18">
        <v>46255</v>
      </c>
      <c r="B563" s="68">
        <f t="shared" si="142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39"/>
        <v/>
      </c>
      <c r="K563" s="69" t="str">
        <f t="shared" si="140"/>
        <v/>
      </c>
      <c r="L563" s="70"/>
      <c r="M563" s="70"/>
      <c r="N563" s="70"/>
      <c r="O563" s="65"/>
      <c r="P563" s="65"/>
      <c r="Q563" s="71" t="str">
        <f t="shared" ca="1" si="141"/>
        <v/>
      </c>
      <c r="R563" s="63"/>
      <c r="S563" s="81"/>
    </row>
    <row r="564" spans="1:20" ht="15" customHeight="1">
      <c r="A564" s="59">
        <v>46255</v>
      </c>
      <c r="B564" s="60">
        <f t="shared" si="142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39"/>
        <v/>
      </c>
      <c r="K564" s="64" t="str">
        <f t="shared" si="140"/>
        <v/>
      </c>
      <c r="L564" s="61"/>
      <c r="M564" s="61"/>
      <c r="N564" s="61"/>
      <c r="O564" s="65"/>
      <c r="P564" s="65"/>
      <c r="Q564" s="66" t="str">
        <f t="shared" ca="1" si="141"/>
        <v/>
      </c>
      <c r="R564" s="63"/>
      <c r="S564" s="81"/>
    </row>
    <row r="565" spans="1:20" ht="15" customHeight="1">
      <c r="A565" s="18">
        <v>46255</v>
      </c>
      <c r="B565" s="68">
        <f t="shared" si="142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39"/>
        <v/>
      </c>
      <c r="K565" s="69" t="str">
        <f t="shared" si="140"/>
        <v/>
      </c>
      <c r="L565" s="70"/>
      <c r="M565" s="70"/>
      <c r="N565" s="70"/>
      <c r="O565" s="65"/>
      <c r="P565" s="65"/>
      <c r="Q565" s="71" t="str">
        <f t="shared" ca="1" si="141"/>
        <v/>
      </c>
      <c r="R565" s="63"/>
      <c r="S565" s="81"/>
    </row>
    <row r="566" spans="1:20" ht="15" customHeight="1">
      <c r="A566" s="59">
        <v>46255</v>
      </c>
      <c r="B566" s="60">
        <f t="shared" si="142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39"/>
        <v/>
      </c>
      <c r="K566" s="64" t="str">
        <f t="shared" si="140"/>
        <v/>
      </c>
      <c r="L566" s="61"/>
      <c r="M566" s="61"/>
      <c r="N566" s="61"/>
      <c r="O566" s="65"/>
      <c r="P566" s="65"/>
      <c r="Q566" s="66" t="str">
        <f t="shared" ca="1" si="141"/>
        <v/>
      </c>
      <c r="R566" s="63"/>
      <c r="S566" s="81"/>
    </row>
    <row r="567" spans="1:20" ht="15.75" customHeight="1">
      <c r="A567" s="156" t="s">
        <v>263</v>
      </c>
      <c r="B567" s="156"/>
      <c r="C567" s="156"/>
      <c r="D567" s="156"/>
      <c r="E567" s="156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57" t="s">
        <v>249</v>
      </c>
      <c r="B568" s="157"/>
      <c r="C568" s="157"/>
      <c r="D568" s="157"/>
      <c r="E568" s="157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76"/>
      <c r="P568" s="76"/>
      <c r="Q568" s="77">
        <f ca="1">IFERROR(Q554+Q567,"")</f>
        <v>0.19243009259662358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3">IFERROR(IF($H569="","",$H569*$F569*$I569),"")</f>
        <v/>
      </c>
      <c r="K569" s="69" t="str">
        <f t="shared" ref="K569:K580" si="144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5">IFERROR(IF(O569="","",IF(P569="",MOD(NOW()-O569,1),IF(P569&gt;=O569,P569-O569,P569+1-O569))),"")</f>
        <v/>
      </c>
      <c r="R569" s="63"/>
      <c r="S569" s="81"/>
    </row>
    <row r="570" spans="1:20" ht="15" customHeight="1">
      <c r="A570" s="59">
        <v>46256</v>
      </c>
      <c r="B570" s="60">
        <f t="shared" ref="B570:B580" si="146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3"/>
        <v/>
      </c>
      <c r="K570" s="69" t="str">
        <f t="shared" si="144"/>
        <v/>
      </c>
      <c r="L570" s="61"/>
      <c r="M570" s="61"/>
      <c r="N570" s="61"/>
      <c r="O570" s="65"/>
      <c r="P570" s="65"/>
      <c r="Q570" s="66" t="str">
        <f t="shared" ca="1" si="145"/>
        <v/>
      </c>
      <c r="R570" s="63"/>
      <c r="S570" s="81"/>
    </row>
    <row r="571" spans="1:20" ht="15" customHeight="1">
      <c r="A571" s="18">
        <v>46256</v>
      </c>
      <c r="B571" s="68">
        <f t="shared" si="146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3"/>
        <v/>
      </c>
      <c r="K571" s="69" t="str">
        <f t="shared" si="144"/>
        <v/>
      </c>
      <c r="L571" s="70"/>
      <c r="M571" s="70"/>
      <c r="N571" s="70"/>
      <c r="O571" s="65"/>
      <c r="P571" s="65"/>
      <c r="Q571" s="71" t="str">
        <f t="shared" ca="1" si="145"/>
        <v/>
      </c>
      <c r="R571" s="63"/>
      <c r="S571" s="81"/>
    </row>
    <row r="572" spans="1:20" ht="15" customHeight="1">
      <c r="A572" s="59">
        <v>46256</v>
      </c>
      <c r="B572" s="60">
        <f t="shared" si="146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3"/>
        <v/>
      </c>
      <c r="K572" s="69" t="str">
        <f t="shared" si="144"/>
        <v/>
      </c>
      <c r="L572" s="61"/>
      <c r="M572" s="61"/>
      <c r="N572" s="61"/>
      <c r="O572" s="65"/>
      <c r="P572" s="65"/>
      <c r="Q572" s="66" t="str">
        <f t="shared" ca="1" si="145"/>
        <v/>
      </c>
      <c r="R572" s="63"/>
      <c r="S572" s="81"/>
    </row>
    <row r="573" spans="1:20" ht="15" customHeight="1">
      <c r="A573" s="18">
        <v>46256</v>
      </c>
      <c r="B573" s="68">
        <f t="shared" si="146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3"/>
        <v/>
      </c>
      <c r="K573" s="69" t="str">
        <f t="shared" si="144"/>
        <v/>
      </c>
      <c r="L573" s="70"/>
      <c r="M573" s="70"/>
      <c r="N573" s="70"/>
      <c r="O573" s="65"/>
      <c r="P573" s="65"/>
      <c r="Q573" s="71" t="str">
        <f t="shared" ca="1" si="145"/>
        <v/>
      </c>
      <c r="R573" s="63"/>
      <c r="S573" s="81"/>
    </row>
    <row r="574" spans="1:20" ht="15" customHeight="1">
      <c r="A574" s="59">
        <v>46256</v>
      </c>
      <c r="B574" s="60">
        <f t="shared" si="146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3"/>
        <v/>
      </c>
      <c r="K574" s="69" t="str">
        <f t="shared" si="144"/>
        <v/>
      </c>
      <c r="L574" s="61"/>
      <c r="M574" s="61"/>
      <c r="N574" s="61"/>
      <c r="O574" s="65"/>
      <c r="P574" s="65"/>
      <c r="Q574" s="66" t="str">
        <f t="shared" ca="1" si="145"/>
        <v/>
      </c>
      <c r="R574" s="63"/>
      <c r="S574" s="81"/>
    </row>
    <row r="575" spans="1:20" ht="15" customHeight="1">
      <c r="A575" s="18">
        <v>46256</v>
      </c>
      <c r="B575" s="68">
        <f t="shared" si="146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3"/>
        <v/>
      </c>
      <c r="K575" s="69" t="str">
        <f t="shared" si="144"/>
        <v/>
      </c>
      <c r="L575" s="70"/>
      <c r="M575" s="70"/>
      <c r="N575" s="70"/>
      <c r="O575" s="65"/>
      <c r="P575" s="65"/>
      <c r="Q575" s="71" t="str">
        <f t="shared" ca="1" si="145"/>
        <v/>
      </c>
      <c r="R575" s="63"/>
      <c r="S575" s="81"/>
    </row>
    <row r="576" spans="1:20" ht="15" customHeight="1">
      <c r="A576" s="59">
        <v>46256</v>
      </c>
      <c r="B576" s="60">
        <f t="shared" si="146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3"/>
        <v/>
      </c>
      <c r="K576" s="69" t="str">
        <f t="shared" si="144"/>
        <v/>
      </c>
      <c r="L576" s="61"/>
      <c r="M576" s="61"/>
      <c r="N576" s="61"/>
      <c r="O576" s="65"/>
      <c r="P576" s="65"/>
      <c r="Q576" s="66" t="str">
        <f t="shared" ca="1" si="145"/>
        <v/>
      </c>
      <c r="R576" s="63"/>
      <c r="S576" s="81"/>
    </row>
    <row r="577" spans="1:20" ht="15" customHeight="1">
      <c r="A577" s="18">
        <v>46256</v>
      </c>
      <c r="B577" s="68">
        <f t="shared" si="146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3"/>
        <v/>
      </c>
      <c r="K577" s="69" t="str">
        <f t="shared" si="144"/>
        <v/>
      </c>
      <c r="L577" s="70"/>
      <c r="M577" s="70"/>
      <c r="N577" s="70"/>
      <c r="O577" s="65"/>
      <c r="P577" s="65"/>
      <c r="Q577" s="71" t="str">
        <f t="shared" ca="1" si="145"/>
        <v/>
      </c>
      <c r="R577" s="63"/>
      <c r="S577" s="81"/>
    </row>
    <row r="578" spans="1:20" ht="15" customHeight="1">
      <c r="A578" s="59">
        <v>46256</v>
      </c>
      <c r="B578" s="60">
        <f t="shared" si="146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3"/>
        <v/>
      </c>
      <c r="K578" s="69" t="str">
        <f t="shared" si="144"/>
        <v/>
      </c>
      <c r="L578" s="61"/>
      <c r="M578" s="61"/>
      <c r="N578" s="61"/>
      <c r="O578" s="65"/>
      <c r="P578" s="65"/>
      <c r="Q578" s="66" t="str">
        <f t="shared" ca="1" si="145"/>
        <v/>
      </c>
      <c r="R578" s="63"/>
      <c r="S578" s="81"/>
    </row>
    <row r="579" spans="1:20" ht="15" customHeight="1">
      <c r="A579" s="18">
        <v>46256</v>
      </c>
      <c r="B579" s="68">
        <f t="shared" si="146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3"/>
        <v/>
      </c>
      <c r="K579" s="69" t="str">
        <f t="shared" si="144"/>
        <v/>
      </c>
      <c r="L579" s="70"/>
      <c r="M579" s="70"/>
      <c r="N579" s="70"/>
      <c r="O579" s="65"/>
      <c r="P579" s="65"/>
      <c r="Q579" s="71" t="str">
        <f t="shared" ca="1" si="145"/>
        <v/>
      </c>
      <c r="R579" s="63"/>
      <c r="S579" s="81"/>
    </row>
    <row r="580" spans="1:20" ht="15" customHeight="1">
      <c r="A580" s="59">
        <v>46256</v>
      </c>
      <c r="B580" s="60">
        <f t="shared" si="146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3"/>
        <v/>
      </c>
      <c r="K580" s="69" t="str">
        <f t="shared" si="144"/>
        <v/>
      </c>
      <c r="L580" s="61"/>
      <c r="M580" s="61"/>
      <c r="N580" s="61"/>
      <c r="O580" s="65"/>
      <c r="P580" s="65"/>
      <c r="Q580" s="66" t="str">
        <f t="shared" ca="1" si="145"/>
        <v/>
      </c>
      <c r="R580" s="63"/>
      <c r="S580" s="81"/>
    </row>
    <row r="581" spans="1:20" ht="15.75" customHeight="1">
      <c r="A581" s="156" t="s">
        <v>260</v>
      </c>
      <c r="B581" s="156"/>
      <c r="C581" s="156"/>
      <c r="D581" s="156"/>
      <c r="E581" s="156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47">IFERROR(IF($H582="","",$H582*$F582*$I582),"")</f>
        <v/>
      </c>
      <c r="K582" s="64" t="str">
        <f t="shared" ref="K582:K593" si="148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49">IFERROR(IF(O582="","",IF(P582="",MOD(NOW()-O582,1),IF(P582&gt;=O582,P582-O582,P582+1-O582))),"")</f>
        <v/>
      </c>
      <c r="R582" s="63"/>
      <c r="S582" s="81"/>
    </row>
    <row r="583" spans="1:20" ht="15" customHeight="1">
      <c r="A583" s="18">
        <v>46256</v>
      </c>
      <c r="B583" s="68">
        <f t="shared" ref="B583:B593" si="150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47"/>
        <v/>
      </c>
      <c r="K583" s="69" t="str">
        <f t="shared" si="148"/>
        <v/>
      </c>
      <c r="L583" s="70"/>
      <c r="M583" s="70"/>
      <c r="N583" s="70"/>
      <c r="O583" s="65"/>
      <c r="P583" s="65"/>
      <c r="Q583" s="71" t="str">
        <f t="shared" ca="1" si="149"/>
        <v/>
      </c>
      <c r="R583" s="63"/>
      <c r="S583" s="81"/>
    </row>
    <row r="584" spans="1:20" ht="15" customHeight="1">
      <c r="A584" s="59">
        <v>46256</v>
      </c>
      <c r="B584" s="60">
        <f t="shared" si="150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47"/>
        <v/>
      </c>
      <c r="K584" s="64" t="str">
        <f t="shared" si="148"/>
        <v/>
      </c>
      <c r="L584" s="61"/>
      <c r="M584" s="61"/>
      <c r="N584" s="61"/>
      <c r="O584" s="65"/>
      <c r="P584" s="65"/>
      <c r="Q584" s="66" t="str">
        <f t="shared" ca="1" si="149"/>
        <v/>
      </c>
      <c r="R584" s="63"/>
      <c r="S584" s="81"/>
    </row>
    <row r="585" spans="1:20" ht="15" customHeight="1">
      <c r="A585" s="18">
        <v>46256</v>
      </c>
      <c r="B585" s="68">
        <f t="shared" si="150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47"/>
        <v/>
      </c>
      <c r="K585" s="69" t="str">
        <f t="shared" si="148"/>
        <v/>
      </c>
      <c r="L585" s="70"/>
      <c r="M585" s="70"/>
      <c r="N585" s="70"/>
      <c r="O585" s="65"/>
      <c r="P585" s="65"/>
      <c r="Q585" s="71" t="str">
        <f t="shared" ca="1" si="149"/>
        <v/>
      </c>
      <c r="R585" s="63"/>
      <c r="S585" s="81"/>
    </row>
    <row r="586" spans="1:20" ht="15" customHeight="1">
      <c r="A586" s="59">
        <v>46256</v>
      </c>
      <c r="B586" s="60">
        <f t="shared" si="150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47"/>
        <v/>
      </c>
      <c r="K586" s="64" t="str">
        <f t="shared" si="148"/>
        <v/>
      </c>
      <c r="L586" s="61"/>
      <c r="M586" s="61"/>
      <c r="N586" s="61"/>
      <c r="O586" s="65"/>
      <c r="P586" s="65"/>
      <c r="Q586" s="66" t="str">
        <f t="shared" ca="1" si="149"/>
        <v/>
      </c>
      <c r="R586" s="63"/>
      <c r="S586" s="81"/>
    </row>
    <row r="587" spans="1:20" ht="15" customHeight="1">
      <c r="A587" s="18">
        <v>46256</v>
      </c>
      <c r="B587" s="68">
        <f t="shared" si="150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47"/>
        <v/>
      </c>
      <c r="K587" s="69" t="str">
        <f t="shared" si="148"/>
        <v/>
      </c>
      <c r="L587" s="70"/>
      <c r="M587" s="70"/>
      <c r="N587" s="70"/>
      <c r="O587" s="65"/>
      <c r="P587" s="65"/>
      <c r="Q587" s="71" t="str">
        <f t="shared" ca="1" si="149"/>
        <v/>
      </c>
      <c r="R587" s="63"/>
      <c r="S587" s="81"/>
    </row>
    <row r="588" spans="1:20" ht="15" customHeight="1">
      <c r="A588" s="59">
        <v>46256</v>
      </c>
      <c r="B588" s="60">
        <f t="shared" si="150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47"/>
        <v/>
      </c>
      <c r="K588" s="64" t="str">
        <f t="shared" si="148"/>
        <v/>
      </c>
      <c r="L588" s="61"/>
      <c r="M588" s="61"/>
      <c r="N588" s="61"/>
      <c r="O588" s="65"/>
      <c r="P588" s="65"/>
      <c r="Q588" s="66" t="str">
        <f t="shared" ca="1" si="149"/>
        <v/>
      </c>
      <c r="R588" s="63"/>
      <c r="S588" s="81"/>
    </row>
    <row r="589" spans="1:20" ht="15" customHeight="1">
      <c r="A589" s="18">
        <v>46256</v>
      </c>
      <c r="B589" s="68">
        <f t="shared" si="150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47"/>
        <v/>
      </c>
      <c r="K589" s="69" t="str">
        <f t="shared" si="148"/>
        <v/>
      </c>
      <c r="L589" s="70"/>
      <c r="M589" s="70"/>
      <c r="N589" s="70"/>
      <c r="O589" s="65"/>
      <c r="P589" s="65"/>
      <c r="Q589" s="71" t="str">
        <f t="shared" ca="1" si="149"/>
        <v/>
      </c>
      <c r="R589" s="63"/>
      <c r="S589" s="81"/>
    </row>
    <row r="590" spans="1:20" ht="15" customHeight="1">
      <c r="B590" s="60">
        <f t="shared" si="150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47"/>
        <v/>
      </c>
      <c r="K590" s="64" t="str">
        <f t="shared" si="148"/>
        <v/>
      </c>
      <c r="L590" s="61"/>
      <c r="M590" s="61"/>
      <c r="N590" s="61"/>
      <c r="O590" s="65"/>
      <c r="P590" s="65"/>
      <c r="Q590" s="66" t="str">
        <f t="shared" ca="1" si="149"/>
        <v/>
      </c>
      <c r="R590" s="63"/>
      <c r="S590" s="81"/>
    </row>
    <row r="591" spans="1:20" ht="15" customHeight="1">
      <c r="A591" s="18">
        <v>46256</v>
      </c>
      <c r="B591" s="68">
        <f t="shared" si="150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47"/>
        <v/>
      </c>
      <c r="K591" s="69" t="str">
        <f t="shared" si="148"/>
        <v/>
      </c>
      <c r="L591" s="70"/>
      <c r="M591" s="70"/>
      <c r="N591" s="70"/>
      <c r="O591" s="65"/>
      <c r="P591" s="65"/>
      <c r="Q591" s="71" t="str">
        <f t="shared" ca="1" si="149"/>
        <v/>
      </c>
      <c r="R591" s="63"/>
      <c r="S591" s="81"/>
    </row>
    <row r="592" spans="1:20" ht="15" customHeight="1">
      <c r="A592" s="59">
        <v>46256</v>
      </c>
      <c r="B592" s="60">
        <f t="shared" si="150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47"/>
        <v/>
      </c>
      <c r="K592" s="64" t="str">
        <f t="shared" si="148"/>
        <v/>
      </c>
      <c r="L592" s="61"/>
      <c r="M592" s="61"/>
      <c r="N592" s="61"/>
      <c r="O592" s="65"/>
      <c r="P592" s="65"/>
      <c r="Q592" s="66" t="str">
        <f t="shared" ca="1" si="149"/>
        <v/>
      </c>
      <c r="R592" s="63"/>
      <c r="S592" s="81"/>
    </row>
    <row r="593" spans="1:20" ht="15" customHeight="1">
      <c r="A593" s="18">
        <v>46256</v>
      </c>
      <c r="B593" s="68">
        <f t="shared" si="150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47"/>
        <v/>
      </c>
      <c r="K593" s="69" t="str">
        <f t="shared" si="148"/>
        <v/>
      </c>
      <c r="L593" s="70"/>
      <c r="M593" s="70"/>
      <c r="N593" s="70"/>
      <c r="O593" s="65"/>
      <c r="P593" s="65"/>
      <c r="Q593" s="71" t="str">
        <f t="shared" ca="1" si="149"/>
        <v/>
      </c>
      <c r="R593" s="63"/>
      <c r="S593" s="81"/>
    </row>
    <row r="594" spans="1:20" ht="15.75" customHeight="1">
      <c r="A594" s="156" t="s">
        <v>263</v>
      </c>
      <c r="B594" s="156"/>
      <c r="C594" s="156"/>
      <c r="D594" s="156"/>
      <c r="E594" s="156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57" t="s">
        <v>249</v>
      </c>
      <c r="B595" s="157"/>
      <c r="C595" s="157"/>
      <c r="D595" s="157"/>
      <c r="E595" s="157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1">IFERROR(IF($H596="","",$H596*$F596*$I596),"")</f>
        <v/>
      </c>
      <c r="K596" s="64" t="str">
        <f t="shared" ref="K596:K607" si="152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3">IFERROR(IF(O596="","",IF(P596="",MOD(NOW()-O596,1),IF(P596&gt;=O596,P596-O596,P596+1-O596))),"")</f>
        <v/>
      </c>
      <c r="R596" s="63"/>
      <c r="S596" s="81"/>
    </row>
    <row r="597" spans="1:20" ht="15" customHeight="1">
      <c r="A597" s="18">
        <v>46257</v>
      </c>
      <c r="B597" s="68">
        <f t="shared" ref="B597:B607" si="154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1"/>
        <v/>
      </c>
      <c r="K597" s="69" t="str">
        <f t="shared" si="152"/>
        <v/>
      </c>
      <c r="L597" s="70"/>
      <c r="M597" s="70"/>
      <c r="N597" s="70"/>
      <c r="O597" s="65"/>
      <c r="P597" s="65"/>
      <c r="Q597" s="71" t="str">
        <f t="shared" ca="1" si="153"/>
        <v/>
      </c>
      <c r="R597" s="63"/>
      <c r="S597" s="81"/>
    </row>
    <row r="598" spans="1:20" ht="15" customHeight="1">
      <c r="A598" s="59">
        <v>46256</v>
      </c>
      <c r="B598" s="60">
        <f t="shared" si="154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1"/>
        <v/>
      </c>
      <c r="K598" s="64" t="str">
        <f t="shared" si="152"/>
        <v/>
      </c>
      <c r="L598" s="61"/>
      <c r="M598" s="61"/>
      <c r="N598" s="61"/>
      <c r="O598" s="65"/>
      <c r="P598" s="65"/>
      <c r="Q598" s="66" t="str">
        <f t="shared" ca="1" si="153"/>
        <v/>
      </c>
      <c r="R598" s="63"/>
      <c r="S598" s="81"/>
    </row>
    <row r="599" spans="1:20" ht="15" customHeight="1">
      <c r="A599" s="18">
        <v>46257</v>
      </c>
      <c r="B599" s="68">
        <f t="shared" si="154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1"/>
        <v/>
      </c>
      <c r="K599" s="69" t="str">
        <f t="shared" si="152"/>
        <v/>
      </c>
      <c r="L599" s="70"/>
      <c r="M599" s="70"/>
      <c r="N599" s="70"/>
      <c r="O599" s="65"/>
      <c r="P599" s="65"/>
      <c r="Q599" s="71" t="str">
        <f t="shared" ca="1" si="153"/>
        <v/>
      </c>
      <c r="R599" s="63"/>
      <c r="S599" s="81"/>
    </row>
    <row r="600" spans="1:20" ht="15" customHeight="1">
      <c r="A600" s="59">
        <v>46257</v>
      </c>
      <c r="B600" s="60">
        <f t="shared" si="154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1"/>
        <v/>
      </c>
      <c r="K600" s="64" t="str">
        <f t="shared" si="152"/>
        <v/>
      </c>
      <c r="L600" s="61"/>
      <c r="M600" s="61"/>
      <c r="N600" s="61"/>
      <c r="O600" s="65"/>
      <c r="P600" s="65"/>
      <c r="Q600" s="66" t="str">
        <f t="shared" ca="1" si="153"/>
        <v/>
      </c>
      <c r="R600" s="63"/>
      <c r="S600" s="81"/>
    </row>
    <row r="601" spans="1:20" ht="15" customHeight="1">
      <c r="A601" s="18">
        <v>46257</v>
      </c>
      <c r="B601" s="68">
        <f t="shared" si="154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1"/>
        <v/>
      </c>
      <c r="K601" s="69" t="str">
        <f t="shared" si="152"/>
        <v/>
      </c>
      <c r="L601" s="70"/>
      <c r="M601" s="70"/>
      <c r="N601" s="70"/>
      <c r="O601" s="65"/>
      <c r="P601" s="65"/>
      <c r="Q601" s="71" t="str">
        <f t="shared" ca="1" si="153"/>
        <v/>
      </c>
      <c r="R601" s="63"/>
      <c r="S601" s="81"/>
    </row>
    <row r="602" spans="1:20" ht="15" customHeight="1">
      <c r="A602" s="59">
        <v>46257</v>
      </c>
      <c r="B602" s="60">
        <f t="shared" si="154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1"/>
        <v/>
      </c>
      <c r="K602" s="64" t="str">
        <f t="shared" si="152"/>
        <v/>
      </c>
      <c r="L602" s="61"/>
      <c r="M602" s="61"/>
      <c r="N602" s="61"/>
      <c r="O602" s="65"/>
      <c r="P602" s="65"/>
      <c r="Q602" s="66" t="str">
        <f t="shared" ca="1" si="153"/>
        <v/>
      </c>
      <c r="R602" s="63"/>
      <c r="S602" s="81"/>
    </row>
    <row r="603" spans="1:20" ht="15" customHeight="1">
      <c r="A603" s="18">
        <v>46257</v>
      </c>
      <c r="B603" s="68">
        <f t="shared" si="154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1"/>
        <v/>
      </c>
      <c r="K603" s="69" t="str">
        <f t="shared" si="152"/>
        <v/>
      </c>
      <c r="L603" s="70"/>
      <c r="M603" s="70"/>
      <c r="N603" s="70"/>
      <c r="O603" s="65"/>
      <c r="P603" s="65"/>
      <c r="Q603" s="71" t="str">
        <f t="shared" ca="1" si="153"/>
        <v/>
      </c>
      <c r="R603" s="63"/>
      <c r="S603" s="81"/>
    </row>
    <row r="604" spans="1:20" ht="15" customHeight="1">
      <c r="A604" s="59">
        <v>46257</v>
      </c>
      <c r="B604" s="60">
        <f t="shared" si="154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1"/>
        <v/>
      </c>
      <c r="K604" s="64" t="str">
        <f t="shared" si="152"/>
        <v/>
      </c>
      <c r="L604" s="61"/>
      <c r="M604" s="61"/>
      <c r="N604" s="61"/>
      <c r="O604" s="65"/>
      <c r="P604" s="65"/>
      <c r="Q604" s="66" t="str">
        <f t="shared" ca="1" si="153"/>
        <v/>
      </c>
      <c r="R604" s="63"/>
      <c r="S604" s="81"/>
    </row>
    <row r="605" spans="1:20" ht="15" customHeight="1">
      <c r="A605" s="18">
        <v>46257</v>
      </c>
      <c r="B605" s="68">
        <f t="shared" si="154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1"/>
        <v/>
      </c>
      <c r="K605" s="69" t="str">
        <f t="shared" si="152"/>
        <v/>
      </c>
      <c r="L605" s="70"/>
      <c r="M605" s="70"/>
      <c r="N605" s="70"/>
      <c r="O605" s="65"/>
      <c r="P605" s="65"/>
      <c r="Q605" s="71" t="str">
        <f t="shared" ca="1" si="153"/>
        <v/>
      </c>
      <c r="R605" s="63"/>
      <c r="S605" s="81"/>
    </row>
    <row r="606" spans="1:20" ht="15" customHeight="1">
      <c r="A606" s="59">
        <v>46257</v>
      </c>
      <c r="B606" s="60">
        <f t="shared" si="154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1"/>
        <v/>
      </c>
      <c r="K606" s="64" t="str">
        <f t="shared" si="152"/>
        <v/>
      </c>
      <c r="L606" s="61"/>
      <c r="M606" s="61"/>
      <c r="N606" s="61"/>
      <c r="O606" s="65"/>
      <c r="P606" s="65"/>
      <c r="Q606" s="66" t="str">
        <f t="shared" ca="1" si="153"/>
        <v/>
      </c>
      <c r="R606" s="63"/>
      <c r="S606" s="81"/>
    </row>
    <row r="607" spans="1:20" ht="15" customHeight="1">
      <c r="A607" s="18">
        <v>46257</v>
      </c>
      <c r="B607" s="68">
        <f t="shared" si="154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1"/>
        <v/>
      </c>
      <c r="K607" s="69" t="str">
        <f t="shared" si="152"/>
        <v/>
      </c>
      <c r="L607" s="70"/>
      <c r="M607" s="70"/>
      <c r="N607" s="70"/>
      <c r="O607" s="65"/>
      <c r="P607" s="65"/>
      <c r="Q607" s="71" t="str">
        <f t="shared" ca="1" si="153"/>
        <v/>
      </c>
      <c r="R607" s="63"/>
      <c r="S607" s="81"/>
    </row>
    <row r="608" spans="1:20" ht="15.75" customHeight="1">
      <c r="A608" s="156" t="s">
        <v>260</v>
      </c>
      <c r="B608" s="156"/>
      <c r="C608" s="156"/>
      <c r="D608" s="156"/>
      <c r="E608" s="156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5">IFERROR(IF($H609="","",$H609*$F609*$I609),"")</f>
        <v/>
      </c>
      <c r="K609" s="69" t="str">
        <f t="shared" ref="K609:K614" si="156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57">IFERROR(IF(O609="","",IF(P609="",MOD(NOW()-O609,1),IF(P609&gt;=O609,P609-O609,P609+1-O609))),"")</f>
        <v/>
      </c>
      <c r="R609" s="63"/>
      <c r="S609" s="81"/>
    </row>
    <row r="610" spans="1:20" ht="15" customHeight="1">
      <c r="A610" s="59">
        <v>46257</v>
      </c>
      <c r="B610" s="60">
        <f t="shared" ref="B610:B620" si="158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5"/>
        <v/>
      </c>
      <c r="K610" s="64" t="str">
        <f t="shared" si="156"/>
        <v/>
      </c>
      <c r="L610" s="61"/>
      <c r="M610" s="61"/>
      <c r="N610" s="61"/>
      <c r="O610" s="65"/>
      <c r="P610" s="65"/>
      <c r="Q610" s="66" t="str">
        <f t="shared" ca="1" si="157"/>
        <v/>
      </c>
      <c r="R610" s="63"/>
      <c r="S610" s="81"/>
    </row>
    <row r="611" spans="1:20" ht="15" customHeight="1">
      <c r="A611" s="18">
        <v>46257</v>
      </c>
      <c r="B611" s="68">
        <f t="shared" si="158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5"/>
        <v/>
      </c>
      <c r="K611" s="69" t="str">
        <f t="shared" si="156"/>
        <v/>
      </c>
      <c r="L611" s="70"/>
      <c r="M611" s="70"/>
      <c r="N611" s="70"/>
      <c r="O611" s="65"/>
      <c r="P611" s="65"/>
      <c r="Q611" s="71" t="str">
        <f t="shared" ca="1" si="157"/>
        <v/>
      </c>
      <c r="R611" s="63"/>
      <c r="S611" s="81"/>
    </row>
    <row r="612" spans="1:20" ht="15" customHeight="1">
      <c r="A612" s="59">
        <v>46257</v>
      </c>
      <c r="B612" s="60">
        <f t="shared" si="158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5"/>
        <v/>
      </c>
      <c r="K612" s="64" t="str">
        <f t="shared" si="156"/>
        <v/>
      </c>
      <c r="L612" s="61"/>
      <c r="M612" s="61"/>
      <c r="N612" s="61"/>
      <c r="O612" s="65"/>
      <c r="P612" s="65"/>
      <c r="Q612" s="66" t="str">
        <f t="shared" ca="1" si="157"/>
        <v/>
      </c>
      <c r="R612" s="63"/>
      <c r="S612" s="81"/>
    </row>
    <row r="613" spans="1:20" ht="15" customHeight="1">
      <c r="A613" s="18">
        <v>46257</v>
      </c>
      <c r="B613" s="68">
        <f t="shared" si="158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5"/>
        <v/>
      </c>
      <c r="K613" s="69" t="str">
        <f t="shared" si="156"/>
        <v/>
      </c>
      <c r="L613" s="70"/>
      <c r="M613" s="70"/>
      <c r="N613" s="70"/>
      <c r="O613" s="65"/>
      <c r="P613" s="65"/>
      <c r="Q613" s="71" t="str">
        <f t="shared" ca="1" si="157"/>
        <v/>
      </c>
      <c r="R613" s="63"/>
      <c r="S613" s="81"/>
    </row>
    <row r="614" spans="1:20" ht="15" customHeight="1">
      <c r="A614" s="59">
        <v>46257</v>
      </c>
      <c r="B614" s="60">
        <f t="shared" si="158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5"/>
        <v/>
      </c>
      <c r="K614" s="64" t="str">
        <f t="shared" si="156"/>
        <v/>
      </c>
      <c r="L614" s="61"/>
      <c r="M614" s="61"/>
      <c r="N614" s="61"/>
      <c r="O614" s="65"/>
      <c r="P614" s="65"/>
      <c r="Q614" s="66" t="str">
        <f t="shared" ca="1" si="157"/>
        <v/>
      </c>
      <c r="R614" s="63"/>
      <c r="S614" s="81"/>
    </row>
    <row r="615" spans="1:20" ht="15" customHeight="1">
      <c r="A615" s="18">
        <v>46257</v>
      </c>
      <c r="B615" s="68">
        <f t="shared" si="158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5"/>
        <v/>
      </c>
      <c r="K615" s="69"/>
      <c r="L615" s="70"/>
      <c r="M615" s="70"/>
      <c r="N615" s="70"/>
      <c r="O615" s="65"/>
      <c r="P615" s="65"/>
      <c r="Q615" s="71" t="str">
        <f t="shared" ca="1" si="157"/>
        <v/>
      </c>
      <c r="R615" s="63"/>
      <c r="S615" s="81"/>
    </row>
    <row r="616" spans="1:20" ht="15" customHeight="1">
      <c r="A616" s="59">
        <v>46257</v>
      </c>
      <c r="B616" s="60">
        <f t="shared" si="158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5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57"/>
        <v/>
      </c>
      <c r="R616" s="63"/>
      <c r="S616" s="81"/>
    </row>
    <row r="617" spans="1:20" ht="15" customHeight="1">
      <c r="A617" s="18">
        <v>46257</v>
      </c>
      <c r="B617" s="68">
        <f t="shared" si="158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5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57"/>
        <v/>
      </c>
      <c r="R617" s="63"/>
      <c r="S617" s="81"/>
    </row>
    <row r="618" spans="1:20" ht="15" customHeight="1">
      <c r="A618" s="59">
        <v>46257</v>
      </c>
      <c r="B618" s="60">
        <f t="shared" si="158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5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57"/>
        <v/>
      </c>
      <c r="R618" s="63"/>
      <c r="S618" s="81"/>
    </row>
    <row r="619" spans="1:20" ht="15" customHeight="1">
      <c r="A619" s="18">
        <v>46257</v>
      </c>
      <c r="B619" s="68">
        <f t="shared" si="158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5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57"/>
        <v/>
      </c>
      <c r="R619" s="63"/>
      <c r="S619" s="81"/>
    </row>
    <row r="620" spans="1:20" ht="15" customHeight="1">
      <c r="A620" s="59">
        <v>46257</v>
      </c>
      <c r="B620" s="60">
        <f t="shared" si="158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5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57"/>
        <v/>
      </c>
      <c r="R620" s="63"/>
      <c r="S620" s="81"/>
    </row>
    <row r="621" spans="1:20" ht="15.75" customHeight="1">
      <c r="A621" s="156" t="s">
        <v>263</v>
      </c>
      <c r="B621" s="156"/>
      <c r="C621" s="156"/>
      <c r="D621" s="156"/>
      <c r="E621" s="156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57" t="s">
        <v>249</v>
      </c>
      <c r="B622" s="157"/>
      <c r="C622" s="157"/>
      <c r="D622" s="157"/>
      <c r="E622" s="157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264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59">IFERROR(IF($H623="","",$H623*$F623*$I623),"")</f>
        <v/>
      </c>
      <c r="K623" s="69" t="str">
        <f t="shared" ref="K623:K634" si="160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1">IFERROR(IF(O623="","",IF(P623="",MOD(NOW()-O623,1),IF(P623&gt;=O623,P623-O623,P623+1-O623))),"")</f>
        <v/>
      </c>
      <c r="R623" s="63"/>
      <c r="S623" s="81"/>
    </row>
    <row r="624" spans="1:20" ht="15" customHeight="1">
      <c r="A624" s="59">
        <v>46258</v>
      </c>
      <c r="B624" s="60">
        <f t="shared" ref="B624:B634" si="162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59"/>
        <v/>
      </c>
      <c r="K624" s="64" t="str">
        <f t="shared" si="160"/>
        <v/>
      </c>
      <c r="L624" s="61"/>
      <c r="M624" s="61"/>
      <c r="N624" s="61"/>
      <c r="O624" s="65"/>
      <c r="P624" s="65"/>
      <c r="Q624" s="66" t="str">
        <f t="shared" ca="1" si="161"/>
        <v/>
      </c>
      <c r="R624" s="63"/>
      <c r="S624" s="81"/>
    </row>
    <row r="625" spans="1:20" ht="15" customHeight="1">
      <c r="A625" s="18">
        <v>46258</v>
      </c>
      <c r="B625" s="68">
        <f t="shared" si="162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59"/>
        <v/>
      </c>
      <c r="K625" s="69" t="str">
        <f t="shared" si="160"/>
        <v/>
      </c>
      <c r="L625" s="70"/>
      <c r="M625" s="70"/>
      <c r="N625" s="70"/>
      <c r="O625" s="65"/>
      <c r="P625" s="65"/>
      <c r="Q625" s="71" t="str">
        <f t="shared" ca="1" si="161"/>
        <v/>
      </c>
      <c r="R625" s="63"/>
      <c r="S625" s="81"/>
    </row>
    <row r="626" spans="1:20" ht="15" customHeight="1">
      <c r="A626" s="59">
        <v>46258</v>
      </c>
      <c r="B626" s="60">
        <f t="shared" si="162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59"/>
        <v/>
      </c>
      <c r="K626" s="64" t="str">
        <f t="shared" si="160"/>
        <v/>
      </c>
      <c r="L626" s="61"/>
      <c r="M626" s="61"/>
      <c r="N626" s="61"/>
      <c r="O626" s="65"/>
      <c r="P626" s="65"/>
      <c r="Q626" s="66" t="str">
        <f t="shared" ca="1" si="161"/>
        <v/>
      </c>
      <c r="R626" s="63"/>
      <c r="S626" s="81"/>
    </row>
    <row r="627" spans="1:20" ht="15" customHeight="1">
      <c r="A627" s="18">
        <v>46258</v>
      </c>
      <c r="B627" s="68">
        <f t="shared" si="162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59"/>
        <v/>
      </c>
      <c r="K627" s="69" t="str">
        <f t="shared" si="160"/>
        <v/>
      </c>
      <c r="L627" s="70"/>
      <c r="M627" s="70"/>
      <c r="N627" s="70"/>
      <c r="O627" s="65"/>
      <c r="P627" s="65"/>
      <c r="Q627" s="71" t="str">
        <f t="shared" ca="1" si="161"/>
        <v/>
      </c>
      <c r="R627" s="63"/>
      <c r="S627" s="81"/>
    </row>
    <row r="628" spans="1:20" ht="15" customHeight="1">
      <c r="A628" s="59">
        <v>46258</v>
      </c>
      <c r="B628" s="60">
        <f t="shared" si="162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59"/>
        <v/>
      </c>
      <c r="K628" s="64" t="str">
        <f t="shared" si="160"/>
        <v/>
      </c>
      <c r="L628" s="61"/>
      <c r="M628" s="61"/>
      <c r="N628" s="61"/>
      <c r="O628" s="65"/>
      <c r="P628" s="65"/>
      <c r="Q628" s="66" t="str">
        <f t="shared" ca="1" si="161"/>
        <v/>
      </c>
      <c r="R628" s="63"/>
      <c r="S628" s="81"/>
    </row>
    <row r="629" spans="1:20" ht="15" customHeight="1">
      <c r="A629" s="18">
        <v>46258</v>
      </c>
      <c r="B629" s="68">
        <f t="shared" si="162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59"/>
        <v/>
      </c>
      <c r="K629" s="69" t="str">
        <f t="shared" si="160"/>
        <v/>
      </c>
      <c r="L629" s="70"/>
      <c r="M629" s="70"/>
      <c r="N629" s="70"/>
      <c r="O629" s="65"/>
      <c r="P629" s="65"/>
      <c r="Q629" s="71" t="str">
        <f t="shared" ca="1" si="161"/>
        <v/>
      </c>
      <c r="R629" s="63"/>
      <c r="S629" s="81"/>
    </row>
    <row r="630" spans="1:20" ht="15" customHeight="1">
      <c r="A630" s="59">
        <v>46258</v>
      </c>
      <c r="B630" s="60">
        <f t="shared" si="162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59"/>
        <v/>
      </c>
      <c r="K630" s="64" t="str">
        <f t="shared" si="160"/>
        <v/>
      </c>
      <c r="L630" s="61"/>
      <c r="M630" s="61"/>
      <c r="N630" s="61"/>
      <c r="O630" s="65"/>
      <c r="P630" s="65"/>
      <c r="Q630" s="66" t="str">
        <f t="shared" ca="1" si="161"/>
        <v/>
      </c>
      <c r="R630" s="63"/>
      <c r="S630" s="81"/>
    </row>
    <row r="631" spans="1:20" ht="15" customHeight="1">
      <c r="A631" s="18">
        <v>46258</v>
      </c>
      <c r="B631" s="68">
        <f t="shared" si="162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59"/>
        <v/>
      </c>
      <c r="K631" s="69" t="str">
        <f t="shared" si="160"/>
        <v/>
      </c>
      <c r="L631" s="70"/>
      <c r="M631" s="70"/>
      <c r="N631" s="70"/>
      <c r="O631" s="65"/>
      <c r="P631" s="65"/>
      <c r="Q631" s="71" t="str">
        <f t="shared" ca="1" si="161"/>
        <v/>
      </c>
      <c r="R631" s="63"/>
      <c r="S631" s="81"/>
    </row>
    <row r="632" spans="1:20" ht="15" customHeight="1">
      <c r="A632" s="59">
        <v>46258</v>
      </c>
      <c r="B632" s="60">
        <f t="shared" si="162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59"/>
        <v/>
      </c>
      <c r="K632" s="64" t="str">
        <f t="shared" si="160"/>
        <v/>
      </c>
      <c r="L632" s="61"/>
      <c r="M632" s="61"/>
      <c r="N632" s="61"/>
      <c r="O632" s="65"/>
      <c r="P632" s="65"/>
      <c r="Q632" s="66" t="str">
        <f t="shared" ca="1" si="161"/>
        <v/>
      </c>
      <c r="R632" s="63"/>
      <c r="S632" s="81"/>
    </row>
    <row r="633" spans="1:20" ht="15" customHeight="1">
      <c r="A633" s="18">
        <v>46258</v>
      </c>
      <c r="B633" s="68">
        <f t="shared" si="162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59"/>
        <v/>
      </c>
      <c r="K633" s="69" t="str">
        <f t="shared" si="160"/>
        <v/>
      </c>
      <c r="L633" s="70"/>
      <c r="M633" s="70"/>
      <c r="N633" s="70"/>
      <c r="O633" s="65"/>
      <c r="P633" s="65"/>
      <c r="Q633" s="71" t="str">
        <f t="shared" ca="1" si="161"/>
        <v/>
      </c>
      <c r="R633" s="63"/>
      <c r="S633" s="81"/>
    </row>
    <row r="634" spans="1:20" ht="15" customHeight="1">
      <c r="A634" s="59">
        <v>46258</v>
      </c>
      <c r="B634" s="60">
        <f t="shared" si="162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59"/>
        <v/>
      </c>
      <c r="K634" s="64" t="str">
        <f t="shared" si="160"/>
        <v/>
      </c>
      <c r="L634" s="61"/>
      <c r="M634" s="61"/>
      <c r="N634" s="61"/>
      <c r="O634" s="65"/>
      <c r="P634" s="65"/>
      <c r="Q634" s="66" t="str">
        <f t="shared" ca="1" si="161"/>
        <v/>
      </c>
      <c r="R634" s="63"/>
      <c r="S634" s="81"/>
    </row>
    <row r="635" spans="1:20" ht="15.75" customHeight="1">
      <c r="A635" s="156" t="s">
        <v>260</v>
      </c>
      <c r="B635" s="156"/>
      <c r="C635" s="156"/>
      <c r="D635" s="156"/>
      <c r="E635" s="156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3">IFERROR(IF($H636="","",$H636*$F636*$I636),"")</f>
        <v/>
      </c>
      <c r="K636" s="64" t="str">
        <f t="shared" ref="K636:K647" si="164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5">IFERROR(IF(O636="","",IF(P636="",MOD(NOW()-O636,1),IF(P636&gt;=O636,P636-O636,P636+1-O636))),"")</f>
        <v/>
      </c>
      <c r="R636" s="63"/>
      <c r="S636" s="81"/>
    </row>
    <row r="637" spans="1:20" ht="15" customHeight="1">
      <c r="A637" s="18">
        <v>46258</v>
      </c>
      <c r="B637" s="68">
        <f t="shared" ref="B637:B647" si="166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3"/>
        <v/>
      </c>
      <c r="K637" s="69" t="str">
        <f t="shared" si="164"/>
        <v/>
      </c>
      <c r="L637" s="70"/>
      <c r="M637" s="70"/>
      <c r="N637" s="70"/>
      <c r="O637" s="65"/>
      <c r="P637" s="65"/>
      <c r="Q637" s="71" t="str">
        <f t="shared" ca="1" si="165"/>
        <v/>
      </c>
      <c r="R637" s="63"/>
      <c r="S637" s="81"/>
    </row>
    <row r="638" spans="1:20" ht="15" customHeight="1">
      <c r="A638" s="59">
        <v>46258</v>
      </c>
      <c r="B638" s="60">
        <f t="shared" si="166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3"/>
        <v/>
      </c>
      <c r="K638" s="64" t="str">
        <f t="shared" si="164"/>
        <v/>
      </c>
      <c r="L638" s="61"/>
      <c r="M638" s="61"/>
      <c r="N638" s="61"/>
      <c r="O638" s="65"/>
      <c r="P638" s="65"/>
      <c r="Q638" s="66" t="str">
        <f t="shared" ca="1" si="165"/>
        <v/>
      </c>
      <c r="R638" s="63"/>
      <c r="S638" s="81"/>
    </row>
    <row r="639" spans="1:20" ht="15" customHeight="1">
      <c r="A639" s="18">
        <v>46258</v>
      </c>
      <c r="B639" s="68">
        <f t="shared" si="166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3"/>
        <v/>
      </c>
      <c r="K639" s="69" t="str">
        <f t="shared" si="164"/>
        <v/>
      </c>
      <c r="L639" s="70"/>
      <c r="M639" s="70"/>
      <c r="N639" s="70"/>
      <c r="O639" s="65"/>
      <c r="P639" s="65"/>
      <c r="Q639" s="71" t="str">
        <f t="shared" ca="1" si="165"/>
        <v/>
      </c>
      <c r="R639" s="63"/>
      <c r="S639" s="81"/>
    </row>
    <row r="640" spans="1:20" ht="15" customHeight="1">
      <c r="A640" s="59">
        <v>46258</v>
      </c>
      <c r="B640" s="60">
        <f t="shared" si="166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3"/>
        <v/>
      </c>
      <c r="K640" s="64" t="str">
        <f t="shared" si="164"/>
        <v/>
      </c>
      <c r="L640" s="61"/>
      <c r="M640" s="61"/>
      <c r="N640" s="61"/>
      <c r="O640" s="65"/>
      <c r="P640" s="65"/>
      <c r="Q640" s="66" t="str">
        <f t="shared" ca="1" si="165"/>
        <v/>
      </c>
      <c r="R640" s="63"/>
      <c r="S640" s="81"/>
    </row>
    <row r="641" spans="1:20" ht="15" customHeight="1">
      <c r="A641" s="18">
        <v>46258</v>
      </c>
      <c r="B641" s="68">
        <f t="shared" si="166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3"/>
        <v/>
      </c>
      <c r="K641" s="69" t="str">
        <f t="shared" si="164"/>
        <v/>
      </c>
      <c r="L641" s="70"/>
      <c r="M641" s="70"/>
      <c r="N641" s="70"/>
      <c r="O641" s="65"/>
      <c r="P641" s="65"/>
      <c r="Q641" s="71" t="str">
        <f t="shared" ca="1" si="165"/>
        <v/>
      </c>
      <c r="R641" s="63"/>
      <c r="S641" s="81"/>
    </row>
    <row r="642" spans="1:20" ht="15" customHeight="1">
      <c r="A642" s="59">
        <v>46258</v>
      </c>
      <c r="B642" s="60">
        <f t="shared" si="166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3"/>
        <v/>
      </c>
      <c r="K642" s="64" t="str">
        <f t="shared" si="164"/>
        <v/>
      </c>
      <c r="L642" s="61"/>
      <c r="M642" s="61"/>
      <c r="N642" s="61"/>
      <c r="O642" s="65"/>
      <c r="P642" s="65"/>
      <c r="Q642" s="66" t="str">
        <f t="shared" ca="1" si="165"/>
        <v/>
      </c>
      <c r="R642" s="63"/>
      <c r="S642" s="81"/>
    </row>
    <row r="643" spans="1:20" ht="15" customHeight="1">
      <c r="A643" s="18">
        <v>46258</v>
      </c>
      <c r="B643" s="68">
        <f t="shared" si="166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3"/>
        <v/>
      </c>
      <c r="K643" s="69" t="str">
        <f t="shared" si="164"/>
        <v/>
      </c>
      <c r="L643" s="70"/>
      <c r="M643" s="70"/>
      <c r="N643" s="70"/>
      <c r="O643" s="65"/>
      <c r="P643" s="65"/>
      <c r="Q643" s="71" t="str">
        <f t="shared" ca="1" si="165"/>
        <v/>
      </c>
      <c r="R643" s="63"/>
      <c r="S643" s="81"/>
    </row>
    <row r="644" spans="1:20" ht="15" customHeight="1">
      <c r="A644" s="59">
        <v>46258</v>
      </c>
      <c r="B644" s="60">
        <f t="shared" si="166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3"/>
        <v/>
      </c>
      <c r="K644" s="64" t="str">
        <f t="shared" si="164"/>
        <v/>
      </c>
      <c r="L644" s="61"/>
      <c r="M644" s="61"/>
      <c r="N644" s="61"/>
      <c r="O644" s="65"/>
      <c r="P644" s="65"/>
      <c r="Q644" s="66" t="str">
        <f t="shared" ca="1" si="165"/>
        <v/>
      </c>
      <c r="R644" s="63"/>
      <c r="S644" s="81"/>
    </row>
    <row r="645" spans="1:20" ht="15" customHeight="1">
      <c r="A645" s="18">
        <v>46258</v>
      </c>
      <c r="B645" s="68">
        <f t="shared" si="166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3"/>
        <v/>
      </c>
      <c r="K645" s="69" t="str">
        <f t="shared" si="164"/>
        <v/>
      </c>
      <c r="L645" s="70"/>
      <c r="M645" s="70"/>
      <c r="N645" s="70"/>
      <c r="O645" s="65"/>
      <c r="P645" s="65"/>
      <c r="Q645" s="71" t="str">
        <f t="shared" ca="1" si="165"/>
        <v/>
      </c>
      <c r="R645" s="63"/>
      <c r="S645" s="81"/>
    </row>
    <row r="646" spans="1:20" ht="15" customHeight="1">
      <c r="A646" s="59">
        <v>46258</v>
      </c>
      <c r="B646" s="60">
        <f t="shared" si="166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3"/>
        <v/>
      </c>
      <c r="K646" s="64" t="str">
        <f t="shared" si="164"/>
        <v/>
      </c>
      <c r="L646" s="61"/>
      <c r="M646" s="61"/>
      <c r="N646" s="61"/>
      <c r="O646" s="65"/>
      <c r="P646" s="65"/>
      <c r="Q646" s="66" t="str">
        <f t="shared" ca="1" si="165"/>
        <v/>
      </c>
      <c r="R646" s="63"/>
      <c r="S646" s="81"/>
    </row>
    <row r="647" spans="1:20" ht="15" customHeight="1">
      <c r="A647" s="18">
        <v>46258</v>
      </c>
      <c r="B647" s="68">
        <f t="shared" si="166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3"/>
        <v/>
      </c>
      <c r="K647" s="69" t="str">
        <f t="shared" si="164"/>
        <v/>
      </c>
      <c r="L647" s="70"/>
      <c r="M647" s="70"/>
      <c r="N647" s="70"/>
      <c r="O647" s="65"/>
      <c r="P647" s="65"/>
      <c r="Q647" s="71" t="str">
        <f t="shared" ca="1" si="165"/>
        <v/>
      </c>
      <c r="R647" s="63"/>
      <c r="S647" s="81"/>
    </row>
    <row r="648" spans="1:20" ht="15.75" customHeight="1">
      <c r="A648" s="156" t="s">
        <v>263</v>
      </c>
      <c r="B648" s="156"/>
      <c r="C648" s="156"/>
      <c r="D648" s="156"/>
      <c r="E648" s="156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57" t="s">
        <v>249</v>
      </c>
      <c r="B649" s="157"/>
      <c r="C649" s="157"/>
      <c r="D649" s="157"/>
      <c r="E649" s="157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264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67">IFERROR(IF($H650="","",$H650*$F650*$I650),"")</f>
        <v/>
      </c>
      <c r="K650" s="64" t="str">
        <f t="shared" ref="K650:K661" si="168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69">IFERROR(IF(O650="","",IF(P650="",MOD(NOW()-O650,1),IF(P650&gt;=O650,P650-O650,P650+1-O650))),"")</f>
        <v/>
      </c>
      <c r="R650" s="63"/>
      <c r="S650" s="81"/>
    </row>
    <row r="651" spans="1:20" ht="15" customHeight="1">
      <c r="A651" s="18">
        <v>46259</v>
      </c>
      <c r="B651" s="68">
        <f t="shared" ref="B651:B661" si="170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67"/>
        <v/>
      </c>
      <c r="K651" s="69" t="str">
        <f t="shared" si="168"/>
        <v/>
      </c>
      <c r="L651" s="70"/>
      <c r="M651" s="70"/>
      <c r="N651" s="70"/>
      <c r="O651" s="65"/>
      <c r="P651" s="65"/>
      <c r="Q651" s="71" t="str">
        <f t="shared" ca="1" si="169"/>
        <v/>
      </c>
      <c r="R651" s="63"/>
      <c r="S651" s="81"/>
    </row>
    <row r="652" spans="1:20" ht="15" customHeight="1">
      <c r="A652" s="59">
        <v>46259</v>
      </c>
      <c r="B652" s="60">
        <f t="shared" si="170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67"/>
        <v/>
      </c>
      <c r="K652" s="69" t="str">
        <f t="shared" si="168"/>
        <v/>
      </c>
      <c r="L652" s="61"/>
      <c r="M652" s="61"/>
      <c r="N652" s="61"/>
      <c r="O652" s="65"/>
      <c r="P652" s="65"/>
      <c r="Q652" s="66" t="str">
        <f t="shared" ca="1" si="169"/>
        <v/>
      </c>
      <c r="R652" s="63"/>
      <c r="S652" s="81"/>
    </row>
    <row r="653" spans="1:20" ht="15" customHeight="1">
      <c r="A653" s="18">
        <v>46259</v>
      </c>
      <c r="B653" s="68">
        <f t="shared" si="170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67"/>
        <v/>
      </c>
      <c r="K653" s="69" t="str">
        <f t="shared" si="168"/>
        <v/>
      </c>
      <c r="L653" s="70"/>
      <c r="M653" s="70"/>
      <c r="N653" s="70"/>
      <c r="O653" s="65"/>
      <c r="P653" s="65"/>
      <c r="Q653" s="71" t="str">
        <f t="shared" ca="1" si="169"/>
        <v/>
      </c>
      <c r="R653" s="63"/>
      <c r="S653" s="81"/>
    </row>
    <row r="654" spans="1:20" ht="15" customHeight="1">
      <c r="A654" s="59">
        <v>46259</v>
      </c>
      <c r="B654" s="60">
        <f t="shared" si="170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67"/>
        <v/>
      </c>
      <c r="K654" s="64" t="str">
        <f t="shared" si="168"/>
        <v/>
      </c>
      <c r="L654" s="61"/>
      <c r="M654" s="61"/>
      <c r="N654" s="61"/>
      <c r="O654" s="65"/>
      <c r="P654" s="65"/>
      <c r="Q654" s="66" t="str">
        <f t="shared" ca="1" si="169"/>
        <v/>
      </c>
      <c r="R654" s="63"/>
      <c r="S654" s="81"/>
    </row>
    <row r="655" spans="1:20" ht="15" customHeight="1">
      <c r="A655" s="18">
        <v>46259</v>
      </c>
      <c r="B655" s="68">
        <f t="shared" si="170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67"/>
        <v/>
      </c>
      <c r="K655" s="69" t="str">
        <f t="shared" si="168"/>
        <v/>
      </c>
      <c r="L655" s="70"/>
      <c r="M655" s="70"/>
      <c r="N655" s="70"/>
      <c r="O655" s="65"/>
      <c r="P655" s="65"/>
      <c r="Q655" s="71" t="str">
        <f t="shared" ca="1" si="169"/>
        <v/>
      </c>
      <c r="R655" s="63"/>
      <c r="S655" s="81"/>
    </row>
    <row r="656" spans="1:20" ht="15" customHeight="1">
      <c r="A656" s="59">
        <v>46259</v>
      </c>
      <c r="B656" s="60">
        <f t="shared" si="170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67"/>
        <v/>
      </c>
      <c r="K656" s="64" t="str">
        <f t="shared" si="168"/>
        <v/>
      </c>
      <c r="L656" s="61"/>
      <c r="M656" s="61"/>
      <c r="N656" s="61"/>
      <c r="O656" s="65"/>
      <c r="P656" s="65"/>
      <c r="Q656" s="66" t="str">
        <f t="shared" ca="1" si="169"/>
        <v/>
      </c>
      <c r="R656" s="63"/>
      <c r="S656" s="81"/>
    </row>
    <row r="657" spans="1:20" ht="15" customHeight="1">
      <c r="A657" s="18">
        <v>46259</v>
      </c>
      <c r="B657" s="68">
        <f t="shared" si="170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67"/>
        <v/>
      </c>
      <c r="K657" s="69" t="str">
        <f t="shared" si="168"/>
        <v/>
      </c>
      <c r="L657" s="70"/>
      <c r="M657" s="70"/>
      <c r="N657" s="70"/>
      <c r="O657" s="65"/>
      <c r="P657" s="65"/>
      <c r="Q657" s="71" t="str">
        <f t="shared" ca="1" si="169"/>
        <v/>
      </c>
      <c r="R657" s="63"/>
      <c r="S657" s="81"/>
    </row>
    <row r="658" spans="1:20" ht="15" customHeight="1">
      <c r="A658" s="59">
        <v>46259</v>
      </c>
      <c r="B658" s="60">
        <f t="shared" si="170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67"/>
        <v/>
      </c>
      <c r="K658" s="64" t="str">
        <f t="shared" si="168"/>
        <v/>
      </c>
      <c r="L658" s="61"/>
      <c r="M658" s="61"/>
      <c r="N658" s="61"/>
      <c r="O658" s="65"/>
      <c r="P658" s="65"/>
      <c r="Q658" s="66" t="str">
        <f t="shared" ca="1" si="169"/>
        <v/>
      </c>
      <c r="R658" s="63"/>
      <c r="S658" s="81"/>
    </row>
    <row r="659" spans="1:20" ht="15" customHeight="1">
      <c r="A659" s="18">
        <v>46259</v>
      </c>
      <c r="B659" s="68">
        <f t="shared" si="170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67"/>
        <v/>
      </c>
      <c r="K659" s="69" t="str">
        <f t="shared" si="168"/>
        <v/>
      </c>
      <c r="L659" s="70"/>
      <c r="M659" s="70"/>
      <c r="N659" s="70"/>
      <c r="O659" s="65"/>
      <c r="P659" s="65"/>
      <c r="Q659" s="71" t="str">
        <f t="shared" ca="1" si="169"/>
        <v/>
      </c>
      <c r="R659" s="63"/>
      <c r="S659" s="81"/>
    </row>
    <row r="660" spans="1:20" ht="15" customHeight="1">
      <c r="A660" s="59">
        <v>46259</v>
      </c>
      <c r="B660" s="60">
        <f t="shared" si="170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67"/>
        <v/>
      </c>
      <c r="K660" s="64" t="str">
        <f t="shared" si="168"/>
        <v/>
      </c>
      <c r="L660" s="61"/>
      <c r="M660" s="61"/>
      <c r="N660" s="61"/>
      <c r="O660" s="65"/>
      <c r="P660" s="65"/>
      <c r="Q660" s="66" t="str">
        <f t="shared" ca="1" si="169"/>
        <v/>
      </c>
      <c r="R660" s="63"/>
      <c r="S660" s="81"/>
    </row>
    <row r="661" spans="1:20" ht="15" customHeight="1">
      <c r="A661" s="18">
        <v>46259</v>
      </c>
      <c r="B661" s="68">
        <f t="shared" si="170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67"/>
        <v/>
      </c>
      <c r="K661" s="69" t="str">
        <f t="shared" si="168"/>
        <v/>
      </c>
      <c r="L661" s="70"/>
      <c r="M661" s="70"/>
      <c r="N661" s="70"/>
      <c r="O661" s="65"/>
      <c r="P661" s="65"/>
      <c r="Q661" s="71" t="str">
        <f t="shared" ca="1" si="169"/>
        <v/>
      </c>
      <c r="R661" s="63"/>
      <c r="S661" s="81"/>
    </row>
    <row r="662" spans="1:20" ht="15.75" customHeight="1">
      <c r="A662" s="156" t="s">
        <v>260</v>
      </c>
      <c r="B662" s="156"/>
      <c r="C662" s="156"/>
      <c r="D662" s="156"/>
      <c r="E662" s="156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1">IFERROR(IF($H663="","",$H663*$F663*$I663),"")</f>
        <v/>
      </c>
      <c r="K663" s="69" t="str">
        <f t="shared" ref="K663:K674" si="172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3">IFERROR(IF(O663="","",IF(P663="",MOD(NOW()-O663,1),IF(P663&gt;=O663,P663-O663,P663+1-O663))),"")</f>
        <v/>
      </c>
      <c r="R663" s="63"/>
      <c r="S663" s="81"/>
    </row>
    <row r="664" spans="1:20" ht="15" customHeight="1">
      <c r="A664" s="59">
        <v>46259</v>
      </c>
      <c r="B664" s="60">
        <f t="shared" ref="B664:B674" si="174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1"/>
        <v/>
      </c>
      <c r="K664" s="64" t="str">
        <f t="shared" si="172"/>
        <v/>
      </c>
      <c r="L664" s="61"/>
      <c r="M664" s="61"/>
      <c r="N664" s="61"/>
      <c r="O664" s="65"/>
      <c r="P664" s="65"/>
      <c r="Q664" s="66" t="str">
        <f t="shared" ca="1" si="173"/>
        <v/>
      </c>
      <c r="R664" s="63"/>
      <c r="S664" s="81"/>
    </row>
    <row r="665" spans="1:20" ht="15" customHeight="1">
      <c r="A665" s="18">
        <v>46259</v>
      </c>
      <c r="B665" s="68">
        <f t="shared" si="174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1"/>
        <v/>
      </c>
      <c r="K665" s="69" t="str">
        <f t="shared" si="172"/>
        <v/>
      </c>
      <c r="L665" s="70"/>
      <c r="M665" s="70"/>
      <c r="N665" s="70"/>
      <c r="O665" s="65"/>
      <c r="P665" s="65"/>
      <c r="Q665" s="71" t="str">
        <f t="shared" ca="1" si="173"/>
        <v/>
      </c>
      <c r="R665" s="63"/>
      <c r="S665" s="81"/>
    </row>
    <row r="666" spans="1:20" ht="15" customHeight="1">
      <c r="A666" s="59">
        <v>46259</v>
      </c>
      <c r="B666" s="60">
        <f t="shared" si="174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1"/>
        <v/>
      </c>
      <c r="K666" s="64" t="str">
        <f t="shared" si="172"/>
        <v/>
      </c>
      <c r="L666" s="61"/>
      <c r="M666" s="61"/>
      <c r="N666" s="61"/>
      <c r="O666" s="65"/>
      <c r="P666" s="65"/>
      <c r="Q666" s="66" t="str">
        <f t="shared" ca="1" si="173"/>
        <v/>
      </c>
      <c r="R666" s="63"/>
      <c r="S666" s="81"/>
    </row>
    <row r="667" spans="1:20" ht="15" customHeight="1">
      <c r="A667" s="18">
        <v>46259</v>
      </c>
      <c r="B667" s="68">
        <f t="shared" si="174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1"/>
        <v/>
      </c>
      <c r="K667" s="69" t="str">
        <f t="shared" si="172"/>
        <v/>
      </c>
      <c r="L667" s="70"/>
      <c r="M667" s="70"/>
      <c r="N667" s="70"/>
      <c r="O667" s="65"/>
      <c r="P667" s="65"/>
      <c r="Q667" s="71" t="str">
        <f t="shared" ca="1" si="173"/>
        <v/>
      </c>
      <c r="R667" s="63"/>
      <c r="S667" s="81"/>
    </row>
    <row r="668" spans="1:20" ht="15" customHeight="1">
      <c r="A668" s="59">
        <v>46259</v>
      </c>
      <c r="B668" s="60">
        <f t="shared" si="174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1"/>
        <v/>
      </c>
      <c r="K668" s="64" t="str">
        <f t="shared" si="172"/>
        <v/>
      </c>
      <c r="L668" s="61"/>
      <c r="M668" s="61"/>
      <c r="N668" s="61"/>
      <c r="O668" s="65"/>
      <c r="P668" s="65"/>
      <c r="Q668" s="66" t="str">
        <f t="shared" ca="1" si="173"/>
        <v/>
      </c>
      <c r="R668" s="63"/>
      <c r="S668" s="81"/>
    </row>
    <row r="669" spans="1:20" ht="15" customHeight="1">
      <c r="A669" s="18">
        <v>46259</v>
      </c>
      <c r="B669" s="68">
        <f t="shared" si="174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1"/>
        <v/>
      </c>
      <c r="K669" s="69" t="str">
        <f t="shared" si="172"/>
        <v/>
      </c>
      <c r="L669" s="70"/>
      <c r="M669" s="70"/>
      <c r="N669" s="70"/>
      <c r="O669" s="65"/>
      <c r="P669" s="65"/>
      <c r="Q669" s="71" t="str">
        <f t="shared" ca="1" si="173"/>
        <v/>
      </c>
      <c r="R669" s="63"/>
      <c r="S669" s="81"/>
    </row>
    <row r="670" spans="1:20" ht="15" customHeight="1">
      <c r="A670" s="59">
        <v>46259</v>
      </c>
      <c r="B670" s="60">
        <f t="shared" si="174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1"/>
        <v/>
      </c>
      <c r="K670" s="64" t="str">
        <f t="shared" si="172"/>
        <v/>
      </c>
      <c r="L670" s="61"/>
      <c r="M670" s="61"/>
      <c r="N670" s="61"/>
      <c r="O670" s="65"/>
      <c r="P670" s="65"/>
      <c r="Q670" s="66" t="str">
        <f t="shared" ca="1" si="173"/>
        <v/>
      </c>
      <c r="R670" s="63"/>
      <c r="S670" s="81"/>
    </row>
    <row r="671" spans="1:20" ht="15" customHeight="1">
      <c r="A671" s="18">
        <v>46259</v>
      </c>
      <c r="B671" s="68">
        <f t="shared" si="174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1"/>
        <v/>
      </c>
      <c r="K671" s="69" t="str">
        <f t="shared" si="172"/>
        <v/>
      </c>
      <c r="L671" s="70"/>
      <c r="M671" s="70"/>
      <c r="N671" s="70"/>
      <c r="O671" s="65"/>
      <c r="P671" s="65"/>
      <c r="Q671" s="71" t="str">
        <f t="shared" ca="1" si="173"/>
        <v/>
      </c>
      <c r="R671" s="63"/>
      <c r="S671" s="81"/>
    </row>
    <row r="672" spans="1:20" ht="15" customHeight="1">
      <c r="A672" s="59">
        <v>46259</v>
      </c>
      <c r="B672" s="60">
        <f t="shared" si="174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1"/>
        <v/>
      </c>
      <c r="K672" s="64" t="str">
        <f t="shared" si="172"/>
        <v/>
      </c>
      <c r="L672" s="61"/>
      <c r="M672" s="61"/>
      <c r="N672" s="61"/>
      <c r="O672" s="65"/>
      <c r="P672" s="65"/>
      <c r="Q672" s="66" t="str">
        <f t="shared" ca="1" si="173"/>
        <v/>
      </c>
      <c r="R672" s="63"/>
      <c r="S672" s="81"/>
    </row>
    <row r="673" spans="1:20" ht="15" customHeight="1">
      <c r="A673" s="18">
        <v>46259</v>
      </c>
      <c r="B673" s="68">
        <f t="shared" si="174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1"/>
        <v/>
      </c>
      <c r="K673" s="69" t="str">
        <f t="shared" si="172"/>
        <v/>
      </c>
      <c r="L673" s="70"/>
      <c r="M673" s="70"/>
      <c r="N673" s="70"/>
      <c r="O673" s="65"/>
      <c r="P673" s="65"/>
      <c r="Q673" s="71" t="str">
        <f t="shared" ca="1" si="173"/>
        <v/>
      </c>
      <c r="R673" s="63"/>
      <c r="S673" s="81"/>
    </row>
    <row r="674" spans="1:20" ht="15" customHeight="1">
      <c r="A674" s="59">
        <v>46259</v>
      </c>
      <c r="B674" s="60">
        <f t="shared" si="174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1"/>
        <v/>
      </c>
      <c r="K674" s="64" t="str">
        <f t="shared" si="172"/>
        <v/>
      </c>
      <c r="L674" s="61"/>
      <c r="M674" s="61"/>
      <c r="N674" s="61"/>
      <c r="O674" s="65"/>
      <c r="P674" s="65"/>
      <c r="Q674" s="66" t="str">
        <f t="shared" ca="1" si="173"/>
        <v/>
      </c>
      <c r="R674" s="63"/>
      <c r="S674" s="81"/>
    </row>
    <row r="675" spans="1:20" ht="15.75" customHeight="1">
      <c r="A675" s="156" t="s">
        <v>263</v>
      </c>
      <c r="B675" s="156"/>
      <c r="C675" s="156"/>
      <c r="D675" s="156"/>
      <c r="E675" s="156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57" t="s">
        <v>249</v>
      </c>
      <c r="B676" s="157"/>
      <c r="C676" s="157"/>
      <c r="D676" s="157"/>
      <c r="E676" s="157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5">IFERROR(IF($H677="","",$H677*$F677*$I677),"")</f>
        <v/>
      </c>
      <c r="K677" s="69" t="str">
        <f t="shared" ref="K677:K688" si="176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77">IFERROR(IF(O677="","",IF(P677="",MOD(NOW()-O677,1),IF(P677&gt;=O677,P677-O677,P677+1-O677))),"")</f>
        <v/>
      </c>
      <c r="R677" s="63"/>
      <c r="S677" s="81"/>
    </row>
    <row r="678" spans="1:20" ht="15" customHeight="1">
      <c r="A678" s="59">
        <v>46260</v>
      </c>
      <c r="B678" s="60">
        <f t="shared" ref="B678:B688" si="178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5"/>
        <v/>
      </c>
      <c r="K678" s="64" t="str">
        <f t="shared" si="176"/>
        <v/>
      </c>
      <c r="L678" s="61"/>
      <c r="M678" s="61"/>
      <c r="N678" s="61"/>
      <c r="O678" s="65"/>
      <c r="P678" s="65"/>
      <c r="Q678" s="66" t="str">
        <f t="shared" ca="1" si="177"/>
        <v/>
      </c>
      <c r="R678" s="63"/>
      <c r="S678" s="81"/>
    </row>
    <row r="679" spans="1:20" ht="15" customHeight="1">
      <c r="A679" s="18">
        <v>46260</v>
      </c>
      <c r="B679" s="68">
        <f t="shared" si="178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5"/>
        <v/>
      </c>
      <c r="K679" s="69" t="str">
        <f t="shared" si="176"/>
        <v/>
      </c>
      <c r="L679" s="70"/>
      <c r="M679" s="70"/>
      <c r="N679" s="70"/>
      <c r="O679" s="65"/>
      <c r="P679" s="65"/>
      <c r="Q679" s="71" t="str">
        <f t="shared" ca="1" si="177"/>
        <v/>
      </c>
      <c r="R679" s="63"/>
      <c r="S679" s="81"/>
    </row>
    <row r="680" spans="1:20" ht="15" customHeight="1">
      <c r="A680" s="59">
        <v>46260</v>
      </c>
      <c r="B680" s="60">
        <f t="shared" si="178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5"/>
        <v/>
      </c>
      <c r="K680" s="64" t="str">
        <f t="shared" si="176"/>
        <v/>
      </c>
      <c r="L680" s="61"/>
      <c r="M680" s="61"/>
      <c r="N680" s="61"/>
      <c r="O680" s="65"/>
      <c r="P680" s="65"/>
      <c r="Q680" s="66" t="str">
        <f t="shared" ca="1" si="177"/>
        <v/>
      </c>
      <c r="R680" s="63"/>
      <c r="S680" s="81"/>
    </row>
    <row r="681" spans="1:20" ht="15" customHeight="1">
      <c r="A681" s="18">
        <v>46260</v>
      </c>
      <c r="B681" s="68">
        <f t="shared" si="178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5"/>
        <v/>
      </c>
      <c r="K681" s="69" t="str">
        <f t="shared" si="176"/>
        <v/>
      </c>
      <c r="L681" s="70"/>
      <c r="M681" s="70"/>
      <c r="N681" s="70"/>
      <c r="O681" s="65"/>
      <c r="P681" s="65"/>
      <c r="Q681" s="71" t="str">
        <f t="shared" ca="1" si="177"/>
        <v/>
      </c>
      <c r="R681" s="63"/>
      <c r="S681" s="81"/>
    </row>
    <row r="682" spans="1:20" ht="15" customHeight="1">
      <c r="A682" s="59">
        <v>46260</v>
      </c>
      <c r="B682" s="60">
        <f t="shared" si="178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5"/>
        <v/>
      </c>
      <c r="K682" s="64" t="str">
        <f t="shared" si="176"/>
        <v/>
      </c>
      <c r="L682" s="61"/>
      <c r="M682" s="61"/>
      <c r="N682" s="61"/>
      <c r="O682" s="65"/>
      <c r="P682" s="65"/>
      <c r="Q682" s="66" t="str">
        <f t="shared" ca="1" si="177"/>
        <v/>
      </c>
      <c r="R682" s="63"/>
      <c r="S682" s="81"/>
    </row>
    <row r="683" spans="1:20" ht="15" customHeight="1">
      <c r="A683" s="18">
        <v>46260</v>
      </c>
      <c r="B683" s="68">
        <f t="shared" si="178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5"/>
        <v/>
      </c>
      <c r="K683" s="69" t="str">
        <f t="shared" si="176"/>
        <v/>
      </c>
      <c r="L683" s="70"/>
      <c r="M683" s="70"/>
      <c r="N683" s="70"/>
      <c r="O683" s="65"/>
      <c r="P683" s="65"/>
      <c r="Q683" s="71" t="str">
        <f t="shared" ca="1" si="177"/>
        <v/>
      </c>
      <c r="R683" s="63"/>
      <c r="S683" s="81"/>
    </row>
    <row r="684" spans="1:20" ht="15" customHeight="1">
      <c r="A684" s="59">
        <v>46260</v>
      </c>
      <c r="B684" s="60">
        <f t="shared" si="178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5"/>
        <v/>
      </c>
      <c r="K684" s="64" t="str">
        <f t="shared" si="176"/>
        <v/>
      </c>
      <c r="L684" s="61"/>
      <c r="M684" s="61"/>
      <c r="N684" s="61"/>
      <c r="O684" s="65"/>
      <c r="P684" s="65"/>
      <c r="Q684" s="66" t="str">
        <f t="shared" ca="1" si="177"/>
        <v/>
      </c>
      <c r="R684" s="63"/>
      <c r="S684" s="81"/>
    </row>
    <row r="685" spans="1:20" ht="15" customHeight="1">
      <c r="A685" s="18">
        <v>46260</v>
      </c>
      <c r="B685" s="68">
        <f t="shared" si="178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5"/>
        <v/>
      </c>
      <c r="K685" s="69" t="str">
        <f t="shared" si="176"/>
        <v/>
      </c>
      <c r="L685" s="70"/>
      <c r="M685" s="70"/>
      <c r="N685" s="70"/>
      <c r="O685" s="65"/>
      <c r="P685" s="65"/>
      <c r="Q685" s="71" t="str">
        <f t="shared" ca="1" si="177"/>
        <v/>
      </c>
      <c r="R685" s="63"/>
      <c r="S685" s="81"/>
    </row>
    <row r="686" spans="1:20" ht="15" customHeight="1">
      <c r="A686" s="59">
        <v>46260</v>
      </c>
      <c r="B686" s="60">
        <f t="shared" si="178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5"/>
        <v/>
      </c>
      <c r="K686" s="64" t="str">
        <f t="shared" si="176"/>
        <v/>
      </c>
      <c r="L686" s="61"/>
      <c r="M686" s="61"/>
      <c r="N686" s="61"/>
      <c r="O686" s="65"/>
      <c r="P686" s="65"/>
      <c r="Q686" s="66" t="str">
        <f t="shared" ca="1" si="177"/>
        <v/>
      </c>
      <c r="R686" s="63"/>
      <c r="S686" s="81"/>
    </row>
    <row r="687" spans="1:20" ht="15" customHeight="1">
      <c r="A687" s="18">
        <v>46260</v>
      </c>
      <c r="B687" s="68">
        <f t="shared" si="178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5"/>
        <v/>
      </c>
      <c r="K687" s="69" t="str">
        <f t="shared" si="176"/>
        <v/>
      </c>
      <c r="L687" s="70"/>
      <c r="M687" s="70"/>
      <c r="N687" s="70"/>
      <c r="O687" s="65"/>
      <c r="P687" s="65"/>
      <c r="Q687" s="71" t="str">
        <f t="shared" ca="1" si="177"/>
        <v/>
      </c>
      <c r="R687" s="63"/>
      <c r="S687" s="81"/>
    </row>
    <row r="688" spans="1:20" ht="15" customHeight="1">
      <c r="A688" s="59">
        <v>46260</v>
      </c>
      <c r="B688" s="60">
        <f t="shared" si="178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5"/>
        <v/>
      </c>
      <c r="K688" s="64" t="str">
        <f t="shared" si="176"/>
        <v/>
      </c>
      <c r="L688" s="61"/>
      <c r="M688" s="61"/>
      <c r="N688" s="61"/>
      <c r="O688" s="65"/>
      <c r="P688" s="65"/>
      <c r="Q688" s="66" t="str">
        <f t="shared" ca="1" si="177"/>
        <v/>
      </c>
      <c r="R688" s="63"/>
      <c r="S688" s="81"/>
    </row>
    <row r="689" spans="1:20" ht="15.75" customHeight="1">
      <c r="A689" s="156" t="s">
        <v>260</v>
      </c>
      <c r="B689" s="156"/>
      <c r="C689" s="156"/>
      <c r="D689" s="156"/>
      <c r="E689" s="156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79">IFERROR(IF($H690="","",$H690*$F690*$I690),"")</f>
        <v/>
      </c>
      <c r="K690" s="64" t="str">
        <f t="shared" ref="K690:K701" si="180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1">IFERROR(IF(O690="","",IF(P690="",MOD(NOW()-O690,1),IF(P690&gt;=O690,P690-O690,P690+1-O690))),"")</f>
        <v/>
      </c>
      <c r="R690" s="63"/>
      <c r="S690" s="81"/>
    </row>
    <row r="691" spans="1:20" ht="15" customHeight="1">
      <c r="A691" s="18">
        <v>46260</v>
      </c>
      <c r="B691" s="68">
        <f t="shared" ref="B691:B701" si="182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79"/>
        <v/>
      </c>
      <c r="K691" s="69" t="str">
        <f t="shared" si="180"/>
        <v/>
      </c>
      <c r="L691" s="70"/>
      <c r="M691" s="70"/>
      <c r="N691" s="70"/>
      <c r="O691" s="65"/>
      <c r="P691" s="65"/>
      <c r="Q691" s="71" t="str">
        <f t="shared" ca="1" si="181"/>
        <v/>
      </c>
      <c r="R691" s="63"/>
      <c r="S691" s="81"/>
    </row>
    <row r="692" spans="1:20" ht="15" customHeight="1">
      <c r="A692" s="59">
        <v>46260</v>
      </c>
      <c r="B692" s="60">
        <f t="shared" si="182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79"/>
        <v/>
      </c>
      <c r="K692" s="64" t="str">
        <f t="shared" si="180"/>
        <v/>
      </c>
      <c r="L692" s="61"/>
      <c r="M692" s="61"/>
      <c r="N692" s="61"/>
      <c r="O692" s="65"/>
      <c r="P692" s="65"/>
      <c r="Q692" s="66" t="str">
        <f t="shared" ca="1" si="181"/>
        <v/>
      </c>
      <c r="R692" s="63"/>
      <c r="S692" s="81"/>
    </row>
    <row r="693" spans="1:20" ht="15" customHeight="1">
      <c r="A693" s="18">
        <v>46260</v>
      </c>
      <c r="B693" s="68">
        <f t="shared" si="182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79"/>
        <v/>
      </c>
      <c r="K693" s="69" t="str">
        <f t="shared" si="180"/>
        <v/>
      </c>
      <c r="L693" s="70"/>
      <c r="M693" s="70"/>
      <c r="N693" s="70"/>
      <c r="O693" s="65"/>
      <c r="P693" s="65"/>
      <c r="Q693" s="71" t="str">
        <f t="shared" ca="1" si="181"/>
        <v/>
      </c>
      <c r="R693" s="63"/>
      <c r="S693" s="81"/>
    </row>
    <row r="694" spans="1:20" ht="15" customHeight="1">
      <c r="A694" s="59">
        <v>46260</v>
      </c>
      <c r="B694" s="60">
        <f t="shared" si="182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79"/>
        <v/>
      </c>
      <c r="K694" s="64" t="str">
        <f t="shared" si="180"/>
        <v/>
      </c>
      <c r="L694" s="61"/>
      <c r="M694" s="61"/>
      <c r="N694" s="61"/>
      <c r="O694" s="65"/>
      <c r="P694" s="65"/>
      <c r="Q694" s="66" t="str">
        <f t="shared" ca="1" si="181"/>
        <v/>
      </c>
      <c r="R694" s="63"/>
      <c r="S694" s="81"/>
    </row>
    <row r="695" spans="1:20" ht="15" customHeight="1">
      <c r="A695" s="18">
        <v>46260</v>
      </c>
      <c r="B695" s="68">
        <f t="shared" si="182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79"/>
        <v/>
      </c>
      <c r="K695" s="69" t="str">
        <f t="shared" si="180"/>
        <v/>
      </c>
      <c r="L695" s="70"/>
      <c r="M695" s="70"/>
      <c r="N695" s="70"/>
      <c r="O695" s="65"/>
      <c r="P695" s="65"/>
      <c r="Q695" s="71" t="str">
        <f t="shared" ca="1" si="181"/>
        <v/>
      </c>
      <c r="R695" s="63"/>
      <c r="S695" s="81"/>
    </row>
    <row r="696" spans="1:20" ht="15" customHeight="1">
      <c r="A696" s="59">
        <v>46260</v>
      </c>
      <c r="B696" s="60">
        <f t="shared" si="182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79"/>
        <v/>
      </c>
      <c r="K696" s="64" t="str">
        <f t="shared" si="180"/>
        <v/>
      </c>
      <c r="L696" s="61"/>
      <c r="M696" s="61"/>
      <c r="N696" s="61"/>
      <c r="O696" s="65"/>
      <c r="P696" s="65"/>
      <c r="Q696" s="66" t="str">
        <f t="shared" ca="1" si="181"/>
        <v/>
      </c>
      <c r="R696" s="63"/>
      <c r="S696" s="81"/>
    </row>
    <row r="697" spans="1:20" ht="15" customHeight="1">
      <c r="A697" s="18">
        <v>46260</v>
      </c>
      <c r="B697" s="68">
        <f t="shared" si="182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79"/>
        <v/>
      </c>
      <c r="K697" s="69" t="str">
        <f t="shared" si="180"/>
        <v/>
      </c>
      <c r="L697" s="70"/>
      <c r="M697" s="70"/>
      <c r="N697" s="70"/>
      <c r="O697" s="65"/>
      <c r="P697" s="65"/>
      <c r="Q697" s="71" t="str">
        <f t="shared" ca="1" si="181"/>
        <v/>
      </c>
      <c r="R697" s="63"/>
      <c r="S697" s="81"/>
    </row>
    <row r="698" spans="1:20" ht="15" customHeight="1">
      <c r="A698" s="59">
        <v>46260</v>
      </c>
      <c r="B698" s="60">
        <f t="shared" si="182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79"/>
        <v/>
      </c>
      <c r="K698" s="64" t="str">
        <f t="shared" si="180"/>
        <v/>
      </c>
      <c r="L698" s="61"/>
      <c r="M698" s="61"/>
      <c r="N698" s="61"/>
      <c r="O698" s="65"/>
      <c r="P698" s="65"/>
      <c r="Q698" s="66" t="str">
        <f t="shared" ca="1" si="181"/>
        <v/>
      </c>
      <c r="R698" s="63"/>
      <c r="S698" s="81"/>
    </row>
    <row r="699" spans="1:20" ht="15" customHeight="1">
      <c r="A699" s="18">
        <v>46260</v>
      </c>
      <c r="B699" s="68">
        <f t="shared" si="182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79"/>
        <v/>
      </c>
      <c r="K699" s="69" t="str">
        <f t="shared" si="180"/>
        <v/>
      </c>
      <c r="L699" s="70"/>
      <c r="M699" s="70"/>
      <c r="N699" s="70"/>
      <c r="O699" s="65"/>
      <c r="P699" s="65"/>
      <c r="Q699" s="71" t="str">
        <f t="shared" ca="1" si="181"/>
        <v/>
      </c>
      <c r="R699" s="63"/>
      <c r="S699" s="81"/>
    </row>
    <row r="700" spans="1:20" ht="15" customHeight="1">
      <c r="A700" s="59">
        <v>46260</v>
      </c>
      <c r="B700" s="60">
        <f t="shared" si="182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79"/>
        <v/>
      </c>
      <c r="K700" s="64" t="str">
        <f t="shared" si="180"/>
        <v/>
      </c>
      <c r="L700" s="61"/>
      <c r="M700" s="61"/>
      <c r="N700" s="61"/>
      <c r="O700" s="65"/>
      <c r="P700" s="65"/>
      <c r="Q700" s="66" t="str">
        <f t="shared" ca="1" si="181"/>
        <v/>
      </c>
      <c r="R700" s="63"/>
      <c r="S700" s="81"/>
    </row>
    <row r="701" spans="1:20" ht="15" customHeight="1">
      <c r="A701" s="18">
        <v>46260</v>
      </c>
      <c r="B701" s="68">
        <f t="shared" si="182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79"/>
        <v/>
      </c>
      <c r="K701" s="69" t="str">
        <f t="shared" si="180"/>
        <v/>
      </c>
      <c r="L701" s="70"/>
      <c r="M701" s="70"/>
      <c r="N701" s="70"/>
      <c r="O701" s="65"/>
      <c r="P701" s="65"/>
      <c r="Q701" s="71" t="str">
        <f t="shared" ca="1" si="181"/>
        <v/>
      </c>
      <c r="R701" s="63"/>
      <c r="S701" s="81"/>
    </row>
    <row r="702" spans="1:20" ht="15.75" customHeight="1">
      <c r="A702" s="156" t="s">
        <v>263</v>
      </c>
      <c r="B702" s="156"/>
      <c r="C702" s="156"/>
      <c r="D702" s="156"/>
      <c r="E702" s="156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57" t="s">
        <v>249</v>
      </c>
      <c r="B703" s="157"/>
      <c r="C703" s="157"/>
      <c r="D703" s="157"/>
      <c r="E703" s="157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3">IFERROR(IF($H704="","",$H704*$F704*$I704),"")</f>
        <v/>
      </c>
      <c r="K704" s="64" t="str">
        <f t="shared" ref="K704:K715" si="184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5">IFERROR(IF(O704="","",IF(P704="",MOD(NOW()-O704,1),IF(P704&gt;=O704,P704-O704,P704+1-O704))),"")</f>
        <v/>
      </c>
      <c r="R704" s="63"/>
      <c r="S704" s="81"/>
    </row>
    <row r="705" spans="1:20" ht="15" customHeight="1">
      <c r="A705" s="18">
        <v>46261</v>
      </c>
      <c r="B705" s="68">
        <f t="shared" ref="B705:B715" si="186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3"/>
        <v/>
      </c>
      <c r="K705" s="69" t="str">
        <f t="shared" si="184"/>
        <v/>
      </c>
      <c r="L705" s="70"/>
      <c r="M705" s="70"/>
      <c r="N705" s="70"/>
      <c r="O705" s="65"/>
      <c r="P705" s="65"/>
      <c r="Q705" s="71" t="str">
        <f t="shared" ca="1" si="185"/>
        <v/>
      </c>
      <c r="R705" s="63"/>
      <c r="S705" s="81"/>
    </row>
    <row r="706" spans="1:20" ht="15" customHeight="1">
      <c r="A706" s="59">
        <v>46261</v>
      </c>
      <c r="B706" s="60">
        <f t="shared" si="186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3"/>
        <v/>
      </c>
      <c r="K706" s="64" t="str">
        <f t="shared" si="184"/>
        <v/>
      </c>
      <c r="L706" s="61"/>
      <c r="M706" s="61"/>
      <c r="N706" s="61"/>
      <c r="O706" s="65"/>
      <c r="P706" s="65"/>
      <c r="Q706" s="66" t="str">
        <f t="shared" ca="1" si="185"/>
        <v/>
      </c>
      <c r="R706" s="63"/>
      <c r="S706" s="81"/>
    </row>
    <row r="707" spans="1:20" ht="15" customHeight="1">
      <c r="A707" s="18">
        <v>46261</v>
      </c>
      <c r="B707" s="68">
        <f t="shared" si="186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3"/>
        <v/>
      </c>
      <c r="K707" s="69" t="str">
        <f t="shared" si="184"/>
        <v/>
      </c>
      <c r="L707" s="70"/>
      <c r="M707" s="70"/>
      <c r="N707" s="70"/>
      <c r="O707" s="65"/>
      <c r="P707" s="65"/>
      <c r="Q707" s="71" t="str">
        <f t="shared" ca="1" si="185"/>
        <v/>
      </c>
      <c r="R707" s="63"/>
      <c r="S707" s="81"/>
    </row>
    <row r="708" spans="1:20" ht="15" customHeight="1">
      <c r="A708" s="59">
        <v>46261</v>
      </c>
      <c r="B708" s="60">
        <f t="shared" si="186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3"/>
        <v/>
      </c>
      <c r="K708" s="64" t="str">
        <f t="shared" si="184"/>
        <v/>
      </c>
      <c r="L708" s="61"/>
      <c r="M708" s="61"/>
      <c r="N708" s="61"/>
      <c r="O708" s="65"/>
      <c r="P708" s="65"/>
      <c r="Q708" s="66" t="str">
        <f t="shared" ca="1" si="185"/>
        <v/>
      </c>
      <c r="R708" s="63"/>
      <c r="S708" s="81"/>
    </row>
    <row r="709" spans="1:20" ht="15" customHeight="1">
      <c r="A709" s="18">
        <v>46261</v>
      </c>
      <c r="B709" s="68">
        <f t="shared" si="186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3"/>
        <v/>
      </c>
      <c r="K709" s="69" t="str">
        <f t="shared" si="184"/>
        <v/>
      </c>
      <c r="L709" s="70"/>
      <c r="M709" s="70"/>
      <c r="N709" s="70"/>
      <c r="O709" s="65"/>
      <c r="P709" s="65"/>
      <c r="Q709" s="71" t="str">
        <f t="shared" ca="1" si="185"/>
        <v/>
      </c>
      <c r="R709" s="63"/>
      <c r="S709" s="81"/>
    </row>
    <row r="710" spans="1:20" ht="15" customHeight="1">
      <c r="A710" s="59">
        <v>46261</v>
      </c>
      <c r="B710" s="60">
        <f t="shared" si="186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3"/>
        <v/>
      </c>
      <c r="K710" s="64" t="str">
        <f t="shared" si="184"/>
        <v/>
      </c>
      <c r="L710" s="61"/>
      <c r="M710" s="61"/>
      <c r="N710" s="61"/>
      <c r="O710" s="65"/>
      <c r="P710" s="65"/>
      <c r="Q710" s="66" t="str">
        <f t="shared" ca="1" si="185"/>
        <v/>
      </c>
      <c r="R710" s="63"/>
      <c r="S710" s="81"/>
    </row>
    <row r="711" spans="1:20" ht="15" customHeight="1">
      <c r="A711" s="18">
        <v>46261</v>
      </c>
      <c r="B711" s="68">
        <f t="shared" si="186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3"/>
        <v/>
      </c>
      <c r="K711" s="69" t="str">
        <f t="shared" si="184"/>
        <v/>
      </c>
      <c r="L711" s="70"/>
      <c r="M711" s="70"/>
      <c r="N711" s="70"/>
      <c r="O711" s="65"/>
      <c r="P711" s="65"/>
      <c r="Q711" s="71" t="str">
        <f t="shared" ca="1" si="185"/>
        <v/>
      </c>
      <c r="R711" s="63"/>
      <c r="S711" s="81"/>
    </row>
    <row r="712" spans="1:20" ht="15" customHeight="1">
      <c r="A712" s="59">
        <v>46261</v>
      </c>
      <c r="B712" s="60">
        <f t="shared" si="186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3"/>
        <v/>
      </c>
      <c r="K712" s="64" t="str">
        <f t="shared" si="184"/>
        <v/>
      </c>
      <c r="L712" s="61"/>
      <c r="M712" s="61"/>
      <c r="N712" s="61"/>
      <c r="O712" s="65"/>
      <c r="P712" s="65"/>
      <c r="Q712" s="66" t="str">
        <f t="shared" ca="1" si="185"/>
        <v/>
      </c>
      <c r="R712" s="63"/>
      <c r="S712" s="81"/>
    </row>
    <row r="713" spans="1:20" ht="15" customHeight="1">
      <c r="A713" s="18">
        <v>46261</v>
      </c>
      <c r="B713" s="68">
        <f t="shared" si="186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3"/>
        <v/>
      </c>
      <c r="K713" s="69" t="str">
        <f t="shared" si="184"/>
        <v/>
      </c>
      <c r="L713" s="70"/>
      <c r="M713" s="70"/>
      <c r="N713" s="70"/>
      <c r="O713" s="65"/>
      <c r="P713" s="65"/>
      <c r="Q713" s="71" t="str">
        <f t="shared" ca="1" si="185"/>
        <v/>
      </c>
      <c r="R713" s="63"/>
      <c r="S713" s="81"/>
    </row>
    <row r="714" spans="1:20" ht="15" customHeight="1">
      <c r="A714" s="59">
        <v>46261</v>
      </c>
      <c r="B714" s="60">
        <f t="shared" si="186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3"/>
        <v/>
      </c>
      <c r="K714" s="64" t="str">
        <f t="shared" si="184"/>
        <v/>
      </c>
      <c r="L714" s="61"/>
      <c r="M714" s="61"/>
      <c r="N714" s="61"/>
      <c r="O714" s="65"/>
      <c r="P714" s="65"/>
      <c r="Q714" s="66" t="str">
        <f t="shared" ca="1" si="185"/>
        <v/>
      </c>
      <c r="R714" s="63"/>
      <c r="S714" s="81"/>
    </row>
    <row r="715" spans="1:20" ht="15" customHeight="1">
      <c r="A715" s="18">
        <v>46261</v>
      </c>
      <c r="B715" s="68">
        <f t="shared" si="186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3"/>
        <v/>
      </c>
      <c r="K715" s="69" t="str">
        <f t="shared" si="184"/>
        <v/>
      </c>
      <c r="L715" s="70"/>
      <c r="M715" s="70"/>
      <c r="N715" s="70"/>
      <c r="O715" s="65"/>
      <c r="P715" s="65"/>
      <c r="Q715" s="71" t="str">
        <f t="shared" ca="1" si="185"/>
        <v/>
      </c>
      <c r="R715" s="63"/>
      <c r="S715" s="81"/>
    </row>
    <row r="716" spans="1:20" ht="15.75" customHeight="1">
      <c r="A716" s="156" t="s">
        <v>260</v>
      </c>
      <c r="B716" s="156"/>
      <c r="C716" s="156"/>
      <c r="D716" s="156"/>
      <c r="E716" s="156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87">IFERROR(IF($H717="","",$H717*$F717*$I717),"")</f>
        <v/>
      </c>
      <c r="K717" s="69" t="str">
        <f t="shared" ref="K717:K728" si="188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89">IFERROR(IF(O717="","",IF(P717="",MOD(NOW()-O717,1),IF(P717&gt;=O717,P717-O717,P717+1-O717))),"")</f>
        <v/>
      </c>
      <c r="R717" s="63"/>
      <c r="S717" s="81"/>
    </row>
    <row r="718" spans="1:20" ht="15" customHeight="1">
      <c r="A718" s="59">
        <v>46261</v>
      </c>
      <c r="B718" s="60">
        <f t="shared" ref="B718:B728" si="190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87"/>
        <v/>
      </c>
      <c r="K718" s="64" t="str">
        <f t="shared" si="188"/>
        <v/>
      </c>
      <c r="L718" s="61"/>
      <c r="M718" s="61"/>
      <c r="N718" s="61"/>
      <c r="O718" s="65"/>
      <c r="P718" s="65"/>
      <c r="Q718" s="66" t="str">
        <f t="shared" ca="1" si="189"/>
        <v/>
      </c>
      <c r="R718" s="63"/>
      <c r="S718" s="81"/>
    </row>
    <row r="719" spans="1:20" ht="15" customHeight="1">
      <c r="A719" s="18">
        <v>46261</v>
      </c>
      <c r="B719" s="68">
        <f t="shared" si="190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87"/>
        <v/>
      </c>
      <c r="K719" s="69" t="str">
        <f t="shared" si="188"/>
        <v/>
      </c>
      <c r="L719" s="70"/>
      <c r="M719" s="70"/>
      <c r="N719" s="70"/>
      <c r="O719" s="65"/>
      <c r="P719" s="65"/>
      <c r="Q719" s="71" t="str">
        <f t="shared" ca="1" si="189"/>
        <v/>
      </c>
      <c r="R719" s="63"/>
      <c r="S719" s="81"/>
    </row>
    <row r="720" spans="1:20" ht="15" customHeight="1">
      <c r="A720" s="59">
        <v>46261</v>
      </c>
      <c r="B720" s="60">
        <f t="shared" si="190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87"/>
        <v/>
      </c>
      <c r="K720" s="64" t="str">
        <f t="shared" si="188"/>
        <v/>
      </c>
      <c r="L720" s="61"/>
      <c r="M720" s="61"/>
      <c r="N720" s="61"/>
      <c r="O720" s="65"/>
      <c r="P720" s="65"/>
      <c r="Q720" s="66" t="str">
        <f t="shared" ca="1" si="189"/>
        <v/>
      </c>
      <c r="R720" s="63"/>
      <c r="S720" s="81"/>
    </row>
    <row r="721" spans="1:20" ht="15" customHeight="1">
      <c r="A721" s="18">
        <v>46261</v>
      </c>
      <c r="B721" s="68">
        <f t="shared" si="190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87"/>
        <v/>
      </c>
      <c r="K721" s="69" t="str">
        <f t="shared" si="188"/>
        <v/>
      </c>
      <c r="L721" s="70"/>
      <c r="M721" s="70"/>
      <c r="N721" s="70"/>
      <c r="O721" s="65"/>
      <c r="P721" s="65"/>
      <c r="Q721" s="71" t="str">
        <f t="shared" ca="1" si="189"/>
        <v/>
      </c>
      <c r="R721" s="63"/>
      <c r="S721" s="81"/>
    </row>
    <row r="722" spans="1:20" ht="15" customHeight="1">
      <c r="A722" s="59">
        <v>46261</v>
      </c>
      <c r="B722" s="60">
        <f t="shared" si="190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87"/>
        <v/>
      </c>
      <c r="K722" s="64" t="str">
        <f t="shared" si="188"/>
        <v/>
      </c>
      <c r="L722" s="61"/>
      <c r="M722" s="61"/>
      <c r="N722" s="61"/>
      <c r="O722" s="65"/>
      <c r="P722" s="65"/>
      <c r="Q722" s="66" t="str">
        <f t="shared" ca="1" si="189"/>
        <v/>
      </c>
      <c r="R722" s="63"/>
      <c r="S722" s="81"/>
    </row>
    <row r="723" spans="1:20" ht="15" customHeight="1">
      <c r="A723" s="18">
        <v>46261</v>
      </c>
      <c r="B723" s="68">
        <f t="shared" si="190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87"/>
        <v/>
      </c>
      <c r="K723" s="69" t="str">
        <f t="shared" si="188"/>
        <v/>
      </c>
      <c r="L723" s="70"/>
      <c r="M723" s="70"/>
      <c r="N723" s="70"/>
      <c r="O723" s="65"/>
      <c r="P723" s="65"/>
      <c r="Q723" s="71" t="str">
        <f t="shared" ca="1" si="189"/>
        <v/>
      </c>
      <c r="R723" s="63"/>
      <c r="S723" s="81"/>
    </row>
    <row r="724" spans="1:20" ht="15" customHeight="1">
      <c r="A724" s="59">
        <v>46261</v>
      </c>
      <c r="B724" s="60">
        <f t="shared" si="190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87"/>
        <v/>
      </c>
      <c r="K724" s="64" t="str">
        <f t="shared" si="188"/>
        <v/>
      </c>
      <c r="L724" s="61"/>
      <c r="M724" s="61"/>
      <c r="N724" s="61"/>
      <c r="O724" s="65"/>
      <c r="P724" s="65"/>
      <c r="Q724" s="66" t="str">
        <f t="shared" ca="1" si="189"/>
        <v/>
      </c>
      <c r="R724" s="63"/>
      <c r="S724" s="81"/>
    </row>
    <row r="725" spans="1:20" ht="15" customHeight="1">
      <c r="A725" s="18">
        <v>46261</v>
      </c>
      <c r="B725" s="68">
        <f t="shared" si="190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87"/>
        <v/>
      </c>
      <c r="K725" s="69" t="str">
        <f t="shared" si="188"/>
        <v/>
      </c>
      <c r="L725" s="70"/>
      <c r="M725" s="70"/>
      <c r="N725" s="70"/>
      <c r="O725" s="65"/>
      <c r="P725" s="65"/>
      <c r="Q725" s="71" t="str">
        <f t="shared" ca="1" si="189"/>
        <v/>
      </c>
      <c r="R725" s="63"/>
      <c r="S725" s="81"/>
    </row>
    <row r="726" spans="1:20" ht="15" customHeight="1">
      <c r="A726" s="59">
        <v>46261</v>
      </c>
      <c r="B726" s="60">
        <f t="shared" si="190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87"/>
        <v/>
      </c>
      <c r="K726" s="64" t="str">
        <f t="shared" si="188"/>
        <v/>
      </c>
      <c r="L726" s="61"/>
      <c r="M726" s="61"/>
      <c r="N726" s="61"/>
      <c r="O726" s="65"/>
      <c r="P726" s="65"/>
      <c r="Q726" s="66" t="str">
        <f t="shared" ca="1" si="189"/>
        <v/>
      </c>
      <c r="R726" s="63"/>
      <c r="S726" s="81"/>
    </row>
    <row r="727" spans="1:20" ht="15" customHeight="1">
      <c r="A727" s="18">
        <v>46261</v>
      </c>
      <c r="B727" s="68">
        <f t="shared" si="190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87"/>
        <v/>
      </c>
      <c r="K727" s="69" t="str">
        <f t="shared" si="188"/>
        <v/>
      </c>
      <c r="L727" s="70"/>
      <c r="M727" s="70"/>
      <c r="N727" s="70"/>
      <c r="O727" s="65"/>
      <c r="P727" s="65"/>
      <c r="Q727" s="71" t="str">
        <f t="shared" ca="1" si="189"/>
        <v/>
      </c>
      <c r="R727" s="63"/>
      <c r="S727" s="81"/>
    </row>
    <row r="728" spans="1:20" ht="15" customHeight="1">
      <c r="A728" s="59">
        <v>46261</v>
      </c>
      <c r="B728" s="60">
        <f t="shared" si="190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87"/>
        <v/>
      </c>
      <c r="K728" s="64" t="str">
        <f t="shared" si="188"/>
        <v/>
      </c>
      <c r="L728" s="61"/>
      <c r="M728" s="61"/>
      <c r="N728" s="61"/>
      <c r="O728" s="65"/>
      <c r="P728" s="65"/>
      <c r="Q728" s="66" t="str">
        <f t="shared" ca="1" si="189"/>
        <v/>
      </c>
      <c r="R728" s="63"/>
      <c r="S728" s="81"/>
    </row>
    <row r="729" spans="1:20" ht="15.75" customHeight="1">
      <c r="A729" s="156" t="s">
        <v>263</v>
      </c>
      <c r="B729" s="156"/>
      <c r="C729" s="156"/>
      <c r="D729" s="156"/>
      <c r="E729" s="156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57" t="s">
        <v>249</v>
      </c>
      <c r="B730" s="157"/>
      <c r="C730" s="157"/>
      <c r="D730" s="157"/>
      <c r="E730" s="157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1">IFERROR(IF($H731="","",$H731*$F731*$I731),"")</f>
        <v/>
      </c>
      <c r="K731" s="69" t="str">
        <f t="shared" ref="K731:K742" si="192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3">IFERROR(IF(O731="","",IF(P731="",MOD(NOW()-O731,1),IF(P731&gt;=O731,P731-O731,P731+1-O731))),"")</f>
        <v/>
      </c>
      <c r="R731" s="63"/>
      <c r="S731" s="81"/>
    </row>
    <row r="732" spans="1:20" ht="15" customHeight="1">
      <c r="A732" s="59">
        <v>46262</v>
      </c>
      <c r="B732" s="60">
        <f t="shared" ref="B732:B742" si="194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1"/>
        <v/>
      </c>
      <c r="K732" s="64" t="str">
        <f t="shared" si="192"/>
        <v/>
      </c>
      <c r="L732" s="61"/>
      <c r="M732" s="61"/>
      <c r="N732" s="61"/>
      <c r="O732" s="65"/>
      <c r="P732" s="65"/>
      <c r="Q732" s="66" t="str">
        <f t="shared" ca="1" si="193"/>
        <v/>
      </c>
      <c r="R732" s="63"/>
      <c r="S732" s="81"/>
    </row>
    <row r="733" spans="1:20" ht="15" customHeight="1">
      <c r="A733" s="18">
        <v>46262</v>
      </c>
      <c r="B733" s="68">
        <f t="shared" si="194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1"/>
        <v/>
      </c>
      <c r="K733" s="69" t="str">
        <f t="shared" si="192"/>
        <v/>
      </c>
      <c r="L733" s="70"/>
      <c r="M733" s="70"/>
      <c r="N733" s="70"/>
      <c r="O733" s="65"/>
      <c r="P733" s="65"/>
      <c r="Q733" s="71" t="str">
        <f t="shared" ca="1" si="193"/>
        <v/>
      </c>
      <c r="R733" s="63"/>
      <c r="S733" s="81"/>
    </row>
    <row r="734" spans="1:20" ht="15" customHeight="1">
      <c r="A734" s="59">
        <v>46262</v>
      </c>
      <c r="B734" s="60">
        <f t="shared" si="194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1"/>
        <v/>
      </c>
      <c r="K734" s="64" t="str">
        <f t="shared" si="192"/>
        <v/>
      </c>
      <c r="L734" s="61"/>
      <c r="M734" s="61"/>
      <c r="N734" s="61"/>
      <c r="O734" s="65"/>
      <c r="P734" s="65"/>
      <c r="Q734" s="66" t="str">
        <f t="shared" ca="1" si="193"/>
        <v/>
      </c>
      <c r="R734" s="63"/>
      <c r="S734" s="81"/>
    </row>
    <row r="735" spans="1:20" ht="15" customHeight="1">
      <c r="A735" s="18">
        <v>46262</v>
      </c>
      <c r="B735" s="68">
        <f t="shared" si="194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1"/>
        <v/>
      </c>
      <c r="K735" s="69" t="str">
        <f t="shared" si="192"/>
        <v/>
      </c>
      <c r="L735" s="70"/>
      <c r="M735" s="70"/>
      <c r="N735" s="70"/>
      <c r="O735" s="65"/>
      <c r="P735" s="65"/>
      <c r="Q735" s="71" t="str">
        <f t="shared" ca="1" si="193"/>
        <v/>
      </c>
      <c r="R735" s="63"/>
      <c r="S735" s="81"/>
    </row>
    <row r="736" spans="1:20" ht="15" customHeight="1">
      <c r="A736" s="59">
        <v>46262</v>
      </c>
      <c r="B736" s="60">
        <f t="shared" si="194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1"/>
        <v/>
      </c>
      <c r="K736" s="64" t="str">
        <f t="shared" si="192"/>
        <v/>
      </c>
      <c r="L736" s="61"/>
      <c r="M736" s="61"/>
      <c r="N736" s="61"/>
      <c r="O736" s="65"/>
      <c r="P736" s="65"/>
      <c r="Q736" s="66" t="str">
        <f t="shared" ca="1" si="193"/>
        <v/>
      </c>
      <c r="R736" s="63"/>
      <c r="S736" s="81"/>
    </row>
    <row r="737" spans="1:20" ht="15" customHeight="1">
      <c r="A737" s="18">
        <v>46262</v>
      </c>
      <c r="B737" s="68">
        <f t="shared" si="194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1"/>
        <v/>
      </c>
      <c r="K737" s="69" t="str">
        <f t="shared" si="192"/>
        <v/>
      </c>
      <c r="L737" s="70"/>
      <c r="M737" s="70"/>
      <c r="N737" s="70"/>
      <c r="O737" s="65"/>
      <c r="P737" s="65"/>
      <c r="Q737" s="71" t="str">
        <f t="shared" ca="1" si="193"/>
        <v/>
      </c>
      <c r="R737" s="63"/>
      <c r="S737" s="81"/>
    </row>
    <row r="738" spans="1:20" ht="15" customHeight="1">
      <c r="A738" s="59">
        <v>46262</v>
      </c>
      <c r="B738" s="60">
        <f t="shared" si="194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1"/>
        <v/>
      </c>
      <c r="K738" s="64" t="str">
        <f t="shared" si="192"/>
        <v/>
      </c>
      <c r="L738" s="61"/>
      <c r="M738" s="61"/>
      <c r="N738" s="61"/>
      <c r="O738" s="65"/>
      <c r="P738" s="65"/>
      <c r="Q738" s="66" t="str">
        <f t="shared" ca="1" si="193"/>
        <v/>
      </c>
      <c r="R738" s="63"/>
      <c r="S738" s="81"/>
    </row>
    <row r="739" spans="1:20" ht="15" customHeight="1">
      <c r="A739" s="18">
        <v>46262</v>
      </c>
      <c r="B739" s="68">
        <f t="shared" si="194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1"/>
        <v/>
      </c>
      <c r="K739" s="69" t="str">
        <f t="shared" si="192"/>
        <v/>
      </c>
      <c r="L739" s="70"/>
      <c r="M739" s="70"/>
      <c r="N739" s="70"/>
      <c r="O739" s="65"/>
      <c r="P739" s="65"/>
      <c r="Q739" s="71" t="str">
        <f t="shared" ca="1" si="193"/>
        <v/>
      </c>
      <c r="R739" s="63"/>
      <c r="S739" s="81"/>
    </row>
    <row r="740" spans="1:20" ht="15" customHeight="1">
      <c r="A740" s="59">
        <v>46262</v>
      </c>
      <c r="B740" s="60">
        <f t="shared" si="194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1"/>
        <v/>
      </c>
      <c r="K740" s="64" t="str">
        <f t="shared" si="192"/>
        <v/>
      </c>
      <c r="L740" s="61"/>
      <c r="M740" s="61"/>
      <c r="N740" s="61"/>
      <c r="O740" s="65"/>
      <c r="P740" s="65"/>
      <c r="Q740" s="66" t="str">
        <f t="shared" ca="1" si="193"/>
        <v/>
      </c>
      <c r="R740" s="63"/>
      <c r="S740" s="81"/>
    </row>
    <row r="741" spans="1:20" ht="15" customHeight="1">
      <c r="A741" s="18">
        <v>46262</v>
      </c>
      <c r="B741" s="68">
        <f t="shared" si="194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1"/>
        <v/>
      </c>
      <c r="K741" s="69" t="str">
        <f t="shared" si="192"/>
        <v/>
      </c>
      <c r="L741" s="70"/>
      <c r="M741" s="70"/>
      <c r="N741" s="70"/>
      <c r="O741" s="65"/>
      <c r="P741" s="65"/>
      <c r="Q741" s="71" t="str">
        <f t="shared" ca="1" si="193"/>
        <v/>
      </c>
      <c r="R741" s="63"/>
      <c r="S741" s="81"/>
    </row>
    <row r="742" spans="1:20" ht="15" customHeight="1">
      <c r="A742" s="59">
        <v>46262</v>
      </c>
      <c r="B742" s="60">
        <f t="shared" si="194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1"/>
        <v/>
      </c>
      <c r="K742" s="64" t="str">
        <f t="shared" si="192"/>
        <v/>
      </c>
      <c r="L742" s="61"/>
      <c r="M742" s="61"/>
      <c r="N742" s="61"/>
      <c r="O742" s="65"/>
      <c r="P742" s="65"/>
      <c r="Q742" s="66" t="str">
        <f t="shared" ca="1" si="193"/>
        <v/>
      </c>
      <c r="R742" s="63"/>
      <c r="S742" s="81"/>
    </row>
    <row r="743" spans="1:20" ht="15.75" customHeight="1">
      <c r="A743" s="156" t="s">
        <v>260</v>
      </c>
      <c r="B743" s="156"/>
      <c r="C743" s="156"/>
      <c r="D743" s="156"/>
      <c r="E743" s="156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5">IFERROR(IF($H744="","",$H744*$F744*$I744),"")</f>
        <v/>
      </c>
      <c r="K744" s="64" t="str">
        <f t="shared" ref="K744:K755" si="196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197">IFERROR(IF(O744="","",IF(P744="",MOD(NOW()-O744,1),IF(P744&gt;=O744,P744-O744,P744+1-O744))),"")</f>
        <v/>
      </c>
      <c r="R744" s="63"/>
      <c r="S744" s="81"/>
    </row>
    <row r="745" spans="1:20" ht="15" customHeight="1">
      <c r="A745" s="18">
        <v>46262</v>
      </c>
      <c r="B745" s="68">
        <f t="shared" ref="B745:B755" si="198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5"/>
        <v/>
      </c>
      <c r="K745" s="69" t="str">
        <f t="shared" si="196"/>
        <v/>
      </c>
      <c r="L745" s="70"/>
      <c r="M745" s="70"/>
      <c r="N745" s="70"/>
      <c r="O745" s="65"/>
      <c r="P745" s="65"/>
      <c r="Q745" s="71" t="str">
        <f t="shared" ca="1" si="197"/>
        <v/>
      </c>
      <c r="R745" s="63"/>
      <c r="S745" s="81"/>
    </row>
    <row r="746" spans="1:20" ht="15" customHeight="1">
      <c r="A746" s="59">
        <v>46262</v>
      </c>
      <c r="B746" s="60">
        <f t="shared" si="198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5"/>
        <v/>
      </c>
      <c r="K746" s="64" t="str">
        <f t="shared" si="196"/>
        <v/>
      </c>
      <c r="L746" s="61"/>
      <c r="M746" s="61"/>
      <c r="N746" s="61"/>
      <c r="O746" s="65"/>
      <c r="P746" s="65"/>
      <c r="Q746" s="66" t="str">
        <f t="shared" ca="1" si="197"/>
        <v/>
      </c>
      <c r="R746" s="63"/>
      <c r="S746" s="81"/>
    </row>
    <row r="747" spans="1:20" ht="15" customHeight="1">
      <c r="A747" s="18">
        <v>46262</v>
      </c>
      <c r="B747" s="68">
        <f t="shared" si="198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5"/>
        <v/>
      </c>
      <c r="K747" s="69" t="str">
        <f t="shared" si="196"/>
        <v/>
      </c>
      <c r="L747" s="70"/>
      <c r="M747" s="70"/>
      <c r="N747" s="70"/>
      <c r="O747" s="65"/>
      <c r="P747" s="65"/>
      <c r="Q747" s="71" t="str">
        <f t="shared" ca="1" si="197"/>
        <v/>
      </c>
      <c r="R747" s="63"/>
      <c r="S747" s="81"/>
    </row>
    <row r="748" spans="1:20" ht="15" customHeight="1">
      <c r="A748" s="59">
        <v>46262</v>
      </c>
      <c r="B748" s="60">
        <f t="shared" si="198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5"/>
        <v/>
      </c>
      <c r="K748" s="64" t="str">
        <f t="shared" si="196"/>
        <v/>
      </c>
      <c r="L748" s="61"/>
      <c r="M748" s="61"/>
      <c r="N748" s="61"/>
      <c r="O748" s="65"/>
      <c r="P748" s="65"/>
      <c r="Q748" s="66" t="str">
        <f t="shared" ca="1" si="197"/>
        <v/>
      </c>
      <c r="R748" s="63"/>
      <c r="S748" s="81"/>
    </row>
    <row r="749" spans="1:20" ht="15" customHeight="1">
      <c r="A749" s="18">
        <v>46262</v>
      </c>
      <c r="B749" s="68">
        <f t="shared" si="198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5"/>
        <v/>
      </c>
      <c r="K749" s="69" t="str">
        <f t="shared" si="196"/>
        <v/>
      </c>
      <c r="L749" s="70"/>
      <c r="M749" s="70"/>
      <c r="N749" s="70"/>
      <c r="O749" s="65"/>
      <c r="P749" s="65"/>
      <c r="Q749" s="71" t="str">
        <f t="shared" ca="1" si="197"/>
        <v/>
      </c>
      <c r="R749" s="63"/>
      <c r="S749" s="81"/>
    </row>
    <row r="750" spans="1:20" ht="15" customHeight="1">
      <c r="A750" s="59">
        <v>46262</v>
      </c>
      <c r="B750" s="60">
        <f t="shared" si="198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5"/>
        <v/>
      </c>
      <c r="K750" s="64" t="str">
        <f t="shared" si="196"/>
        <v/>
      </c>
      <c r="L750" s="61"/>
      <c r="M750" s="61"/>
      <c r="N750" s="61"/>
      <c r="O750" s="65"/>
      <c r="P750" s="65"/>
      <c r="Q750" s="66" t="str">
        <f t="shared" ca="1" si="197"/>
        <v/>
      </c>
      <c r="R750" s="63"/>
      <c r="S750" s="81"/>
    </row>
    <row r="751" spans="1:20" ht="15" customHeight="1">
      <c r="A751" s="18">
        <v>46262</v>
      </c>
      <c r="B751" s="68">
        <f t="shared" si="198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5"/>
        <v/>
      </c>
      <c r="K751" s="69" t="str">
        <f t="shared" si="196"/>
        <v/>
      </c>
      <c r="L751" s="70"/>
      <c r="M751" s="70"/>
      <c r="N751" s="70"/>
      <c r="O751" s="65"/>
      <c r="P751" s="65"/>
      <c r="Q751" s="71" t="str">
        <f t="shared" ca="1" si="197"/>
        <v/>
      </c>
      <c r="R751" s="63"/>
      <c r="S751" s="81"/>
    </row>
    <row r="752" spans="1:20" ht="15" customHeight="1">
      <c r="A752" s="59">
        <v>46262</v>
      </c>
      <c r="B752" s="60">
        <f t="shared" si="198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5"/>
        <v/>
      </c>
      <c r="K752" s="64" t="str">
        <f t="shared" si="196"/>
        <v/>
      </c>
      <c r="L752" s="61"/>
      <c r="M752" s="61"/>
      <c r="N752" s="61"/>
      <c r="O752" s="65"/>
      <c r="P752" s="65"/>
      <c r="Q752" s="66" t="str">
        <f t="shared" ca="1" si="197"/>
        <v/>
      </c>
      <c r="R752" s="63"/>
      <c r="S752" s="81"/>
    </row>
    <row r="753" spans="1:20" ht="15" customHeight="1">
      <c r="A753" s="18">
        <v>46262</v>
      </c>
      <c r="B753" s="68">
        <f t="shared" si="198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5"/>
        <v/>
      </c>
      <c r="K753" s="69" t="str">
        <f t="shared" si="196"/>
        <v/>
      </c>
      <c r="L753" s="70"/>
      <c r="M753" s="70"/>
      <c r="N753" s="70"/>
      <c r="O753" s="65"/>
      <c r="P753" s="65"/>
      <c r="Q753" s="71" t="str">
        <f t="shared" ca="1" si="197"/>
        <v/>
      </c>
      <c r="R753" s="63"/>
      <c r="S753" s="81"/>
    </row>
    <row r="754" spans="1:20" ht="15" customHeight="1">
      <c r="A754" s="59">
        <v>46262</v>
      </c>
      <c r="B754" s="60">
        <f t="shared" si="198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5"/>
        <v/>
      </c>
      <c r="K754" s="64" t="str">
        <f t="shared" si="196"/>
        <v/>
      </c>
      <c r="L754" s="61"/>
      <c r="M754" s="61"/>
      <c r="N754" s="61"/>
      <c r="O754" s="65"/>
      <c r="P754" s="65"/>
      <c r="Q754" s="66" t="str">
        <f t="shared" ca="1" si="197"/>
        <v/>
      </c>
      <c r="R754" s="63"/>
      <c r="S754" s="81"/>
    </row>
    <row r="755" spans="1:20" ht="15" customHeight="1">
      <c r="A755" s="18">
        <v>46262</v>
      </c>
      <c r="B755" s="68">
        <f t="shared" si="198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5"/>
        <v/>
      </c>
      <c r="K755" s="69" t="str">
        <f t="shared" si="196"/>
        <v/>
      </c>
      <c r="L755" s="70"/>
      <c r="M755" s="70"/>
      <c r="N755" s="70"/>
      <c r="O755" s="65"/>
      <c r="P755" s="65"/>
      <c r="Q755" s="71" t="str">
        <f t="shared" ca="1" si="197"/>
        <v/>
      </c>
      <c r="R755" s="63"/>
      <c r="S755" s="81"/>
    </row>
    <row r="756" spans="1:20" ht="15.75" customHeight="1">
      <c r="A756" s="156" t="s">
        <v>263</v>
      </c>
      <c r="B756" s="156"/>
      <c r="C756" s="156"/>
      <c r="D756" s="156"/>
      <c r="E756" s="156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57" t="s">
        <v>249</v>
      </c>
      <c r="B757" s="157"/>
      <c r="C757" s="157"/>
      <c r="D757" s="157"/>
      <c r="E757" s="157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199">IFERROR(IF($H758="","",$H758*$F758*$I758),"")</f>
        <v/>
      </c>
      <c r="K758" s="64" t="str">
        <f t="shared" ref="K758:K769" si="200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1">IFERROR(IF(O758="","",IF(P758="",MOD(NOW()-O758,1),IF(P758&gt;=O758,P758-O758,P758+1-O758))),"")</f>
        <v/>
      </c>
      <c r="R758" s="63"/>
      <c r="S758" s="81"/>
    </row>
    <row r="759" spans="1:20" ht="15" customHeight="1">
      <c r="A759" s="18">
        <v>46263</v>
      </c>
      <c r="B759" s="68">
        <f t="shared" ref="B759:B769" si="202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199"/>
        <v/>
      </c>
      <c r="K759" s="69" t="str">
        <f t="shared" si="200"/>
        <v/>
      </c>
      <c r="L759" s="70"/>
      <c r="M759" s="70"/>
      <c r="N759" s="70"/>
      <c r="O759" s="65"/>
      <c r="P759" s="65"/>
      <c r="Q759" s="71" t="str">
        <f t="shared" ca="1" si="201"/>
        <v/>
      </c>
      <c r="R759" s="63"/>
      <c r="S759" s="81"/>
    </row>
    <row r="760" spans="1:20" ht="15" customHeight="1">
      <c r="A760" s="59">
        <v>46263</v>
      </c>
      <c r="B760" s="60">
        <f t="shared" si="202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199"/>
        <v/>
      </c>
      <c r="K760" s="64" t="str">
        <f t="shared" si="200"/>
        <v/>
      </c>
      <c r="L760" s="61"/>
      <c r="M760" s="61"/>
      <c r="N760" s="61"/>
      <c r="O760" s="65"/>
      <c r="P760" s="65"/>
      <c r="Q760" s="66" t="str">
        <f t="shared" ca="1" si="201"/>
        <v/>
      </c>
      <c r="R760" s="63"/>
      <c r="S760" s="81"/>
    </row>
    <row r="761" spans="1:20" ht="15" customHeight="1">
      <c r="A761" s="18">
        <v>46263</v>
      </c>
      <c r="B761" s="68">
        <f t="shared" si="202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199"/>
        <v/>
      </c>
      <c r="K761" s="69" t="str">
        <f t="shared" si="200"/>
        <v/>
      </c>
      <c r="L761" s="70"/>
      <c r="M761" s="70"/>
      <c r="N761" s="70"/>
      <c r="O761" s="65"/>
      <c r="P761" s="65"/>
      <c r="Q761" s="71" t="str">
        <f t="shared" ca="1" si="201"/>
        <v/>
      </c>
      <c r="R761" s="63"/>
      <c r="S761" s="81"/>
    </row>
    <row r="762" spans="1:20" ht="15" customHeight="1">
      <c r="A762" s="59">
        <v>46263</v>
      </c>
      <c r="B762" s="60">
        <f t="shared" si="202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199"/>
        <v/>
      </c>
      <c r="K762" s="64" t="str">
        <f t="shared" si="200"/>
        <v/>
      </c>
      <c r="L762" s="61"/>
      <c r="M762" s="61"/>
      <c r="N762" s="61"/>
      <c r="O762" s="65"/>
      <c r="P762" s="65"/>
      <c r="Q762" s="66" t="str">
        <f t="shared" ca="1" si="201"/>
        <v/>
      </c>
      <c r="R762" s="63"/>
      <c r="S762" s="81"/>
    </row>
    <row r="763" spans="1:20" ht="15" customHeight="1">
      <c r="A763" s="18">
        <v>46263</v>
      </c>
      <c r="B763" s="68">
        <f t="shared" si="202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199"/>
        <v/>
      </c>
      <c r="K763" s="69" t="str">
        <f t="shared" si="200"/>
        <v/>
      </c>
      <c r="L763" s="70"/>
      <c r="M763" s="70"/>
      <c r="N763" s="70"/>
      <c r="O763" s="65"/>
      <c r="P763" s="65"/>
      <c r="Q763" s="71" t="str">
        <f t="shared" ca="1" si="201"/>
        <v/>
      </c>
      <c r="R763" s="63"/>
      <c r="S763" s="81"/>
    </row>
    <row r="764" spans="1:20" ht="15" customHeight="1">
      <c r="A764" s="59">
        <v>46263</v>
      </c>
      <c r="B764" s="60">
        <f t="shared" si="202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199"/>
        <v/>
      </c>
      <c r="K764" s="64" t="str">
        <f t="shared" si="200"/>
        <v/>
      </c>
      <c r="L764" s="61"/>
      <c r="M764" s="61"/>
      <c r="N764" s="61"/>
      <c r="O764" s="65"/>
      <c r="P764" s="65"/>
      <c r="Q764" s="66" t="str">
        <f t="shared" ca="1" si="201"/>
        <v/>
      </c>
      <c r="R764" s="63"/>
      <c r="S764" s="81"/>
    </row>
    <row r="765" spans="1:20" ht="15" customHeight="1">
      <c r="A765" s="18">
        <v>46263</v>
      </c>
      <c r="B765" s="68">
        <f t="shared" si="202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199"/>
        <v/>
      </c>
      <c r="K765" s="69" t="str">
        <f t="shared" si="200"/>
        <v/>
      </c>
      <c r="L765" s="70"/>
      <c r="M765" s="70"/>
      <c r="N765" s="70"/>
      <c r="O765" s="65"/>
      <c r="P765" s="65"/>
      <c r="Q765" s="71" t="str">
        <f t="shared" ca="1" si="201"/>
        <v/>
      </c>
      <c r="R765" s="63"/>
      <c r="S765" s="81"/>
    </row>
    <row r="766" spans="1:20" ht="15" customHeight="1">
      <c r="A766" s="59">
        <v>46263</v>
      </c>
      <c r="B766" s="60">
        <f t="shared" si="202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199"/>
        <v/>
      </c>
      <c r="K766" s="64" t="str">
        <f t="shared" si="200"/>
        <v/>
      </c>
      <c r="L766" s="61"/>
      <c r="M766" s="61"/>
      <c r="N766" s="61"/>
      <c r="O766" s="65"/>
      <c r="P766" s="65"/>
      <c r="Q766" s="66" t="str">
        <f t="shared" ca="1" si="201"/>
        <v/>
      </c>
      <c r="R766" s="63"/>
      <c r="S766" s="81"/>
    </row>
    <row r="767" spans="1:20" ht="15" customHeight="1">
      <c r="A767" s="18">
        <v>46263</v>
      </c>
      <c r="B767" s="68">
        <f t="shared" si="202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199"/>
        <v/>
      </c>
      <c r="K767" s="69" t="str">
        <f t="shared" si="200"/>
        <v/>
      </c>
      <c r="L767" s="70"/>
      <c r="M767" s="70"/>
      <c r="N767" s="70"/>
      <c r="O767" s="65"/>
      <c r="P767" s="65"/>
      <c r="Q767" s="71" t="str">
        <f t="shared" ca="1" si="201"/>
        <v/>
      </c>
      <c r="R767" s="63"/>
      <c r="S767" s="81"/>
    </row>
    <row r="768" spans="1:20" ht="15" customHeight="1">
      <c r="A768" s="59">
        <v>46263</v>
      </c>
      <c r="B768" s="60">
        <f t="shared" si="202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199"/>
        <v/>
      </c>
      <c r="K768" s="64" t="str">
        <f t="shared" si="200"/>
        <v/>
      </c>
      <c r="L768" s="61"/>
      <c r="M768" s="61"/>
      <c r="N768" s="61"/>
      <c r="O768" s="65"/>
      <c r="P768" s="65"/>
      <c r="Q768" s="66" t="str">
        <f t="shared" ca="1" si="201"/>
        <v/>
      </c>
      <c r="R768" s="63"/>
      <c r="S768" s="81"/>
    </row>
    <row r="769" spans="1:20" ht="15" customHeight="1">
      <c r="A769" s="18">
        <v>46263</v>
      </c>
      <c r="B769" s="68">
        <f t="shared" si="202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199"/>
        <v/>
      </c>
      <c r="K769" s="69" t="str">
        <f t="shared" si="200"/>
        <v/>
      </c>
      <c r="L769" s="70"/>
      <c r="M769" s="70"/>
      <c r="N769" s="70"/>
      <c r="O769" s="65"/>
      <c r="P769" s="65"/>
      <c r="Q769" s="71" t="str">
        <f t="shared" ca="1" si="201"/>
        <v/>
      </c>
      <c r="R769" s="63"/>
      <c r="S769" s="81"/>
    </row>
    <row r="770" spans="1:20" ht="15.75" customHeight="1">
      <c r="A770" s="156" t="s">
        <v>260</v>
      </c>
      <c r="B770" s="156"/>
      <c r="C770" s="156"/>
      <c r="D770" s="156"/>
      <c r="E770" s="156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3">IFERROR(IF($H771="","",$H771*$F771*$I771),"")</f>
        <v/>
      </c>
      <c r="K771" s="69" t="str">
        <f t="shared" ref="K771:K782" si="204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5">IFERROR(IF(O771="","",IF(P771="",MOD(NOW()-O771,1),IF(P771&gt;=O771,P771-O771,P771+1-O771))),"")</f>
        <v/>
      </c>
      <c r="R771" s="63"/>
      <c r="S771" s="81"/>
    </row>
    <row r="772" spans="1:20" ht="15" customHeight="1">
      <c r="A772" s="59">
        <v>46263</v>
      </c>
      <c r="B772" s="60">
        <f t="shared" ref="B772:B782" si="206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3"/>
        <v/>
      </c>
      <c r="K772" s="64" t="str">
        <f t="shared" si="204"/>
        <v/>
      </c>
      <c r="L772" s="61"/>
      <c r="M772" s="61"/>
      <c r="N772" s="61"/>
      <c r="O772" s="65"/>
      <c r="P772" s="65"/>
      <c r="Q772" s="66" t="str">
        <f t="shared" ca="1" si="205"/>
        <v/>
      </c>
      <c r="R772" s="63"/>
      <c r="S772" s="81"/>
    </row>
    <row r="773" spans="1:20" ht="15" customHeight="1">
      <c r="A773" s="18">
        <v>46263</v>
      </c>
      <c r="B773" s="68">
        <f t="shared" si="206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3"/>
        <v/>
      </c>
      <c r="K773" s="69" t="str">
        <f t="shared" si="204"/>
        <v/>
      </c>
      <c r="L773" s="70"/>
      <c r="M773" s="70"/>
      <c r="N773" s="70"/>
      <c r="O773" s="65"/>
      <c r="P773" s="65"/>
      <c r="Q773" s="71" t="str">
        <f t="shared" ca="1" si="205"/>
        <v/>
      </c>
      <c r="R773" s="63"/>
      <c r="S773" s="81"/>
    </row>
    <row r="774" spans="1:20" ht="15" customHeight="1">
      <c r="A774" s="59">
        <v>46263</v>
      </c>
      <c r="B774" s="60">
        <f t="shared" si="206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3"/>
        <v/>
      </c>
      <c r="K774" s="64" t="str">
        <f t="shared" si="204"/>
        <v/>
      </c>
      <c r="L774" s="61"/>
      <c r="M774" s="61"/>
      <c r="N774" s="61"/>
      <c r="O774" s="65"/>
      <c r="P774" s="65"/>
      <c r="Q774" s="66" t="str">
        <f t="shared" ca="1" si="205"/>
        <v/>
      </c>
      <c r="R774" s="63"/>
      <c r="S774" s="81"/>
    </row>
    <row r="775" spans="1:20" ht="15" customHeight="1">
      <c r="A775" s="18">
        <v>46263</v>
      </c>
      <c r="B775" s="68">
        <f t="shared" si="206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3"/>
        <v/>
      </c>
      <c r="K775" s="69" t="str">
        <f t="shared" si="204"/>
        <v/>
      </c>
      <c r="L775" s="70"/>
      <c r="M775" s="70"/>
      <c r="N775" s="70"/>
      <c r="O775" s="65"/>
      <c r="P775" s="65"/>
      <c r="Q775" s="71" t="str">
        <f t="shared" ca="1" si="205"/>
        <v/>
      </c>
      <c r="R775" s="63"/>
      <c r="S775" s="81"/>
    </row>
    <row r="776" spans="1:20" ht="15" customHeight="1">
      <c r="A776" s="59">
        <v>46263</v>
      </c>
      <c r="B776" s="60">
        <f t="shared" si="206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3"/>
        <v/>
      </c>
      <c r="K776" s="64" t="str">
        <f t="shared" si="204"/>
        <v/>
      </c>
      <c r="L776" s="61"/>
      <c r="M776" s="61"/>
      <c r="N776" s="61"/>
      <c r="O776" s="65"/>
      <c r="P776" s="65"/>
      <c r="Q776" s="66" t="str">
        <f t="shared" ca="1" si="205"/>
        <v/>
      </c>
      <c r="R776" s="63"/>
      <c r="S776" s="81"/>
    </row>
    <row r="777" spans="1:20" ht="15" customHeight="1">
      <c r="A777" s="18">
        <v>46263</v>
      </c>
      <c r="B777" s="68">
        <f t="shared" si="206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3"/>
        <v/>
      </c>
      <c r="K777" s="69" t="str">
        <f t="shared" si="204"/>
        <v/>
      </c>
      <c r="L777" s="70"/>
      <c r="M777" s="70"/>
      <c r="N777" s="70"/>
      <c r="O777" s="65"/>
      <c r="P777" s="65"/>
      <c r="Q777" s="71" t="str">
        <f t="shared" ca="1" si="205"/>
        <v/>
      </c>
      <c r="R777" s="63"/>
      <c r="S777" s="81"/>
    </row>
    <row r="778" spans="1:20" ht="15" customHeight="1">
      <c r="A778" s="59">
        <v>46263</v>
      </c>
      <c r="B778" s="60">
        <f t="shared" si="206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3"/>
        <v/>
      </c>
      <c r="K778" s="64" t="str">
        <f t="shared" si="204"/>
        <v/>
      </c>
      <c r="L778" s="61"/>
      <c r="M778" s="61"/>
      <c r="N778" s="61"/>
      <c r="O778" s="65"/>
      <c r="P778" s="65"/>
      <c r="Q778" s="66" t="str">
        <f t="shared" ca="1" si="205"/>
        <v/>
      </c>
      <c r="R778" s="63"/>
      <c r="S778" s="81"/>
    </row>
    <row r="779" spans="1:20" ht="15" customHeight="1">
      <c r="A779" s="18">
        <v>46263</v>
      </c>
      <c r="B779" s="68">
        <f t="shared" si="206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3"/>
        <v/>
      </c>
      <c r="K779" s="69" t="str">
        <f t="shared" si="204"/>
        <v/>
      </c>
      <c r="L779" s="70"/>
      <c r="M779" s="70"/>
      <c r="N779" s="70"/>
      <c r="O779" s="65"/>
      <c r="P779" s="65"/>
      <c r="Q779" s="71" t="str">
        <f t="shared" ca="1" si="205"/>
        <v/>
      </c>
      <c r="R779" s="63"/>
      <c r="S779" s="81"/>
    </row>
    <row r="780" spans="1:20" ht="15" customHeight="1">
      <c r="A780" s="59">
        <v>46263</v>
      </c>
      <c r="B780" s="60">
        <f t="shared" si="206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3"/>
        <v/>
      </c>
      <c r="K780" s="64" t="str">
        <f t="shared" si="204"/>
        <v/>
      </c>
      <c r="L780" s="61"/>
      <c r="M780" s="61"/>
      <c r="N780" s="61"/>
      <c r="O780" s="65"/>
      <c r="P780" s="65"/>
      <c r="Q780" s="66" t="str">
        <f t="shared" ca="1" si="205"/>
        <v/>
      </c>
      <c r="R780" s="63"/>
      <c r="S780" s="81"/>
    </row>
    <row r="781" spans="1:20" ht="15" customHeight="1">
      <c r="A781" s="18">
        <v>46263</v>
      </c>
      <c r="B781" s="68">
        <f t="shared" si="206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3"/>
        <v/>
      </c>
      <c r="K781" s="69" t="str">
        <f t="shared" si="204"/>
        <v/>
      </c>
      <c r="L781" s="70"/>
      <c r="M781" s="70"/>
      <c r="N781" s="70"/>
      <c r="O781" s="65"/>
      <c r="P781" s="65"/>
      <c r="Q781" s="71" t="str">
        <f t="shared" ca="1" si="205"/>
        <v/>
      </c>
      <c r="R781" s="63"/>
      <c r="S781" s="81"/>
    </row>
    <row r="782" spans="1:20" ht="15" customHeight="1">
      <c r="A782" s="59">
        <v>46263</v>
      </c>
      <c r="B782" s="60">
        <f t="shared" si="206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3"/>
        <v/>
      </c>
      <c r="K782" s="64" t="str">
        <f t="shared" si="204"/>
        <v/>
      </c>
      <c r="L782" s="61"/>
      <c r="M782" s="61"/>
      <c r="N782" s="61"/>
      <c r="O782" s="65"/>
      <c r="P782" s="65"/>
      <c r="Q782" s="66" t="str">
        <f t="shared" ca="1" si="205"/>
        <v/>
      </c>
      <c r="R782" s="63"/>
      <c r="S782" s="81"/>
    </row>
    <row r="783" spans="1:20" ht="15.75" customHeight="1">
      <c r="A783" s="156" t="s">
        <v>263</v>
      </c>
      <c r="B783" s="156"/>
      <c r="C783" s="156"/>
      <c r="D783" s="156"/>
      <c r="E783" s="156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57" t="s">
        <v>249</v>
      </c>
      <c r="B784" s="157"/>
      <c r="C784" s="157"/>
      <c r="D784" s="157"/>
      <c r="E784" s="157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07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08">IFERROR(IF(O785="","",IF(P785="",MOD(NOW()-O785,1),IF(P785&gt;=O785,P785-O785,P785+1-O785))),"")</f>
        <v/>
      </c>
      <c r="R785" s="63"/>
      <c r="S785" s="81"/>
    </row>
    <row r="786" spans="1:20" ht="15" customHeight="1">
      <c r="A786" s="59">
        <v>46264</v>
      </c>
      <c r="B786" s="60">
        <f t="shared" ref="B786:B796" si="209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07"/>
        <v/>
      </c>
      <c r="K786" s="64"/>
      <c r="L786" s="61"/>
      <c r="M786" s="61"/>
      <c r="N786" s="61"/>
      <c r="O786" s="65"/>
      <c r="P786" s="65"/>
      <c r="Q786" s="66" t="str">
        <f t="shared" ca="1" si="208"/>
        <v/>
      </c>
      <c r="R786" s="63"/>
      <c r="S786" s="81"/>
    </row>
    <row r="787" spans="1:20" ht="15" customHeight="1">
      <c r="A787" s="18">
        <v>46264</v>
      </c>
      <c r="B787" s="68">
        <f t="shared" si="209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07"/>
        <v/>
      </c>
      <c r="K787" s="69"/>
      <c r="L787" s="70"/>
      <c r="M787" s="70"/>
      <c r="N787" s="70"/>
      <c r="O787" s="65"/>
      <c r="P787" s="65"/>
      <c r="Q787" s="71" t="str">
        <f t="shared" ca="1" si="208"/>
        <v/>
      </c>
      <c r="R787" s="63"/>
      <c r="S787" s="81"/>
    </row>
    <row r="788" spans="1:20" ht="15" customHeight="1">
      <c r="A788" s="59">
        <v>46264</v>
      </c>
      <c r="B788" s="60">
        <f t="shared" si="209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07"/>
        <v/>
      </c>
      <c r="K788" s="64"/>
      <c r="L788" s="61"/>
      <c r="M788" s="61"/>
      <c r="N788" s="61"/>
      <c r="O788" s="65"/>
      <c r="P788" s="65"/>
      <c r="Q788" s="66" t="str">
        <f t="shared" ca="1" si="208"/>
        <v/>
      </c>
      <c r="R788" s="63"/>
      <c r="S788" s="81"/>
    </row>
    <row r="789" spans="1:20" ht="15" customHeight="1">
      <c r="A789" s="18">
        <v>46264</v>
      </c>
      <c r="B789" s="68">
        <f t="shared" si="209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07"/>
        <v/>
      </c>
      <c r="K789" s="69"/>
      <c r="L789" s="70"/>
      <c r="M789" s="70"/>
      <c r="N789" s="70"/>
      <c r="O789" s="65"/>
      <c r="P789" s="65"/>
      <c r="Q789" s="71" t="str">
        <f t="shared" ca="1" si="208"/>
        <v/>
      </c>
      <c r="R789" s="63"/>
      <c r="S789" s="81"/>
    </row>
    <row r="790" spans="1:20" ht="15" customHeight="1">
      <c r="A790" s="59">
        <v>46264</v>
      </c>
      <c r="B790" s="60">
        <f t="shared" si="209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07"/>
        <v/>
      </c>
      <c r="K790" s="64"/>
      <c r="L790" s="61"/>
      <c r="M790" s="61"/>
      <c r="N790" s="61"/>
      <c r="O790" s="65"/>
      <c r="P790" s="65"/>
      <c r="Q790" s="66" t="str">
        <f t="shared" ca="1" si="208"/>
        <v/>
      </c>
      <c r="R790" s="63"/>
      <c r="S790" s="81"/>
    </row>
    <row r="791" spans="1:20" ht="15" customHeight="1">
      <c r="A791" s="18">
        <v>46264</v>
      </c>
      <c r="B791" s="68">
        <f t="shared" si="209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07"/>
        <v/>
      </c>
      <c r="K791" s="69"/>
      <c r="L791" s="70"/>
      <c r="M791" s="70"/>
      <c r="N791" s="70"/>
      <c r="O791" s="65"/>
      <c r="P791" s="65"/>
      <c r="Q791" s="71" t="str">
        <f t="shared" ca="1" si="208"/>
        <v/>
      </c>
      <c r="R791" s="63"/>
      <c r="S791" s="81"/>
    </row>
    <row r="792" spans="1:20" ht="15" customHeight="1">
      <c r="A792" s="59">
        <v>46264</v>
      </c>
      <c r="B792" s="60">
        <f t="shared" si="209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07"/>
        <v/>
      </c>
      <c r="K792" s="64"/>
      <c r="L792" s="61"/>
      <c r="M792" s="61"/>
      <c r="N792" s="61"/>
      <c r="O792" s="65"/>
      <c r="P792" s="65"/>
      <c r="Q792" s="66" t="str">
        <f t="shared" ca="1" si="208"/>
        <v/>
      </c>
      <c r="R792" s="63"/>
      <c r="S792" s="81"/>
    </row>
    <row r="793" spans="1:20" ht="15" customHeight="1">
      <c r="A793" s="18">
        <v>46264</v>
      </c>
      <c r="B793" s="68">
        <f t="shared" si="209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07"/>
        <v/>
      </c>
      <c r="K793" s="69"/>
      <c r="L793" s="70"/>
      <c r="M793" s="70"/>
      <c r="N793" s="70"/>
      <c r="O793" s="65"/>
      <c r="P793" s="65"/>
      <c r="Q793" s="71" t="str">
        <f t="shared" ca="1" si="208"/>
        <v/>
      </c>
      <c r="R793" s="63"/>
      <c r="S793" s="81"/>
    </row>
    <row r="794" spans="1:20" ht="15" customHeight="1">
      <c r="A794" s="59">
        <v>46264</v>
      </c>
      <c r="B794" s="60">
        <f t="shared" si="209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07"/>
        <v/>
      </c>
      <c r="K794" s="64"/>
      <c r="L794" s="61"/>
      <c r="M794" s="61"/>
      <c r="N794" s="61"/>
      <c r="O794" s="65"/>
      <c r="P794" s="65"/>
      <c r="Q794" s="66" t="str">
        <f t="shared" ca="1" si="208"/>
        <v/>
      </c>
      <c r="R794" s="63"/>
      <c r="S794" s="81"/>
    </row>
    <row r="795" spans="1:20" ht="15" customHeight="1">
      <c r="A795" s="18">
        <v>46264</v>
      </c>
      <c r="B795" s="68">
        <f t="shared" si="209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07"/>
        <v/>
      </c>
      <c r="K795" s="69"/>
      <c r="L795" s="70"/>
      <c r="M795" s="70"/>
      <c r="N795" s="70"/>
      <c r="O795" s="65"/>
      <c r="P795" s="65"/>
      <c r="Q795" s="71" t="str">
        <f t="shared" ca="1" si="208"/>
        <v/>
      </c>
      <c r="R795" s="63"/>
      <c r="S795" s="81"/>
    </row>
    <row r="796" spans="1:20" ht="15" customHeight="1">
      <c r="A796" s="59">
        <v>46264</v>
      </c>
      <c r="B796" s="60">
        <f t="shared" si="209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07"/>
        <v/>
      </c>
      <c r="K796" s="64"/>
      <c r="L796" s="61"/>
      <c r="M796" s="61"/>
      <c r="N796" s="61"/>
      <c r="O796" s="65"/>
      <c r="P796" s="65"/>
      <c r="Q796" s="66" t="str">
        <f t="shared" ca="1" si="208"/>
        <v/>
      </c>
      <c r="R796" s="63"/>
      <c r="S796" s="81"/>
    </row>
    <row r="797" spans="1:20" ht="15.75" customHeight="1">
      <c r="A797" s="156" t="s">
        <v>260</v>
      </c>
      <c r="B797" s="156"/>
      <c r="C797" s="156"/>
      <c r="D797" s="156"/>
      <c r="E797" s="156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0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1">IFERROR(IF(O798="","",IF(P798="",MOD(NOW()-O798,1),IF(P798&gt;=O798,P798-O798,P798+1-O798))),"")</f>
        <v/>
      </c>
      <c r="R798" s="63"/>
      <c r="S798" s="81"/>
    </row>
    <row r="799" spans="1:20" ht="15" customHeight="1">
      <c r="A799" s="18">
        <v>46264</v>
      </c>
      <c r="B799" s="68">
        <f t="shared" ref="B799:B809" si="212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0"/>
        <v/>
      </c>
      <c r="K799" s="69"/>
      <c r="L799" s="70"/>
      <c r="M799" s="70"/>
      <c r="N799" s="70"/>
      <c r="O799" s="65"/>
      <c r="P799" s="65"/>
      <c r="Q799" s="71" t="str">
        <f t="shared" ca="1" si="211"/>
        <v/>
      </c>
      <c r="R799" s="63"/>
      <c r="S799" s="81"/>
    </row>
    <row r="800" spans="1:20" ht="15" customHeight="1">
      <c r="A800" s="59">
        <v>46264</v>
      </c>
      <c r="B800" s="60">
        <f t="shared" si="212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0"/>
        <v/>
      </c>
      <c r="K800" s="64"/>
      <c r="L800" s="61"/>
      <c r="M800" s="61"/>
      <c r="N800" s="61"/>
      <c r="O800" s="65"/>
      <c r="P800" s="65"/>
      <c r="Q800" s="66" t="str">
        <f t="shared" ca="1" si="211"/>
        <v/>
      </c>
      <c r="R800" s="63"/>
      <c r="S800" s="81"/>
    </row>
    <row r="801" spans="1:20" ht="15" customHeight="1">
      <c r="A801" s="18">
        <v>46264</v>
      </c>
      <c r="B801" s="68">
        <f t="shared" si="212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0"/>
        <v/>
      </c>
      <c r="K801" s="69" t="str">
        <f t="shared" ref="K801:K809" si="213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1"/>
        <v/>
      </c>
      <c r="R801" s="63"/>
      <c r="S801" s="81"/>
    </row>
    <row r="802" spans="1:20" ht="15" customHeight="1">
      <c r="A802" s="59">
        <v>46264</v>
      </c>
      <c r="B802" s="60">
        <f t="shared" si="212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0"/>
        <v/>
      </c>
      <c r="K802" s="64" t="str">
        <f t="shared" si="213"/>
        <v/>
      </c>
      <c r="L802" s="61"/>
      <c r="M802" s="61"/>
      <c r="N802" s="61"/>
      <c r="O802" s="65"/>
      <c r="P802" s="65"/>
      <c r="Q802" s="66" t="str">
        <f t="shared" ca="1" si="211"/>
        <v/>
      </c>
      <c r="R802" s="63"/>
      <c r="S802" s="81"/>
    </row>
    <row r="803" spans="1:20" ht="15" customHeight="1">
      <c r="A803" s="18">
        <v>46264</v>
      </c>
      <c r="B803" s="68">
        <f t="shared" si="212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0"/>
        <v/>
      </c>
      <c r="K803" s="69" t="str">
        <f t="shared" si="213"/>
        <v/>
      </c>
      <c r="L803" s="70"/>
      <c r="M803" s="70"/>
      <c r="N803" s="70"/>
      <c r="O803" s="65"/>
      <c r="P803" s="65"/>
      <c r="Q803" s="71" t="str">
        <f t="shared" ca="1" si="211"/>
        <v/>
      </c>
      <c r="R803" s="63"/>
      <c r="S803" s="81"/>
    </row>
    <row r="804" spans="1:20" ht="15" customHeight="1">
      <c r="A804" s="59">
        <v>46264</v>
      </c>
      <c r="B804" s="60">
        <f t="shared" si="212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0"/>
        <v/>
      </c>
      <c r="K804" s="64" t="str">
        <f t="shared" si="213"/>
        <v/>
      </c>
      <c r="L804" s="61"/>
      <c r="M804" s="61"/>
      <c r="N804" s="61"/>
      <c r="O804" s="65"/>
      <c r="P804" s="65"/>
      <c r="Q804" s="66" t="str">
        <f t="shared" ca="1" si="211"/>
        <v/>
      </c>
      <c r="R804" s="63"/>
      <c r="S804" s="81"/>
    </row>
    <row r="805" spans="1:20" ht="15" customHeight="1">
      <c r="A805" s="18">
        <v>46264</v>
      </c>
      <c r="B805" s="68">
        <f t="shared" si="212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0"/>
        <v/>
      </c>
      <c r="K805" s="69" t="str">
        <f t="shared" si="213"/>
        <v/>
      </c>
      <c r="L805" s="70"/>
      <c r="M805" s="70"/>
      <c r="N805" s="70"/>
      <c r="O805" s="65"/>
      <c r="P805" s="65"/>
      <c r="Q805" s="71" t="str">
        <f t="shared" ca="1" si="211"/>
        <v/>
      </c>
      <c r="R805" s="63"/>
      <c r="S805" s="81"/>
    </row>
    <row r="806" spans="1:20" ht="15" customHeight="1">
      <c r="A806" s="59">
        <v>46264</v>
      </c>
      <c r="B806" s="60">
        <f t="shared" si="212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0"/>
        <v/>
      </c>
      <c r="K806" s="64" t="str">
        <f t="shared" si="213"/>
        <v/>
      </c>
      <c r="L806" s="61"/>
      <c r="M806" s="61"/>
      <c r="N806" s="61"/>
      <c r="O806" s="65"/>
      <c r="P806" s="65"/>
      <c r="Q806" s="66" t="str">
        <f t="shared" ca="1" si="211"/>
        <v/>
      </c>
      <c r="R806" s="63"/>
      <c r="S806" s="81"/>
    </row>
    <row r="807" spans="1:20" ht="15" customHeight="1">
      <c r="A807" s="18">
        <v>46264</v>
      </c>
      <c r="B807" s="68">
        <f t="shared" si="212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0"/>
        <v/>
      </c>
      <c r="K807" s="69" t="str">
        <f t="shared" si="213"/>
        <v/>
      </c>
      <c r="L807" s="70"/>
      <c r="M807" s="70"/>
      <c r="N807" s="70"/>
      <c r="O807" s="65"/>
      <c r="P807" s="65"/>
      <c r="Q807" s="71" t="str">
        <f t="shared" ca="1" si="211"/>
        <v/>
      </c>
      <c r="R807" s="63"/>
      <c r="S807" s="81"/>
    </row>
    <row r="808" spans="1:20" ht="15" customHeight="1">
      <c r="A808" s="59">
        <v>46264</v>
      </c>
      <c r="B808" s="60">
        <f t="shared" si="212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0"/>
        <v/>
      </c>
      <c r="K808" s="64" t="str">
        <f t="shared" si="213"/>
        <v/>
      </c>
      <c r="L808" s="61"/>
      <c r="M808" s="61"/>
      <c r="N808" s="61"/>
      <c r="O808" s="65"/>
      <c r="P808" s="65"/>
      <c r="Q808" s="66" t="str">
        <f t="shared" ca="1" si="211"/>
        <v/>
      </c>
      <c r="R808" s="63"/>
      <c r="S808" s="81"/>
    </row>
    <row r="809" spans="1:20" ht="15" customHeight="1">
      <c r="A809" s="18">
        <v>46264</v>
      </c>
      <c r="B809" s="68">
        <f t="shared" si="212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0"/>
        <v/>
      </c>
      <c r="K809" s="69" t="str">
        <f t="shared" si="213"/>
        <v/>
      </c>
      <c r="L809" s="70"/>
      <c r="M809" s="70"/>
      <c r="N809" s="70"/>
      <c r="O809" s="65"/>
      <c r="P809" s="65"/>
      <c r="Q809" s="71" t="str">
        <f t="shared" ca="1" si="211"/>
        <v/>
      </c>
      <c r="R809" s="63"/>
      <c r="S809" s="81"/>
    </row>
    <row r="810" spans="1:20" ht="15.75" customHeight="1">
      <c r="A810" s="156" t="s">
        <v>263</v>
      </c>
      <c r="B810" s="156"/>
      <c r="C810" s="156"/>
      <c r="D810" s="156"/>
      <c r="E810" s="156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57" t="s">
        <v>249</v>
      </c>
      <c r="B811" s="157"/>
      <c r="C811" s="157"/>
      <c r="D811" s="157"/>
      <c r="E811" s="157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4">IFERROR(IF($H812="","",$H812*$F812*$I812),"")</f>
        <v/>
      </c>
      <c r="K812" s="64" t="str">
        <f t="shared" ref="K812:K823" si="215">IF(G812="","",IF(E812="PC 17",G812*4.2,IF(E812="PC 19",G812*5,IF(E812="CB",G812*24,""))))</f>
        <v/>
      </c>
      <c r="L812" s="70"/>
      <c r="M812" s="70"/>
      <c r="N812" s="70"/>
      <c r="O812" s="65"/>
      <c r="P812" s="65"/>
      <c r="Q812" s="71" t="str">
        <f t="shared" ref="Q812:Q823" ca="1" si="216">IFERROR(IF(O812="","",IF(P812="",MOD(NOW()-O812,1),IF(P812&gt;=O812,P812-O812,P812+1-O812))),"")</f>
        <v/>
      </c>
      <c r="R812" s="63"/>
      <c r="S812" s="67"/>
    </row>
    <row r="813" spans="1:20" ht="15" customHeight="1">
      <c r="A813" s="18">
        <v>46265</v>
      </c>
      <c r="B813" s="68">
        <f t="shared" ref="B813:B823" si="217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4"/>
        <v/>
      </c>
      <c r="K813" s="69" t="str">
        <f t="shared" si="215"/>
        <v/>
      </c>
      <c r="L813" s="70"/>
      <c r="M813" s="61"/>
      <c r="N813" s="61"/>
      <c r="O813" s="65"/>
      <c r="P813" s="65"/>
      <c r="Q813" s="66" t="str">
        <f t="shared" ca="1" si="216"/>
        <v/>
      </c>
      <c r="R813" s="63"/>
      <c r="S813" s="67"/>
    </row>
    <row r="814" spans="1:20" ht="15" customHeight="1">
      <c r="A814" s="59">
        <v>46265</v>
      </c>
      <c r="B814" s="60">
        <f t="shared" si="217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4"/>
        <v/>
      </c>
      <c r="K814" s="64" t="str">
        <f t="shared" si="215"/>
        <v/>
      </c>
      <c r="M814" s="70"/>
      <c r="N814" s="70"/>
      <c r="O814" s="65"/>
      <c r="P814" s="65"/>
      <c r="Q814" s="71" t="str">
        <f t="shared" ca="1" si="216"/>
        <v/>
      </c>
      <c r="R814" s="63"/>
      <c r="S814" s="67"/>
    </row>
    <row r="815" spans="1:20" ht="15" customHeight="1">
      <c r="A815" s="18">
        <v>46265</v>
      </c>
      <c r="B815" s="68">
        <f t="shared" si="217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4"/>
        <v/>
      </c>
      <c r="K815" s="69" t="str">
        <f t="shared" si="215"/>
        <v/>
      </c>
      <c r="L815" s="61"/>
      <c r="M815" s="61"/>
      <c r="N815" s="61"/>
      <c r="O815" s="65"/>
      <c r="P815" s="65"/>
      <c r="Q815" s="66" t="str">
        <f t="shared" ca="1" si="216"/>
        <v/>
      </c>
      <c r="R815" s="63"/>
      <c r="S815" s="67"/>
    </row>
    <row r="816" spans="1:20" ht="15" customHeight="1">
      <c r="A816" s="59">
        <v>46265</v>
      </c>
      <c r="B816" s="60">
        <f t="shared" si="217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4"/>
        <v/>
      </c>
      <c r="K816" s="64" t="str">
        <f t="shared" si="215"/>
        <v/>
      </c>
      <c r="L816" s="70"/>
      <c r="M816" s="70"/>
      <c r="N816" s="70"/>
      <c r="O816" s="65"/>
      <c r="P816" s="65"/>
      <c r="Q816" s="71" t="str">
        <f t="shared" ca="1" si="216"/>
        <v/>
      </c>
      <c r="R816" s="63"/>
      <c r="S816" s="67"/>
    </row>
    <row r="817" spans="1:20" ht="15" customHeight="1">
      <c r="A817" s="18">
        <v>46265</v>
      </c>
      <c r="B817" s="68">
        <f t="shared" si="217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4"/>
        <v/>
      </c>
      <c r="K817" s="69" t="str">
        <f t="shared" si="215"/>
        <v/>
      </c>
      <c r="L817" s="61"/>
      <c r="M817" s="61"/>
      <c r="N817" s="61"/>
      <c r="O817" s="65"/>
      <c r="P817" s="65"/>
      <c r="Q817" s="66" t="str">
        <f t="shared" ca="1" si="216"/>
        <v/>
      </c>
      <c r="R817" s="63"/>
      <c r="S817" s="67"/>
    </row>
    <row r="818" spans="1:20" ht="15" customHeight="1">
      <c r="A818" s="59">
        <v>46265</v>
      </c>
      <c r="B818" s="60">
        <f t="shared" si="217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4"/>
        <v/>
      </c>
      <c r="K818" s="64" t="str">
        <f t="shared" si="215"/>
        <v/>
      </c>
      <c r="L818" s="70"/>
      <c r="M818" s="70"/>
      <c r="N818" s="70"/>
      <c r="O818" s="65"/>
      <c r="P818" s="65"/>
      <c r="Q818" s="71" t="str">
        <f t="shared" ca="1" si="216"/>
        <v/>
      </c>
      <c r="R818" s="63"/>
      <c r="S818" s="67"/>
    </row>
    <row r="819" spans="1:20" ht="15" customHeight="1">
      <c r="A819" s="18">
        <v>46265</v>
      </c>
      <c r="B819" s="68">
        <f t="shared" si="217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4"/>
        <v/>
      </c>
      <c r="K819" s="69" t="str">
        <f t="shared" si="215"/>
        <v/>
      </c>
      <c r="L819" s="61"/>
      <c r="M819" s="61"/>
      <c r="N819" s="61"/>
      <c r="O819" s="65"/>
      <c r="P819" s="65"/>
      <c r="Q819" s="66" t="str">
        <f t="shared" ca="1" si="216"/>
        <v/>
      </c>
      <c r="R819" s="63"/>
      <c r="S819" s="67"/>
    </row>
    <row r="820" spans="1:20" ht="15" customHeight="1">
      <c r="A820" s="59">
        <v>46265</v>
      </c>
      <c r="B820" s="60">
        <f t="shared" si="217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4"/>
        <v/>
      </c>
      <c r="K820" s="64" t="str">
        <f t="shared" si="215"/>
        <v/>
      </c>
      <c r="L820" s="70"/>
      <c r="M820" s="70"/>
      <c r="N820" s="70"/>
      <c r="O820" s="65"/>
      <c r="P820" s="65"/>
      <c r="Q820" s="71" t="str">
        <f t="shared" ca="1" si="216"/>
        <v/>
      </c>
      <c r="R820" s="63"/>
      <c r="S820" s="67"/>
    </row>
    <row r="821" spans="1:20" ht="15" customHeight="1">
      <c r="A821" s="18">
        <v>46265</v>
      </c>
      <c r="B821" s="68">
        <f t="shared" si="217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4"/>
        <v/>
      </c>
      <c r="K821" s="69" t="str">
        <f t="shared" si="215"/>
        <v/>
      </c>
      <c r="L821" s="61"/>
      <c r="M821" s="61"/>
      <c r="N821" s="61"/>
      <c r="O821" s="65"/>
      <c r="P821" s="65"/>
      <c r="Q821" s="66" t="str">
        <f t="shared" ca="1" si="216"/>
        <v/>
      </c>
      <c r="R821" s="63"/>
      <c r="S821" s="67"/>
    </row>
    <row r="822" spans="1:20" ht="15" customHeight="1">
      <c r="A822" s="59">
        <v>46265</v>
      </c>
      <c r="B822" s="60">
        <f t="shared" si="217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4"/>
        <v/>
      </c>
      <c r="K822" s="64" t="str">
        <f t="shared" si="215"/>
        <v/>
      </c>
      <c r="L822" s="70"/>
      <c r="M822" s="70"/>
      <c r="N822" s="70"/>
      <c r="O822" s="65"/>
      <c r="P822" s="65"/>
      <c r="Q822" s="71" t="str">
        <f t="shared" ca="1" si="216"/>
        <v/>
      </c>
      <c r="R822" s="63"/>
      <c r="S822" s="67"/>
    </row>
    <row r="823" spans="1:20" ht="15" customHeight="1">
      <c r="A823" s="18">
        <v>46265</v>
      </c>
      <c r="B823" s="68">
        <f t="shared" si="217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4"/>
        <v/>
      </c>
      <c r="K823" s="69" t="str">
        <f t="shared" si="215"/>
        <v/>
      </c>
      <c r="L823" s="61"/>
      <c r="M823" s="61"/>
      <c r="N823" s="61"/>
      <c r="O823" s="65"/>
      <c r="P823" s="65"/>
      <c r="Q823" s="66" t="str">
        <f t="shared" ca="1" si="216"/>
        <v/>
      </c>
      <c r="R823" s="63"/>
      <c r="S823" s="67"/>
    </row>
    <row r="824" spans="1:20" ht="15.75" customHeight="1">
      <c r="A824" s="156" t="s">
        <v>260</v>
      </c>
      <c r="B824" s="156"/>
      <c r="C824" s="156"/>
      <c r="D824" s="156"/>
      <c r="E824" s="156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261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18">IFERROR(IF($H825="","",$H825*$F825*$I825),"")</f>
        <v/>
      </c>
      <c r="K825" s="69" t="str">
        <f t="shared" ref="K825:K836" si="219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0">IFERROR(IF(O825="","",IF(P825="",MOD(NOW()-O825,1),IF(P825&gt;=O825,P825-O825,P825+1-O825))),"")</f>
        <v/>
      </c>
      <c r="R825" s="63"/>
      <c r="S825" s="67"/>
    </row>
    <row r="826" spans="1:20" ht="15" customHeight="1">
      <c r="A826" s="59">
        <v>46265</v>
      </c>
      <c r="B826" s="60">
        <f t="shared" ref="B826:B836" si="221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18"/>
        <v/>
      </c>
      <c r="K826" s="64" t="str">
        <f t="shared" si="219"/>
        <v/>
      </c>
      <c r="L826" s="70"/>
      <c r="M826" s="70"/>
      <c r="N826" s="70"/>
      <c r="O826" s="65"/>
      <c r="P826" s="65"/>
      <c r="Q826" s="71" t="str">
        <f t="shared" ca="1" si="220"/>
        <v/>
      </c>
      <c r="R826" s="63"/>
      <c r="S826" s="67"/>
    </row>
    <row r="827" spans="1:20" ht="15" customHeight="1">
      <c r="A827" s="18">
        <v>46265</v>
      </c>
      <c r="B827" s="68">
        <f t="shared" si="221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18"/>
        <v/>
      </c>
      <c r="K827" s="69" t="str">
        <f t="shared" si="219"/>
        <v/>
      </c>
      <c r="L827" s="61"/>
      <c r="M827" s="61"/>
      <c r="N827" s="61"/>
      <c r="O827" s="65"/>
      <c r="P827" s="65"/>
      <c r="Q827" s="66" t="str">
        <f t="shared" ca="1" si="220"/>
        <v/>
      </c>
      <c r="R827" s="63"/>
      <c r="S827" s="67"/>
    </row>
    <row r="828" spans="1:20" ht="15" customHeight="1">
      <c r="A828" s="59">
        <v>46265</v>
      </c>
      <c r="B828" s="60">
        <f t="shared" si="221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18"/>
        <v/>
      </c>
      <c r="K828" s="64" t="str">
        <f t="shared" si="219"/>
        <v/>
      </c>
      <c r="L828" s="70"/>
      <c r="M828" s="70"/>
      <c r="N828" s="70"/>
      <c r="O828" s="65"/>
      <c r="P828" s="65"/>
      <c r="Q828" s="71" t="str">
        <f t="shared" ca="1" si="220"/>
        <v/>
      </c>
      <c r="R828" s="63"/>
      <c r="S828" s="67"/>
    </row>
    <row r="829" spans="1:20" ht="15" customHeight="1">
      <c r="A829" s="18">
        <v>46265</v>
      </c>
      <c r="B829" s="68">
        <f t="shared" si="221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18"/>
        <v/>
      </c>
      <c r="K829" s="69" t="str">
        <f t="shared" si="219"/>
        <v/>
      </c>
      <c r="L829" s="61"/>
      <c r="M829" s="61"/>
      <c r="N829" s="61"/>
      <c r="O829" s="65"/>
      <c r="P829" s="65"/>
      <c r="Q829" s="66" t="str">
        <f t="shared" ca="1" si="220"/>
        <v/>
      </c>
      <c r="R829" s="63"/>
      <c r="S829" s="67"/>
    </row>
    <row r="830" spans="1:20" ht="15" customHeight="1">
      <c r="A830" s="59">
        <v>46265</v>
      </c>
      <c r="B830" s="60">
        <f t="shared" si="221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18"/>
        <v/>
      </c>
      <c r="K830" s="64" t="str">
        <f t="shared" si="219"/>
        <v/>
      </c>
      <c r="L830" s="70"/>
      <c r="M830" s="70"/>
      <c r="N830" s="70"/>
      <c r="O830" s="65"/>
      <c r="P830" s="65"/>
      <c r="Q830" s="71" t="str">
        <f t="shared" ca="1" si="220"/>
        <v/>
      </c>
      <c r="R830" s="63"/>
      <c r="S830" s="67"/>
    </row>
    <row r="831" spans="1:20" ht="15" customHeight="1">
      <c r="A831" s="18">
        <v>46265</v>
      </c>
      <c r="B831" s="68">
        <f t="shared" si="221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18"/>
        <v/>
      </c>
      <c r="K831" s="69" t="str">
        <f t="shared" si="219"/>
        <v/>
      </c>
      <c r="L831" s="61"/>
      <c r="M831" s="61"/>
      <c r="N831" s="61"/>
      <c r="O831" s="65"/>
      <c r="P831" s="65"/>
      <c r="Q831" s="66" t="str">
        <f t="shared" ca="1" si="220"/>
        <v/>
      </c>
      <c r="R831" s="63"/>
      <c r="S831" s="67"/>
    </row>
    <row r="832" spans="1:20" ht="15" customHeight="1">
      <c r="A832" s="59">
        <v>46265</v>
      </c>
      <c r="B832" s="60">
        <f t="shared" si="221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18"/>
        <v/>
      </c>
      <c r="K832" s="64" t="str">
        <f t="shared" si="219"/>
        <v/>
      </c>
      <c r="L832" s="70"/>
      <c r="M832" s="70"/>
      <c r="N832" s="70"/>
      <c r="O832" s="65"/>
      <c r="P832" s="65"/>
      <c r="Q832" s="71" t="str">
        <f t="shared" ca="1" si="220"/>
        <v/>
      </c>
      <c r="R832" s="63"/>
      <c r="S832" s="67"/>
    </row>
    <row r="833" spans="1:20" ht="15" customHeight="1">
      <c r="A833" s="18">
        <v>46265</v>
      </c>
      <c r="B833" s="68">
        <f t="shared" si="221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18"/>
        <v/>
      </c>
      <c r="K833" s="69" t="str">
        <f t="shared" si="219"/>
        <v/>
      </c>
      <c r="L833" s="61"/>
      <c r="M833" s="61"/>
      <c r="N833" s="61"/>
      <c r="O833" s="65"/>
      <c r="P833" s="65"/>
      <c r="Q833" s="66" t="str">
        <f t="shared" ca="1" si="220"/>
        <v/>
      </c>
      <c r="R833" s="63"/>
      <c r="S833" s="67"/>
    </row>
    <row r="834" spans="1:20" ht="15" customHeight="1">
      <c r="A834" s="59">
        <v>46265</v>
      </c>
      <c r="B834" s="60">
        <f t="shared" si="221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18"/>
        <v/>
      </c>
      <c r="K834" s="64" t="str">
        <f t="shared" si="219"/>
        <v/>
      </c>
      <c r="L834" s="70"/>
      <c r="M834" s="70"/>
      <c r="N834" s="70"/>
      <c r="O834" s="65"/>
      <c r="P834" s="65"/>
      <c r="Q834" s="71" t="str">
        <f t="shared" ca="1" si="220"/>
        <v/>
      </c>
      <c r="R834" s="63"/>
      <c r="S834" s="67"/>
    </row>
    <row r="835" spans="1:20" ht="15" customHeight="1">
      <c r="A835" s="18">
        <v>46265</v>
      </c>
      <c r="B835" s="68">
        <f t="shared" si="221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18"/>
        <v/>
      </c>
      <c r="K835" s="69" t="str">
        <f t="shared" si="219"/>
        <v/>
      </c>
      <c r="L835" s="61"/>
      <c r="M835" s="61"/>
      <c r="N835" s="61"/>
      <c r="O835" s="65"/>
      <c r="P835" s="65"/>
      <c r="Q835" s="66" t="str">
        <f t="shared" ca="1" si="220"/>
        <v/>
      </c>
      <c r="R835" s="63"/>
      <c r="S835" s="67"/>
    </row>
    <row r="836" spans="1:20" ht="15" customHeight="1">
      <c r="A836" s="59">
        <v>46265</v>
      </c>
      <c r="B836" s="60">
        <f t="shared" si="221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18"/>
        <v/>
      </c>
      <c r="K836" s="64" t="str">
        <f t="shared" si="219"/>
        <v/>
      </c>
      <c r="L836" s="70"/>
      <c r="M836" s="70"/>
      <c r="N836" s="70"/>
      <c r="O836" s="65"/>
      <c r="P836" s="65"/>
      <c r="Q836" s="71" t="str">
        <f t="shared" ca="1" si="220"/>
        <v/>
      </c>
      <c r="R836" s="63"/>
      <c r="S836" s="67"/>
    </row>
    <row r="837" spans="1:20" ht="15.75" customHeight="1">
      <c r="A837" s="156" t="s">
        <v>263</v>
      </c>
      <c r="B837" s="156"/>
      <c r="C837" s="156"/>
      <c r="D837" s="156"/>
      <c r="E837" s="156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261</v>
      </c>
      <c r="S837" s="74"/>
      <c r="T837" s="99">
        <f>IFERROR(J837,"")</f>
        <v>0</v>
      </c>
    </row>
    <row r="838" spans="1:20" ht="18" customHeight="1">
      <c r="A838" s="157" t="s">
        <v>249</v>
      </c>
      <c r="B838" s="157"/>
      <c r="C838" s="157"/>
      <c r="D838" s="157"/>
      <c r="E838" s="157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264</v>
      </c>
      <c r="S838" s="30">
        <f>IFERROR(S824+S837,"")</f>
        <v>0</v>
      </c>
      <c r="T838" s="31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256 F259:F261 E260:E261 E263:F380 E382:F492 F493:F514 E494:E515 E516:F838" xr:uid="{FE96791D-8E0B-4717-8F3A-3CA723D3D1F1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132884BB-86D0-43BF-A43A-C7EBDE34B9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F515" xr:uid="{99EA4424-6AA2-49BE-95B1-268F815F2337}">
      <formula1>"PC 17;PC 01"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804086D9-42B2-408A-8A0B-7A228A0534D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FD644130-51BE-48B9-AA26-C664E1CD8C7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3A8C8F99-C5D9-4834-BF7C-4E809F73F0C9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EEB499C4-35EC-4F28-9A2F-BC025C6C187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4309890-414F-487D-BE6B-8618CA1CACC6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tabSelected="1" zoomScale="85" zoomScaleNormal="85" workbookViewId="0">
      <pane ySplit="1" topLeftCell="A523" activePane="bottomLeft" state="frozen"/>
      <selection pane="bottomLeft" activeCell="N546" sqref="N546"/>
    </sheetView>
  </sheetViews>
  <sheetFormatPr defaultColWidth="8.5703125" defaultRowHeight="14.45"/>
  <cols>
    <col min="1" max="1" width="13" style="130" customWidth="1"/>
    <col min="2" max="2" width="9" style="131" customWidth="1"/>
    <col min="3" max="3" width="14" style="131" customWidth="1"/>
    <col min="4" max="4" width="16" style="130" customWidth="1"/>
    <col min="5" max="5" width="16" style="131" customWidth="1"/>
    <col min="6" max="6" width="13.85546875" style="131" hidden="1" customWidth="1"/>
    <col min="7" max="7" width="13" style="131" customWidth="1"/>
    <col min="8" max="8" width="15.85546875" style="131" hidden="1" customWidth="1"/>
    <col min="9" max="10" width="13.85546875" style="131" hidden="1" customWidth="1"/>
    <col min="11" max="11" width="14" style="131" customWidth="1"/>
    <col min="12" max="12" width="36" style="131" customWidth="1"/>
    <col min="13" max="13" width="25.140625" style="131" customWidth="1"/>
    <col min="14" max="14" width="42.140625" style="131" customWidth="1"/>
    <col min="15" max="15" width="18.42578125" style="131" customWidth="1"/>
    <col min="16" max="16" width="14" style="132" customWidth="1"/>
    <col min="17" max="17" width="14" style="131" customWidth="1"/>
    <col min="18" max="18" width="64.85546875" style="131" customWidth="1"/>
    <col min="19" max="19" width="25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296</v>
      </c>
      <c r="I1" s="86" t="s">
        <v>22</v>
      </c>
      <c r="J1" s="86" t="s">
        <v>297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297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61</v>
      </c>
      <c r="N2" s="61" t="s">
        <v>36</v>
      </c>
      <c r="O2" s="65">
        <v>0.33333333333333298</v>
      </c>
      <c r="P2" s="65">
        <v>0.36111111111111099</v>
      </c>
      <c r="Q2" s="66">
        <f t="shared" ref="Q2:Q13" ca="1" si="1">IFERROR(IF(O2="","",IF(P2="",MOD(NOW()-O2,1),IF(P2&gt;=O2,P2-O2,P2+1-O2))),"")</f>
        <v>2.7777777777778012E-2</v>
      </c>
      <c r="R2" s="63"/>
      <c r="S2" s="133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4</v>
      </c>
      <c r="H3" s="88"/>
      <c r="I3" s="90"/>
      <c r="J3" s="91"/>
      <c r="K3" s="69">
        <f t="shared" si="0"/>
        <v>16.8</v>
      </c>
      <c r="L3" s="70" t="s">
        <v>29</v>
      </c>
      <c r="M3" s="70" t="s">
        <v>66</v>
      </c>
      <c r="N3" s="70" t="s">
        <v>37</v>
      </c>
      <c r="O3" s="65">
        <v>0.47361111111111098</v>
      </c>
      <c r="P3" s="65">
        <v>0.47777777777777802</v>
      </c>
      <c r="Q3" s="71">
        <f t="shared" ca="1" si="1"/>
        <v>4.1666666666670404E-3</v>
      </c>
      <c r="R3" s="63"/>
      <c r="S3" s="133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18</v>
      </c>
      <c r="H4" s="88"/>
      <c r="I4" s="90"/>
      <c r="J4" s="91"/>
      <c r="K4" s="64">
        <f t="shared" si="0"/>
        <v>75.600000000000009</v>
      </c>
      <c r="L4" s="61" t="s">
        <v>29</v>
      </c>
      <c r="M4" s="61" t="s">
        <v>66</v>
      </c>
      <c r="N4" s="61" t="s">
        <v>37</v>
      </c>
      <c r="O4" s="65">
        <v>0.59791666666666698</v>
      </c>
      <c r="P4" s="65">
        <v>0.60486111111111096</v>
      </c>
      <c r="Q4" s="66">
        <f t="shared" ca="1" si="1"/>
        <v>6.9444444444439757E-3</v>
      </c>
      <c r="R4" s="63"/>
      <c r="S4" s="133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16</v>
      </c>
      <c r="H5" s="88"/>
      <c r="I5" s="90"/>
      <c r="J5" s="91"/>
      <c r="K5" s="69">
        <f t="shared" si="0"/>
        <v>67.2</v>
      </c>
      <c r="L5" s="70"/>
      <c r="M5" s="70"/>
      <c r="N5" s="70"/>
      <c r="O5" s="65"/>
      <c r="P5" s="65"/>
      <c r="Q5" s="71" t="str">
        <f t="shared" ca="1" si="1"/>
        <v/>
      </c>
      <c r="R5" s="63"/>
      <c r="S5" s="133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16</v>
      </c>
      <c r="H6" s="88"/>
      <c r="I6" s="90"/>
      <c r="J6" s="91"/>
      <c r="K6" s="64">
        <f t="shared" si="0"/>
        <v>67.2</v>
      </c>
      <c r="L6" s="61"/>
      <c r="M6" s="61"/>
      <c r="N6" s="61"/>
      <c r="O6" s="65"/>
      <c r="P6" s="65"/>
      <c r="Q6" s="66" t="str">
        <f t="shared" ca="1" si="1"/>
        <v/>
      </c>
      <c r="R6" s="63"/>
      <c r="S6" s="133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7</v>
      </c>
      <c r="H7" s="88"/>
      <c r="I7" s="90"/>
      <c r="J7" s="91"/>
      <c r="K7" s="69">
        <f t="shared" si="0"/>
        <v>29.400000000000002</v>
      </c>
      <c r="L7" s="70"/>
      <c r="M7" s="70"/>
      <c r="N7" s="70"/>
      <c r="O7" s="65"/>
      <c r="P7" s="65"/>
      <c r="Q7" s="71" t="str">
        <f t="shared" ca="1" si="1"/>
        <v/>
      </c>
      <c r="R7" s="63"/>
      <c r="S7" s="133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10</v>
      </c>
      <c r="H8" s="88"/>
      <c r="I8" s="90"/>
      <c r="J8" s="91"/>
      <c r="K8" s="64">
        <f t="shared" si="0"/>
        <v>42</v>
      </c>
      <c r="L8" s="61"/>
      <c r="M8" s="61"/>
      <c r="N8" s="61"/>
      <c r="O8" s="65"/>
      <c r="P8" s="65"/>
      <c r="Q8" s="66" t="str">
        <f t="shared" ca="1" si="1"/>
        <v/>
      </c>
      <c r="R8" s="63"/>
      <c r="S8" s="133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15</v>
      </c>
      <c r="H9" s="88"/>
      <c r="I9" s="90"/>
      <c r="J9" s="91"/>
      <c r="K9" s="69">
        <f t="shared" si="0"/>
        <v>63</v>
      </c>
      <c r="L9" s="70"/>
      <c r="M9" s="70"/>
      <c r="N9" s="70"/>
      <c r="O9" s="65"/>
      <c r="P9" s="65"/>
      <c r="Q9" s="71" t="str">
        <f t="shared" ca="1" si="1"/>
        <v/>
      </c>
      <c r="R9" s="63"/>
      <c r="S9" s="133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12</v>
      </c>
      <c r="H10" s="88"/>
      <c r="I10" s="90"/>
      <c r="J10" s="91"/>
      <c r="K10" s="64">
        <f t="shared" si="0"/>
        <v>50.400000000000006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133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10</v>
      </c>
      <c r="H11" s="88"/>
      <c r="I11" s="90"/>
      <c r="J11" s="91"/>
      <c r="K11" s="69">
        <f t="shared" si="0"/>
        <v>42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133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16</v>
      </c>
      <c r="H12" s="88"/>
      <c r="I12" s="90"/>
      <c r="J12" s="91"/>
      <c r="K12" s="64">
        <f t="shared" si="0"/>
        <v>67.2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133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6</v>
      </c>
      <c r="H13" s="92"/>
      <c r="I13" s="93"/>
      <c r="J13" s="94"/>
      <c r="K13" s="69">
        <f t="shared" si="0"/>
        <v>25.200000000000003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133"/>
    </row>
    <row r="14" spans="1:20" ht="15.75" customHeight="1">
      <c r="A14" s="156" t="s">
        <v>260</v>
      </c>
      <c r="B14" s="156"/>
      <c r="C14" s="156"/>
      <c r="D14" s="156"/>
      <c r="E14" s="156"/>
      <c r="F14" s="95"/>
      <c r="G14" s="96">
        <f>SUM(G2:G13)</f>
        <v>130</v>
      </c>
      <c r="H14" s="95"/>
      <c r="I14" s="97"/>
      <c r="J14" s="98"/>
      <c r="K14" s="2">
        <f>SUM(K2:K13)</f>
        <v>546.00000000000011</v>
      </c>
      <c r="L14" s="72"/>
      <c r="M14" s="72"/>
      <c r="N14" s="72"/>
      <c r="O14" s="134"/>
      <c r="P14" s="134"/>
      <c r="Q14" s="73">
        <f ca="1">IFERROR(SUM(Q2:Q13),"")</f>
        <v>3.8888888888889028E-2</v>
      </c>
      <c r="R14" s="2" t="s">
        <v>261</v>
      </c>
      <c r="S14" s="74">
        <v>561420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47</v>
      </c>
      <c r="E15" s="100" t="s">
        <v>274</v>
      </c>
      <c r="F15" s="101"/>
      <c r="G15" s="89">
        <v>10</v>
      </c>
      <c r="H15" s="101"/>
      <c r="I15" s="102"/>
      <c r="J15" s="103"/>
      <c r="K15" s="69">
        <f t="shared" ref="K15:K26" si="3">IF(G15="","",IF(E15="PC 17",G15*4.2,IF(E15="PC 19",G15*5,IF(E15="CB",G15*24,""))))</f>
        <v>42</v>
      </c>
      <c r="L15" s="70" t="s">
        <v>29</v>
      </c>
      <c r="M15" s="70" t="s">
        <v>61</v>
      </c>
      <c r="N15" s="70" t="s">
        <v>71</v>
      </c>
      <c r="O15" s="65">
        <v>0.79374999999999996</v>
      </c>
      <c r="P15" s="65">
        <v>0.79861111111111105</v>
      </c>
      <c r="Q15" s="71">
        <f t="shared" ref="Q15:Q26" ca="1" si="4">IFERROR(IF(O15="","",IF(P15="",MOD(NOW()-O15,1),IF(P15&gt;=O15,P15-O15,P15+1-O15))),"")</f>
        <v>4.8611111111110938E-3</v>
      </c>
      <c r="R15" s="63"/>
      <c r="S15" s="133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274</v>
      </c>
      <c r="F16" s="88"/>
      <c r="G16" s="89">
        <v>13</v>
      </c>
      <c r="H16" s="88"/>
      <c r="I16" s="90"/>
      <c r="J16" s="91"/>
      <c r="K16" s="64">
        <f t="shared" si="3"/>
        <v>54.6</v>
      </c>
      <c r="L16" s="61" t="s">
        <v>28</v>
      </c>
      <c r="M16" s="61" t="s">
        <v>66</v>
      </c>
      <c r="N16" s="61" t="s">
        <v>36</v>
      </c>
      <c r="O16" s="65">
        <v>0.80694444444444502</v>
      </c>
      <c r="P16" s="65">
        <v>0.82083333333333297</v>
      </c>
      <c r="Q16" s="71">
        <f t="shared" ca="1" si="4"/>
        <v>1.3888888888887951E-2</v>
      </c>
      <c r="R16" s="63" t="s">
        <v>368</v>
      </c>
      <c r="S16" s="133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274</v>
      </c>
      <c r="F17" s="88"/>
      <c r="G17" s="89">
        <v>10</v>
      </c>
      <c r="H17" s="88"/>
      <c r="I17" s="90"/>
      <c r="J17" s="91"/>
      <c r="K17" s="69">
        <f t="shared" si="3"/>
        <v>42</v>
      </c>
      <c r="L17" s="70" t="s">
        <v>28</v>
      </c>
      <c r="M17" s="70" t="s">
        <v>61</v>
      </c>
      <c r="N17" s="70" t="s">
        <v>36</v>
      </c>
      <c r="O17" s="65">
        <v>0.82083333333333297</v>
      </c>
      <c r="P17" s="65">
        <v>0.82916666666666705</v>
      </c>
      <c r="Q17" s="71">
        <f t="shared" ca="1" si="4"/>
        <v>8.3333333333340809E-3</v>
      </c>
      <c r="R17" s="63" t="s">
        <v>304</v>
      </c>
      <c r="S17" s="133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274</v>
      </c>
      <c r="F18" s="88"/>
      <c r="G18" s="89">
        <v>16</v>
      </c>
      <c r="H18" s="88"/>
      <c r="I18" s="90"/>
      <c r="J18" s="91"/>
      <c r="K18" s="64">
        <f t="shared" si="3"/>
        <v>67.2</v>
      </c>
      <c r="L18" s="61" t="s">
        <v>27</v>
      </c>
      <c r="M18" s="61" t="s">
        <v>61</v>
      </c>
      <c r="N18" s="61" t="s">
        <v>140</v>
      </c>
      <c r="O18" s="65">
        <v>0.82916666666666705</v>
      </c>
      <c r="P18" s="65">
        <v>0.84097222222222201</v>
      </c>
      <c r="Q18" s="66">
        <f t="shared" ca="1" si="4"/>
        <v>1.1805555555554959E-2</v>
      </c>
      <c r="R18" s="63" t="s">
        <v>340</v>
      </c>
      <c r="S18" s="133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274</v>
      </c>
      <c r="F19" s="88"/>
      <c r="G19" s="89">
        <v>15</v>
      </c>
      <c r="H19" s="88"/>
      <c r="I19" s="90"/>
      <c r="J19" s="91"/>
      <c r="K19" s="69">
        <f t="shared" si="3"/>
        <v>63</v>
      </c>
      <c r="L19" s="70" t="s">
        <v>27</v>
      </c>
      <c r="M19" s="70" t="s">
        <v>61</v>
      </c>
      <c r="N19" s="70" t="s">
        <v>140</v>
      </c>
      <c r="O19" s="65">
        <v>0.89513888888888904</v>
      </c>
      <c r="P19" s="65">
        <v>0.90972222222222199</v>
      </c>
      <c r="Q19" s="71">
        <f t="shared" ca="1" si="4"/>
        <v>1.4583333333332948E-2</v>
      </c>
      <c r="R19" s="63" t="s">
        <v>369</v>
      </c>
      <c r="S19" s="133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274</v>
      </c>
      <c r="F20" s="88"/>
      <c r="G20" s="89">
        <v>12</v>
      </c>
      <c r="H20" s="88"/>
      <c r="I20" s="90"/>
      <c r="J20" s="91"/>
      <c r="K20" s="64">
        <f t="shared" si="3"/>
        <v>50.400000000000006</v>
      </c>
      <c r="L20" s="61" t="s">
        <v>29</v>
      </c>
      <c r="M20" s="61" t="s">
        <v>66</v>
      </c>
      <c r="N20" s="61"/>
      <c r="O20" s="65">
        <v>0.90972222222222199</v>
      </c>
      <c r="P20" s="65">
        <v>0.92916666666666703</v>
      </c>
      <c r="Q20" s="66">
        <f t="shared" ca="1" si="4"/>
        <v>1.9444444444445041E-2</v>
      </c>
      <c r="R20" s="63"/>
      <c r="S20" s="133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274</v>
      </c>
      <c r="F21" s="88"/>
      <c r="G21" s="89">
        <v>17</v>
      </c>
      <c r="H21" s="88"/>
      <c r="I21" s="90"/>
      <c r="J21" s="91"/>
      <c r="K21" s="69">
        <f t="shared" si="3"/>
        <v>71.400000000000006</v>
      </c>
      <c r="L21" s="70" t="s">
        <v>29</v>
      </c>
      <c r="M21" s="70" t="s">
        <v>66</v>
      </c>
      <c r="N21" s="70" t="s">
        <v>71</v>
      </c>
      <c r="O21" s="65">
        <v>0.113888888888889</v>
      </c>
      <c r="P21" s="65">
        <v>0.15347222222222201</v>
      </c>
      <c r="Q21" s="71">
        <f t="shared" ca="1" si="4"/>
        <v>3.9583333333333012E-2</v>
      </c>
      <c r="R21" s="63"/>
      <c r="S21" s="133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274</v>
      </c>
      <c r="F22" s="88"/>
      <c r="G22" s="89">
        <v>15</v>
      </c>
      <c r="H22" s="88"/>
      <c r="I22" s="90"/>
      <c r="J22" s="91"/>
      <c r="K22" s="64">
        <f t="shared" si="3"/>
        <v>63</v>
      </c>
      <c r="L22" s="61" t="s">
        <v>29</v>
      </c>
      <c r="M22" s="61"/>
      <c r="N22" s="61" t="s">
        <v>172</v>
      </c>
      <c r="O22" s="65">
        <v>0.2</v>
      </c>
      <c r="P22" s="65">
        <v>0.23888888888888901</v>
      </c>
      <c r="Q22" s="66">
        <f t="shared" ca="1" si="4"/>
        <v>3.8888888888889001E-2</v>
      </c>
      <c r="R22" s="63" t="s">
        <v>370</v>
      </c>
      <c r="S22" s="133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274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133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274</v>
      </c>
      <c r="F24" s="88"/>
      <c r="G24" s="89">
        <v>0</v>
      </c>
      <c r="H24" s="88"/>
      <c r="I24" s="90"/>
      <c r="J24" s="91"/>
      <c r="K24" s="64">
        <f t="shared" si="3"/>
        <v>0</v>
      </c>
      <c r="L24" s="61"/>
      <c r="M24" s="61"/>
      <c r="N24" s="61"/>
      <c r="O24" s="65"/>
      <c r="P24" s="65"/>
      <c r="Q24" s="66" t="str">
        <f t="shared" ca="1" si="4"/>
        <v/>
      </c>
      <c r="R24" s="63"/>
      <c r="S24" s="133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47</v>
      </c>
      <c r="E25" s="100" t="s">
        <v>274</v>
      </c>
      <c r="F25" s="88"/>
      <c r="G25" s="89">
        <v>10</v>
      </c>
      <c r="H25" s="88"/>
      <c r="I25" s="90"/>
      <c r="J25" s="91"/>
      <c r="K25" s="69">
        <f t="shared" si="3"/>
        <v>42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133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47</v>
      </c>
      <c r="E26" s="100" t="s">
        <v>274</v>
      </c>
      <c r="F26" s="92"/>
      <c r="G26" s="89">
        <v>10</v>
      </c>
      <c r="H26" s="92"/>
      <c r="I26" s="93"/>
      <c r="J26" s="94"/>
      <c r="K26" s="64">
        <f t="shared" si="3"/>
        <v>42</v>
      </c>
      <c r="L26" s="61"/>
      <c r="M26" s="61"/>
      <c r="N26" s="61"/>
      <c r="O26" s="65"/>
      <c r="P26" s="65"/>
      <c r="Q26" s="66" t="str">
        <f t="shared" ca="1" si="4"/>
        <v/>
      </c>
      <c r="R26" s="63"/>
      <c r="S26" s="133"/>
    </row>
    <row r="27" spans="1:20" ht="15.75" customHeight="1">
      <c r="A27" s="156" t="s">
        <v>263</v>
      </c>
      <c r="B27" s="156"/>
      <c r="C27" s="156"/>
      <c r="D27" s="156"/>
      <c r="E27" s="156"/>
      <c r="F27" s="105"/>
      <c r="G27" s="96">
        <f>SUM(G15:G26)</f>
        <v>138</v>
      </c>
      <c r="H27" s="105"/>
      <c r="I27" s="106"/>
      <c r="J27" s="107"/>
      <c r="K27" s="2">
        <f>SUM(K15:K26)</f>
        <v>579.6</v>
      </c>
      <c r="L27" s="72"/>
      <c r="M27" s="72"/>
      <c r="N27" s="72"/>
      <c r="O27" s="134"/>
      <c r="P27" s="134"/>
      <c r="Q27" s="73">
        <f ca="1">IFERROR(SUM(Q15:Q26),"")</f>
        <v>0.15138888888888807</v>
      </c>
      <c r="R27" s="2" t="s">
        <v>261</v>
      </c>
      <c r="S27" s="74">
        <v>491520</v>
      </c>
      <c r="T27" s="99">
        <f>IFERROR(J27,"")</f>
        <v>0</v>
      </c>
    </row>
    <row r="28" spans="1:20" ht="18" customHeight="1">
      <c r="A28" s="157" t="s">
        <v>249</v>
      </c>
      <c r="B28" s="157"/>
      <c r="C28" s="157"/>
      <c r="D28" s="157"/>
      <c r="E28" s="157"/>
      <c r="F28" s="108"/>
      <c r="G28" s="109">
        <f>G14+G27</f>
        <v>268</v>
      </c>
      <c r="H28" s="108"/>
      <c r="I28" s="110"/>
      <c r="J28" s="111"/>
      <c r="K28" s="1">
        <f>K14+K27</f>
        <v>1125.6000000000001</v>
      </c>
      <c r="L28" s="76"/>
      <c r="M28" s="76"/>
      <c r="N28" s="76"/>
      <c r="O28" s="135"/>
      <c r="P28" s="135"/>
      <c r="Q28" s="77">
        <f ca="1">IFERROR(Q14+Q27,"")</f>
        <v>0.1902777777777771</v>
      </c>
      <c r="R28" s="1" t="s">
        <v>264</v>
      </c>
      <c r="S28" s="82">
        <f>IFERROR(S14+S27,"")</f>
        <v>1052940</v>
      </c>
      <c r="T28" s="118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87" t="s">
        <v>274</v>
      </c>
      <c r="F29" s="101"/>
      <c r="G29" s="89">
        <v>3</v>
      </c>
      <c r="H29" s="101"/>
      <c r="I29" s="102"/>
      <c r="J29" s="103"/>
      <c r="K29" s="64">
        <f t="shared" ref="K29:K38" si="6">IF(G29="","",IF(E29="PC 17",G29*4.2,IF(E29="PC 19",G29*5,IF(E29="CB",G29*24,""))))</f>
        <v>12.600000000000001</v>
      </c>
      <c r="L29" s="70" t="s">
        <v>28</v>
      </c>
      <c r="M29" s="70" t="s">
        <v>66</v>
      </c>
      <c r="N29" s="70" t="s">
        <v>36</v>
      </c>
      <c r="O29" s="65">
        <v>0.69097222222222199</v>
      </c>
      <c r="P29" s="65">
        <v>0.70208333333333295</v>
      </c>
      <c r="Q29" s="66">
        <f t="shared" ref="Q29:Q40" ca="1" si="7">IFERROR(IF(O29="","",IF(P29="",MOD(NOW()-O29,1),IF(P29&gt;=O29,P29-O29,P29+1-O29))),"")</f>
        <v>1.1111111111110961E-2</v>
      </c>
      <c r="R29" s="63"/>
      <c r="S29" s="133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87" t="s">
        <v>274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61"/>
      <c r="M30" s="61"/>
      <c r="N30" s="61"/>
      <c r="O30" s="65"/>
      <c r="P30" s="65"/>
      <c r="Q30" s="71" t="str">
        <f t="shared" ca="1" si="7"/>
        <v/>
      </c>
      <c r="R30" s="63"/>
      <c r="S30" s="133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87" t="s">
        <v>274</v>
      </c>
      <c r="F31" s="88"/>
      <c r="G31" s="89">
        <v>15</v>
      </c>
      <c r="H31" s="88"/>
      <c r="I31" s="90"/>
      <c r="J31" s="91"/>
      <c r="K31" s="64">
        <f t="shared" si="6"/>
        <v>63</v>
      </c>
      <c r="L31" s="70"/>
      <c r="M31" s="70"/>
      <c r="N31" s="70"/>
      <c r="O31" s="65"/>
      <c r="P31" s="65"/>
      <c r="Q31" s="66" t="str">
        <f t="shared" ca="1" si="7"/>
        <v/>
      </c>
      <c r="R31" s="63"/>
      <c r="S31" s="133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87" t="s">
        <v>274</v>
      </c>
      <c r="F32" s="88"/>
      <c r="G32" s="89">
        <v>9</v>
      </c>
      <c r="H32" s="88"/>
      <c r="I32" s="90"/>
      <c r="J32" s="91"/>
      <c r="K32" s="69">
        <f t="shared" si="6"/>
        <v>37.800000000000004</v>
      </c>
      <c r="L32" s="61"/>
      <c r="M32" s="61"/>
      <c r="N32" s="61"/>
      <c r="O32" s="65"/>
      <c r="P32" s="65"/>
      <c r="Q32" s="71" t="str">
        <f t="shared" ca="1" si="7"/>
        <v/>
      </c>
      <c r="R32" s="63"/>
      <c r="S32" s="133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87" t="s">
        <v>274</v>
      </c>
      <c r="F33" s="88"/>
      <c r="G33" s="89">
        <v>12</v>
      </c>
      <c r="H33" s="88"/>
      <c r="I33" s="90"/>
      <c r="J33" s="91"/>
      <c r="K33" s="64">
        <f t="shared" si="6"/>
        <v>50.400000000000006</v>
      </c>
      <c r="L33" s="70"/>
      <c r="M33" s="70"/>
      <c r="N33" s="70"/>
      <c r="O33" s="65"/>
      <c r="P33" s="65"/>
      <c r="Q33" s="66" t="str">
        <f t="shared" ca="1" si="7"/>
        <v/>
      </c>
      <c r="R33" s="63"/>
      <c r="S33" s="133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87" t="s">
        <v>274</v>
      </c>
      <c r="F34" s="88"/>
      <c r="G34" s="89">
        <v>22</v>
      </c>
      <c r="H34" s="88"/>
      <c r="I34" s="90"/>
      <c r="J34" s="91"/>
      <c r="K34" s="69">
        <f t="shared" si="6"/>
        <v>92.4</v>
      </c>
      <c r="L34" s="61"/>
      <c r="M34" s="61"/>
      <c r="N34" s="61"/>
      <c r="O34" s="65"/>
      <c r="P34" s="65"/>
      <c r="Q34" s="71" t="str">
        <f t="shared" ca="1" si="7"/>
        <v/>
      </c>
      <c r="R34" s="63"/>
      <c r="S34" s="133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87" t="s">
        <v>274</v>
      </c>
      <c r="F35" s="88"/>
      <c r="G35" s="89">
        <v>17</v>
      </c>
      <c r="H35" s="88"/>
      <c r="I35" s="90"/>
      <c r="J35" s="91"/>
      <c r="K35" s="64">
        <f t="shared" si="6"/>
        <v>71.400000000000006</v>
      </c>
      <c r="L35" s="70"/>
      <c r="M35" s="70"/>
      <c r="N35" s="70"/>
      <c r="O35" s="65"/>
      <c r="P35" s="65"/>
      <c r="Q35" s="66" t="str">
        <f t="shared" ca="1" si="7"/>
        <v/>
      </c>
      <c r="R35" s="63"/>
      <c r="S35" s="133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87" t="s">
        <v>274</v>
      </c>
      <c r="F36" s="88"/>
      <c r="G36" s="89">
        <v>20</v>
      </c>
      <c r="H36" s="88"/>
      <c r="I36" s="90"/>
      <c r="J36" s="91"/>
      <c r="K36" s="69">
        <f t="shared" si="6"/>
        <v>84</v>
      </c>
      <c r="L36" s="61"/>
      <c r="M36" s="61"/>
      <c r="N36" s="61"/>
      <c r="O36" s="65"/>
      <c r="P36" s="65"/>
      <c r="Q36" s="71" t="str">
        <f t="shared" ca="1" si="7"/>
        <v/>
      </c>
      <c r="R36" s="63"/>
      <c r="S36" s="133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87" t="s">
        <v>274</v>
      </c>
      <c r="F37" s="88"/>
      <c r="G37" s="89">
        <v>5</v>
      </c>
      <c r="H37" s="88"/>
      <c r="I37" s="90"/>
      <c r="J37" s="91"/>
      <c r="K37" s="64">
        <f t="shared" si="6"/>
        <v>21</v>
      </c>
      <c r="L37" s="70"/>
      <c r="M37" s="70"/>
      <c r="N37" s="70"/>
      <c r="O37" s="65"/>
      <c r="P37" s="65"/>
      <c r="Q37" s="66" t="str">
        <f t="shared" ca="1" si="7"/>
        <v/>
      </c>
      <c r="R37" s="63"/>
      <c r="S37" s="133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87" t="s">
        <v>274</v>
      </c>
      <c r="F38" s="88"/>
      <c r="G38" s="89">
        <v>17</v>
      </c>
      <c r="H38" s="88"/>
      <c r="I38" s="90"/>
      <c r="J38" s="91"/>
      <c r="K38" s="69">
        <f t="shared" si="6"/>
        <v>71.400000000000006</v>
      </c>
      <c r="L38" s="61"/>
      <c r="M38" s="61"/>
      <c r="N38" s="61"/>
      <c r="O38" s="65"/>
      <c r="P38" s="65"/>
      <c r="Q38" s="71" t="str">
        <f t="shared" ca="1" si="7"/>
        <v/>
      </c>
      <c r="R38" s="63"/>
      <c r="S38" s="133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87" t="s">
        <v>274</v>
      </c>
      <c r="F39" s="88"/>
      <c r="G39" s="131">
        <v>8</v>
      </c>
      <c r="H39" s="88"/>
      <c r="I39" s="90"/>
      <c r="J39" s="91"/>
      <c r="K39" s="64">
        <f>IF(G50="","",IF(E39="PC 17",G50*4.2,IF(E39="PC 19",G50*5,IF(E39="CB",G50*24,""))))</f>
        <v>50.400000000000006</v>
      </c>
      <c r="L39" s="70"/>
      <c r="M39" s="70"/>
      <c r="N39" s="70"/>
      <c r="O39" s="65"/>
      <c r="P39" s="65"/>
      <c r="Q39" s="66" t="str">
        <f t="shared" ca="1" si="7"/>
        <v/>
      </c>
      <c r="R39" s="63"/>
      <c r="S39" s="133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87" t="s">
        <v>274</v>
      </c>
      <c r="F40" s="92"/>
      <c r="G40" s="89">
        <v>0</v>
      </c>
      <c r="H40" s="92"/>
      <c r="I40" s="93"/>
      <c r="J40" s="94"/>
      <c r="K40" s="69">
        <f>IF(G40="","",IF(E40="PC 17",G40*4.2,IF(E40="PC 19",G40*5,IF(E40="CB",G40*24,""))))</f>
        <v>0</v>
      </c>
      <c r="L40" s="61"/>
      <c r="M40" s="61"/>
      <c r="N40" s="61"/>
      <c r="O40" s="65"/>
      <c r="P40" s="65"/>
      <c r="Q40" s="71" t="str">
        <f t="shared" ca="1" si="7"/>
        <v/>
      </c>
      <c r="R40" s="63"/>
      <c r="S40" s="133"/>
    </row>
    <row r="41" spans="1:20" ht="15.75" customHeight="1">
      <c r="A41" s="156" t="s">
        <v>260</v>
      </c>
      <c r="B41" s="156"/>
      <c r="C41" s="156"/>
      <c r="D41" s="156"/>
      <c r="E41" s="156"/>
      <c r="F41" s="95"/>
      <c r="G41" s="96">
        <f>SUM(G29:G40)</f>
        <v>141</v>
      </c>
      <c r="H41" s="95"/>
      <c r="I41" s="97"/>
      <c r="J41" s="98"/>
      <c r="K41" s="2">
        <f>SUM(K29:K40)</f>
        <v>609</v>
      </c>
      <c r="L41" s="72"/>
      <c r="M41" s="72"/>
      <c r="N41" s="72"/>
      <c r="O41" s="134"/>
      <c r="P41" s="134"/>
      <c r="Q41" s="73">
        <f ca="1">IFERROR(SUM(Q29:Q40),"")</f>
        <v>1.1111111111110961E-2</v>
      </c>
      <c r="R41" s="2" t="s">
        <v>261</v>
      </c>
      <c r="S41" s="74">
        <v>766800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23</v>
      </c>
      <c r="H42" s="101"/>
      <c r="I42" s="102"/>
      <c r="J42" s="103"/>
      <c r="K42" s="69">
        <f t="shared" ref="K42:K49" si="9">IF(G42="","",IF(E42="PC 17",G42*4.2,IF(E42="PC 19",G42*5,IF(E42="CB",G42*24,""))))</f>
        <v>96.600000000000009</v>
      </c>
      <c r="L42" s="61" t="s">
        <v>29</v>
      </c>
      <c r="M42" s="61" t="s">
        <v>61</v>
      </c>
      <c r="N42" s="61" t="s">
        <v>60</v>
      </c>
      <c r="O42" s="65">
        <v>0.84375</v>
      </c>
      <c r="P42" s="65">
        <v>0.85763888888888895</v>
      </c>
      <c r="Q42" s="71">
        <f t="shared" ref="Q42:Q53" ca="1" si="10">IFERROR(IF(O42="","",IF(P42="",MOD(NOW()-O42,1),IF(P42&gt;=O42,P42-O42,P42+1-O42))),"")</f>
        <v>1.3888888888888951E-2</v>
      </c>
      <c r="R42" s="63"/>
      <c r="S42" s="133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8</v>
      </c>
      <c r="H43" s="88"/>
      <c r="I43" s="90"/>
      <c r="J43" s="91"/>
      <c r="K43" s="64">
        <f t="shared" si="9"/>
        <v>33.6</v>
      </c>
      <c r="L43" s="70" t="s">
        <v>29</v>
      </c>
      <c r="M43" s="70" t="s">
        <v>66</v>
      </c>
      <c r="N43" s="70" t="s">
        <v>60</v>
      </c>
      <c r="O43" s="65">
        <v>0.875</v>
      </c>
      <c r="P43" s="65">
        <v>0.89583333333333304</v>
      </c>
      <c r="Q43" s="71">
        <f t="shared" ca="1" si="10"/>
        <v>2.0833333333333037E-2</v>
      </c>
      <c r="R43" s="63"/>
      <c r="S43" s="133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8</v>
      </c>
      <c r="H44" s="88"/>
      <c r="I44" s="90"/>
      <c r="J44" s="91"/>
      <c r="K44" s="69">
        <f t="shared" si="9"/>
        <v>33.6</v>
      </c>
      <c r="L44" s="61" t="s">
        <v>28</v>
      </c>
      <c r="M44" s="61" t="s">
        <v>61</v>
      </c>
      <c r="N44" s="61" t="s">
        <v>36</v>
      </c>
      <c r="O44" s="65">
        <v>0.92638888888888904</v>
      </c>
      <c r="P44" s="65">
        <v>0.94097222222222199</v>
      </c>
      <c r="Q44" s="71">
        <f t="shared" ca="1" si="10"/>
        <v>1.4583333333332948E-2</v>
      </c>
      <c r="R44" s="63"/>
      <c r="S44" s="133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66</v>
      </c>
      <c r="N45" s="70" t="s">
        <v>71</v>
      </c>
      <c r="O45" s="65">
        <v>0.969444444444444</v>
      </c>
      <c r="P45" s="65">
        <v>0.99305555555555602</v>
      </c>
      <c r="Q45" s="71">
        <f t="shared" ca="1" si="10"/>
        <v>2.3611111111112026E-2</v>
      </c>
      <c r="R45" s="63" t="s">
        <v>371</v>
      </c>
      <c r="S45" s="133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8</v>
      </c>
      <c r="H46" s="88"/>
      <c r="I46" s="90"/>
      <c r="J46" s="91"/>
      <c r="K46" s="69">
        <f t="shared" si="9"/>
        <v>33.6</v>
      </c>
      <c r="L46" s="61" t="s">
        <v>29</v>
      </c>
      <c r="M46" s="61" t="s">
        <v>66</v>
      </c>
      <c r="N46" s="61" t="s">
        <v>45</v>
      </c>
      <c r="O46" s="65">
        <v>0.99583333333333302</v>
      </c>
      <c r="P46" s="65">
        <v>6.2500000000000003E-3</v>
      </c>
      <c r="Q46" s="71">
        <f t="shared" ca="1" si="10"/>
        <v>1.0416666666667074E-2</v>
      </c>
      <c r="R46" s="63"/>
      <c r="S46" s="133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11</v>
      </c>
      <c r="H47" s="88"/>
      <c r="I47" s="90"/>
      <c r="J47" s="91"/>
      <c r="K47" s="64">
        <f t="shared" si="9"/>
        <v>46.2</v>
      </c>
      <c r="L47" s="70" t="s">
        <v>28</v>
      </c>
      <c r="M47" s="70" t="s">
        <v>66</v>
      </c>
      <c r="N47" s="70" t="s">
        <v>36</v>
      </c>
      <c r="O47" s="65">
        <v>0.1875</v>
      </c>
      <c r="P47" s="65">
        <v>0.19791666666666699</v>
      </c>
      <c r="Q47" s="71">
        <f t="shared" ca="1" si="10"/>
        <v>1.041666666666699E-2</v>
      </c>
      <c r="R47" s="63"/>
      <c r="S47" s="133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17</v>
      </c>
      <c r="H48" s="88"/>
      <c r="I48" s="90"/>
      <c r="J48" s="91"/>
      <c r="K48" s="69">
        <f t="shared" si="9"/>
        <v>71.400000000000006</v>
      </c>
      <c r="L48" s="61" t="s">
        <v>29</v>
      </c>
      <c r="M48" s="61" t="s">
        <v>66</v>
      </c>
      <c r="N48" s="61" t="s">
        <v>37</v>
      </c>
      <c r="O48" s="65">
        <v>0.19791666666666699</v>
      </c>
      <c r="P48" s="65">
        <v>0.23194444444444501</v>
      </c>
      <c r="Q48" s="71">
        <f t="shared" ca="1" si="10"/>
        <v>3.4027777777778018E-2</v>
      </c>
      <c r="R48" s="63"/>
      <c r="S48" s="133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20</v>
      </c>
      <c r="H49" s="88"/>
      <c r="I49" s="90"/>
      <c r="J49" s="91"/>
      <c r="K49" s="64">
        <f t="shared" si="9"/>
        <v>84</v>
      </c>
      <c r="L49" s="70"/>
      <c r="M49" s="70"/>
      <c r="N49" s="70"/>
      <c r="O49" s="65"/>
      <c r="P49" s="65"/>
      <c r="Q49" s="71" t="str">
        <f t="shared" ca="1" si="10"/>
        <v/>
      </c>
      <c r="R49" s="63"/>
      <c r="S49" s="133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12</v>
      </c>
      <c r="H50" s="88"/>
      <c r="I50" s="90"/>
      <c r="J50" s="91"/>
      <c r="K50" s="69"/>
      <c r="L50" s="61"/>
      <c r="M50" s="61"/>
      <c r="N50" s="61"/>
      <c r="O50" s="65"/>
      <c r="P50" s="65"/>
      <c r="Q50" s="71" t="str">
        <f t="shared" ca="1" si="10"/>
        <v/>
      </c>
      <c r="R50" s="63"/>
      <c r="S50" s="133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>IF(G51="","",IF(E51="PC 17",G51*4.2,IF(E51="PC 19",G51*5,IF(E51="CB",G51*24,""))))</f>
        <v>0</v>
      </c>
      <c r="L51" s="70"/>
      <c r="M51" s="70"/>
      <c r="N51" s="70"/>
      <c r="O51" s="65"/>
      <c r="P51" s="65"/>
      <c r="Q51" s="71" t="str">
        <f t="shared" ca="1" si="10"/>
        <v/>
      </c>
      <c r="R51" s="63"/>
      <c r="S51" s="133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11</v>
      </c>
      <c r="H52" s="88"/>
      <c r="I52" s="90"/>
      <c r="J52" s="91"/>
      <c r="K52" s="69">
        <f>IF(G52="","",IF(E52="PC 17",G52*4.2,IF(E52="PC 19",G52*5,IF(E52="CB",G52*24,""))))</f>
        <v>46.2</v>
      </c>
      <c r="L52" s="61"/>
      <c r="M52" s="61"/>
      <c r="N52" s="61"/>
      <c r="O52" s="65"/>
      <c r="P52" s="65"/>
      <c r="Q52" s="71" t="str">
        <f t="shared" ca="1" si="10"/>
        <v/>
      </c>
      <c r="R52" s="63"/>
      <c r="S52" s="133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/>
      <c r="H53" s="92"/>
      <c r="I53" s="93"/>
      <c r="J53" s="94"/>
      <c r="K53" s="64" t="str">
        <f>IF(G53="","",IF(E53="PC 17",G53*4.2,IF(E53="PC 19",G53*5,IF(E53="CB",G53*24,""))))</f>
        <v/>
      </c>
      <c r="L53" s="70"/>
      <c r="M53" s="70"/>
      <c r="N53" s="70"/>
      <c r="O53" s="65"/>
      <c r="P53" s="65"/>
      <c r="Q53" s="71" t="str">
        <f t="shared" ca="1" si="10"/>
        <v/>
      </c>
      <c r="R53" s="63"/>
      <c r="S53" s="133"/>
    </row>
    <row r="54" spans="1:20" ht="15.75" customHeight="1">
      <c r="A54" s="156" t="s">
        <v>263</v>
      </c>
      <c r="B54" s="156"/>
      <c r="C54" s="156"/>
      <c r="D54" s="156"/>
      <c r="E54" s="156"/>
      <c r="F54" s="105"/>
      <c r="G54" s="96">
        <f>SUM(G42:G53)</f>
        <v>121</v>
      </c>
      <c r="H54" s="105"/>
      <c r="I54" s="106"/>
      <c r="J54" s="107"/>
      <c r="K54" s="2">
        <f>SUM(K42:K53)</f>
        <v>457.8</v>
      </c>
      <c r="L54" s="72"/>
      <c r="M54" s="72"/>
      <c r="N54" s="72"/>
      <c r="O54" s="134"/>
      <c r="P54" s="134"/>
      <c r="Q54" s="73">
        <f ca="1">IFERROR(SUM(Q42:Q53),"")</f>
        <v>0.12777777777777904</v>
      </c>
      <c r="R54" s="2" t="s">
        <v>261</v>
      </c>
      <c r="S54" s="74">
        <v>352430</v>
      </c>
      <c r="T54" s="99">
        <f>IFERROR(J54,"")</f>
        <v>0</v>
      </c>
    </row>
    <row r="55" spans="1:20" ht="18" customHeight="1">
      <c r="A55" s="157" t="s">
        <v>249</v>
      </c>
      <c r="B55" s="157"/>
      <c r="C55" s="157"/>
      <c r="D55" s="157"/>
      <c r="E55" s="157"/>
      <c r="F55" s="108"/>
      <c r="G55" s="109">
        <f>G41+G54</f>
        <v>262</v>
      </c>
      <c r="H55" s="108"/>
      <c r="I55" s="110"/>
      <c r="J55" s="111"/>
      <c r="K55" s="1">
        <f>K41+K54</f>
        <v>1066.8</v>
      </c>
      <c r="L55" s="76"/>
      <c r="M55" s="76"/>
      <c r="N55" s="76"/>
      <c r="O55" s="135"/>
      <c r="P55" s="135"/>
      <c r="Q55" s="77">
        <f ca="1">IFERROR(Q41+Q54,"")</f>
        <v>0.13888888888889001</v>
      </c>
      <c r="R55" s="1" t="s">
        <v>264</v>
      </c>
      <c r="S55" s="82">
        <f>IFERROR(S41+S54,"")</f>
        <v>1119230</v>
      </c>
      <c r="T55" s="118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18</v>
      </c>
      <c r="H56" s="101"/>
      <c r="I56" s="102"/>
      <c r="J56" s="103"/>
      <c r="K56" s="64">
        <f t="shared" ref="K56:K67" si="12">IF(G56="","",IF(E56="PC 17",G56*4.2,IF(E56="PC 19",G56*5,IF(E56="CB",G56*24,""))))</f>
        <v>75.600000000000009</v>
      </c>
      <c r="L56" s="61" t="s">
        <v>29</v>
      </c>
      <c r="M56" s="61" t="s">
        <v>66</v>
      </c>
      <c r="N56" s="70" t="s">
        <v>60</v>
      </c>
      <c r="O56" s="65">
        <v>0.42847222222222198</v>
      </c>
      <c r="P56" s="65">
        <v>0.43402777777777801</v>
      </c>
      <c r="Q56" s="66">
        <f t="shared" ref="Q56:Q67" ca="1" si="13">IFERROR(IF(O56="","",IF(P56="",MOD(NOW()-O56,1),IF(P56&gt;=O56,P56-O56,P56+1-O56))),"")</f>
        <v>5.5555555555560354E-3</v>
      </c>
      <c r="R56" s="63"/>
      <c r="S56" s="133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87" t="s">
        <v>274</v>
      </c>
      <c r="F57" s="88"/>
      <c r="G57" s="89">
        <v>12</v>
      </c>
      <c r="H57" s="88"/>
      <c r="I57" s="90"/>
      <c r="J57" s="91"/>
      <c r="K57" s="69">
        <f t="shared" si="12"/>
        <v>50.400000000000006</v>
      </c>
      <c r="L57" s="70" t="s">
        <v>28</v>
      </c>
      <c r="M57" s="70" t="s">
        <v>61</v>
      </c>
      <c r="N57" s="70" t="s">
        <v>36</v>
      </c>
      <c r="O57" s="65">
        <v>0.50208333333333299</v>
      </c>
      <c r="P57" s="65">
        <v>0.52569444444444502</v>
      </c>
      <c r="Q57" s="71">
        <f t="shared" ca="1" si="13"/>
        <v>2.3611111111112026E-2</v>
      </c>
      <c r="R57" s="63"/>
      <c r="S57" s="133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15</v>
      </c>
      <c r="H58" s="88"/>
      <c r="I58" s="90"/>
      <c r="J58" s="91"/>
      <c r="K58" s="64">
        <f t="shared" si="12"/>
        <v>63</v>
      </c>
      <c r="L58" s="61" t="s">
        <v>29</v>
      </c>
      <c r="M58" s="61" t="s">
        <v>66</v>
      </c>
      <c r="N58" s="61" t="s">
        <v>218</v>
      </c>
      <c r="O58" s="65">
        <v>0.52777777777777801</v>
      </c>
      <c r="P58" s="65">
        <v>0.53263888888888899</v>
      </c>
      <c r="Q58" s="66">
        <f t="shared" ca="1" si="13"/>
        <v>4.8611111111109828E-3</v>
      </c>
      <c r="R58" s="63"/>
      <c r="S58" s="133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87" t="s">
        <v>274</v>
      </c>
      <c r="F59" s="88"/>
      <c r="G59" s="89">
        <v>15</v>
      </c>
      <c r="H59" s="88"/>
      <c r="I59" s="90"/>
      <c r="J59" s="91"/>
      <c r="K59" s="69">
        <f t="shared" si="12"/>
        <v>63</v>
      </c>
      <c r="L59" s="70" t="s">
        <v>27</v>
      </c>
      <c r="M59" s="70" t="s">
        <v>61</v>
      </c>
      <c r="N59" s="70" t="s">
        <v>43</v>
      </c>
      <c r="O59" s="65">
        <v>0.60555555555555596</v>
      </c>
      <c r="P59" s="65">
        <v>0.66319444444444398</v>
      </c>
      <c r="Q59" s="71">
        <f t="shared" ca="1" si="13"/>
        <v>5.7638888888888018E-2</v>
      </c>
      <c r="R59" s="63" t="s">
        <v>372</v>
      </c>
      <c r="S59" s="133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87" t="s">
        <v>274</v>
      </c>
      <c r="F60" s="88"/>
      <c r="G60" s="89">
        <v>16</v>
      </c>
      <c r="H60" s="88"/>
      <c r="I60" s="90"/>
      <c r="J60" s="91"/>
      <c r="K60" s="64">
        <f t="shared" si="12"/>
        <v>67.2</v>
      </c>
      <c r="L60" s="61" t="s">
        <v>27</v>
      </c>
      <c r="M60" s="61" t="s">
        <v>61</v>
      </c>
      <c r="N60" s="61" t="s">
        <v>140</v>
      </c>
      <c r="O60" s="65">
        <v>0.69513888888888897</v>
      </c>
      <c r="P60" s="65">
        <v>0.74861111111111101</v>
      </c>
      <c r="Q60" s="66">
        <f t="shared" ca="1" si="13"/>
        <v>5.3472222222222032E-2</v>
      </c>
      <c r="R60" s="63" t="s">
        <v>373</v>
      </c>
      <c r="S60" s="133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87" t="s">
        <v>274</v>
      </c>
      <c r="F61" s="88"/>
      <c r="G61" s="89">
        <v>7</v>
      </c>
      <c r="H61" s="88"/>
      <c r="I61" s="90"/>
      <c r="J61" s="91"/>
      <c r="K61" s="69">
        <f t="shared" si="12"/>
        <v>29.400000000000002</v>
      </c>
      <c r="L61" s="70"/>
      <c r="M61" s="70"/>
      <c r="N61" s="70"/>
      <c r="O61" s="65"/>
      <c r="P61" s="65"/>
      <c r="Q61" s="71" t="str">
        <f t="shared" ca="1" si="13"/>
        <v/>
      </c>
      <c r="R61" s="63"/>
      <c r="S61" s="133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87" t="s">
        <v>274</v>
      </c>
      <c r="F62" s="88"/>
      <c r="G62" s="89">
        <v>15</v>
      </c>
      <c r="H62" s="88"/>
      <c r="I62" s="90"/>
      <c r="J62" s="91"/>
      <c r="K62" s="64">
        <f t="shared" si="12"/>
        <v>63</v>
      </c>
      <c r="L62" s="61"/>
      <c r="M62" s="61"/>
      <c r="N62" s="61"/>
      <c r="O62" s="65"/>
      <c r="P62" s="65"/>
      <c r="Q62" s="66" t="str">
        <f t="shared" ca="1" si="13"/>
        <v/>
      </c>
      <c r="R62" s="63"/>
      <c r="S62" s="133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87" t="s">
        <v>274</v>
      </c>
      <c r="F63" s="88"/>
      <c r="G63" s="89">
        <v>5</v>
      </c>
      <c r="H63" s="88"/>
      <c r="I63" s="90"/>
      <c r="J63" s="91"/>
      <c r="K63" s="69">
        <f t="shared" si="12"/>
        <v>21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133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87" t="s">
        <v>274</v>
      </c>
      <c r="F64" s="88"/>
      <c r="G64" s="89">
        <v>0</v>
      </c>
      <c r="H64" s="88"/>
      <c r="I64" s="90"/>
      <c r="J64" s="91"/>
      <c r="K64" s="64">
        <f t="shared" si="12"/>
        <v>0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133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87" t="s">
        <v>274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133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87" t="s">
        <v>274</v>
      </c>
      <c r="F66" s="88"/>
      <c r="G66" s="89">
        <v>0</v>
      </c>
      <c r="H66" s="88"/>
      <c r="I66" s="90"/>
      <c r="J66" s="91"/>
      <c r="K66" s="64">
        <f t="shared" si="12"/>
        <v>0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133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87" t="s">
        <v>274</v>
      </c>
      <c r="F67" s="92"/>
      <c r="G67" s="89">
        <v>6</v>
      </c>
      <c r="H67" s="92"/>
      <c r="I67" s="93"/>
      <c r="J67" s="94"/>
      <c r="K67" s="69">
        <f t="shared" si="12"/>
        <v>25.200000000000003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133"/>
    </row>
    <row r="68" spans="1:20" ht="15.75" customHeight="1">
      <c r="A68" s="156" t="s">
        <v>260</v>
      </c>
      <c r="B68" s="156"/>
      <c r="C68" s="156"/>
      <c r="D68" s="156"/>
      <c r="E68" s="156"/>
      <c r="F68" s="95"/>
      <c r="G68" s="96">
        <f>SUM(G56:G67)</f>
        <v>115</v>
      </c>
      <c r="H68" s="95"/>
      <c r="I68" s="97"/>
      <c r="J68" s="98"/>
      <c r="K68" s="2">
        <f>SUM(K56:K67)</f>
        <v>482.99999999999994</v>
      </c>
      <c r="L68" s="72"/>
      <c r="M68" s="72"/>
      <c r="N68" s="72"/>
      <c r="O68" s="134"/>
      <c r="P68" s="134"/>
      <c r="Q68" s="73">
        <f ca="1">IFERROR(SUM(Q56:Q67),"")</f>
        <v>0.14513888888888909</v>
      </c>
      <c r="R68" s="2" t="s">
        <v>261</v>
      </c>
      <c r="S68" s="74">
        <v>477090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7</v>
      </c>
      <c r="H69" s="101"/>
      <c r="I69" s="102"/>
      <c r="J69" s="103"/>
      <c r="K69" s="69">
        <f t="shared" ref="K69:K80" si="15">IF(G69="","",IF(E69="PC 17",G69*4.2,IF(E69="PC 19",G69*5,IF(E69="CB",G69*24,""))))</f>
        <v>29.400000000000002</v>
      </c>
      <c r="L69" s="70" t="s">
        <v>27</v>
      </c>
      <c r="M69" s="70" t="s">
        <v>61</v>
      </c>
      <c r="N69" s="70" t="s">
        <v>230</v>
      </c>
      <c r="O69" s="65">
        <v>0.79166666666666696</v>
      </c>
      <c r="P69" s="65">
        <v>0.84097222222222201</v>
      </c>
      <c r="Q69" s="71">
        <f t="shared" ref="Q69:Q80" ca="1" si="16">IFERROR(IF(O69="","",IF(P69="",MOD(NOW()-O69,1),IF(P69&gt;=O69,P69-O69,P69+1-O69))),"")</f>
        <v>4.9305555555555047E-2</v>
      </c>
      <c r="R69" s="63" t="s">
        <v>374</v>
      </c>
      <c r="S69" s="133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66</v>
      </c>
      <c r="N70" s="61" t="s">
        <v>71</v>
      </c>
      <c r="O70" s="65">
        <v>0.94374999999999998</v>
      </c>
      <c r="P70" s="65">
        <v>0.94583333333333297</v>
      </c>
      <c r="Q70" s="66">
        <f t="shared" ca="1" si="16"/>
        <v>2.0833333333329929E-3</v>
      </c>
      <c r="R70" s="63"/>
      <c r="S70" s="133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28</v>
      </c>
      <c r="M71" s="70" t="s">
        <v>66</v>
      </c>
      <c r="N71" s="70" t="s">
        <v>36</v>
      </c>
      <c r="O71" s="65">
        <v>0.98541666666666705</v>
      </c>
      <c r="P71" s="65">
        <v>0.99652777777777801</v>
      </c>
      <c r="Q71" s="71">
        <f t="shared" ca="1" si="16"/>
        <v>1.1111111111110961E-2</v>
      </c>
      <c r="R71" s="63"/>
      <c r="S71" s="133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11</v>
      </c>
      <c r="H72" s="88"/>
      <c r="I72" s="90"/>
      <c r="J72" s="91"/>
      <c r="K72" s="64">
        <f t="shared" si="15"/>
        <v>46.2</v>
      </c>
      <c r="L72" s="61" t="s">
        <v>27</v>
      </c>
      <c r="M72" s="61" t="s">
        <v>66</v>
      </c>
      <c r="N72" s="61" t="s">
        <v>140</v>
      </c>
      <c r="O72" s="65">
        <v>0.99652777777777801</v>
      </c>
      <c r="P72" s="65">
        <v>9.0277777777777804E-3</v>
      </c>
      <c r="Q72" s="66">
        <f t="shared" ca="1" si="16"/>
        <v>1.2499999999999845E-2</v>
      </c>
      <c r="R72" s="63" t="s">
        <v>340</v>
      </c>
      <c r="S72" s="133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13</v>
      </c>
      <c r="H73" s="88"/>
      <c r="I73" s="90"/>
      <c r="J73" s="91"/>
      <c r="K73" s="69">
        <f t="shared" si="15"/>
        <v>54.6</v>
      </c>
      <c r="L73" s="70" t="s">
        <v>28</v>
      </c>
      <c r="M73" s="70" t="s">
        <v>61</v>
      </c>
      <c r="N73" s="70" t="s">
        <v>36</v>
      </c>
      <c r="O73" s="65">
        <v>0.115972222222222</v>
      </c>
      <c r="P73" s="65">
        <v>0.124305555555556</v>
      </c>
      <c r="Q73" s="71">
        <f t="shared" ca="1" si="16"/>
        <v>8.3333333333339976E-3</v>
      </c>
      <c r="R73" s="63"/>
      <c r="S73" s="133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14</v>
      </c>
      <c r="H74" s="88"/>
      <c r="I74" s="90"/>
      <c r="J74" s="91"/>
      <c r="K74" s="64">
        <f t="shared" si="15"/>
        <v>58.800000000000004</v>
      </c>
      <c r="L74" s="61" t="s">
        <v>29</v>
      </c>
      <c r="M74" s="61" t="s">
        <v>61</v>
      </c>
      <c r="N74" s="70" t="s">
        <v>218</v>
      </c>
      <c r="O74" s="65">
        <v>0.163888888888889</v>
      </c>
      <c r="P74" s="65">
        <v>0.16666666666666699</v>
      </c>
      <c r="Q74" s="66">
        <f t="shared" ca="1" si="16"/>
        <v>2.77777777777799E-3</v>
      </c>
      <c r="R74" s="63"/>
      <c r="S74" s="133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18</v>
      </c>
      <c r="H75" s="88"/>
      <c r="I75" s="90"/>
      <c r="J75" s="91"/>
      <c r="K75" s="69">
        <f t="shared" si="15"/>
        <v>75.600000000000009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133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133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133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14</v>
      </c>
      <c r="H78" s="88"/>
      <c r="I78" s="90"/>
      <c r="J78" s="91"/>
      <c r="K78" s="64">
        <f t="shared" si="15"/>
        <v>58.800000000000004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133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 t="s">
        <v>274</v>
      </c>
      <c r="F79" s="88"/>
      <c r="G79" s="89">
        <v>14</v>
      </c>
      <c r="H79" s="88"/>
      <c r="I79" s="90"/>
      <c r="J79" s="91"/>
      <c r="K79" s="69">
        <f t="shared" si="15"/>
        <v>58.800000000000004</v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133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10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133"/>
    </row>
    <row r="81" spans="1:20" ht="15.75" customHeight="1">
      <c r="A81" s="156" t="s">
        <v>263</v>
      </c>
      <c r="B81" s="156"/>
      <c r="C81" s="156"/>
      <c r="D81" s="156"/>
      <c r="E81" s="156"/>
      <c r="F81" s="105"/>
      <c r="G81" s="96">
        <f>SUM(G69:G80)</f>
        <v>143</v>
      </c>
      <c r="H81" s="105"/>
      <c r="I81" s="106"/>
      <c r="J81" s="107"/>
      <c r="K81" s="2">
        <f>SUM(K69:K80)</f>
        <v>558.6</v>
      </c>
      <c r="L81" s="72"/>
      <c r="M81" s="72"/>
      <c r="N81" s="72"/>
      <c r="O81" s="134"/>
      <c r="P81" s="134"/>
      <c r="Q81" s="73">
        <f ca="1">IFERROR(SUM(Q69:Q80),"")</f>
        <v>8.6111111111110833E-2</v>
      </c>
      <c r="R81" s="2" t="s">
        <v>261</v>
      </c>
      <c r="S81" s="74">
        <v>612410</v>
      </c>
      <c r="T81" s="99">
        <f>IFERROR(J81,"")</f>
        <v>0</v>
      </c>
    </row>
    <row r="82" spans="1:20" ht="18" customHeight="1">
      <c r="A82" s="157" t="s">
        <v>249</v>
      </c>
      <c r="B82" s="157"/>
      <c r="C82" s="157"/>
      <c r="D82" s="157"/>
      <c r="E82" s="157"/>
      <c r="F82" s="108"/>
      <c r="G82" s="109">
        <f>G68+G81</f>
        <v>258</v>
      </c>
      <c r="H82" s="108"/>
      <c r="I82" s="110"/>
      <c r="J82" s="111"/>
      <c r="K82" s="1">
        <f>K68+K81</f>
        <v>1041.5999999999999</v>
      </c>
      <c r="L82" s="76"/>
      <c r="M82" s="76"/>
      <c r="N82" s="76"/>
      <c r="O82" s="135"/>
      <c r="P82" s="135"/>
      <c r="Q82" s="77">
        <f ca="1">IFERROR(Q68+Q81,"")</f>
        <v>0.23124999999999993</v>
      </c>
      <c r="R82" s="1" t="s">
        <v>264</v>
      </c>
      <c r="S82" s="82">
        <f>IFERROR(S68+S81,"")</f>
        <v>1089500</v>
      </c>
      <c r="T82" s="118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274</v>
      </c>
      <c r="F83" s="101"/>
      <c r="G83" s="89">
        <v>15</v>
      </c>
      <c r="H83" s="101"/>
      <c r="I83" s="102"/>
      <c r="J83" s="103"/>
      <c r="K83" s="64">
        <f t="shared" ref="K83:K94" si="18">IF(G83="","",IF(E83="PC 17",G83*4.2,IF(E83="PC 19",G83*5,IF(E83="CB",G83*24,""))))</f>
        <v>63</v>
      </c>
      <c r="L83" s="70" t="s">
        <v>28</v>
      </c>
      <c r="M83" s="70" t="s">
        <v>173</v>
      </c>
      <c r="N83" s="70" t="s">
        <v>36</v>
      </c>
      <c r="O83" s="65">
        <v>0.375</v>
      </c>
      <c r="P83" s="65">
        <v>0.39444444444444399</v>
      </c>
      <c r="Q83" s="66">
        <f t="shared" ref="Q83:Q94" ca="1" si="19">IFERROR(IF(O83="","",IF(P83="",MOD(NOW()-O83,1),IF(P83&gt;=O83,P83-O83,P83+1-O83))),"")</f>
        <v>1.9444444444443987E-2</v>
      </c>
      <c r="R83" s="63"/>
      <c r="S83" s="133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20</v>
      </c>
      <c r="H84" s="88"/>
      <c r="I84" s="90"/>
      <c r="J84" s="91"/>
      <c r="K84" s="69">
        <f t="shared" si="18"/>
        <v>84</v>
      </c>
      <c r="L84" s="61" t="s">
        <v>28</v>
      </c>
      <c r="M84" s="61" t="s">
        <v>61</v>
      </c>
      <c r="N84" s="61" t="s">
        <v>36</v>
      </c>
      <c r="O84" s="65">
        <v>0.70833333333333304</v>
      </c>
      <c r="P84" s="65">
        <v>0.72986111111111096</v>
      </c>
      <c r="Q84" s="71">
        <f t="shared" ca="1" si="19"/>
        <v>2.1527777777777923E-2</v>
      </c>
      <c r="R84" s="63"/>
      <c r="S84" s="133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10</v>
      </c>
      <c r="H85" s="88"/>
      <c r="I85" s="90"/>
      <c r="J85" s="91"/>
      <c r="K85" s="64">
        <f t="shared" si="18"/>
        <v>42</v>
      </c>
      <c r="L85" s="70"/>
      <c r="M85" s="70"/>
      <c r="N85" s="70"/>
      <c r="O85" s="65"/>
      <c r="P85" s="65"/>
      <c r="Q85" s="66" t="str">
        <f t="shared" ca="1" si="19"/>
        <v/>
      </c>
      <c r="R85" s="63"/>
      <c r="S85" s="133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17</v>
      </c>
      <c r="H86" s="88"/>
      <c r="I86" s="90"/>
      <c r="J86" s="91"/>
      <c r="K86" s="69">
        <f t="shared" si="18"/>
        <v>71.400000000000006</v>
      </c>
      <c r="L86" s="61"/>
      <c r="M86" s="61"/>
      <c r="N86" s="61"/>
      <c r="O86" s="65"/>
      <c r="P86" s="65"/>
      <c r="Q86" s="71" t="str">
        <f t="shared" ca="1" si="19"/>
        <v/>
      </c>
      <c r="R86" s="63"/>
      <c r="S86" s="133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17</v>
      </c>
      <c r="H87" s="88"/>
      <c r="I87" s="90"/>
      <c r="J87" s="91"/>
      <c r="K87" s="64">
        <f t="shared" si="18"/>
        <v>71.400000000000006</v>
      </c>
      <c r="L87" s="70"/>
      <c r="M87" s="70"/>
      <c r="N87" s="70"/>
      <c r="O87" s="65"/>
      <c r="P87" s="65"/>
      <c r="Q87" s="66" t="str">
        <f t="shared" ca="1" si="19"/>
        <v/>
      </c>
      <c r="R87" s="63"/>
      <c r="S87" s="133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15</v>
      </c>
      <c r="H88" s="88"/>
      <c r="I88" s="90"/>
      <c r="J88" s="91"/>
      <c r="K88" s="69">
        <f t="shared" si="18"/>
        <v>63</v>
      </c>
      <c r="L88" s="61"/>
      <c r="M88" s="61"/>
      <c r="N88" s="61"/>
      <c r="O88" s="65"/>
      <c r="P88" s="65"/>
      <c r="Q88" s="71" t="str">
        <f t="shared" ca="1" si="19"/>
        <v/>
      </c>
      <c r="R88" s="63"/>
      <c r="S88" s="133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16</v>
      </c>
      <c r="H89" s="88"/>
      <c r="I89" s="90"/>
      <c r="J89" s="91"/>
      <c r="K89" s="64">
        <f t="shared" si="18"/>
        <v>67.2</v>
      </c>
      <c r="L89" s="70"/>
      <c r="M89" s="70"/>
      <c r="N89" s="70"/>
      <c r="O89" s="65"/>
      <c r="P89" s="65"/>
      <c r="Q89" s="66" t="str">
        <f t="shared" ca="1" si="19"/>
        <v/>
      </c>
      <c r="R89" s="63"/>
      <c r="S89" s="133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20</v>
      </c>
      <c r="H90" s="88"/>
      <c r="I90" s="90"/>
      <c r="J90" s="91"/>
      <c r="K90" s="69">
        <f t="shared" si="18"/>
        <v>84</v>
      </c>
      <c r="L90" s="61"/>
      <c r="M90" s="61"/>
      <c r="N90" s="61"/>
      <c r="O90" s="65"/>
      <c r="P90" s="65"/>
      <c r="Q90" s="71" t="str">
        <f t="shared" ca="1" si="19"/>
        <v/>
      </c>
      <c r="R90" s="63"/>
      <c r="S90" s="133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16</v>
      </c>
      <c r="H91" s="88"/>
      <c r="I91" s="90"/>
      <c r="J91" s="91"/>
      <c r="K91" s="64">
        <f t="shared" si="18"/>
        <v>67.2</v>
      </c>
      <c r="L91" s="70"/>
      <c r="M91" s="70"/>
      <c r="N91" s="70"/>
      <c r="O91" s="65"/>
      <c r="P91" s="65"/>
      <c r="Q91" s="66" t="str">
        <f t="shared" ca="1" si="19"/>
        <v/>
      </c>
      <c r="R91" s="63"/>
      <c r="S91" s="133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19</v>
      </c>
      <c r="H92" s="88"/>
      <c r="I92" s="90"/>
      <c r="J92" s="91"/>
      <c r="K92" s="69">
        <f t="shared" si="18"/>
        <v>79.8</v>
      </c>
      <c r="L92" s="61"/>
      <c r="M92" s="61"/>
      <c r="N92" s="61"/>
      <c r="O92" s="65"/>
      <c r="P92" s="65"/>
      <c r="Q92" s="71" t="str">
        <f t="shared" ca="1" si="19"/>
        <v/>
      </c>
      <c r="R92" s="63"/>
      <c r="S92" s="133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3</v>
      </c>
      <c r="H93" s="88"/>
      <c r="I93" s="90"/>
      <c r="J93" s="91"/>
      <c r="K93" s="64">
        <f t="shared" si="18"/>
        <v>12.600000000000001</v>
      </c>
      <c r="L93" s="70"/>
      <c r="M93" s="70"/>
      <c r="N93" s="70"/>
      <c r="O93" s="65"/>
      <c r="P93" s="65"/>
      <c r="Q93" s="66" t="str">
        <f t="shared" ca="1" si="19"/>
        <v/>
      </c>
      <c r="R93" s="63"/>
      <c r="S93" s="133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15</v>
      </c>
      <c r="H94" s="92"/>
      <c r="I94" s="93"/>
      <c r="J94" s="94"/>
      <c r="K94" s="69">
        <f t="shared" si="18"/>
        <v>63</v>
      </c>
      <c r="L94" s="61"/>
      <c r="M94" s="61"/>
      <c r="N94" s="61"/>
      <c r="O94" s="65"/>
      <c r="P94" s="65"/>
      <c r="Q94" s="71" t="str">
        <f t="shared" ca="1" si="19"/>
        <v/>
      </c>
      <c r="R94" s="63"/>
      <c r="S94" s="133"/>
    </row>
    <row r="95" spans="1:20" ht="15.75" customHeight="1">
      <c r="A95" s="156" t="s">
        <v>260</v>
      </c>
      <c r="B95" s="156"/>
      <c r="C95" s="156"/>
      <c r="D95" s="156"/>
      <c r="E95" s="156"/>
      <c r="F95" s="95"/>
      <c r="G95" s="96">
        <f>SUM(G83:G94)</f>
        <v>183</v>
      </c>
      <c r="H95" s="95"/>
      <c r="I95" s="97"/>
      <c r="J95" s="98"/>
      <c r="K95" s="2">
        <f>SUM(K83:K94)</f>
        <v>768.6</v>
      </c>
      <c r="L95" s="72"/>
      <c r="M95" s="72"/>
      <c r="N95" s="72"/>
      <c r="O95" s="134"/>
      <c r="P95" s="134"/>
      <c r="Q95" s="73">
        <f ca="1">IFERROR(SUM(Q83:Q94),"")</f>
        <v>4.097222222222191E-2</v>
      </c>
      <c r="R95" s="2" t="s">
        <v>261</v>
      </c>
      <c r="S95" s="74">
        <v>786700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20</v>
      </c>
      <c r="H96" s="101"/>
      <c r="I96" s="102"/>
      <c r="J96" s="103"/>
      <c r="K96" s="69">
        <f t="shared" ref="K96:K107" si="21">IF(G96="","",IF(E96="PC 17",G96*4.2,IF(E96="PC 19",G96*5,IF(E96="CB",G96*24,""))))</f>
        <v>84</v>
      </c>
      <c r="L96" s="61" t="s">
        <v>28</v>
      </c>
      <c r="M96" s="61" t="s">
        <v>173</v>
      </c>
      <c r="N96" s="61" t="s">
        <v>36</v>
      </c>
      <c r="O96" s="65">
        <v>0.99861111111111101</v>
      </c>
      <c r="P96" s="65">
        <v>1.18055555555556E-2</v>
      </c>
      <c r="Q96" s="71">
        <f t="shared" ref="Q96:Q107" ca="1" si="22">IFERROR(IF(O96="","",IF(P96="",MOD(NOW()-O96,1),IF(P96&gt;=O96,P96-O96,P96+1-O96))),"")</f>
        <v>1.319444444444462E-2</v>
      </c>
      <c r="R96" s="63"/>
      <c r="S96" s="133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20</v>
      </c>
      <c r="H97" s="88"/>
      <c r="I97" s="90"/>
      <c r="J97" s="91"/>
      <c r="K97" s="64">
        <f t="shared" si="21"/>
        <v>84</v>
      </c>
      <c r="L97" s="70" t="s">
        <v>27</v>
      </c>
      <c r="M97" s="70" t="s">
        <v>61</v>
      </c>
      <c r="N97" s="70" t="s">
        <v>140</v>
      </c>
      <c r="O97" s="65">
        <v>6.8750000000000006E-2</v>
      </c>
      <c r="P97" s="65">
        <v>8.6805555555555594E-2</v>
      </c>
      <c r="Q97" s="66">
        <f t="shared" ca="1" si="22"/>
        <v>1.8055555555555589E-2</v>
      </c>
      <c r="R97" s="63" t="s">
        <v>340</v>
      </c>
      <c r="S97" s="133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15</v>
      </c>
      <c r="H98" s="88"/>
      <c r="I98" s="90"/>
      <c r="J98" s="91"/>
      <c r="K98" s="69">
        <f t="shared" si="21"/>
        <v>63</v>
      </c>
      <c r="L98" s="61"/>
      <c r="M98" s="61"/>
      <c r="N98" s="61"/>
      <c r="O98" s="65"/>
      <c r="P98" s="65"/>
      <c r="Q98" s="71" t="str">
        <f t="shared" ca="1" si="22"/>
        <v/>
      </c>
      <c r="R98" s="63"/>
      <c r="S98" s="133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22</v>
      </c>
      <c r="H99" s="88"/>
      <c r="I99" s="90"/>
      <c r="J99" s="91"/>
      <c r="K99" s="64">
        <f t="shared" si="21"/>
        <v>92.4</v>
      </c>
      <c r="L99" s="70"/>
      <c r="M99" s="70"/>
      <c r="N99" s="70"/>
      <c r="O99" s="65"/>
      <c r="P99" s="65"/>
      <c r="Q99" s="66" t="str">
        <f t="shared" ca="1" si="22"/>
        <v/>
      </c>
      <c r="R99" s="63"/>
      <c r="S99" s="133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14</v>
      </c>
      <c r="H100" s="88"/>
      <c r="I100" s="90"/>
      <c r="J100" s="91"/>
      <c r="K100" s="69">
        <f t="shared" si="21"/>
        <v>58.800000000000004</v>
      </c>
      <c r="L100" s="61"/>
      <c r="M100" s="61"/>
      <c r="N100" s="61"/>
      <c r="O100" s="65"/>
      <c r="P100" s="65"/>
      <c r="Q100" s="71" t="str">
        <f t="shared" ca="1" si="22"/>
        <v/>
      </c>
      <c r="R100" s="63"/>
      <c r="S100" s="133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10</v>
      </c>
      <c r="H101" s="88"/>
      <c r="I101" s="90"/>
      <c r="J101" s="91"/>
      <c r="K101" s="64">
        <f t="shared" si="21"/>
        <v>42</v>
      </c>
      <c r="L101" s="70"/>
      <c r="M101" s="70"/>
      <c r="N101" s="70"/>
      <c r="O101" s="65"/>
      <c r="P101" s="65"/>
      <c r="Q101" s="66" t="str">
        <f t="shared" ca="1" si="22"/>
        <v/>
      </c>
      <c r="R101" s="63"/>
      <c r="S101" s="133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71" t="str">
        <f t="shared" ca="1" si="22"/>
        <v/>
      </c>
      <c r="R102" s="63"/>
      <c r="S102" s="133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28</v>
      </c>
      <c r="H103" s="88"/>
      <c r="I103" s="90"/>
      <c r="J103" s="91"/>
      <c r="K103" s="64">
        <f t="shared" si="21"/>
        <v>117.60000000000001</v>
      </c>
      <c r="L103" s="70"/>
      <c r="M103" s="70"/>
      <c r="N103" s="70"/>
      <c r="O103" s="65"/>
      <c r="P103" s="65"/>
      <c r="Q103" s="66" t="str">
        <f t="shared" ca="1" si="22"/>
        <v/>
      </c>
      <c r="R103" s="63"/>
      <c r="S103" s="133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17</v>
      </c>
      <c r="H104" s="88"/>
      <c r="I104" s="90"/>
      <c r="J104" s="91"/>
      <c r="K104" s="69">
        <f t="shared" si="21"/>
        <v>71.400000000000006</v>
      </c>
      <c r="L104" s="61"/>
      <c r="M104" s="61"/>
      <c r="N104" s="61"/>
      <c r="O104" s="65"/>
      <c r="P104" s="65"/>
      <c r="Q104" s="71" t="str">
        <f t="shared" ca="1" si="22"/>
        <v/>
      </c>
      <c r="R104" s="63"/>
      <c r="S104" s="133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66" t="str">
        <f t="shared" ca="1" si="22"/>
        <v/>
      </c>
      <c r="R105" s="63"/>
      <c r="S105" s="133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15</v>
      </c>
      <c r="H106" s="88"/>
      <c r="I106" s="90"/>
      <c r="J106" s="91"/>
      <c r="K106" s="69">
        <f t="shared" si="21"/>
        <v>63</v>
      </c>
      <c r="L106" s="61"/>
      <c r="M106" s="61"/>
      <c r="N106" s="61"/>
      <c r="O106" s="65"/>
      <c r="P106" s="65"/>
      <c r="Q106" s="71" t="str">
        <f t="shared" ca="1" si="22"/>
        <v/>
      </c>
      <c r="R106" s="63"/>
      <c r="S106" s="133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66" t="str">
        <f t="shared" ca="1" si="22"/>
        <v/>
      </c>
      <c r="R107" s="63"/>
      <c r="S107" s="133"/>
    </row>
    <row r="108" spans="1:20" ht="15.75" customHeight="1">
      <c r="A108" s="156" t="s">
        <v>263</v>
      </c>
      <c r="B108" s="156"/>
      <c r="C108" s="156"/>
      <c r="D108" s="156"/>
      <c r="E108" s="156"/>
      <c r="F108" s="105"/>
      <c r="G108" s="96">
        <f>SUM(G96:G107)</f>
        <v>197</v>
      </c>
      <c r="H108" s="105"/>
      <c r="I108" s="106"/>
      <c r="J108" s="107"/>
      <c r="K108" s="2">
        <f>SUM(K96:K107)</f>
        <v>827.4</v>
      </c>
      <c r="L108" s="72"/>
      <c r="M108" s="72"/>
      <c r="N108" s="72"/>
      <c r="O108" s="134"/>
      <c r="P108" s="134"/>
      <c r="Q108" s="73">
        <f ca="1">IFERROR(SUM(Q96:Q107),"")</f>
        <v>3.1250000000000208E-2</v>
      </c>
      <c r="R108" s="2" t="s">
        <v>261</v>
      </c>
      <c r="S108" s="74">
        <v>956070</v>
      </c>
      <c r="T108" s="99">
        <f>IFERROR(J108,"")</f>
        <v>0</v>
      </c>
    </row>
    <row r="109" spans="1:20" ht="18" customHeight="1">
      <c r="A109" s="157" t="s">
        <v>249</v>
      </c>
      <c r="B109" s="157"/>
      <c r="C109" s="157"/>
      <c r="D109" s="157"/>
      <c r="E109" s="157"/>
      <c r="F109" s="108"/>
      <c r="G109" s="109">
        <f>G95+G108</f>
        <v>380</v>
      </c>
      <c r="H109" s="108"/>
      <c r="I109" s="110"/>
      <c r="J109" s="111"/>
      <c r="K109" s="1">
        <f>K95+K108</f>
        <v>1596</v>
      </c>
      <c r="L109" s="76"/>
      <c r="M109" s="76"/>
      <c r="N109" s="76"/>
      <c r="O109" s="135"/>
      <c r="P109" s="135"/>
      <c r="Q109" s="77">
        <f ca="1">IFERROR(Q95+Q108,"")</f>
        <v>7.2222222222222118E-2</v>
      </c>
      <c r="R109" s="1" t="s">
        <v>264</v>
      </c>
      <c r="S109" s="82">
        <f>IFERROR(S95+S108,"")</f>
        <v>1742770</v>
      </c>
      <c r="T109" s="118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28</v>
      </c>
      <c r="M110" s="61" t="s">
        <v>173</v>
      </c>
      <c r="N110" s="61" t="s">
        <v>36</v>
      </c>
      <c r="O110" s="65">
        <v>0.33333333333333298</v>
      </c>
      <c r="P110" s="65">
        <v>0.35277777777777802</v>
      </c>
      <c r="Q110" s="66">
        <f t="shared" ref="Q110:Q121" ca="1" si="25">IFERROR(IF(O110="","",IF(P110="",MOD(NOW()-O110,1),IF(P110&gt;=O110,P110-O110,P110+1-O110))),"")</f>
        <v>1.9444444444445041E-2</v>
      </c>
      <c r="R110" s="63"/>
      <c r="S110" s="133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10</v>
      </c>
      <c r="H111" s="88"/>
      <c r="I111" s="90"/>
      <c r="J111" s="91"/>
      <c r="K111" s="69">
        <f t="shared" si="24"/>
        <v>42</v>
      </c>
      <c r="L111" s="70" t="s">
        <v>27</v>
      </c>
      <c r="M111" s="70" t="s">
        <v>66</v>
      </c>
      <c r="N111" s="70" t="s">
        <v>230</v>
      </c>
      <c r="O111" s="65">
        <v>0.40277777777777801</v>
      </c>
      <c r="P111" s="65">
        <v>0.41805555555555601</v>
      </c>
      <c r="Q111" s="71">
        <f t="shared" ca="1" si="25"/>
        <v>1.5277777777778001E-2</v>
      </c>
      <c r="R111" s="63"/>
      <c r="S111" s="133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16</v>
      </c>
      <c r="H112" s="88"/>
      <c r="I112" s="90"/>
      <c r="J112" s="91"/>
      <c r="K112" s="64">
        <f t="shared" si="24"/>
        <v>67.2</v>
      </c>
      <c r="L112" s="61" t="s">
        <v>27</v>
      </c>
      <c r="M112" s="61"/>
      <c r="N112" s="70" t="s">
        <v>235</v>
      </c>
      <c r="O112" s="65">
        <v>0.57499999999999996</v>
      </c>
      <c r="P112" s="65">
        <v>0.59722222222222199</v>
      </c>
      <c r="Q112" s="66">
        <f t="shared" ca="1" si="25"/>
        <v>2.2222222222222032E-2</v>
      </c>
      <c r="R112" s="63"/>
      <c r="S112" s="133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18</v>
      </c>
      <c r="H113" s="88"/>
      <c r="I113" s="90"/>
      <c r="J113" s="91"/>
      <c r="K113" s="69">
        <f t="shared" si="24"/>
        <v>75.600000000000009</v>
      </c>
      <c r="L113" s="61" t="s">
        <v>27</v>
      </c>
      <c r="M113" s="70"/>
      <c r="N113" s="70" t="s">
        <v>235</v>
      </c>
      <c r="O113" s="65">
        <v>0.60416666666666696</v>
      </c>
      <c r="P113" s="65">
        <v>0.61805555555555602</v>
      </c>
      <c r="Q113" s="71">
        <f t="shared" ca="1" si="25"/>
        <v>1.3888888888889062E-2</v>
      </c>
      <c r="R113" s="63"/>
      <c r="S113" s="133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14</v>
      </c>
      <c r="H114" s="88"/>
      <c r="I114" s="90"/>
      <c r="J114" s="91"/>
      <c r="K114" s="64">
        <f t="shared" si="24"/>
        <v>58.800000000000004</v>
      </c>
      <c r="L114" s="61" t="s">
        <v>28</v>
      </c>
      <c r="M114" s="61" t="s">
        <v>173</v>
      </c>
      <c r="N114" s="61" t="s">
        <v>36</v>
      </c>
      <c r="O114" s="65">
        <v>0.68541666666666701</v>
      </c>
      <c r="P114" s="65">
        <v>0.73888888888888904</v>
      </c>
      <c r="Q114" s="66">
        <f t="shared" ca="1" si="25"/>
        <v>5.3472222222222032E-2</v>
      </c>
      <c r="R114" s="63" t="s">
        <v>375</v>
      </c>
      <c r="S114" s="133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20</v>
      </c>
      <c r="H115" s="88"/>
      <c r="I115" s="90"/>
      <c r="J115" s="91"/>
      <c r="K115" s="69">
        <f t="shared" si="24"/>
        <v>84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133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13</v>
      </c>
      <c r="H116" s="88"/>
      <c r="I116" s="90"/>
      <c r="J116" s="91"/>
      <c r="K116" s="64">
        <f t="shared" si="24"/>
        <v>54.6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133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7</v>
      </c>
      <c r="H117" s="88"/>
      <c r="I117" s="90"/>
      <c r="J117" s="91"/>
      <c r="K117" s="69">
        <f t="shared" si="24"/>
        <v>29.400000000000002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133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21</v>
      </c>
      <c r="H118" s="88"/>
      <c r="I118" s="90"/>
      <c r="J118" s="91"/>
      <c r="K118" s="64">
        <f t="shared" si="24"/>
        <v>88.2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133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16</v>
      </c>
      <c r="H119" s="88"/>
      <c r="I119" s="90"/>
      <c r="J119" s="91"/>
      <c r="K119" s="69">
        <f t="shared" si="24"/>
        <v>67.2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133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5</v>
      </c>
      <c r="H120" s="88"/>
      <c r="I120" s="90"/>
      <c r="J120" s="91"/>
      <c r="K120" s="64">
        <f t="shared" si="24"/>
        <v>21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133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133"/>
    </row>
    <row r="122" spans="1:20" ht="15.75" customHeight="1">
      <c r="A122" s="156" t="s">
        <v>260</v>
      </c>
      <c r="B122" s="156"/>
      <c r="C122" s="156"/>
      <c r="D122" s="156"/>
      <c r="E122" s="156"/>
      <c r="F122" s="95"/>
      <c r="G122" s="96">
        <f>SUM(G110:G121)</f>
        <v>170</v>
      </c>
      <c r="H122" s="95"/>
      <c r="I122" s="97"/>
      <c r="J122" s="98"/>
      <c r="K122" s="2">
        <f>SUM(K110:K121)</f>
        <v>714.00000000000011</v>
      </c>
      <c r="L122" s="72"/>
      <c r="M122" s="72"/>
      <c r="N122" s="72"/>
      <c r="O122" s="134"/>
      <c r="P122" s="134"/>
      <c r="Q122" s="73">
        <f ca="1">IFERROR(SUM(Q110:Q121),"")</f>
        <v>0.12430555555555617</v>
      </c>
      <c r="R122" s="2" t="s">
        <v>261</v>
      </c>
      <c r="S122" s="74">
        <v>811580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24</v>
      </c>
      <c r="H123" s="101"/>
      <c r="I123" s="102"/>
      <c r="J123" s="103"/>
      <c r="K123" s="69">
        <f>IF(G123="","",IF(E123="PC 17",G123*4.2,IF(E123="PC 19",G123*5,IF(E123="CB",G123*24,""))))</f>
        <v>100.80000000000001</v>
      </c>
      <c r="L123" s="70" t="s">
        <v>29</v>
      </c>
      <c r="M123" s="70" t="s">
        <v>61</v>
      </c>
      <c r="N123" s="70" t="s">
        <v>218</v>
      </c>
      <c r="O123" s="65">
        <v>0.85486111111111096</v>
      </c>
      <c r="P123" s="65">
        <v>0.85972222222222205</v>
      </c>
      <c r="Q123" s="71">
        <f t="shared" ref="Q123:Q134" ca="1" si="27">IFERROR(IF(O123="","",IF(P123="",MOD(NOW()-O123,1),IF(P123&gt;=O123,P123-O123,P123+1-O123))),"")</f>
        <v>4.8611111111110938E-3</v>
      </c>
      <c r="R123" s="63"/>
      <c r="S123" s="133"/>
    </row>
    <row r="124" spans="1:20" ht="15" customHeight="1">
      <c r="A124" s="59">
        <v>46239</v>
      </c>
      <c r="B124" s="60">
        <f t="shared" ref="B124:B134" si="28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14</v>
      </c>
      <c r="H124" s="88"/>
      <c r="I124" s="90"/>
      <c r="J124" s="91"/>
      <c r="K124" s="64">
        <f>IF(G124="","",IF(E124="PC 17",G124*4.2,IF(E124="PC 19",G124*5,IF(E124="CB",G124*24,""))))</f>
        <v>58.800000000000004</v>
      </c>
      <c r="L124" s="61" t="s">
        <v>29</v>
      </c>
      <c r="M124" s="61" t="s">
        <v>61</v>
      </c>
      <c r="N124" s="61" t="s">
        <v>65</v>
      </c>
      <c r="O124" s="65">
        <v>0.86875000000000002</v>
      </c>
      <c r="P124" s="65">
        <v>0.875694444444444</v>
      </c>
      <c r="Q124" s="66">
        <f t="shared" ca="1" si="27"/>
        <v>6.9444444444439757E-3</v>
      </c>
      <c r="R124" s="63" t="s">
        <v>376</v>
      </c>
      <c r="S124" s="133"/>
    </row>
    <row r="125" spans="1:20" ht="15" customHeight="1">
      <c r="A125" s="18">
        <v>46239</v>
      </c>
      <c r="B125" s="68">
        <f t="shared" si="28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15</v>
      </c>
      <c r="H125" s="88"/>
      <c r="I125" s="90"/>
      <c r="J125" s="91"/>
      <c r="K125" s="69">
        <f>IF(G125="","",IF(E125="PC 17",G125*4.2,IF(E125="PC 19",G125*5,IF(E125="CB",G125*24,""))))</f>
        <v>63</v>
      </c>
      <c r="L125" s="70" t="s">
        <v>29</v>
      </c>
      <c r="M125" s="70" t="s">
        <v>61</v>
      </c>
      <c r="N125" s="70" t="s">
        <v>45</v>
      </c>
      <c r="O125" s="65">
        <v>0.97222222222222199</v>
      </c>
      <c r="P125" s="65">
        <v>0.97916666666666696</v>
      </c>
      <c r="Q125" s="71">
        <f t="shared" ca="1" si="27"/>
        <v>6.9444444444449749E-3</v>
      </c>
      <c r="R125" s="63"/>
      <c r="S125" s="133"/>
    </row>
    <row r="126" spans="1:20" ht="15" customHeight="1">
      <c r="A126" s="59">
        <v>46239</v>
      </c>
      <c r="B126" s="60">
        <f t="shared" si="28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24</v>
      </c>
      <c r="H126" s="88"/>
      <c r="I126" s="90"/>
      <c r="J126" s="91"/>
      <c r="K126" s="64"/>
      <c r="L126" s="61" t="s">
        <v>28</v>
      </c>
      <c r="M126" s="61" t="s">
        <v>66</v>
      </c>
      <c r="N126" s="61" t="s">
        <v>36</v>
      </c>
      <c r="O126" s="65">
        <v>0.97916666666666696</v>
      </c>
      <c r="P126" s="65">
        <v>0.98958333333333304</v>
      </c>
      <c r="Q126" s="66">
        <f t="shared" ca="1" si="27"/>
        <v>1.0416666666666075E-2</v>
      </c>
      <c r="R126" s="63"/>
      <c r="S126" s="133"/>
    </row>
    <row r="127" spans="1:20" ht="15" customHeight="1">
      <c r="A127" s="18">
        <v>46239</v>
      </c>
      <c r="B127" s="68">
        <f t="shared" si="28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10</v>
      </c>
      <c r="H127" s="88"/>
      <c r="I127" s="90"/>
      <c r="J127" s="91"/>
      <c r="K127" s="69">
        <f t="shared" ref="K127:K134" si="29">IF(G127="","",IF(E127="PC 17",G127*4.2,IF(E127="PC 19",G127*5,IF(E127="CB",G127*24,""))))</f>
        <v>42</v>
      </c>
      <c r="L127" s="70" t="s">
        <v>28</v>
      </c>
      <c r="M127" s="70" t="s">
        <v>61</v>
      </c>
      <c r="N127" s="70" t="s">
        <v>307</v>
      </c>
      <c r="O127" s="65">
        <v>0.98958333333333304</v>
      </c>
      <c r="P127" s="65">
        <v>0.999305555555556</v>
      </c>
      <c r="Q127" s="71">
        <f t="shared" ca="1" si="27"/>
        <v>9.7222222222229648E-3</v>
      </c>
      <c r="R127" s="63"/>
      <c r="S127" s="133"/>
    </row>
    <row r="128" spans="1:20" ht="15" customHeight="1">
      <c r="A128" s="59">
        <v>46239</v>
      </c>
      <c r="B128" s="60">
        <f t="shared" si="28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16</v>
      </c>
      <c r="H128" s="88"/>
      <c r="I128" s="90"/>
      <c r="J128" s="91"/>
      <c r="K128" s="64">
        <f t="shared" si="29"/>
        <v>67.2</v>
      </c>
      <c r="L128" s="61" t="s">
        <v>28</v>
      </c>
      <c r="M128" s="61" t="s">
        <v>66</v>
      </c>
      <c r="N128" s="61" t="s">
        <v>36</v>
      </c>
      <c r="O128" s="65">
        <v>0.23888888888888901</v>
      </c>
      <c r="P128" s="65">
        <v>0.25</v>
      </c>
      <c r="Q128" s="66">
        <f t="shared" ca="1" si="27"/>
        <v>1.1111111111110988E-2</v>
      </c>
      <c r="R128" s="63"/>
      <c r="S128" s="133"/>
    </row>
    <row r="129" spans="1:22" ht="15" customHeight="1">
      <c r="A129" s="18">
        <v>46239</v>
      </c>
      <c r="B129" s="68">
        <f t="shared" si="28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25</v>
      </c>
      <c r="H129" s="88"/>
      <c r="I129" s="90"/>
      <c r="J129" s="91"/>
      <c r="K129" s="69">
        <f t="shared" si="29"/>
        <v>105</v>
      </c>
      <c r="L129" s="70" t="s">
        <v>27</v>
      </c>
      <c r="M129" s="70" t="s">
        <v>61</v>
      </c>
      <c r="N129" s="70" t="s">
        <v>140</v>
      </c>
      <c r="O129" s="65">
        <v>0.25</v>
      </c>
      <c r="P129" s="65">
        <v>0.26319444444444501</v>
      </c>
      <c r="Q129" s="71">
        <f t="shared" ca="1" si="27"/>
        <v>1.3194444444445008E-2</v>
      </c>
      <c r="R129" s="63" t="s">
        <v>340</v>
      </c>
      <c r="S129" s="133"/>
    </row>
    <row r="130" spans="1:22" ht="15" customHeight="1">
      <c r="A130" s="59">
        <v>46239</v>
      </c>
      <c r="B130" s="60">
        <f t="shared" si="28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13</v>
      </c>
      <c r="H130" s="88"/>
      <c r="I130" s="90"/>
      <c r="J130" s="91"/>
      <c r="K130" s="64">
        <f t="shared" si="29"/>
        <v>54.6</v>
      </c>
      <c r="L130" s="61" t="s">
        <v>29</v>
      </c>
      <c r="M130" s="61" t="s">
        <v>66</v>
      </c>
      <c r="N130" s="61" t="s">
        <v>60</v>
      </c>
      <c r="O130" s="65">
        <v>0.27777777777777801</v>
      </c>
      <c r="P130" s="65">
        <v>0.28541666666666698</v>
      </c>
      <c r="Q130" s="66">
        <f t="shared" ca="1" si="27"/>
        <v>7.6388888888889728E-3</v>
      </c>
      <c r="R130" s="63"/>
      <c r="S130" s="133"/>
    </row>
    <row r="131" spans="1:22" ht="15" customHeight="1">
      <c r="A131" s="18">
        <v>46239</v>
      </c>
      <c r="B131" s="68">
        <f t="shared" si="28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20</v>
      </c>
      <c r="H131" s="88"/>
      <c r="I131" s="90"/>
      <c r="J131" s="91"/>
      <c r="K131" s="69">
        <f t="shared" si="29"/>
        <v>84</v>
      </c>
      <c r="L131" s="70"/>
      <c r="M131" s="70"/>
      <c r="N131" s="70"/>
      <c r="O131" s="65"/>
      <c r="P131" s="65"/>
      <c r="Q131" s="71" t="str">
        <f t="shared" ca="1" si="27"/>
        <v/>
      </c>
      <c r="R131" s="63"/>
      <c r="S131" s="133"/>
    </row>
    <row r="132" spans="1:22" ht="15" customHeight="1">
      <c r="A132" s="59">
        <v>46239</v>
      </c>
      <c r="B132" s="60">
        <f t="shared" si="28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21</v>
      </c>
      <c r="H132" s="88"/>
      <c r="I132" s="90"/>
      <c r="J132" s="91"/>
      <c r="K132" s="64">
        <f t="shared" si="29"/>
        <v>88.2</v>
      </c>
      <c r="L132" s="61"/>
      <c r="M132" s="61"/>
      <c r="N132" s="61"/>
      <c r="O132" s="65"/>
      <c r="P132" s="65"/>
      <c r="Q132" s="66" t="str">
        <f t="shared" ca="1" si="27"/>
        <v/>
      </c>
      <c r="R132" s="63"/>
      <c r="S132" s="133"/>
    </row>
    <row r="133" spans="1:22" ht="15" customHeight="1">
      <c r="A133" s="18">
        <v>46239</v>
      </c>
      <c r="B133" s="68">
        <f t="shared" si="28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10</v>
      </c>
      <c r="H133" s="88"/>
      <c r="I133" s="90"/>
      <c r="J133" s="91"/>
      <c r="K133" s="69">
        <f t="shared" si="29"/>
        <v>42</v>
      </c>
      <c r="L133" s="70"/>
      <c r="M133" s="70"/>
      <c r="N133" s="70"/>
      <c r="O133" s="65"/>
      <c r="P133" s="65"/>
      <c r="Q133" s="71" t="str">
        <f t="shared" ca="1" si="27"/>
        <v/>
      </c>
      <c r="R133" s="63"/>
      <c r="S133" s="133"/>
    </row>
    <row r="134" spans="1:22" ht="15" customHeight="1">
      <c r="A134" s="59">
        <v>46239</v>
      </c>
      <c r="B134" s="60">
        <f t="shared" si="28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5</v>
      </c>
      <c r="H134" s="92"/>
      <c r="I134" s="93"/>
      <c r="J134" s="94"/>
      <c r="K134" s="64">
        <f t="shared" si="29"/>
        <v>21</v>
      </c>
      <c r="L134" s="61"/>
      <c r="M134" s="61"/>
      <c r="N134" s="61"/>
      <c r="O134" s="65"/>
      <c r="P134" s="65"/>
      <c r="Q134" s="66" t="str">
        <f t="shared" ca="1" si="27"/>
        <v/>
      </c>
      <c r="R134" s="63"/>
      <c r="S134" s="133"/>
    </row>
    <row r="135" spans="1:22" ht="15.75" customHeight="1">
      <c r="A135" s="156" t="s">
        <v>263</v>
      </c>
      <c r="B135" s="156"/>
      <c r="C135" s="156"/>
      <c r="D135" s="156"/>
      <c r="E135" s="156"/>
      <c r="F135" s="105"/>
      <c r="G135" s="96">
        <f>SUM(G123:G134)</f>
        <v>197</v>
      </c>
      <c r="H135" s="105"/>
      <c r="I135" s="106"/>
      <c r="J135" s="107"/>
      <c r="K135" s="2">
        <f>SUM(K123:K134)</f>
        <v>726.60000000000014</v>
      </c>
      <c r="L135" s="72"/>
      <c r="M135" s="72"/>
      <c r="N135" s="72"/>
      <c r="O135" s="134"/>
      <c r="P135" s="134"/>
      <c r="Q135" s="73">
        <f ca="1">IFERROR(SUM(Q123:Q134),"")</f>
        <v>7.0833333333334053E-2</v>
      </c>
      <c r="R135" s="2" t="s">
        <v>261</v>
      </c>
      <c r="S135" s="74">
        <v>912240</v>
      </c>
      <c r="T135" s="99">
        <f>IFERROR(J135,"")</f>
        <v>0</v>
      </c>
    </row>
    <row r="136" spans="1:22" ht="18" customHeight="1">
      <c r="A136" s="157" t="s">
        <v>249</v>
      </c>
      <c r="B136" s="157"/>
      <c r="C136" s="157"/>
      <c r="D136" s="157"/>
      <c r="E136" s="157"/>
      <c r="F136" s="108"/>
      <c r="G136" s="109">
        <f>G122+G135</f>
        <v>367</v>
      </c>
      <c r="H136" s="108"/>
      <c r="I136" s="110"/>
      <c r="J136" s="111"/>
      <c r="K136" s="1">
        <f>K122+K135</f>
        <v>1440.6000000000004</v>
      </c>
      <c r="L136" s="76"/>
      <c r="M136" s="76"/>
      <c r="N136" s="76"/>
      <c r="O136" s="135"/>
      <c r="P136" s="135"/>
      <c r="Q136" s="77">
        <f ca="1">IFERROR(Q122+Q135,"")</f>
        <v>0.19513888888889022</v>
      </c>
      <c r="R136" s="1" t="s">
        <v>264</v>
      </c>
      <c r="S136" s="82">
        <f>IFERROR(S122+S135,"")</f>
        <v>1723820</v>
      </c>
      <c r="T136" s="118">
        <f>IFERROR(J136,"")</f>
        <v>0</v>
      </c>
    </row>
    <row r="137" spans="1:22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20</v>
      </c>
      <c r="H137" s="101"/>
      <c r="I137" s="102"/>
      <c r="J137" s="103"/>
      <c r="K137" s="69">
        <f t="shared" ref="K137:K148" si="30">IF(G137="","",IF(E137="PC 17",G137*4.2,IF(E137="PC 19",G137*5,IF(E137="CB",G137*24,""))))</f>
        <v>84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63"/>
      <c r="S137" s="67"/>
    </row>
    <row r="138" spans="1:22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24</v>
      </c>
      <c r="H138" s="88"/>
      <c r="I138" s="90"/>
      <c r="J138" s="91"/>
      <c r="K138" s="64">
        <f t="shared" si="30"/>
        <v>100.80000000000001</v>
      </c>
      <c r="L138" s="61" t="s">
        <v>29</v>
      </c>
      <c r="M138" s="61" t="s">
        <v>173</v>
      </c>
      <c r="N138" s="61" t="s">
        <v>45</v>
      </c>
      <c r="O138" s="65">
        <v>0.406944444444444</v>
      </c>
      <c r="P138" s="65">
        <v>0.41319444444444398</v>
      </c>
      <c r="Q138" s="66">
        <f t="shared" ca="1" si="31"/>
        <v>6.2499999999999778E-3</v>
      </c>
      <c r="R138" s="63" t="s">
        <v>377</v>
      </c>
      <c r="S138" s="67"/>
    </row>
    <row r="139" spans="1:22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15</v>
      </c>
      <c r="H139" s="88"/>
      <c r="I139" s="90"/>
      <c r="J139" s="91"/>
      <c r="K139" s="69">
        <f t="shared" si="30"/>
        <v>63</v>
      </c>
      <c r="L139" s="70" t="s">
        <v>25</v>
      </c>
      <c r="M139" s="70" t="s">
        <v>61</v>
      </c>
      <c r="N139" s="70" t="s">
        <v>119</v>
      </c>
      <c r="O139" s="65">
        <v>0.41319444444444398</v>
      </c>
      <c r="P139" s="65">
        <v>0.42361111111111099</v>
      </c>
      <c r="Q139" s="71">
        <f t="shared" ca="1" si="31"/>
        <v>1.0416666666667018E-2</v>
      </c>
      <c r="R139" s="53" t="s">
        <v>378</v>
      </c>
      <c r="S139" s="67"/>
    </row>
    <row r="140" spans="1:22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18</v>
      </c>
      <c r="H140" s="88"/>
      <c r="I140" s="90"/>
      <c r="J140" s="91"/>
      <c r="K140" s="64">
        <f t="shared" si="30"/>
        <v>75.600000000000009</v>
      </c>
      <c r="L140" s="61" t="s">
        <v>29</v>
      </c>
      <c r="M140" s="61" t="s">
        <v>66</v>
      </c>
      <c r="N140" s="61" t="s">
        <v>60</v>
      </c>
      <c r="O140" s="65">
        <v>0.49652777777777801</v>
      </c>
      <c r="P140" s="65">
        <v>0.50347222222222199</v>
      </c>
      <c r="Q140" s="66">
        <f t="shared" ca="1" si="31"/>
        <v>6.9444444444439757E-3</v>
      </c>
      <c r="R140" s="63"/>
      <c r="S140" s="67"/>
    </row>
    <row r="141" spans="1:22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18</v>
      </c>
      <c r="H141" s="88"/>
      <c r="I141" s="90"/>
      <c r="J141" s="91"/>
      <c r="K141" s="69">
        <f t="shared" si="30"/>
        <v>75.600000000000009</v>
      </c>
      <c r="L141" s="70" t="s">
        <v>29</v>
      </c>
      <c r="M141" s="70" t="s">
        <v>151</v>
      </c>
      <c r="N141" s="70" t="s">
        <v>83</v>
      </c>
      <c r="O141" s="65">
        <v>0.53611111111111098</v>
      </c>
      <c r="P141" s="65">
        <v>0.54861111111111105</v>
      </c>
      <c r="Q141" s="71">
        <f t="shared" ca="1" si="31"/>
        <v>1.2500000000000067E-2</v>
      </c>
      <c r="R141" s="63"/>
      <c r="S141" s="67"/>
    </row>
    <row r="142" spans="1:22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14</v>
      </c>
      <c r="H142" s="88"/>
      <c r="I142" s="90"/>
      <c r="J142" s="91"/>
      <c r="K142" s="64">
        <f t="shared" si="30"/>
        <v>58.800000000000004</v>
      </c>
      <c r="L142" s="61" t="s">
        <v>29</v>
      </c>
      <c r="M142" s="61" t="s">
        <v>61</v>
      </c>
      <c r="N142" s="61" t="s">
        <v>60</v>
      </c>
      <c r="O142" s="65">
        <v>0.55972222222222201</v>
      </c>
      <c r="P142" s="65">
        <v>0.5625</v>
      </c>
      <c r="Q142" s="66">
        <f t="shared" ca="1" si="31"/>
        <v>2.77777777777799E-3</v>
      </c>
      <c r="R142" s="63"/>
      <c r="S142" s="67"/>
      <c r="V142" s="136"/>
    </row>
    <row r="143" spans="1:22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17</v>
      </c>
      <c r="H143" s="88"/>
      <c r="I143" s="90"/>
      <c r="J143" s="91"/>
      <c r="K143" s="69">
        <f t="shared" si="30"/>
        <v>71.400000000000006</v>
      </c>
      <c r="L143" s="70" t="s">
        <v>28</v>
      </c>
      <c r="M143" s="70" t="s">
        <v>173</v>
      </c>
      <c r="N143" s="70" t="s">
        <v>36</v>
      </c>
      <c r="O143" s="65">
        <v>0.61597222222222203</v>
      </c>
      <c r="P143" s="65">
        <v>0.63194444444444398</v>
      </c>
      <c r="Q143" s="71">
        <f t="shared" ca="1" si="31"/>
        <v>1.5972222222221943E-2</v>
      </c>
      <c r="R143" s="63"/>
      <c r="S143" s="67"/>
    </row>
    <row r="144" spans="1:22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12</v>
      </c>
      <c r="H144" s="88"/>
      <c r="I144" s="90"/>
      <c r="J144" s="91"/>
      <c r="K144" s="64">
        <f t="shared" si="30"/>
        <v>50.400000000000006</v>
      </c>
      <c r="L144" s="61" t="s">
        <v>25</v>
      </c>
      <c r="M144" s="61" t="s">
        <v>66</v>
      </c>
      <c r="N144" s="61" t="s">
        <v>119</v>
      </c>
      <c r="O144" s="65">
        <v>0.65833333333333299</v>
      </c>
      <c r="P144" s="65">
        <v>0.6875</v>
      </c>
      <c r="Q144" s="66">
        <f t="shared" ca="1" si="31"/>
        <v>2.9166666666667007E-2</v>
      </c>
      <c r="R144" s="63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16</v>
      </c>
      <c r="H145" s="88"/>
      <c r="I145" s="90"/>
      <c r="J145" s="91"/>
      <c r="K145" s="69">
        <f t="shared" si="30"/>
        <v>67.2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12</v>
      </c>
      <c r="H146" s="88"/>
      <c r="I146" s="90"/>
      <c r="J146" s="91"/>
      <c r="K146" s="64">
        <f t="shared" si="30"/>
        <v>50.400000000000006</v>
      </c>
      <c r="L146" s="61"/>
      <c r="M146" s="61"/>
      <c r="N146" s="61"/>
      <c r="O146" s="65"/>
      <c r="P146" s="65"/>
      <c r="Q146" s="66" t="str">
        <f t="shared" ca="1" si="31"/>
        <v/>
      </c>
      <c r="R146" s="53" t="s">
        <v>315</v>
      </c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6</v>
      </c>
      <c r="H148" s="92"/>
      <c r="I148" s="93"/>
      <c r="J148" s="94"/>
      <c r="K148" s="64">
        <f t="shared" si="30"/>
        <v>25.200000000000003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20" t="s">
        <v>260</v>
      </c>
      <c r="B149" s="121"/>
      <c r="C149" s="121"/>
      <c r="D149" s="121"/>
      <c r="E149" s="137">
        <f>SUM(E137:E148)</f>
        <v>0</v>
      </c>
      <c r="F149" s="95"/>
      <c r="G149" s="96">
        <f>SUM(G137:G148)</f>
        <v>182</v>
      </c>
      <c r="H149" s="95"/>
      <c r="I149" s="97"/>
      <c r="J149" s="98"/>
      <c r="K149" s="2">
        <f>SUM(K137:K148)</f>
        <v>764.40000000000009</v>
      </c>
      <c r="L149" s="72"/>
      <c r="M149" s="72"/>
      <c r="N149" s="72"/>
      <c r="O149" s="134"/>
      <c r="P149" s="134"/>
      <c r="Q149" s="73">
        <f ca="1">IFERROR(SUM(Q137:Q148),"")</f>
        <v>9.4444444444443942E-2</v>
      </c>
      <c r="R149" s="2" t="s">
        <v>261</v>
      </c>
      <c r="S149" s="74">
        <v>797860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10</v>
      </c>
      <c r="H150" s="101"/>
      <c r="I150" s="102"/>
      <c r="J150" s="103"/>
      <c r="K150" s="64">
        <f t="shared" ref="K150:K161" si="33">IF(G150="","",IF(E150="PC 17",G150*4.2,IF(E150="PC 19",G150*5,IF(E150="CB",G150*24,""))))</f>
        <v>42</v>
      </c>
      <c r="L150" s="61" t="s">
        <v>28</v>
      </c>
      <c r="M150" s="61" t="s">
        <v>173</v>
      </c>
      <c r="N150" s="61" t="s">
        <v>36</v>
      </c>
      <c r="O150" s="65">
        <v>0.91944444444444395</v>
      </c>
      <c r="P150" s="65">
        <v>0.98750000000000004</v>
      </c>
      <c r="Q150" s="66">
        <f t="shared" ref="Q150:Q161" ca="1" si="34">IFERROR(IF(O150="","",IF(P150="",MOD(NOW()-O150,1),IF(P150&gt;=O150,P150-O150,P150+1-O150))),"")</f>
        <v>6.8055555555556091E-2</v>
      </c>
      <c r="R150" s="63" t="s">
        <v>379</v>
      </c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11</v>
      </c>
      <c r="H151" s="88"/>
      <c r="I151" s="90"/>
      <c r="J151" s="91"/>
      <c r="K151" s="69">
        <f t="shared" si="33"/>
        <v>46.2</v>
      </c>
      <c r="L151" s="70" t="s">
        <v>25</v>
      </c>
      <c r="M151" s="70" t="s">
        <v>150</v>
      </c>
      <c r="N151" s="70" t="s">
        <v>67</v>
      </c>
      <c r="O151" s="65">
        <v>0.211805555555556</v>
      </c>
      <c r="P151" s="65">
        <v>0.28680555555555598</v>
      </c>
      <c r="Q151" s="71">
        <f t="shared" ca="1" si="34"/>
        <v>7.4999999999999983E-2</v>
      </c>
      <c r="R151" s="63" t="s">
        <v>380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10</v>
      </c>
      <c r="H152" s="88"/>
      <c r="I152" s="90"/>
      <c r="J152" s="91"/>
      <c r="K152" s="64">
        <f t="shared" si="33"/>
        <v>42</v>
      </c>
      <c r="L152" s="61"/>
      <c r="M152" s="61"/>
      <c r="N152" s="61"/>
      <c r="O152" s="65"/>
      <c r="P152" s="65"/>
      <c r="Q152" s="66" t="str">
        <f t="shared" ca="1" si="34"/>
        <v/>
      </c>
      <c r="R152" s="63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/>
      <c r="M153" s="70"/>
      <c r="N153" s="70"/>
      <c r="O153" s="65"/>
      <c r="P153" s="65"/>
      <c r="Q153" s="71" t="str">
        <f t="shared" ca="1" si="34"/>
        <v/>
      </c>
      <c r="R153" s="63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10</v>
      </c>
      <c r="H155" s="88"/>
      <c r="I155" s="90"/>
      <c r="J155" s="91"/>
      <c r="K155" s="69">
        <f t="shared" si="33"/>
        <v>42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19</v>
      </c>
      <c r="H156" s="88"/>
      <c r="I156" s="90"/>
      <c r="J156" s="91"/>
      <c r="K156" s="64">
        <f t="shared" si="33"/>
        <v>79.8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16</v>
      </c>
      <c r="H157" s="88"/>
      <c r="I157" s="90"/>
      <c r="J157" s="91"/>
      <c r="K157" s="69">
        <f t="shared" si="33"/>
        <v>67.2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19</v>
      </c>
      <c r="H158" s="88"/>
      <c r="I158" s="90"/>
      <c r="J158" s="91"/>
      <c r="K158" s="64">
        <f t="shared" si="33"/>
        <v>79.8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14</v>
      </c>
      <c r="H159" s="88"/>
      <c r="I159" s="90"/>
      <c r="J159" s="91"/>
      <c r="K159" s="69">
        <f t="shared" si="33"/>
        <v>58.800000000000004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0</v>
      </c>
      <c r="H160" s="88"/>
      <c r="I160" s="90"/>
      <c r="J160" s="91"/>
      <c r="K160" s="64">
        <f t="shared" si="33"/>
        <v>0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6" t="s">
        <v>263</v>
      </c>
      <c r="B162" s="156"/>
      <c r="C162" s="156"/>
      <c r="D162" s="156"/>
      <c r="E162" s="156"/>
      <c r="F162" s="105"/>
      <c r="G162" s="96">
        <f>SUM(G150:G161)</f>
        <v>126</v>
      </c>
      <c r="H162" s="105"/>
      <c r="I162" s="106"/>
      <c r="J162" s="107"/>
      <c r="K162" s="2">
        <f>SUM(K150:K161)</f>
        <v>529.19999999999993</v>
      </c>
      <c r="L162" s="72"/>
      <c r="M162" s="72"/>
      <c r="N162" s="72"/>
      <c r="O162" s="134"/>
      <c r="P162" s="134"/>
      <c r="Q162" s="73">
        <f ca="1">IFERROR(SUM(Q150:Q161),"")</f>
        <v>0.14305555555555607</v>
      </c>
      <c r="R162" s="2" t="s">
        <v>261</v>
      </c>
      <c r="S162" s="74">
        <v>573230</v>
      </c>
      <c r="T162" s="99">
        <f>IFERROR(J162,"")</f>
        <v>0</v>
      </c>
    </row>
    <row r="163" spans="1:20" ht="18" customHeight="1">
      <c r="A163" s="157" t="s">
        <v>249</v>
      </c>
      <c r="B163" s="157"/>
      <c r="C163" s="157"/>
      <c r="D163" s="157"/>
      <c r="E163" s="157"/>
      <c r="F163" s="108"/>
      <c r="G163" s="109">
        <f>G149+G162</f>
        <v>308</v>
      </c>
      <c r="H163" s="108"/>
      <c r="I163" s="110"/>
      <c r="J163" s="111"/>
      <c r="K163" s="1">
        <f>K149+K162</f>
        <v>1293.5999999999999</v>
      </c>
      <c r="L163" s="76"/>
      <c r="M163" s="76"/>
      <c r="N163" s="76"/>
      <c r="O163" s="135"/>
      <c r="P163" s="135"/>
      <c r="Q163" s="77">
        <f ca="1">IFERROR(Q149+Q162,"")</f>
        <v>0.23750000000000002</v>
      </c>
      <c r="R163" s="1" t="s">
        <v>264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5</v>
      </c>
      <c r="H164" s="101"/>
      <c r="I164" s="102"/>
      <c r="J164" s="103"/>
      <c r="K164" s="64">
        <f t="shared" ref="K164:K175" si="36">IF(G164="","",IF(E164="PC 17",G164*4.2,IF(E164="PC 19",G164*5,IF(E164="CB",G164*24,""))))</f>
        <v>21</v>
      </c>
      <c r="L164" s="61" t="s">
        <v>29</v>
      </c>
      <c r="M164" s="61" t="s">
        <v>150</v>
      </c>
      <c r="N164" s="61" t="s">
        <v>144</v>
      </c>
      <c r="O164" s="65">
        <v>0.29166666666666702</v>
      </c>
      <c r="P164" s="65">
        <v>0.3125</v>
      </c>
      <c r="Q164" s="66">
        <f t="shared" ref="Q164:Q175" ca="1" si="37">IFERROR(IF(O164="","",IF(P164="",MOD(NOW()-O164,1),IF(P164&gt;=O164,P164-O164,P164+1-O164))),"")</f>
        <v>2.0833333333332982E-2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274</v>
      </c>
      <c r="F165" s="88"/>
      <c r="G165" s="89">
        <v>17</v>
      </c>
      <c r="H165" s="88"/>
      <c r="I165" s="90"/>
      <c r="J165" s="91"/>
      <c r="K165" s="69">
        <f t="shared" si="36"/>
        <v>71.400000000000006</v>
      </c>
      <c r="L165" s="70" t="s">
        <v>29</v>
      </c>
      <c r="M165" s="70" t="s">
        <v>173</v>
      </c>
      <c r="N165" s="70" t="s">
        <v>195</v>
      </c>
      <c r="O165" s="65">
        <v>0.31597222222222199</v>
      </c>
      <c r="P165" s="65">
        <v>0.32013888888888897</v>
      </c>
      <c r="Q165" s="71">
        <f t="shared" ca="1" si="37"/>
        <v>4.1666666666669849E-3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274</v>
      </c>
      <c r="F166" s="88"/>
      <c r="G166" s="89">
        <v>23</v>
      </c>
      <c r="H166" s="88"/>
      <c r="I166" s="90"/>
      <c r="J166" s="91"/>
      <c r="K166" s="64">
        <f t="shared" si="36"/>
        <v>96.600000000000009</v>
      </c>
      <c r="L166" s="61" t="s">
        <v>28</v>
      </c>
      <c r="M166" s="61" t="s">
        <v>173</v>
      </c>
      <c r="N166" s="61" t="s">
        <v>36</v>
      </c>
      <c r="O166" s="65">
        <v>0.34027777777777801</v>
      </c>
      <c r="P166" s="65">
        <v>0.35763888888888901</v>
      </c>
      <c r="Q166" s="66">
        <f t="shared" ca="1" si="37"/>
        <v>1.7361111111110994E-2</v>
      </c>
      <c r="R166" s="63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274</v>
      </c>
      <c r="F167" s="88"/>
      <c r="G167" s="89">
        <v>14</v>
      </c>
      <c r="H167" s="88"/>
      <c r="I167" s="90"/>
      <c r="J167" s="91"/>
      <c r="K167" s="69">
        <f t="shared" si="36"/>
        <v>58.800000000000004</v>
      </c>
      <c r="L167" s="70" t="s">
        <v>29</v>
      </c>
      <c r="M167" s="70" t="s">
        <v>66</v>
      </c>
      <c r="N167" s="70" t="s">
        <v>45</v>
      </c>
      <c r="O167" s="65">
        <v>0.452083333333333</v>
      </c>
      <c r="P167" s="65">
        <v>0.45833333333333298</v>
      </c>
      <c r="Q167" s="71">
        <f t="shared" ca="1" si="37"/>
        <v>6.2499999999999778E-3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274</v>
      </c>
      <c r="F168" s="88"/>
      <c r="G168" s="89">
        <v>10</v>
      </c>
      <c r="H168" s="88"/>
      <c r="I168" s="90"/>
      <c r="J168" s="91"/>
      <c r="K168" s="64">
        <f t="shared" si="36"/>
        <v>42</v>
      </c>
      <c r="L168" s="61" t="s">
        <v>27</v>
      </c>
      <c r="M168" s="61" t="s">
        <v>66</v>
      </c>
      <c r="N168" s="61" t="s">
        <v>167</v>
      </c>
      <c r="O168" s="65">
        <v>0.46875</v>
      </c>
      <c r="P168" s="65">
        <v>0.49305555555555602</v>
      </c>
      <c r="Q168" s="66">
        <f t="shared" ca="1" si="37"/>
        <v>2.4305555555556024E-2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274</v>
      </c>
      <c r="F169" s="88"/>
      <c r="G169" s="89">
        <v>14</v>
      </c>
      <c r="H169" s="88"/>
      <c r="I169" s="90"/>
      <c r="J169" s="91"/>
      <c r="K169" s="69">
        <f t="shared" si="36"/>
        <v>58.800000000000004</v>
      </c>
      <c r="L169" s="70" t="s">
        <v>29</v>
      </c>
      <c r="M169" s="70" t="s">
        <v>151</v>
      </c>
      <c r="N169" s="70" t="s">
        <v>83</v>
      </c>
      <c r="O169" s="65">
        <v>0.52569444444444502</v>
      </c>
      <c r="P169" s="65">
        <v>0.55000000000000004</v>
      </c>
      <c r="Q169" s="71">
        <f t="shared" ca="1" si="37"/>
        <v>2.4305555555555025E-2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274</v>
      </c>
      <c r="F170" s="88"/>
      <c r="G170" s="89">
        <v>18</v>
      </c>
      <c r="H170" s="88"/>
      <c r="I170" s="90"/>
      <c r="J170" s="91"/>
      <c r="K170" s="64">
        <f t="shared" si="36"/>
        <v>75.600000000000009</v>
      </c>
      <c r="L170" s="61" t="s">
        <v>28</v>
      </c>
      <c r="M170" s="61" t="s">
        <v>173</v>
      </c>
      <c r="N170" s="61" t="s">
        <v>36</v>
      </c>
      <c r="O170" s="65">
        <v>0.62847222222222199</v>
      </c>
      <c r="P170" s="65">
        <v>0.64930555555555602</v>
      </c>
      <c r="Q170" s="66">
        <f t="shared" ca="1" si="37"/>
        <v>2.0833333333334036E-2</v>
      </c>
      <c r="R170" s="63" t="s">
        <v>381</v>
      </c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274</v>
      </c>
      <c r="F171" s="88"/>
      <c r="G171" s="89">
        <v>17</v>
      </c>
      <c r="H171" s="88"/>
      <c r="I171" s="90"/>
      <c r="J171" s="91"/>
      <c r="K171" s="69">
        <f t="shared" si="36"/>
        <v>71.400000000000006</v>
      </c>
      <c r="L171" s="70" t="s">
        <v>29</v>
      </c>
      <c r="M171" s="70" t="s">
        <v>151</v>
      </c>
      <c r="N171" s="70" t="s">
        <v>83</v>
      </c>
      <c r="O171" s="65">
        <v>0.69791666666666696</v>
      </c>
      <c r="P171" s="65">
        <v>0.71250000000000002</v>
      </c>
      <c r="Q171" s="71">
        <f t="shared" ca="1" si="37"/>
        <v>1.4583333333333059E-2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274</v>
      </c>
      <c r="F172" s="88"/>
      <c r="G172" s="89">
        <v>10</v>
      </c>
      <c r="H172" s="88"/>
      <c r="I172" s="90"/>
      <c r="J172" s="91"/>
      <c r="K172" s="64">
        <f t="shared" si="36"/>
        <v>42</v>
      </c>
      <c r="L172" s="61"/>
      <c r="M172" s="61"/>
      <c r="N172" s="61"/>
      <c r="O172" s="65"/>
      <c r="P172" s="65"/>
      <c r="Q172" s="66" t="str">
        <f t="shared" ca="1" si="37"/>
        <v/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274</v>
      </c>
      <c r="F173" s="88"/>
      <c r="G173" s="89">
        <v>14</v>
      </c>
      <c r="H173" s="88"/>
      <c r="I173" s="90"/>
      <c r="J173" s="91"/>
      <c r="K173" s="69">
        <f t="shared" si="36"/>
        <v>58.800000000000004</v>
      </c>
      <c r="L173" s="70"/>
      <c r="M173" s="70"/>
      <c r="N173" s="70"/>
      <c r="O173" s="65"/>
      <c r="P173" s="65"/>
      <c r="Q173" s="71" t="str">
        <f t="shared" ca="1" si="37"/>
        <v/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274</v>
      </c>
      <c r="F174" s="88"/>
      <c r="G174" s="89">
        <v>15</v>
      </c>
      <c r="H174" s="88"/>
      <c r="I174" s="90"/>
      <c r="J174" s="91"/>
      <c r="K174" s="64">
        <f t="shared" si="36"/>
        <v>63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274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6" t="s">
        <v>260</v>
      </c>
      <c r="B176" s="156"/>
      <c r="C176" s="156"/>
      <c r="D176" s="156"/>
      <c r="E176" s="156"/>
      <c r="F176" s="95"/>
      <c r="G176" s="96">
        <f>SUM(G164:G175)</f>
        <v>162</v>
      </c>
      <c r="H176" s="95"/>
      <c r="I176" s="97"/>
      <c r="J176" s="98"/>
      <c r="K176" s="2">
        <f>SUM(K164:K175)</f>
        <v>680.4</v>
      </c>
      <c r="L176" s="72"/>
      <c r="M176" s="72"/>
      <c r="N176" s="72"/>
      <c r="O176" s="134"/>
      <c r="P176" s="134"/>
      <c r="Q176" s="73">
        <f ca="1">IFERROR(SUM(Q164:Q175),"")</f>
        <v>0.13263888888888908</v>
      </c>
      <c r="R176" s="2" t="s">
        <v>261</v>
      </c>
      <c r="S176" s="74">
        <v>659400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12</v>
      </c>
      <c r="H177" s="101"/>
      <c r="I177" s="102"/>
      <c r="J177" s="103"/>
      <c r="K177" s="69">
        <f t="shared" ref="K177:K188" si="39">IF(G177="","",IF(E177="PC 17",G177*4.2,IF(E177="PC 19",G177*5,IF(E177="CB",G177*24,""))))</f>
        <v>50.400000000000006</v>
      </c>
      <c r="L177" s="70" t="s">
        <v>26</v>
      </c>
      <c r="M177" s="70"/>
      <c r="N177" s="70" t="s">
        <v>126</v>
      </c>
      <c r="O177" s="65">
        <v>0.8125</v>
      </c>
      <c r="P177" s="65">
        <v>0.84166666666666701</v>
      </c>
      <c r="Q177" s="71">
        <f t="shared" ref="Q177:Q188" ca="1" si="40">IFERROR(IF(O177="","",IF(P177="",MOD(NOW()-O177,1),IF(P177&gt;=O177,P177-O177,P177+1-O177))),"")</f>
        <v>2.9166666666667007E-2</v>
      </c>
      <c r="R177" s="63" t="s">
        <v>382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274</v>
      </c>
      <c r="F178" s="88"/>
      <c r="G178" s="89">
        <v>8</v>
      </c>
      <c r="H178" s="88"/>
      <c r="I178" s="90"/>
      <c r="J178" s="91"/>
      <c r="K178" s="64">
        <f t="shared" si="39"/>
        <v>33.6</v>
      </c>
      <c r="L178" s="61" t="s">
        <v>27</v>
      </c>
      <c r="M178" s="61" t="s">
        <v>151</v>
      </c>
      <c r="N178" s="61" t="s">
        <v>140</v>
      </c>
      <c r="O178" s="65">
        <v>0.968055555555556</v>
      </c>
      <c r="P178" s="65">
        <v>4.1666666666666699E-2</v>
      </c>
      <c r="Q178" s="66">
        <f t="shared" ca="1" si="40"/>
        <v>7.3611111111110739E-2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6</v>
      </c>
      <c r="H179" s="88"/>
      <c r="I179" s="90"/>
      <c r="J179" s="91"/>
      <c r="K179" s="69">
        <f t="shared" si="39"/>
        <v>25.200000000000003</v>
      </c>
      <c r="L179" s="70" t="s">
        <v>28</v>
      </c>
      <c r="M179" s="70" t="s">
        <v>173</v>
      </c>
      <c r="N179" s="61" t="s">
        <v>36</v>
      </c>
      <c r="O179" s="65">
        <v>0.10763888888888901</v>
      </c>
      <c r="P179" s="65">
        <v>0.12847222222222199</v>
      </c>
      <c r="Q179" s="71">
        <f t="shared" ca="1" si="40"/>
        <v>2.0833333333332982E-2</v>
      </c>
      <c r="R179" s="63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274</v>
      </c>
      <c r="F180" s="88"/>
      <c r="G180" s="89">
        <v>23</v>
      </c>
      <c r="H180" s="88"/>
      <c r="I180" s="90"/>
      <c r="J180" s="91"/>
      <c r="K180" s="64">
        <f t="shared" si="39"/>
        <v>96.600000000000009</v>
      </c>
      <c r="L180" s="61"/>
      <c r="M180" s="61"/>
      <c r="N180" s="61"/>
      <c r="O180" s="65"/>
      <c r="P180" s="65"/>
      <c r="Q180" s="66" t="str">
        <f t="shared" ca="1" si="40"/>
        <v/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10</v>
      </c>
      <c r="H181" s="88"/>
      <c r="I181" s="90"/>
      <c r="J181" s="91"/>
      <c r="K181" s="69">
        <f t="shared" si="39"/>
        <v>42</v>
      </c>
      <c r="L181" s="70"/>
      <c r="M181" s="70"/>
      <c r="N181" s="70"/>
      <c r="O181" s="65"/>
      <c r="P181" s="65"/>
      <c r="Q181" s="71" t="str">
        <f t="shared" ca="1" si="40"/>
        <v/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274</v>
      </c>
      <c r="F182" s="88"/>
      <c r="G182" s="89">
        <v>13</v>
      </c>
      <c r="H182" s="88"/>
      <c r="I182" s="90"/>
      <c r="J182" s="91"/>
      <c r="K182" s="64">
        <f t="shared" si="39"/>
        <v>54.6</v>
      </c>
      <c r="L182" s="61"/>
      <c r="M182" s="61"/>
      <c r="N182" s="61"/>
      <c r="O182" s="65"/>
      <c r="P182" s="65"/>
      <c r="Q182" s="66" t="str">
        <f t="shared" ca="1" si="40"/>
        <v/>
      </c>
      <c r="R182" s="63"/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16</v>
      </c>
      <c r="H183" s="88"/>
      <c r="I183" s="90"/>
      <c r="J183" s="91"/>
      <c r="K183" s="69">
        <f t="shared" si="39"/>
        <v>67.2</v>
      </c>
      <c r="L183" s="70"/>
      <c r="M183" s="70"/>
      <c r="N183" s="70"/>
      <c r="O183" s="65"/>
      <c r="P183" s="65"/>
      <c r="Q183" s="71" t="str">
        <f t="shared" ca="1" si="40"/>
        <v/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274</v>
      </c>
      <c r="F184" s="88"/>
      <c r="G184" s="89">
        <v>9</v>
      </c>
      <c r="H184" s="88"/>
      <c r="I184" s="90"/>
      <c r="J184" s="91"/>
      <c r="K184" s="64">
        <f t="shared" si="39"/>
        <v>37.800000000000004</v>
      </c>
      <c r="L184" s="61"/>
      <c r="M184" s="61"/>
      <c r="N184" s="61"/>
      <c r="O184" s="65"/>
      <c r="P184" s="65"/>
      <c r="Q184" s="66" t="str">
        <f t="shared" ca="1" si="40"/>
        <v/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19</v>
      </c>
      <c r="H185" s="88"/>
      <c r="I185" s="90"/>
      <c r="J185" s="91"/>
      <c r="K185" s="69">
        <f t="shared" si="39"/>
        <v>79.8</v>
      </c>
      <c r="L185" s="70"/>
      <c r="M185" s="70"/>
      <c r="N185" s="70"/>
      <c r="O185" s="65"/>
      <c r="P185" s="65"/>
      <c r="Q185" s="71" t="str">
        <f t="shared" ca="1" si="40"/>
        <v/>
      </c>
      <c r="R185" s="63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274</v>
      </c>
      <c r="F186" s="88"/>
      <c r="G186" s="89">
        <v>20</v>
      </c>
      <c r="H186" s="88"/>
      <c r="I186" s="90"/>
      <c r="J186" s="91"/>
      <c r="K186" s="64">
        <f t="shared" si="39"/>
        <v>84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18</v>
      </c>
      <c r="H187" s="88"/>
      <c r="I187" s="90"/>
      <c r="J187" s="91"/>
      <c r="K187" s="69">
        <f t="shared" si="39"/>
        <v>75.600000000000009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274</v>
      </c>
      <c r="F188" s="92"/>
      <c r="G188" s="89">
        <v>8</v>
      </c>
      <c r="H188" s="92"/>
      <c r="I188" s="93"/>
      <c r="J188" s="94"/>
      <c r="K188" s="64">
        <f t="shared" si="39"/>
        <v>33.6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6" t="s">
        <v>263</v>
      </c>
      <c r="B189" s="156"/>
      <c r="C189" s="156"/>
      <c r="D189" s="156"/>
      <c r="E189" s="156"/>
      <c r="F189" s="105"/>
      <c r="G189" s="96">
        <f>SUM(G177:G188)</f>
        <v>162</v>
      </c>
      <c r="H189" s="105"/>
      <c r="I189" s="106"/>
      <c r="J189" s="107"/>
      <c r="K189" s="2">
        <f>SUM(K177:K188)</f>
        <v>680.40000000000009</v>
      </c>
      <c r="L189" s="72"/>
      <c r="M189" s="72"/>
      <c r="N189" s="72"/>
      <c r="O189" s="134"/>
      <c r="P189" s="134"/>
      <c r="Q189" s="73">
        <f ca="1">IFERROR(SUM(Q177:Q188),"")</f>
        <v>0.12361111111111073</v>
      </c>
      <c r="R189" s="2" t="s">
        <v>261</v>
      </c>
      <c r="S189" s="74">
        <v>692750</v>
      </c>
      <c r="T189" s="99">
        <f>IFERROR(J189,"")</f>
        <v>0</v>
      </c>
    </row>
    <row r="190" spans="1:20" ht="18" customHeight="1">
      <c r="A190" s="157" t="s">
        <v>249</v>
      </c>
      <c r="B190" s="157"/>
      <c r="C190" s="157"/>
      <c r="D190" s="157"/>
      <c r="E190" s="157"/>
      <c r="F190" s="108"/>
      <c r="G190" s="109">
        <f>G176+G189</f>
        <v>324</v>
      </c>
      <c r="H190" s="108"/>
      <c r="I190" s="110"/>
      <c r="J190" s="111"/>
      <c r="K190" s="1">
        <f>K176+K189</f>
        <v>1360.8000000000002</v>
      </c>
      <c r="L190" s="76"/>
      <c r="M190" s="76"/>
      <c r="N190" s="76"/>
      <c r="O190" s="135"/>
      <c r="P190" s="135"/>
      <c r="Q190" s="77">
        <f ca="1">IFERROR(Q176+Q189,"")</f>
        <v>0.25624999999999981</v>
      </c>
      <c r="R190" s="1" t="s">
        <v>264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15</v>
      </c>
      <c r="H191" s="101"/>
      <c r="I191" s="102"/>
      <c r="J191" s="103"/>
      <c r="K191" s="69">
        <f t="shared" ref="K191:K202" si="42">IF(G191="","",IF(E191="PC 17",G191*4.2,IF(E191="PC 19",G191*5,IF(E191="CB",G191*24,""))))</f>
        <v>63</v>
      </c>
      <c r="L191" s="70" t="s">
        <v>28</v>
      </c>
      <c r="M191" s="70" t="s">
        <v>173</v>
      </c>
      <c r="N191" s="70" t="s">
        <v>36</v>
      </c>
      <c r="O191" s="65">
        <v>0.29166666666666702</v>
      </c>
      <c r="P191" s="65">
        <v>0.31111111111111101</v>
      </c>
      <c r="Q191" s="71">
        <f t="shared" ref="Q191:Q202" ca="1" si="43">IFERROR(IF(O191="","",IF(P191="",MOD(NOW()-O191,1),IF(P191&gt;=O191,P191-O191,P191+1-O191))),"")</f>
        <v>1.9444444444443987E-2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15</v>
      </c>
      <c r="H192" s="88"/>
      <c r="I192" s="90"/>
      <c r="J192" s="91"/>
      <c r="K192" s="64">
        <f t="shared" si="42"/>
        <v>63</v>
      </c>
      <c r="L192" s="61" t="s">
        <v>27</v>
      </c>
      <c r="M192" s="61" t="s">
        <v>61</v>
      </c>
      <c r="N192" s="70" t="s">
        <v>167</v>
      </c>
      <c r="O192" s="65">
        <v>0.55138888888888904</v>
      </c>
      <c r="P192" s="65">
        <v>0.58750000000000002</v>
      </c>
      <c r="Q192" s="66">
        <f t="shared" ca="1" si="43"/>
        <v>3.6111111111110983E-2</v>
      </c>
      <c r="R192" s="63" t="s">
        <v>383</v>
      </c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14</v>
      </c>
      <c r="H193" s="88"/>
      <c r="I193" s="90"/>
      <c r="J193" s="91"/>
      <c r="K193" s="69">
        <f t="shared" si="42"/>
        <v>58.800000000000004</v>
      </c>
      <c r="L193" s="70" t="s">
        <v>29</v>
      </c>
      <c r="M193" s="70" t="s">
        <v>66</v>
      </c>
      <c r="N193" s="70" t="s">
        <v>37</v>
      </c>
      <c r="O193" s="65">
        <v>0.67013888888888895</v>
      </c>
      <c r="P193" s="65">
        <v>0.67638888888888904</v>
      </c>
      <c r="Q193" s="71">
        <f t="shared" ca="1" si="43"/>
        <v>6.2500000000000888E-3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18</v>
      </c>
      <c r="H194" s="88"/>
      <c r="I194" s="90"/>
      <c r="J194" s="91"/>
      <c r="K194" s="64">
        <f t="shared" si="42"/>
        <v>75.600000000000009</v>
      </c>
      <c r="L194" s="61" t="s">
        <v>29</v>
      </c>
      <c r="M194" s="61" t="s">
        <v>168</v>
      </c>
      <c r="N194" s="61" t="s">
        <v>83</v>
      </c>
      <c r="O194" s="65">
        <v>0.69861111111111096</v>
      </c>
      <c r="P194" s="65">
        <v>0.70486111111111105</v>
      </c>
      <c r="Q194" s="66">
        <f t="shared" ca="1" si="43"/>
        <v>6.2500000000000888E-3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10</v>
      </c>
      <c r="H195" s="88"/>
      <c r="I195" s="90"/>
      <c r="J195" s="91"/>
      <c r="K195" s="69">
        <f t="shared" si="42"/>
        <v>42</v>
      </c>
      <c r="L195" s="70"/>
      <c r="M195" s="70"/>
      <c r="N195" s="70"/>
      <c r="O195" s="65"/>
      <c r="P195" s="65"/>
      <c r="Q195" s="71" t="str">
        <f t="shared" ca="1" si="43"/>
        <v/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17</v>
      </c>
      <c r="H196" s="88"/>
      <c r="I196" s="90"/>
      <c r="J196" s="91"/>
      <c r="K196" s="64">
        <f t="shared" si="42"/>
        <v>71.400000000000006</v>
      </c>
      <c r="L196" s="61"/>
      <c r="M196" s="61"/>
      <c r="N196" s="61"/>
      <c r="O196" s="65"/>
      <c r="P196" s="65"/>
      <c r="Q196" s="66" t="str">
        <f t="shared" ca="1" si="43"/>
        <v/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0</v>
      </c>
      <c r="H197" s="88"/>
      <c r="I197" s="90"/>
      <c r="J197" s="91"/>
      <c r="K197" s="69">
        <f t="shared" si="42"/>
        <v>0</v>
      </c>
      <c r="L197" s="70"/>
      <c r="M197" s="70"/>
      <c r="N197" s="70"/>
      <c r="O197" s="65"/>
      <c r="P197" s="65"/>
      <c r="Q197" s="71" t="str">
        <f t="shared" ca="1" si="43"/>
        <v/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16</v>
      </c>
      <c r="H198" s="88"/>
      <c r="I198" s="90"/>
      <c r="J198" s="91"/>
      <c r="K198" s="64">
        <f t="shared" si="42"/>
        <v>67.2</v>
      </c>
      <c r="L198" s="61"/>
      <c r="M198" s="61"/>
      <c r="N198" s="61"/>
      <c r="O198" s="65"/>
      <c r="P198" s="65"/>
      <c r="Q198" s="66" t="str">
        <f t="shared" ca="1" si="43"/>
        <v/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17</v>
      </c>
      <c r="H199" s="88"/>
      <c r="I199" s="90"/>
      <c r="J199" s="91"/>
      <c r="K199" s="69">
        <f t="shared" si="42"/>
        <v>71.400000000000006</v>
      </c>
      <c r="L199" s="70"/>
      <c r="M199" s="70"/>
      <c r="N199" s="70"/>
      <c r="O199" s="65"/>
      <c r="P199" s="65"/>
      <c r="Q199" s="71" t="str">
        <f t="shared" ca="1" si="43"/>
        <v/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20</v>
      </c>
      <c r="H200" s="88"/>
      <c r="I200" s="90"/>
      <c r="J200" s="91"/>
      <c r="K200" s="64">
        <f t="shared" si="42"/>
        <v>84</v>
      </c>
      <c r="L200" s="61"/>
      <c r="M200" s="61"/>
      <c r="N200" s="61"/>
      <c r="O200" s="65"/>
      <c r="P200" s="65"/>
      <c r="Q200" s="66" t="str">
        <f t="shared" ca="1" si="43"/>
        <v/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10</v>
      </c>
      <c r="H201" s="88"/>
      <c r="I201" s="90"/>
      <c r="J201" s="91"/>
      <c r="K201" s="69">
        <f t="shared" si="42"/>
        <v>42</v>
      </c>
      <c r="L201" s="70"/>
      <c r="M201" s="70"/>
      <c r="N201" s="70"/>
      <c r="O201" s="65"/>
      <c r="P201" s="65"/>
      <c r="Q201" s="71" t="str">
        <f t="shared" ca="1" si="43"/>
        <v/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9</v>
      </c>
      <c r="H202" s="92"/>
      <c r="I202" s="93"/>
      <c r="J202" s="94"/>
      <c r="K202" s="64">
        <f t="shared" si="42"/>
        <v>37.800000000000004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6" t="s">
        <v>260</v>
      </c>
      <c r="B203" s="156"/>
      <c r="C203" s="156"/>
      <c r="D203" s="156"/>
      <c r="E203" s="156"/>
      <c r="F203" s="95"/>
      <c r="G203" s="96">
        <f>SUM(G191:G202)</f>
        <v>161</v>
      </c>
      <c r="H203" s="95"/>
      <c r="I203" s="97"/>
      <c r="J203" s="98"/>
      <c r="K203" s="2">
        <f>SUM(K191:K202)</f>
        <v>676.2</v>
      </c>
      <c r="L203" s="72"/>
      <c r="M203" s="72"/>
      <c r="N203" s="72"/>
      <c r="O203" s="134"/>
      <c r="P203" s="134"/>
      <c r="Q203" s="73">
        <f ca="1">IFERROR(SUM(Q191:Q202),"")</f>
        <v>6.8055555555555147E-2</v>
      </c>
      <c r="R203" s="2" t="s">
        <v>261</v>
      </c>
      <c r="S203" s="74">
        <v>790070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14</v>
      </c>
      <c r="H204" s="101"/>
      <c r="I204" s="102"/>
      <c r="J204" s="103"/>
      <c r="K204" s="64">
        <f t="shared" ref="K204:K209" si="45">IF(G204="","",IF(E204="PC 17",G204*4.2,IF(E204="PC 19",G204*5,IF(E204="CB",G204*24,""))))</f>
        <v>58.800000000000004</v>
      </c>
      <c r="L204" s="61" t="s">
        <v>27</v>
      </c>
      <c r="M204" s="70" t="s">
        <v>66</v>
      </c>
      <c r="N204" s="61" t="s">
        <v>43</v>
      </c>
      <c r="O204" s="65">
        <v>0.8125</v>
      </c>
      <c r="P204" s="65">
        <v>2.7777777777777801E-3</v>
      </c>
      <c r="Q204" s="66">
        <f t="shared" ref="Q204:Q215" ca="1" si="46">IFERROR(IF(O204="","",IF(P204="",MOD(NOW()-O204,1),IF(P204&gt;=O204,P204-O204,P204+1-O204))),"")</f>
        <v>0.19027777777777777</v>
      </c>
      <c r="R204" s="63" t="s">
        <v>384</v>
      </c>
      <c r="S204" s="133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131" t="s">
        <v>385</v>
      </c>
      <c r="N205" s="70" t="s">
        <v>37</v>
      </c>
      <c r="O205" s="65">
        <v>0.85833333333333295</v>
      </c>
      <c r="P205" s="65">
        <v>0.86458333333333304</v>
      </c>
      <c r="Q205" s="71">
        <f t="shared" ca="1" si="46"/>
        <v>6.2500000000000888E-3</v>
      </c>
      <c r="R205" s="63"/>
      <c r="S205" s="133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0</v>
      </c>
      <c r="H206" s="88"/>
      <c r="I206" s="90"/>
      <c r="J206" s="91"/>
      <c r="K206" s="64">
        <f t="shared" si="45"/>
        <v>0</v>
      </c>
      <c r="L206" s="61" t="s">
        <v>29</v>
      </c>
      <c r="M206" s="61" t="s">
        <v>61</v>
      </c>
      <c r="N206" s="61" t="s">
        <v>45</v>
      </c>
      <c r="O206" s="65">
        <v>0.87708333333333299</v>
      </c>
      <c r="P206" s="65">
        <v>2.7777777777777801E-3</v>
      </c>
      <c r="Q206" s="66">
        <f t="shared" ca="1" si="46"/>
        <v>0.12569444444444478</v>
      </c>
      <c r="R206" s="63" t="s">
        <v>386</v>
      </c>
      <c r="S206" s="133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0</v>
      </c>
      <c r="H207" s="88"/>
      <c r="I207" s="90"/>
      <c r="J207" s="91"/>
      <c r="K207" s="69">
        <f t="shared" si="45"/>
        <v>0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133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0</v>
      </c>
      <c r="H208" s="88"/>
      <c r="I208" s="90"/>
      <c r="J208" s="91"/>
      <c r="K208" s="64">
        <f t="shared" si="45"/>
        <v>0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133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20</v>
      </c>
      <c r="H209" s="88"/>
      <c r="I209" s="90"/>
      <c r="J209" s="91"/>
      <c r="K209" s="69">
        <f t="shared" si="45"/>
        <v>84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133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19</v>
      </c>
      <c r="H210" s="88"/>
      <c r="I210" s="90"/>
      <c r="J210" s="91"/>
      <c r="K210" s="64">
        <v>77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133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19</v>
      </c>
      <c r="H211" s="88"/>
      <c r="I211" s="90"/>
      <c r="J211" s="91"/>
      <c r="K211" s="69">
        <f>IF(G211="","",IF(E211="PC 17",G211*4.2,IF(E211="PC 19",G211*5,IF(E211="CB",G211*24,""))))</f>
        <v>79.8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133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16</v>
      </c>
      <c r="H212" s="88"/>
      <c r="I212" s="90"/>
      <c r="J212" s="91"/>
      <c r="K212" s="64">
        <f>IF(G212="","",IF(E212="PC 17",G212*4.2,IF(E212="PC 19",G212*5,IF(E212="CB",G212*24,""))))</f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133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13</v>
      </c>
      <c r="H213" s="88"/>
      <c r="I213" s="90"/>
      <c r="J213" s="91"/>
      <c r="K213" s="69">
        <f>IF(G213="","",IF(E213="PC 17",G213*4.2,IF(E213="PC 19",G213*5,IF(E213="CB",G213*24,""))))</f>
        <v>54.6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133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17</v>
      </c>
      <c r="H214" s="88"/>
      <c r="I214" s="90"/>
      <c r="J214" s="91"/>
      <c r="K214" s="64">
        <f>IF(G214="","",IF(E214="PC 17",G214*4.2,IF(E214="PC 19",G214*5,IF(E214="CB",G214*24,""))))</f>
        <v>71.400000000000006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133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12</v>
      </c>
      <c r="H215" s="92"/>
      <c r="I215" s="93"/>
      <c r="J215" s="94"/>
      <c r="K215" s="69">
        <f>IF(G215="","",IF(E215="PC 17",G215*4.2,IF(E215="PC 19",G215*5,IF(E215="CB",G215*24,""))))</f>
        <v>50.400000000000006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133"/>
    </row>
    <row r="216" spans="1:20" ht="15.75" customHeight="1">
      <c r="A216" s="156" t="s">
        <v>263</v>
      </c>
      <c r="B216" s="156"/>
      <c r="C216" s="156"/>
      <c r="D216" s="156"/>
      <c r="E216" s="156"/>
      <c r="F216" s="105"/>
      <c r="G216" s="96">
        <f>SUM(G204:G215)</f>
        <v>136</v>
      </c>
      <c r="H216" s="105"/>
      <c r="I216" s="106"/>
      <c r="J216" s="107"/>
      <c r="K216" s="2">
        <f>SUM(K204:K215)</f>
        <v>568.4</v>
      </c>
      <c r="L216" s="72"/>
      <c r="M216" s="72"/>
      <c r="N216" s="72"/>
      <c r="O216" s="134"/>
      <c r="P216" s="134"/>
      <c r="Q216" s="73">
        <f ca="1">IFERROR(SUM(Q204:Q215),"")</f>
        <v>0.32222222222222263</v>
      </c>
      <c r="R216" s="2" t="s">
        <v>261</v>
      </c>
      <c r="S216" s="74">
        <v>607180</v>
      </c>
      <c r="T216" s="99">
        <f>IFERROR(J216,"")</f>
        <v>0</v>
      </c>
    </row>
    <row r="217" spans="1:20" ht="18" customHeight="1">
      <c r="A217" s="157" t="s">
        <v>249</v>
      </c>
      <c r="B217" s="157"/>
      <c r="C217" s="157"/>
      <c r="D217" s="157"/>
      <c r="E217" s="157"/>
      <c r="F217" s="108"/>
      <c r="G217" s="109">
        <f>G203+G216</f>
        <v>297</v>
      </c>
      <c r="H217" s="108"/>
      <c r="I217" s="110"/>
      <c r="J217" s="111"/>
      <c r="K217" s="1">
        <f>K203+K216</f>
        <v>1244.5999999999999</v>
      </c>
      <c r="L217" s="76"/>
      <c r="M217" s="76"/>
      <c r="N217" s="76"/>
      <c r="O217" s="135"/>
      <c r="P217" s="135"/>
      <c r="Q217" s="77">
        <f ca="1">IFERROR(Q203+Q216,"")</f>
        <v>0.39027777777777778</v>
      </c>
      <c r="R217" s="1" t="s">
        <v>264</v>
      </c>
      <c r="S217" s="82">
        <f>IFERROR(S203+S216,"")</f>
        <v>1397250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15</v>
      </c>
      <c r="H218" s="101"/>
      <c r="I218" s="102"/>
      <c r="J218" s="103"/>
      <c r="K218" s="64">
        <f t="shared" ref="K218:K229" si="48">IF(G218="","",IF(E218="PC 17",G218*4.2,IF(E218="PC 19",G218*5,IF(E218="CB",G218*24,""))))</f>
        <v>63</v>
      </c>
      <c r="L218" s="61" t="s">
        <v>28</v>
      </c>
      <c r="M218" s="61" t="s">
        <v>66</v>
      </c>
      <c r="N218" s="61" t="s">
        <v>36</v>
      </c>
      <c r="O218" s="65">
        <v>0.41805555555555601</v>
      </c>
      <c r="P218" s="65">
        <v>0.42708333333333298</v>
      </c>
      <c r="Q218" s="66">
        <f t="shared" ref="Q218:Q229" ca="1" si="49">IFERROR(IF(O218="","",IF(P218="",MOD(NOW()-O218,1),IF(P218&gt;=O218,P218-O218,P218+1-O218))),"")</f>
        <v>9.0277777777769685E-3</v>
      </c>
      <c r="R218" s="63"/>
      <c r="S218" s="133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22</v>
      </c>
      <c r="H219" s="88"/>
      <c r="I219" s="90"/>
      <c r="J219" s="91"/>
      <c r="K219" s="69">
        <f t="shared" si="48"/>
        <v>92.4</v>
      </c>
      <c r="L219" s="70" t="s">
        <v>28</v>
      </c>
      <c r="M219" s="70" t="s">
        <v>61</v>
      </c>
      <c r="N219" s="70" t="s">
        <v>36</v>
      </c>
      <c r="O219" s="65">
        <v>0.42708333333333298</v>
      </c>
      <c r="P219" s="65">
        <v>0.436805555555556</v>
      </c>
      <c r="Q219" s="71">
        <f t="shared" ca="1" si="49"/>
        <v>9.7222222222230203E-3</v>
      </c>
      <c r="R219" s="63"/>
      <c r="S219" s="133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14</v>
      </c>
      <c r="H220" s="88"/>
      <c r="I220" s="90"/>
      <c r="J220" s="91"/>
      <c r="K220" s="64">
        <f t="shared" si="48"/>
        <v>58.800000000000004</v>
      </c>
      <c r="L220" s="61" t="s">
        <v>29</v>
      </c>
      <c r="M220" s="61" t="s">
        <v>61</v>
      </c>
      <c r="N220" s="61" t="s">
        <v>65</v>
      </c>
      <c r="O220" s="65">
        <v>0.57569444444444395</v>
      </c>
      <c r="P220" s="65">
        <v>0.59722222222222199</v>
      </c>
      <c r="Q220" s="66">
        <f t="shared" ca="1" si="49"/>
        <v>2.1527777777778034E-2</v>
      </c>
      <c r="R220" s="63" t="s">
        <v>387</v>
      </c>
      <c r="S220" s="133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28</v>
      </c>
      <c r="M221" s="70" t="s">
        <v>66</v>
      </c>
      <c r="N221" s="70" t="s">
        <v>87</v>
      </c>
      <c r="O221" s="65">
        <v>0.59722222222222199</v>
      </c>
      <c r="P221" s="65">
        <v>0.61111111111111105</v>
      </c>
      <c r="Q221" s="71">
        <f t="shared" ca="1" si="49"/>
        <v>1.3888888888889062E-2</v>
      </c>
      <c r="R221" s="63" t="s">
        <v>388</v>
      </c>
      <c r="S221" s="133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20</v>
      </c>
      <c r="H222" s="88"/>
      <c r="I222" s="90"/>
      <c r="J222" s="91"/>
      <c r="K222" s="64">
        <f t="shared" si="48"/>
        <v>100</v>
      </c>
      <c r="L222" s="61"/>
      <c r="M222" s="61"/>
      <c r="N222" s="61"/>
      <c r="O222" s="65"/>
      <c r="P222" s="65"/>
      <c r="Q222" s="66" t="str">
        <f t="shared" ca="1" si="49"/>
        <v/>
      </c>
      <c r="R222" s="63"/>
      <c r="S222" s="133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20</v>
      </c>
      <c r="H223" s="88"/>
      <c r="I223" s="90"/>
      <c r="J223" s="91"/>
      <c r="K223" s="69">
        <f t="shared" si="48"/>
        <v>84</v>
      </c>
      <c r="L223" s="70"/>
      <c r="M223" s="70"/>
      <c r="N223" s="70"/>
      <c r="O223" s="65"/>
      <c r="P223" s="65"/>
      <c r="Q223" s="71" t="str">
        <f t="shared" ca="1" si="49"/>
        <v/>
      </c>
      <c r="R223" s="63"/>
      <c r="S223" s="133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133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3</v>
      </c>
      <c r="H225" s="88"/>
      <c r="I225" s="90"/>
      <c r="J225" s="91"/>
      <c r="K225" s="69">
        <f t="shared" si="48"/>
        <v>12.600000000000001</v>
      </c>
      <c r="L225" s="70"/>
      <c r="M225" s="70"/>
      <c r="N225" s="70"/>
      <c r="O225" s="65"/>
      <c r="P225" s="65"/>
      <c r="Q225" s="66" t="str">
        <f t="shared" ca="1" si="49"/>
        <v/>
      </c>
      <c r="R225" s="63"/>
      <c r="S225" s="133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16</v>
      </c>
      <c r="H226" s="88"/>
      <c r="I226" s="90"/>
      <c r="J226" s="91"/>
      <c r="K226" s="64">
        <f t="shared" si="48"/>
        <v>67.2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133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15</v>
      </c>
      <c r="H227" s="88"/>
      <c r="I227" s="90"/>
      <c r="J227" s="91"/>
      <c r="K227" s="69">
        <f t="shared" si="48"/>
        <v>63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133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17</v>
      </c>
      <c r="H228" s="88"/>
      <c r="I228" s="90"/>
      <c r="J228" s="91"/>
      <c r="K228" s="64">
        <f t="shared" si="48"/>
        <v>71.400000000000006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133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133"/>
    </row>
    <row r="230" spans="1:20" ht="15.75" customHeight="1">
      <c r="A230" s="156" t="s">
        <v>260</v>
      </c>
      <c r="B230" s="156"/>
      <c r="C230" s="156"/>
      <c r="D230" s="156"/>
      <c r="E230" s="156"/>
      <c r="F230" s="95"/>
      <c r="G230" s="96">
        <f>SUM(G218:G229)</f>
        <v>169</v>
      </c>
      <c r="H230" s="95"/>
      <c r="I230" s="97"/>
      <c r="J230" s="98"/>
      <c r="K230" s="2">
        <f>SUM(K218:K229)</f>
        <v>725.80000000000007</v>
      </c>
      <c r="L230" s="72"/>
      <c r="M230" s="72"/>
      <c r="N230" s="72"/>
      <c r="O230" s="134"/>
      <c r="P230" s="134"/>
      <c r="Q230" s="73">
        <f ca="1">IFERROR(SUM(Q218:Q229),"")</f>
        <v>5.4166666666667085E-2</v>
      </c>
      <c r="R230" s="2" t="s">
        <v>261</v>
      </c>
      <c r="S230" s="74">
        <v>755220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18</v>
      </c>
      <c r="H231" s="101"/>
      <c r="I231" s="102"/>
      <c r="J231" s="103"/>
      <c r="K231" s="69">
        <f t="shared" ref="K231:K242" si="51">IF(G231="","",IF(E231="PC 17",G231*4.2,IF(E231="PC 19",G231*5,IF(E231="CB",G231*24,""))))</f>
        <v>75.600000000000009</v>
      </c>
      <c r="L231" s="70" t="s">
        <v>29</v>
      </c>
      <c r="M231" s="70" t="s">
        <v>66</v>
      </c>
      <c r="N231" s="70" t="s">
        <v>45</v>
      </c>
      <c r="O231" s="65">
        <v>0.81458333333333299</v>
      </c>
      <c r="P231" s="65">
        <v>0.85624999999999996</v>
      </c>
      <c r="Q231" s="71">
        <f t="shared" ref="Q231:Q242" ca="1" si="52">IFERROR(IF(O231="","",IF(P231="",MOD(NOW()-O231,1),IF(P231&gt;=O231,P231-O231,P231+1-O231))),"")</f>
        <v>4.1666666666666963E-2</v>
      </c>
      <c r="R231" s="63" t="s">
        <v>389</v>
      </c>
      <c r="S231" s="133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5</v>
      </c>
      <c r="H232" s="88"/>
      <c r="I232" s="90"/>
      <c r="J232" s="91"/>
      <c r="K232" s="64">
        <f t="shared" si="51"/>
        <v>25</v>
      </c>
      <c r="L232" s="61" t="s">
        <v>29</v>
      </c>
      <c r="M232" s="61" t="s">
        <v>66</v>
      </c>
      <c r="N232" s="61" t="s">
        <v>65</v>
      </c>
      <c r="O232" s="65">
        <v>0.88749999999999996</v>
      </c>
      <c r="P232" s="65">
        <v>0.90347222222222201</v>
      </c>
      <c r="Q232" s="66">
        <f t="shared" ca="1" si="52"/>
        <v>1.5972222222222054E-2</v>
      </c>
      <c r="R232" s="63" t="s">
        <v>390</v>
      </c>
      <c r="S232" s="133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7</v>
      </c>
      <c r="H233" s="88"/>
      <c r="I233" s="90"/>
      <c r="J233" s="91"/>
      <c r="K233" s="69">
        <f t="shared" si="51"/>
        <v>29.400000000000002</v>
      </c>
      <c r="L233" s="70" t="s">
        <v>27</v>
      </c>
      <c r="M233" s="70" t="s">
        <v>162</v>
      </c>
      <c r="N233" s="70" t="s">
        <v>140</v>
      </c>
      <c r="O233" s="65">
        <v>3.54166666666667E-2</v>
      </c>
      <c r="P233" s="65">
        <v>6.7361111111111094E-2</v>
      </c>
      <c r="Q233" s="71">
        <f t="shared" ca="1" si="52"/>
        <v>3.1944444444444393E-2</v>
      </c>
      <c r="R233" s="63"/>
      <c r="S233" s="133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11</v>
      </c>
      <c r="H234" s="88"/>
      <c r="I234" s="90"/>
      <c r="J234" s="91"/>
      <c r="K234" s="64">
        <f t="shared" si="51"/>
        <v>55</v>
      </c>
      <c r="L234" s="61" t="s">
        <v>28</v>
      </c>
      <c r="M234" s="61" t="s">
        <v>61</v>
      </c>
      <c r="N234" s="61" t="s">
        <v>36</v>
      </c>
      <c r="O234" s="65">
        <v>0.26041666666666702</v>
      </c>
      <c r="P234" s="65">
        <v>0.28749999999999998</v>
      </c>
      <c r="Q234" s="66">
        <f t="shared" ca="1" si="52"/>
        <v>2.708333333333296E-2</v>
      </c>
      <c r="R234" s="63"/>
      <c r="S234" s="133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15</v>
      </c>
      <c r="H235" s="88"/>
      <c r="I235" s="90"/>
      <c r="J235" s="91"/>
      <c r="K235" s="69">
        <f t="shared" si="51"/>
        <v>75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133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133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133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17</v>
      </c>
      <c r="H238" s="88"/>
      <c r="I238" s="90"/>
      <c r="J238" s="91"/>
      <c r="K238" s="64">
        <f t="shared" si="51"/>
        <v>85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133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11</v>
      </c>
      <c r="H239" s="88"/>
      <c r="I239" s="90"/>
      <c r="J239" s="91"/>
      <c r="K239" s="69">
        <f t="shared" si="51"/>
        <v>55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133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14</v>
      </c>
      <c r="H240" s="88"/>
      <c r="I240" s="90"/>
      <c r="J240" s="91"/>
      <c r="K240" s="64">
        <f t="shared" si="51"/>
        <v>70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133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15</v>
      </c>
      <c r="H241" s="88"/>
      <c r="I241" s="90"/>
      <c r="J241" s="91"/>
      <c r="K241" s="69">
        <f t="shared" si="51"/>
        <v>75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133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133"/>
    </row>
    <row r="243" spans="1:20" ht="15.75" customHeight="1">
      <c r="A243" s="156" t="s">
        <v>263</v>
      </c>
      <c r="B243" s="156"/>
      <c r="C243" s="156"/>
      <c r="D243" s="156"/>
      <c r="E243" s="156"/>
      <c r="F243" s="105"/>
      <c r="G243" s="96">
        <f>SUM(G231:G242)</f>
        <v>137</v>
      </c>
      <c r="H243" s="105"/>
      <c r="I243" s="106"/>
      <c r="J243" s="107"/>
      <c r="K243" s="2">
        <f>SUM(K231:K242)</f>
        <v>665</v>
      </c>
      <c r="L243" s="72"/>
      <c r="M243" s="72"/>
      <c r="N243" s="72"/>
      <c r="O243" s="134"/>
      <c r="P243" s="134"/>
      <c r="Q243" s="73">
        <f ca="1">IFERROR(SUM(Q231:Q242),"")</f>
        <v>0.11666666666666636</v>
      </c>
      <c r="R243" s="2" t="s">
        <v>261</v>
      </c>
      <c r="S243" s="74">
        <v>795250</v>
      </c>
      <c r="T243" s="99">
        <f>IFERROR(J243,"")</f>
        <v>0</v>
      </c>
    </row>
    <row r="244" spans="1:20" ht="18" customHeight="1">
      <c r="A244" s="157" t="s">
        <v>249</v>
      </c>
      <c r="B244" s="157"/>
      <c r="C244" s="157"/>
      <c r="D244" s="157"/>
      <c r="E244" s="157"/>
      <c r="F244" s="108"/>
      <c r="G244" s="109">
        <f>G230+G243</f>
        <v>306</v>
      </c>
      <c r="H244" s="108"/>
      <c r="I244" s="110"/>
      <c r="J244" s="111"/>
      <c r="K244" s="1">
        <f>K230+K243</f>
        <v>1390.8000000000002</v>
      </c>
      <c r="L244" s="76"/>
      <c r="M244" s="76"/>
      <c r="N244" s="76"/>
      <c r="O244" s="135"/>
      <c r="P244" s="135"/>
      <c r="Q244" s="77">
        <f ca="1">IFERROR(Q230+Q243,"")</f>
        <v>0.17083333333333345</v>
      </c>
      <c r="R244" s="1" t="s">
        <v>264</v>
      </c>
      <c r="S244" s="82">
        <f>IFERROR(S230+S243,"")</f>
        <v>1550470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15</v>
      </c>
      <c r="H245" s="101"/>
      <c r="I245" s="102"/>
      <c r="J245" s="103"/>
      <c r="K245" s="64">
        <f t="shared" ref="K245:K256" si="54">IF(G245="","",IF(E245="PC 17",G245*4.2,IF(E245="PC 19",G245*5,IF(E245="CB",G245*24,""))))</f>
        <v>75</v>
      </c>
      <c r="L245" s="70" t="s">
        <v>27</v>
      </c>
      <c r="M245" s="70" t="s">
        <v>61</v>
      </c>
      <c r="N245" s="70" t="s">
        <v>177</v>
      </c>
      <c r="O245" s="65">
        <v>0.32222222222222202</v>
      </c>
      <c r="P245" s="65">
        <v>0.32638888888888901</v>
      </c>
      <c r="Q245" s="66">
        <f t="shared" ref="Q245:Q256" ca="1" si="55">IFERROR(IF(O245="","",IF(P245="",MOD(NOW()-O245,1),IF(P245&gt;=O245,P245-O245,P245+1-O245))),"")</f>
        <v>4.1666666666669849E-3</v>
      </c>
      <c r="R245" s="63"/>
      <c r="S245" s="133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 t="s">
        <v>284</v>
      </c>
      <c r="H246" s="88"/>
      <c r="I246" s="90"/>
      <c r="J246" s="91"/>
      <c r="K246" s="69" t="e">
        <f t="shared" si="54"/>
        <v>#VALUE!</v>
      </c>
      <c r="L246" s="70" t="s">
        <v>29</v>
      </c>
      <c r="M246" s="61" t="s">
        <v>66</v>
      </c>
      <c r="N246" s="70" t="s">
        <v>37</v>
      </c>
      <c r="O246" s="65">
        <v>0.34861111111111098</v>
      </c>
      <c r="P246" s="65">
        <v>0.36249999999999999</v>
      </c>
      <c r="Q246" s="71">
        <f t="shared" ca="1" si="55"/>
        <v>1.3888888888889006E-2</v>
      </c>
      <c r="R246" s="63"/>
      <c r="S246" s="133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19</v>
      </c>
      <c r="H247" s="88"/>
      <c r="I247" s="90"/>
      <c r="J247" s="91"/>
      <c r="K247" s="64">
        <f t="shared" si="54"/>
        <v>95</v>
      </c>
      <c r="L247" s="70" t="s">
        <v>29</v>
      </c>
      <c r="M247" s="70" t="s">
        <v>61</v>
      </c>
      <c r="N247" s="70" t="s">
        <v>71</v>
      </c>
      <c r="O247" s="65">
        <v>0.500694444444444</v>
      </c>
      <c r="P247" s="65">
        <v>0.50208333333333299</v>
      </c>
      <c r="Q247" s="66">
        <f t="shared" ca="1" si="55"/>
        <v>1.388888888888995E-3</v>
      </c>
      <c r="R247" s="63"/>
      <c r="S247" s="133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24</v>
      </c>
      <c r="H248" s="88"/>
      <c r="I248" s="90"/>
      <c r="J248" s="91"/>
      <c r="K248" s="69">
        <f t="shared" si="54"/>
        <v>120</v>
      </c>
      <c r="L248" s="61" t="s">
        <v>28</v>
      </c>
      <c r="M248" s="61" t="s">
        <v>66</v>
      </c>
      <c r="N248" s="61" t="s">
        <v>36</v>
      </c>
      <c r="O248" s="65">
        <v>0.52430555555555602</v>
      </c>
      <c r="P248" s="65">
        <v>0.54027777777777797</v>
      </c>
      <c r="Q248" s="71">
        <f t="shared" ca="1" si="55"/>
        <v>1.5972222222221943E-2</v>
      </c>
      <c r="R248" s="63"/>
      <c r="S248" s="133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10</v>
      </c>
      <c r="H249" s="88"/>
      <c r="I249" s="90"/>
      <c r="J249" s="91"/>
      <c r="K249" s="64">
        <f t="shared" si="54"/>
        <v>42</v>
      </c>
      <c r="L249" s="70" t="s">
        <v>27</v>
      </c>
      <c r="M249" s="70" t="s">
        <v>162</v>
      </c>
      <c r="N249" s="70" t="s">
        <v>140</v>
      </c>
      <c r="O249" s="65">
        <v>0.55555555555555602</v>
      </c>
      <c r="P249" s="65">
        <v>0.561805555555556</v>
      </c>
      <c r="Q249" s="66">
        <f t="shared" ca="1" si="55"/>
        <v>6.2499999999999778E-3</v>
      </c>
      <c r="R249" s="63" t="s">
        <v>391</v>
      </c>
      <c r="S249" s="133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16</v>
      </c>
      <c r="H250" s="88"/>
      <c r="I250" s="90"/>
      <c r="J250" s="91"/>
      <c r="K250" s="69">
        <f t="shared" si="54"/>
        <v>67.2</v>
      </c>
      <c r="L250" s="61" t="s">
        <v>28</v>
      </c>
      <c r="M250" s="61" t="s">
        <v>61</v>
      </c>
      <c r="N250" s="61" t="s">
        <v>36</v>
      </c>
      <c r="O250" s="65">
        <v>0.54027777777777797</v>
      </c>
      <c r="P250" s="65">
        <v>0.55555555555555602</v>
      </c>
      <c r="Q250" s="71">
        <f t="shared" ca="1" si="55"/>
        <v>1.5277777777778057E-2</v>
      </c>
      <c r="R250" s="63"/>
      <c r="S250" s="133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0</v>
      </c>
      <c r="H251" s="88"/>
      <c r="I251" s="90"/>
      <c r="J251" s="91"/>
      <c r="K251" s="64">
        <f t="shared" si="54"/>
        <v>0</v>
      </c>
      <c r="L251" s="70" t="s">
        <v>29</v>
      </c>
      <c r="M251" s="70" t="s">
        <v>61</v>
      </c>
      <c r="N251" s="70" t="s">
        <v>60</v>
      </c>
      <c r="O251" s="65">
        <v>0.60763888888888895</v>
      </c>
      <c r="P251" s="65">
        <v>0.61666666666666703</v>
      </c>
      <c r="Q251" s="66">
        <f t="shared" ca="1" si="55"/>
        <v>9.0277777777780788E-3</v>
      </c>
      <c r="R251" s="63"/>
      <c r="S251" s="133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71" t="str">
        <f t="shared" ca="1" si="55"/>
        <v/>
      </c>
      <c r="R252" s="63"/>
      <c r="S252" s="133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66" t="str">
        <f t="shared" ca="1" si="55"/>
        <v/>
      </c>
      <c r="R253" s="63"/>
      <c r="S253" s="133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18</v>
      </c>
      <c r="H254" s="88"/>
      <c r="I254" s="90"/>
      <c r="J254" s="91"/>
      <c r="K254" s="69">
        <f t="shared" si="54"/>
        <v>75.600000000000009</v>
      </c>
      <c r="L254" s="61"/>
      <c r="M254" s="61"/>
      <c r="N254" s="61"/>
      <c r="O254" s="65"/>
      <c r="P254" s="65"/>
      <c r="Q254" s="71" t="str">
        <f t="shared" ca="1" si="55"/>
        <v/>
      </c>
      <c r="R254" s="63"/>
      <c r="S254" s="133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274</v>
      </c>
      <c r="F255" s="88"/>
      <c r="G255" s="63">
        <v>11</v>
      </c>
      <c r="H255" s="88"/>
      <c r="I255" s="90"/>
      <c r="J255" s="91"/>
      <c r="K255" s="64">
        <f t="shared" si="54"/>
        <v>46.2</v>
      </c>
      <c r="L255" s="70"/>
      <c r="M255" s="70"/>
      <c r="N255" s="70"/>
      <c r="O255" s="65"/>
      <c r="P255" s="65"/>
      <c r="Q255" s="66" t="str">
        <f t="shared" ca="1" si="55"/>
        <v/>
      </c>
      <c r="R255" s="63"/>
      <c r="S255" s="133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274</v>
      </c>
      <c r="F256" s="92"/>
      <c r="G256" s="63">
        <v>21</v>
      </c>
      <c r="H256" s="92"/>
      <c r="I256" s="93"/>
      <c r="J256" s="94"/>
      <c r="K256" s="69">
        <f t="shared" si="54"/>
        <v>88.2</v>
      </c>
      <c r="L256" s="61"/>
      <c r="M256" s="61"/>
      <c r="N256" s="61"/>
      <c r="O256" s="65"/>
      <c r="P256" s="65"/>
      <c r="Q256" s="71" t="str">
        <f t="shared" ca="1" si="55"/>
        <v/>
      </c>
      <c r="R256" s="63"/>
      <c r="S256" s="133"/>
    </row>
    <row r="257" spans="1:20" ht="15.75" customHeight="1">
      <c r="A257" s="156" t="s">
        <v>260</v>
      </c>
      <c r="B257" s="156"/>
      <c r="C257" s="156"/>
      <c r="D257" s="156"/>
      <c r="E257" s="156"/>
      <c r="F257" s="95"/>
      <c r="G257" s="2">
        <f>SUM(G245:G256)</f>
        <v>167</v>
      </c>
      <c r="H257" s="95"/>
      <c r="I257" s="97"/>
      <c r="J257" s="98"/>
      <c r="K257" s="2" t="e">
        <f>SUM(K245:K256)</f>
        <v>#VALUE!</v>
      </c>
      <c r="L257" s="72"/>
      <c r="M257" s="72"/>
      <c r="N257" s="72"/>
      <c r="O257" s="134"/>
      <c r="P257" s="134"/>
      <c r="Q257" s="73">
        <f ca="1">IFERROR(SUM(Q245:Q256),"")</f>
        <v>6.5972222222223043E-2</v>
      </c>
      <c r="R257" s="2" t="s">
        <v>261</v>
      </c>
      <c r="S257" s="74">
        <v>803560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100" t="s">
        <v>274</v>
      </c>
      <c r="F258" s="101"/>
      <c r="G258" s="63">
        <v>1</v>
      </c>
      <c r="H258" s="101"/>
      <c r="I258" s="102"/>
      <c r="J258" s="103"/>
      <c r="K258" s="69">
        <f t="shared" ref="K258:K269" si="57">IF(G258="","",IF(E258="PC 17",G258*4.2,IF(E258="PC 19",G258*5,IF(E258="CB",G258*24,""))))</f>
        <v>4.2</v>
      </c>
      <c r="L258" s="61"/>
      <c r="M258" s="61"/>
      <c r="N258" s="61"/>
      <c r="O258" s="65"/>
      <c r="P258" s="65"/>
      <c r="Q258" s="71" t="str">
        <f t="shared" ref="Q258:Q269" ca="1" si="58">IFERROR(IF(O258="","",IF(P258="",MOD(NOW()-O258,1),IF(P258&gt;=O258,P258-O258,P258+1-O258))),"")</f>
        <v/>
      </c>
      <c r="R258" s="63"/>
      <c r="S258" s="133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47</v>
      </c>
      <c r="E259" s="100" t="s">
        <v>274</v>
      </c>
      <c r="F259" s="88"/>
      <c r="G259" s="63">
        <v>20</v>
      </c>
      <c r="H259" s="88"/>
      <c r="I259" s="90"/>
      <c r="J259" s="91"/>
      <c r="K259" s="64">
        <f t="shared" si="57"/>
        <v>84</v>
      </c>
      <c r="L259" s="61"/>
      <c r="M259" s="61"/>
      <c r="N259" s="61"/>
      <c r="O259" s="65"/>
      <c r="P259" s="65"/>
      <c r="Q259" s="66" t="str">
        <f t="shared" ca="1" si="58"/>
        <v/>
      </c>
      <c r="R259" s="63"/>
      <c r="S259" s="133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47</v>
      </c>
      <c r="E260" s="100" t="s">
        <v>274</v>
      </c>
      <c r="F260" s="88"/>
      <c r="G260" s="63">
        <v>15</v>
      </c>
      <c r="H260" s="88"/>
      <c r="I260" s="90"/>
      <c r="J260" s="91"/>
      <c r="K260" s="69">
        <f t="shared" si="57"/>
        <v>63</v>
      </c>
      <c r="L260" s="70"/>
      <c r="M260" s="61"/>
      <c r="N260" s="70"/>
      <c r="O260" s="65"/>
      <c r="P260" s="65"/>
      <c r="Q260" s="71" t="str">
        <f t="shared" ca="1" si="58"/>
        <v/>
      </c>
      <c r="R260" s="63"/>
      <c r="S260" s="133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47</v>
      </c>
      <c r="E261" s="100" t="s">
        <v>274</v>
      </c>
      <c r="F261" s="88"/>
      <c r="G261" s="63">
        <v>27</v>
      </c>
      <c r="H261" s="88"/>
      <c r="I261" s="90"/>
      <c r="J261" s="91"/>
      <c r="K261" s="64">
        <f t="shared" si="57"/>
        <v>113.4</v>
      </c>
      <c r="L261" s="70"/>
      <c r="M261" s="70"/>
      <c r="N261" s="70"/>
      <c r="O261" s="65"/>
      <c r="P261" s="65"/>
      <c r="Q261" s="66" t="str">
        <f t="shared" ca="1" si="58"/>
        <v/>
      </c>
      <c r="R261" s="63"/>
      <c r="S261" s="133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47</v>
      </c>
      <c r="E262" s="100" t="s">
        <v>274</v>
      </c>
      <c r="F262" s="88"/>
      <c r="G262" s="63">
        <v>19</v>
      </c>
      <c r="H262" s="88"/>
      <c r="I262" s="90"/>
      <c r="J262" s="91"/>
      <c r="K262" s="69">
        <f t="shared" si="57"/>
        <v>79.8</v>
      </c>
      <c r="L262" s="70"/>
      <c r="M262" s="61"/>
      <c r="N262" s="70"/>
      <c r="O262" s="65"/>
      <c r="P262" s="65"/>
      <c r="Q262" s="71" t="str">
        <f t="shared" ca="1" si="58"/>
        <v/>
      </c>
      <c r="R262" s="63"/>
      <c r="S262" s="133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47</v>
      </c>
      <c r="E263" s="100" t="s">
        <v>274</v>
      </c>
      <c r="F263" s="88"/>
      <c r="G263" s="63">
        <v>16</v>
      </c>
      <c r="H263" s="88"/>
      <c r="I263" s="90"/>
      <c r="J263" s="91"/>
      <c r="K263" s="64">
        <f t="shared" si="57"/>
        <v>67.2</v>
      </c>
      <c r="L263" s="70"/>
      <c r="M263" s="70"/>
      <c r="N263" s="70"/>
      <c r="O263" s="65"/>
      <c r="P263" s="65"/>
      <c r="Q263" s="66" t="str">
        <f t="shared" ca="1" si="58"/>
        <v/>
      </c>
      <c r="R263" s="63"/>
      <c r="S263" s="133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47</v>
      </c>
      <c r="E264" s="100" t="s">
        <v>274</v>
      </c>
      <c r="F264" s="88"/>
      <c r="G264" s="63">
        <v>2</v>
      </c>
      <c r="H264" s="88"/>
      <c r="I264" s="90"/>
      <c r="J264" s="91"/>
      <c r="K264" s="69">
        <f t="shared" si="57"/>
        <v>8.4</v>
      </c>
      <c r="L264" s="70"/>
      <c r="M264" s="61"/>
      <c r="N264" s="70"/>
      <c r="O264" s="65"/>
      <c r="P264" s="65"/>
      <c r="Q264" s="71" t="str">
        <f t="shared" ca="1" si="58"/>
        <v/>
      </c>
      <c r="R264" s="63"/>
      <c r="S264" s="133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47</v>
      </c>
      <c r="E265" s="100" t="s">
        <v>274</v>
      </c>
      <c r="F265" s="88"/>
      <c r="G265" s="63">
        <v>16</v>
      </c>
      <c r="H265" s="88"/>
      <c r="I265" s="90"/>
      <c r="J265" s="91"/>
      <c r="K265" s="64">
        <f t="shared" si="57"/>
        <v>67.2</v>
      </c>
      <c r="L265" s="70"/>
      <c r="M265" s="70"/>
      <c r="N265" s="70"/>
      <c r="O265" s="65"/>
      <c r="P265" s="65"/>
      <c r="Q265" s="66" t="str">
        <f t="shared" ca="1" si="58"/>
        <v/>
      </c>
      <c r="R265" s="63"/>
      <c r="S265" s="133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47</v>
      </c>
      <c r="E266" s="100" t="s">
        <v>274</v>
      </c>
      <c r="F266" s="88"/>
      <c r="G266" s="63">
        <v>14</v>
      </c>
      <c r="H266" s="88"/>
      <c r="I266" s="90"/>
      <c r="J266" s="91"/>
      <c r="K266" s="69">
        <f t="shared" si="57"/>
        <v>58.800000000000004</v>
      </c>
      <c r="L266" s="61"/>
      <c r="M266" s="61"/>
      <c r="N266" s="61"/>
      <c r="O266" s="65"/>
      <c r="P266" s="65"/>
      <c r="Q266" s="71" t="str">
        <f t="shared" ca="1" si="58"/>
        <v/>
      </c>
      <c r="R266" s="63"/>
      <c r="S266" s="133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47</v>
      </c>
      <c r="E267" s="100" t="s">
        <v>274</v>
      </c>
      <c r="F267" s="88"/>
      <c r="G267" s="63">
        <v>21</v>
      </c>
      <c r="H267" s="88"/>
      <c r="I267" s="90"/>
      <c r="J267" s="91"/>
      <c r="K267" s="64">
        <f t="shared" si="57"/>
        <v>88.2</v>
      </c>
      <c r="L267" s="70"/>
      <c r="M267" s="70"/>
      <c r="N267" s="70"/>
      <c r="O267" s="65"/>
      <c r="P267" s="65"/>
      <c r="Q267" s="66" t="str">
        <f t="shared" ca="1" si="58"/>
        <v/>
      </c>
      <c r="R267" s="63"/>
      <c r="S267" s="133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47</v>
      </c>
      <c r="E268" s="100" t="s">
        <v>274</v>
      </c>
      <c r="F268" s="88"/>
      <c r="G268" s="63">
        <v>20</v>
      </c>
      <c r="H268" s="88"/>
      <c r="I268" s="90"/>
      <c r="J268" s="91"/>
      <c r="K268" s="69">
        <f t="shared" si="57"/>
        <v>84</v>
      </c>
      <c r="L268" s="61"/>
      <c r="M268" s="61"/>
      <c r="N268" s="61"/>
      <c r="O268" s="65"/>
      <c r="P268" s="65"/>
      <c r="Q268" s="71" t="str">
        <f t="shared" ca="1" si="58"/>
        <v/>
      </c>
      <c r="R268" s="63"/>
      <c r="S268" s="133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47</v>
      </c>
      <c r="E269" s="100" t="s">
        <v>274</v>
      </c>
      <c r="F269" s="92"/>
      <c r="G269" s="63">
        <v>9</v>
      </c>
      <c r="H269" s="92"/>
      <c r="I269" s="93"/>
      <c r="J269" s="94"/>
      <c r="K269" s="64">
        <f t="shared" si="57"/>
        <v>37.800000000000004</v>
      </c>
      <c r="L269" s="70"/>
      <c r="M269" s="70"/>
      <c r="N269" s="70"/>
      <c r="O269" s="65"/>
      <c r="P269" s="65"/>
      <c r="Q269" s="66" t="str">
        <f t="shared" ca="1" si="58"/>
        <v/>
      </c>
      <c r="R269" s="63"/>
      <c r="S269" s="133"/>
    </row>
    <row r="270" spans="1:20" ht="15.75" customHeight="1">
      <c r="A270" s="156" t="s">
        <v>263</v>
      </c>
      <c r="B270" s="156"/>
      <c r="C270" s="156"/>
      <c r="D270" s="156"/>
      <c r="E270" s="156"/>
      <c r="F270" s="105"/>
      <c r="G270" s="2">
        <f>SUM(G258:G269)</f>
        <v>180</v>
      </c>
      <c r="H270" s="105"/>
      <c r="I270" s="106"/>
      <c r="J270" s="107"/>
      <c r="K270" s="2">
        <f>SUM(K258:K269)</f>
        <v>756</v>
      </c>
      <c r="L270" s="72"/>
      <c r="M270" s="72"/>
      <c r="N270" s="72"/>
      <c r="O270" s="134"/>
      <c r="P270" s="134"/>
      <c r="Q270" s="73">
        <f ca="1">IFERROR(SUM(Q258:Q269),"")</f>
        <v>0</v>
      </c>
      <c r="R270" s="2" t="s">
        <v>261</v>
      </c>
      <c r="S270" s="74">
        <v>683360</v>
      </c>
      <c r="T270" s="99">
        <f>IFERROR(J270,"")</f>
        <v>0</v>
      </c>
    </row>
    <row r="271" spans="1:20" ht="18" customHeight="1">
      <c r="A271" s="157" t="s">
        <v>249</v>
      </c>
      <c r="B271" s="157"/>
      <c r="C271" s="157"/>
      <c r="D271" s="157"/>
      <c r="E271" s="157"/>
      <c r="F271" s="108"/>
      <c r="G271" s="109">
        <f>G257+G270</f>
        <v>347</v>
      </c>
      <c r="H271" s="108"/>
      <c r="I271" s="110"/>
      <c r="J271" s="111"/>
      <c r="K271" s="1" t="e">
        <f>K257+K270</f>
        <v>#VALUE!</v>
      </c>
      <c r="L271" s="76"/>
      <c r="M271" s="76"/>
      <c r="N271" s="76"/>
      <c r="O271" s="135"/>
      <c r="P271" s="135"/>
      <c r="Q271" s="77">
        <f ca="1">IFERROR(Q257+Q270,"")</f>
        <v>6.5972222222223043E-2</v>
      </c>
      <c r="R271" s="1" t="s">
        <v>264</v>
      </c>
      <c r="S271" s="82">
        <f>IFERROR(S257+S270,"")</f>
        <v>1486920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20</v>
      </c>
      <c r="H272" s="101"/>
      <c r="I272" s="102"/>
      <c r="J272" s="103"/>
      <c r="K272" s="64">
        <f t="shared" ref="K272:K283" si="60">IF(G272="","",IF(E272="PC 17",G272*4.2,IF(E272="PC 19",G272*5,IF(E272="CB",G272*24,""))))</f>
        <v>84</v>
      </c>
      <c r="L272" s="61"/>
      <c r="M272" s="61"/>
      <c r="N272" s="61"/>
      <c r="O272" s="65"/>
      <c r="P272" s="65"/>
      <c r="Q272" s="66" t="str">
        <f t="shared" ref="Q272:Q277" ca="1" si="61">IFERROR(IF(O272="","",IF(P272="",MOD(NOW()-O272,1),IF(P272&gt;=O272,P272-O272,P272+1-O272))),"")</f>
        <v/>
      </c>
      <c r="R272" s="63"/>
      <c r="S272" s="133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15</v>
      </c>
      <c r="H273" s="88"/>
      <c r="I273" s="90"/>
      <c r="J273" s="91"/>
      <c r="K273" s="69">
        <f t="shared" si="60"/>
        <v>63</v>
      </c>
      <c r="L273" s="70"/>
      <c r="M273" s="70"/>
      <c r="N273" s="70"/>
      <c r="O273" s="65"/>
      <c r="P273" s="65"/>
      <c r="Q273" s="71" t="str">
        <f t="shared" ca="1" si="61"/>
        <v/>
      </c>
      <c r="R273" s="63"/>
      <c r="S273" s="133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5</v>
      </c>
      <c r="H274" s="88"/>
      <c r="I274" s="90"/>
      <c r="J274" s="91"/>
      <c r="K274" s="64">
        <f t="shared" si="60"/>
        <v>21</v>
      </c>
      <c r="L274" s="61"/>
      <c r="M274" s="61"/>
      <c r="N274" s="61"/>
      <c r="O274" s="65"/>
      <c r="P274" s="65"/>
      <c r="Q274" s="66" t="str">
        <f t="shared" ca="1" si="61"/>
        <v/>
      </c>
      <c r="R274" s="63"/>
      <c r="S274" s="133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14</v>
      </c>
      <c r="H275" s="88"/>
      <c r="I275" s="90"/>
      <c r="J275" s="91"/>
      <c r="K275" s="69">
        <f t="shared" si="60"/>
        <v>58.800000000000004</v>
      </c>
      <c r="L275" s="70"/>
      <c r="M275" s="70"/>
      <c r="N275" s="70"/>
      <c r="O275" s="65"/>
      <c r="P275" s="65"/>
      <c r="Q275" s="71" t="str">
        <f t="shared" ca="1" si="61"/>
        <v/>
      </c>
      <c r="R275" s="63"/>
      <c r="S275" s="133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10</v>
      </c>
      <c r="H276" s="88"/>
      <c r="I276" s="90"/>
      <c r="J276" s="91"/>
      <c r="K276" s="64">
        <f t="shared" si="60"/>
        <v>42</v>
      </c>
      <c r="L276" s="61"/>
      <c r="M276" s="61"/>
      <c r="N276" s="61"/>
      <c r="O276" s="65"/>
      <c r="P276" s="65"/>
      <c r="Q276" s="66" t="str">
        <f t="shared" ca="1" si="61"/>
        <v/>
      </c>
      <c r="R276" s="63"/>
      <c r="S276" s="133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9</v>
      </c>
      <c r="H277" s="88"/>
      <c r="I277" s="90"/>
      <c r="J277" s="91"/>
      <c r="K277" s="69">
        <f t="shared" si="60"/>
        <v>37.800000000000004</v>
      </c>
      <c r="L277" s="70"/>
      <c r="M277" s="70"/>
      <c r="N277" s="70"/>
      <c r="O277" s="65"/>
      <c r="P277" s="65"/>
      <c r="Q277" s="71" t="str">
        <f t="shared" ca="1" si="61"/>
        <v/>
      </c>
      <c r="R277" s="63"/>
      <c r="S277" s="133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39</v>
      </c>
      <c r="E278" s="62" t="s">
        <v>274</v>
      </c>
      <c r="F278" s="88"/>
      <c r="G278" s="63">
        <v>21</v>
      </c>
      <c r="H278" s="88"/>
      <c r="I278" s="90"/>
      <c r="J278" s="91"/>
      <c r="K278" s="64">
        <f t="shared" si="60"/>
        <v>88.2</v>
      </c>
      <c r="L278" s="61"/>
      <c r="M278" s="61"/>
      <c r="N278" s="61"/>
      <c r="O278" s="65"/>
      <c r="P278" s="65"/>
      <c r="Q278" s="66"/>
      <c r="R278" s="63"/>
      <c r="S278" s="133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39</v>
      </c>
      <c r="E279" s="62" t="s">
        <v>274</v>
      </c>
      <c r="F279" s="88"/>
      <c r="G279" s="63">
        <v>14</v>
      </c>
      <c r="H279" s="88"/>
      <c r="I279" s="90"/>
      <c r="J279" s="91"/>
      <c r="K279" s="69">
        <f t="shared" si="60"/>
        <v>58.800000000000004</v>
      </c>
      <c r="L279" s="70"/>
      <c r="M279" s="70"/>
      <c r="N279" s="70"/>
      <c r="O279" s="65"/>
      <c r="P279" s="65"/>
      <c r="Q279" s="71" t="str">
        <f ca="1">IFERROR(IF(O279="","",IF(P279="",MOD(NOW()-O279,1),IF(P279&gt;=O279,P279-O279,P279+1-O279))),"")</f>
        <v/>
      </c>
      <c r="R279" s="63"/>
      <c r="S279" s="133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39</v>
      </c>
      <c r="E280" s="62" t="s">
        <v>274</v>
      </c>
      <c r="F280" s="88"/>
      <c r="G280" s="63">
        <v>10</v>
      </c>
      <c r="H280" s="88"/>
      <c r="I280" s="90"/>
      <c r="J280" s="91"/>
      <c r="K280" s="64">
        <f t="shared" si="60"/>
        <v>42</v>
      </c>
      <c r="L280" s="61"/>
      <c r="M280" s="61"/>
      <c r="N280" s="61"/>
      <c r="O280" s="65"/>
      <c r="P280" s="65"/>
      <c r="Q280" s="66" t="str">
        <f ca="1">IFERROR(IF(O280="","",IF(P280="",MOD(NOW()-O280,1),IF(P280&gt;=O280,P280-O280,P280+1-O280))),"")</f>
        <v/>
      </c>
      <c r="R280" s="63"/>
      <c r="S280" s="133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39</v>
      </c>
      <c r="E281" s="62" t="s">
        <v>274</v>
      </c>
      <c r="F281" s="88"/>
      <c r="G281" s="63">
        <v>20</v>
      </c>
      <c r="H281" s="88"/>
      <c r="I281" s="90"/>
      <c r="J281" s="91"/>
      <c r="K281" s="69">
        <f t="shared" si="60"/>
        <v>84</v>
      </c>
      <c r="L281" s="70"/>
      <c r="M281" s="70"/>
      <c r="N281" s="70"/>
      <c r="O281" s="65"/>
      <c r="P281" s="65"/>
      <c r="Q281" s="71" t="str">
        <f ca="1">IFERROR(IF(O281="","",IF(P281="",MOD(NOW()-O281,1),IF(P281&gt;=O281,P281-O281,P281+1-O281))),"")</f>
        <v/>
      </c>
      <c r="R281" s="63"/>
      <c r="S281" s="133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39</v>
      </c>
      <c r="E282" s="62" t="s">
        <v>274</v>
      </c>
      <c r="F282" s="88"/>
      <c r="G282" s="63">
        <v>19</v>
      </c>
      <c r="H282" s="88"/>
      <c r="I282" s="90"/>
      <c r="J282" s="91"/>
      <c r="K282" s="64">
        <f t="shared" si="60"/>
        <v>79.8</v>
      </c>
      <c r="L282" s="61"/>
      <c r="M282" s="61"/>
      <c r="N282" s="61"/>
      <c r="O282" s="65"/>
      <c r="P282" s="65"/>
      <c r="Q282" s="66" t="str">
        <f ca="1">IFERROR(IF(O282="","",IF(P282="",MOD(NOW()-O282,1),IF(P282&gt;=O282,P282-O282,P282+1-O282))),"")</f>
        <v/>
      </c>
      <c r="R282" s="63"/>
      <c r="S282" s="133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39</v>
      </c>
      <c r="E283" s="62" t="s">
        <v>274</v>
      </c>
      <c r="F283" s="92"/>
      <c r="G283" s="63">
        <v>15</v>
      </c>
      <c r="H283" s="92"/>
      <c r="I283" s="93"/>
      <c r="J283" s="94"/>
      <c r="K283" s="69">
        <f t="shared" si="60"/>
        <v>63</v>
      </c>
      <c r="L283" s="70"/>
      <c r="M283" s="70"/>
      <c r="N283" s="70"/>
      <c r="O283" s="65"/>
      <c r="P283" s="65"/>
      <c r="Q283" s="71" t="str">
        <f ca="1">IFERROR(IF(O283="","",IF(P283="",MOD(NOW()-O283,1),IF(P283&gt;=O283,P283-O283,P283+1-O283))),"")</f>
        <v/>
      </c>
      <c r="R283" s="63"/>
      <c r="S283" s="133"/>
    </row>
    <row r="284" spans="1:20" ht="15.75" customHeight="1">
      <c r="A284" s="156" t="s">
        <v>260</v>
      </c>
      <c r="B284" s="156"/>
      <c r="C284" s="156"/>
      <c r="D284" s="156"/>
      <c r="E284" s="156"/>
      <c r="F284" s="95"/>
      <c r="G284" s="2">
        <f>SUM(G272:G283)</f>
        <v>172</v>
      </c>
      <c r="H284" s="95"/>
      <c r="I284" s="97"/>
      <c r="J284" s="98"/>
      <c r="K284" s="2">
        <f>SUM(K272:K283)</f>
        <v>722.4</v>
      </c>
      <c r="L284" s="72"/>
      <c r="M284" s="72"/>
      <c r="N284" s="72"/>
      <c r="O284" s="134"/>
      <c r="P284" s="134"/>
      <c r="Q284" s="73">
        <f ca="1">IFERROR(SUM(Q272:Q283),"")</f>
        <v>0</v>
      </c>
      <c r="R284" s="2" t="s">
        <v>261</v>
      </c>
      <c r="S284" s="74">
        <v>762600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259</v>
      </c>
      <c r="F285" s="101"/>
      <c r="G285" s="63">
        <v>10</v>
      </c>
      <c r="H285" s="101"/>
      <c r="I285" s="102"/>
      <c r="J285" s="103"/>
      <c r="K285" s="69">
        <f t="shared" ref="K285:K296" si="63">IF(G285="","",IF(E285="PC 17",G285*4.2,IF(E285="PC 19",G285*5,IF(E285="CB",G285*24,""))))</f>
        <v>50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63"/>
      <c r="S285" s="133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54</v>
      </c>
      <c r="D286" s="75" t="s">
        <v>55</v>
      </c>
      <c r="E286" s="75" t="s">
        <v>259</v>
      </c>
      <c r="F286" s="88"/>
      <c r="G286" s="63">
        <v>10</v>
      </c>
      <c r="H286" s="88"/>
      <c r="I286" s="90"/>
      <c r="J286" s="91"/>
      <c r="K286" s="64">
        <f t="shared" si="63"/>
        <v>50</v>
      </c>
      <c r="L286" s="70"/>
      <c r="M286" s="70"/>
      <c r="N286" s="70"/>
      <c r="O286" s="65"/>
      <c r="P286" s="65"/>
      <c r="Q286" s="71" t="str">
        <f t="shared" ca="1" si="64"/>
        <v/>
      </c>
      <c r="R286" s="63"/>
      <c r="S286" s="133"/>
    </row>
    <row r="287" spans="1:20" ht="15" customHeight="1">
      <c r="A287" s="18">
        <v>46245</v>
      </c>
      <c r="B287" s="68">
        <f t="shared" si="65"/>
        <v>0.9166666666666663</v>
      </c>
      <c r="C287" s="70" t="s">
        <v>54</v>
      </c>
      <c r="D287" s="75" t="s">
        <v>55</v>
      </c>
      <c r="E287" s="75" t="s">
        <v>274</v>
      </c>
      <c r="F287" s="88"/>
      <c r="G287" s="63">
        <v>27</v>
      </c>
      <c r="H287" s="88"/>
      <c r="I287" s="90"/>
      <c r="J287" s="91"/>
      <c r="K287" s="69">
        <f t="shared" si="63"/>
        <v>113.4</v>
      </c>
      <c r="L287" s="70"/>
      <c r="M287" s="70"/>
      <c r="N287" s="70"/>
      <c r="O287" s="65"/>
      <c r="P287" s="65"/>
      <c r="Q287" s="71" t="str">
        <f t="shared" ca="1" si="64"/>
        <v/>
      </c>
      <c r="R287" s="63"/>
      <c r="S287" s="133"/>
    </row>
    <row r="288" spans="1:20" ht="15" customHeight="1">
      <c r="A288" s="59">
        <v>46245</v>
      </c>
      <c r="B288" s="60">
        <f t="shared" si="65"/>
        <v>0.95833333333333293</v>
      </c>
      <c r="C288" s="70" t="s">
        <v>54</v>
      </c>
      <c r="D288" s="75" t="s">
        <v>55</v>
      </c>
      <c r="E288" s="75" t="s">
        <v>259</v>
      </c>
      <c r="F288" s="88"/>
      <c r="G288" s="63">
        <v>26</v>
      </c>
      <c r="H288" s="88"/>
      <c r="I288" s="90"/>
      <c r="J288" s="91"/>
      <c r="K288" s="64">
        <f t="shared" si="63"/>
        <v>130</v>
      </c>
      <c r="L288" s="61"/>
      <c r="M288" s="61"/>
      <c r="N288" s="61"/>
      <c r="O288" s="65"/>
      <c r="P288" s="65"/>
      <c r="Q288" s="71" t="str">
        <f t="shared" ca="1" si="64"/>
        <v/>
      </c>
      <c r="R288" s="63"/>
      <c r="S288" s="133"/>
    </row>
    <row r="289" spans="1:20" ht="15" customHeight="1">
      <c r="A289" s="18">
        <v>46245</v>
      </c>
      <c r="B289" s="68">
        <f t="shared" si="65"/>
        <v>0.99999999999999956</v>
      </c>
      <c r="C289" s="70" t="s">
        <v>54</v>
      </c>
      <c r="D289" s="75" t="s">
        <v>55</v>
      </c>
      <c r="E289" s="75" t="s">
        <v>259</v>
      </c>
      <c r="F289" s="88"/>
      <c r="G289" s="63">
        <v>14</v>
      </c>
      <c r="H289" s="88"/>
      <c r="I289" s="90"/>
      <c r="J289" s="91"/>
      <c r="K289" s="69">
        <f t="shared" si="63"/>
        <v>70</v>
      </c>
      <c r="L289" s="70"/>
      <c r="M289" s="70"/>
      <c r="N289" s="70"/>
      <c r="O289" s="65"/>
      <c r="P289" s="65"/>
      <c r="Q289" s="71" t="str">
        <f t="shared" ca="1" si="64"/>
        <v/>
      </c>
      <c r="R289" s="63"/>
      <c r="S289" s="133"/>
    </row>
    <row r="290" spans="1:20" ht="15" customHeight="1">
      <c r="A290" s="59">
        <v>46245</v>
      </c>
      <c r="B290" s="60">
        <f t="shared" si="65"/>
        <v>1.0416666666666663</v>
      </c>
      <c r="C290" s="70" t="s">
        <v>54</v>
      </c>
      <c r="D290" s="75" t="s">
        <v>39</v>
      </c>
      <c r="E290" s="75" t="s">
        <v>259</v>
      </c>
      <c r="F290" s="88"/>
      <c r="G290" s="63">
        <v>6</v>
      </c>
      <c r="H290" s="88"/>
      <c r="I290" s="90"/>
      <c r="J290" s="91"/>
      <c r="K290" s="64">
        <f t="shared" si="63"/>
        <v>30</v>
      </c>
      <c r="L290" s="61"/>
      <c r="M290" s="61"/>
      <c r="N290" s="61"/>
      <c r="O290" s="65"/>
      <c r="P290" s="65"/>
      <c r="Q290" s="71" t="str">
        <f t="shared" ca="1" si="64"/>
        <v/>
      </c>
      <c r="R290" s="63"/>
      <c r="S290" s="133"/>
    </row>
    <row r="291" spans="1:20" ht="15" customHeight="1">
      <c r="A291" s="18">
        <v>46245</v>
      </c>
      <c r="B291" s="68">
        <f t="shared" si="65"/>
        <v>1.083333333333333</v>
      </c>
      <c r="C291" s="70" t="s">
        <v>54</v>
      </c>
      <c r="D291" s="75" t="s">
        <v>39</v>
      </c>
      <c r="E291" s="75" t="s">
        <v>259</v>
      </c>
      <c r="F291" s="88"/>
      <c r="G291" s="63">
        <v>9</v>
      </c>
      <c r="H291" s="88"/>
      <c r="I291" s="90"/>
      <c r="J291" s="91"/>
      <c r="K291" s="69">
        <f t="shared" si="63"/>
        <v>45</v>
      </c>
      <c r="L291" s="70"/>
      <c r="M291" s="70"/>
      <c r="N291" s="70"/>
      <c r="O291" s="65"/>
      <c r="P291" s="65"/>
      <c r="Q291" s="71" t="str">
        <f t="shared" ca="1" si="64"/>
        <v/>
      </c>
      <c r="R291" s="63"/>
      <c r="S291" s="133"/>
    </row>
    <row r="292" spans="1:20" ht="15" customHeight="1">
      <c r="A292" s="59">
        <v>46245</v>
      </c>
      <c r="B292" s="60">
        <f t="shared" si="65"/>
        <v>1.1249999999999998</v>
      </c>
      <c r="C292" s="70" t="s">
        <v>54</v>
      </c>
      <c r="D292" s="75" t="s">
        <v>39</v>
      </c>
      <c r="E292" s="75" t="s">
        <v>259</v>
      </c>
      <c r="F292" s="88"/>
      <c r="G292" s="63">
        <v>1</v>
      </c>
      <c r="H292" s="88"/>
      <c r="I292" s="90"/>
      <c r="J292" s="91"/>
      <c r="K292" s="64">
        <f t="shared" si="63"/>
        <v>5</v>
      </c>
      <c r="L292" s="61"/>
      <c r="M292" s="61"/>
      <c r="N292" s="61"/>
      <c r="O292" s="65"/>
      <c r="P292" s="65"/>
      <c r="Q292" s="71" t="str">
        <f t="shared" ca="1" si="64"/>
        <v/>
      </c>
      <c r="R292" s="63"/>
      <c r="S292" s="133"/>
    </row>
    <row r="293" spans="1:20" ht="15" customHeight="1">
      <c r="A293" s="18">
        <v>46245</v>
      </c>
      <c r="B293" s="68">
        <f t="shared" si="65"/>
        <v>1.1666666666666665</v>
      </c>
      <c r="C293" s="70" t="s">
        <v>54</v>
      </c>
      <c r="D293" s="75" t="s">
        <v>39</v>
      </c>
      <c r="E293" s="75" t="s">
        <v>259</v>
      </c>
      <c r="F293" s="88"/>
      <c r="G293" s="63">
        <v>15</v>
      </c>
      <c r="H293" s="88"/>
      <c r="I293" s="90"/>
      <c r="J293" s="91"/>
      <c r="K293" s="69">
        <f t="shared" si="63"/>
        <v>75</v>
      </c>
      <c r="L293" s="70"/>
      <c r="M293" s="70"/>
      <c r="N293" s="70"/>
      <c r="O293" s="65"/>
      <c r="P293" s="65"/>
      <c r="Q293" s="71" t="str">
        <f t="shared" ca="1" si="64"/>
        <v/>
      </c>
      <c r="R293" s="63"/>
      <c r="S293" s="133"/>
    </row>
    <row r="294" spans="1:20" ht="15" customHeight="1">
      <c r="A294" s="59">
        <v>46245</v>
      </c>
      <c r="B294" s="60">
        <f t="shared" si="65"/>
        <v>1.2083333333333333</v>
      </c>
      <c r="C294" s="70" t="s">
        <v>54</v>
      </c>
      <c r="D294" s="75" t="s">
        <v>39</v>
      </c>
      <c r="E294" s="75" t="s">
        <v>259</v>
      </c>
      <c r="F294" s="88"/>
      <c r="G294" s="63">
        <v>9</v>
      </c>
      <c r="H294" s="88"/>
      <c r="I294" s="90"/>
      <c r="J294" s="91"/>
      <c r="K294" s="64">
        <f t="shared" si="63"/>
        <v>45</v>
      </c>
      <c r="L294" s="61"/>
      <c r="M294" s="61"/>
      <c r="N294" s="61"/>
      <c r="O294" s="65"/>
      <c r="P294" s="65"/>
      <c r="Q294" s="71" t="str">
        <f t="shared" ca="1" si="64"/>
        <v/>
      </c>
      <c r="R294" s="63"/>
      <c r="S294" s="133"/>
    </row>
    <row r="295" spans="1:20" ht="15" customHeight="1">
      <c r="A295" s="18">
        <v>46245</v>
      </c>
      <c r="B295" s="68">
        <f t="shared" si="65"/>
        <v>1.25</v>
      </c>
      <c r="C295" s="70" t="s">
        <v>54</v>
      </c>
      <c r="D295" s="75" t="s">
        <v>39</v>
      </c>
      <c r="E295" s="75" t="s">
        <v>259</v>
      </c>
      <c r="F295" s="88"/>
      <c r="G295" s="63">
        <v>13</v>
      </c>
      <c r="H295" s="88"/>
      <c r="I295" s="90"/>
      <c r="J295" s="91"/>
      <c r="K295" s="69">
        <f t="shared" si="63"/>
        <v>65</v>
      </c>
      <c r="L295" s="70"/>
      <c r="M295" s="70"/>
      <c r="N295" s="70"/>
      <c r="O295" s="65"/>
      <c r="P295" s="65"/>
      <c r="Q295" s="71" t="str">
        <f t="shared" ca="1" si="64"/>
        <v/>
      </c>
      <c r="R295" s="63"/>
      <c r="S295" s="133"/>
    </row>
    <row r="296" spans="1:20" ht="15" customHeight="1">
      <c r="A296" s="59">
        <v>46245</v>
      </c>
      <c r="B296" s="60">
        <f t="shared" si="65"/>
        <v>1.2916666666666667</v>
      </c>
      <c r="C296" s="70" t="s">
        <v>54</v>
      </c>
      <c r="D296" s="75" t="s">
        <v>39</v>
      </c>
      <c r="E296" s="75" t="s">
        <v>259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63"/>
      <c r="S296" s="133"/>
    </row>
    <row r="297" spans="1:20" ht="15.75" customHeight="1">
      <c r="A297" s="156" t="s">
        <v>263</v>
      </c>
      <c r="B297" s="156"/>
      <c r="C297" s="156"/>
      <c r="D297" s="156"/>
      <c r="E297" s="156"/>
      <c r="F297" s="105"/>
      <c r="G297" s="2">
        <f>SUM(G285:G296)</f>
        <v>152</v>
      </c>
      <c r="H297" s="105"/>
      <c r="I297" s="106"/>
      <c r="J297" s="107"/>
      <c r="K297" s="2">
        <f>SUM(K285:K296)</f>
        <v>738.4</v>
      </c>
      <c r="L297" s="72"/>
      <c r="M297" s="72"/>
      <c r="N297" s="72"/>
      <c r="O297" s="134"/>
      <c r="P297" s="134"/>
      <c r="Q297" s="73">
        <f ca="1">IFERROR(SUM(Q285:Q296),"")</f>
        <v>0</v>
      </c>
      <c r="R297" s="2" t="s">
        <v>261</v>
      </c>
      <c r="S297" s="74">
        <v>904710</v>
      </c>
      <c r="T297" s="99">
        <f>IFERROR(J297,"")</f>
        <v>0</v>
      </c>
    </row>
    <row r="298" spans="1:20" ht="18" customHeight="1">
      <c r="A298" s="157" t="s">
        <v>249</v>
      </c>
      <c r="B298" s="157"/>
      <c r="C298" s="157"/>
      <c r="D298" s="157"/>
      <c r="E298" s="157"/>
      <c r="F298" s="108"/>
      <c r="G298" s="1">
        <f>G284+G297</f>
        <v>324</v>
      </c>
      <c r="H298" s="108"/>
      <c r="I298" s="110"/>
      <c r="J298" s="111"/>
      <c r="K298" s="1">
        <f>K284+K297</f>
        <v>1460.8</v>
      </c>
      <c r="L298" s="76"/>
      <c r="M298" s="76"/>
      <c r="N298" s="76"/>
      <c r="O298" s="135"/>
      <c r="P298" s="135"/>
      <c r="Q298" s="77">
        <f ca="1">IFERROR(Q284+Q297,"")</f>
        <v>0</v>
      </c>
      <c r="R298" s="1" t="s">
        <v>264</v>
      </c>
      <c r="S298" s="82">
        <f>IFERROR(S284+S297,"")</f>
        <v>1667310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274</v>
      </c>
      <c r="F299" s="101">
        <f>IFERROR(IF($D299="","",VLOOKUP($D299,Cadastro!$C$4:$E$7,3,FALSE())),"")</f>
        <v>0.24</v>
      </c>
      <c r="G299" s="63">
        <v>15</v>
      </c>
      <c r="H299" s="69">
        <f>IFERROR(IF($G299="","",$G299*$S$311/$G$311/Cadastro!$E$33),"")</f>
        <v>74.13671875</v>
      </c>
      <c r="I299" s="102">
        <f>IFERROR(IF($D299="","",VLOOKUP($D299,Cadastro!$C$4:$G$7,5,FALSE())),"")</f>
        <v>0.6</v>
      </c>
      <c r="J299" s="91">
        <f t="shared" ref="J299:J310" si="66">IFERROR(IF($H299="","",$H299*$F299*$I299),"")</f>
        <v>10.6756875</v>
      </c>
      <c r="K299" s="69">
        <f t="shared" ref="K299:K310" si="67">IF(G299="","",IF(E299="PC 17",G299*4.2,IF(E299="PC 19",G299*5,IF(E299="CB",G299*24,""))))</f>
        <v>63</v>
      </c>
      <c r="L299" s="70" t="s">
        <v>29</v>
      </c>
      <c r="M299" s="70" t="s">
        <v>61</v>
      </c>
      <c r="N299" s="70" t="s">
        <v>195</v>
      </c>
      <c r="O299" s="65">
        <v>0.43541666666666701</v>
      </c>
      <c r="P299" s="65">
        <v>0.44583333333333303</v>
      </c>
      <c r="Q299" s="71">
        <f t="shared" ref="Q299:Q310" ca="1" si="68">IFERROR(IF(O299="","",IF(P299="",MOD(NOW()-O299,1),IF(P299&gt;=O299,P299-O299,P299+1-O299))),"")</f>
        <v>1.0416666666666019E-2</v>
      </c>
      <c r="R299" s="63"/>
      <c r="S299" s="133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100" t="s">
        <v>274</v>
      </c>
      <c r="F300" s="88">
        <f>IFERROR(IF($D300="","",VLOOKUP($D300,Cadastro!$C$4:$E$7,3,FALSE())),"")</f>
        <v>0.24</v>
      </c>
      <c r="G300" s="63">
        <v>17</v>
      </c>
      <c r="H300" s="69">
        <f>IFERROR(IF($G300="","",$G300*$S$311/$G$311/Cadastro!$E$33),"")</f>
        <v>84.021614583333331</v>
      </c>
      <c r="I300" s="90">
        <f>IFERROR(IF($D300="","",VLOOKUP($D300,Cadastro!$C$4:$G$7,5,FALSE())),"")</f>
        <v>0.6</v>
      </c>
      <c r="J300" s="91">
        <f t="shared" si="66"/>
        <v>12.099112499999999</v>
      </c>
      <c r="K300" s="64">
        <f t="shared" si="67"/>
        <v>71.400000000000006</v>
      </c>
      <c r="L300" s="61" t="s">
        <v>28</v>
      </c>
      <c r="M300" s="61" t="s">
        <v>66</v>
      </c>
      <c r="N300" s="61" t="s">
        <v>36</v>
      </c>
      <c r="O300" s="65">
        <v>0.44583333333333303</v>
      </c>
      <c r="P300" s="65">
        <v>0.45138888888888901</v>
      </c>
      <c r="Q300" s="66">
        <f t="shared" ca="1" si="68"/>
        <v>5.5555555555559799E-3</v>
      </c>
      <c r="R300" s="63"/>
      <c r="S300" s="133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100" t="s">
        <v>274</v>
      </c>
      <c r="F301" s="88">
        <f>IFERROR(IF($D301="","",VLOOKUP($D301,Cadastro!$C$4:$E$7,3,FALSE())),"")</f>
        <v>0.24</v>
      </c>
      <c r="G301" s="63">
        <v>22</v>
      </c>
      <c r="H301" s="69">
        <f>IFERROR(IF($G301="","",$G301*$S$311/$G$311/Cadastro!$E$33),"")</f>
        <v>108.73385416666667</v>
      </c>
      <c r="I301" s="90">
        <f>IFERROR(IF($D301="","",VLOOKUP($D301,Cadastro!$C$4:$G$7,5,FALSE())),"")</f>
        <v>0.6</v>
      </c>
      <c r="J301" s="91">
        <f t="shared" si="66"/>
        <v>15.657674999999999</v>
      </c>
      <c r="K301" s="69">
        <f t="shared" si="67"/>
        <v>92.4</v>
      </c>
      <c r="L301" s="70" t="s">
        <v>25</v>
      </c>
      <c r="M301" s="70"/>
      <c r="N301" s="70" t="s">
        <v>95</v>
      </c>
      <c r="O301" s="65">
        <v>0.66249999999999998</v>
      </c>
      <c r="P301" s="65">
        <v>0.71527777777777801</v>
      </c>
      <c r="Q301" s="71">
        <f t="shared" ca="1" si="68"/>
        <v>5.2777777777778034E-2</v>
      </c>
      <c r="R301" s="63"/>
      <c r="S301" s="133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100" t="s">
        <v>274</v>
      </c>
      <c r="F302" s="88">
        <f>IFERROR(IF($D302="","",VLOOKUP($D302,Cadastro!$C$4:$E$7,3,FALSE())),"")</f>
        <v>0.24</v>
      </c>
      <c r="G302" s="63">
        <v>10</v>
      </c>
      <c r="H302" s="69">
        <f>IFERROR(IF($G302="","",$G302*$S$311/$G$311/Cadastro!$E$33),"")</f>
        <v>49.424479166666664</v>
      </c>
      <c r="I302" s="90">
        <f>IFERROR(IF($D302="","",VLOOKUP($D302,Cadastro!$C$4:$G$7,5,FALSE())),"")</f>
        <v>0.6</v>
      </c>
      <c r="J302" s="91">
        <f t="shared" si="66"/>
        <v>7.1171249999999997</v>
      </c>
      <c r="K302" s="64">
        <f t="shared" si="67"/>
        <v>42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8"/>
        <v>6.9444444444439757E-3</v>
      </c>
      <c r="R302" s="63"/>
      <c r="S302" s="133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100" t="s">
        <v>274</v>
      </c>
      <c r="F303" s="88">
        <f>IFERROR(IF($D303="","",VLOOKUP($D303,Cadastro!$C$4:$E$7,3,FALSE())),"")</f>
        <v>0.24</v>
      </c>
      <c r="G303" s="63">
        <v>29</v>
      </c>
      <c r="H303" s="69">
        <f>IFERROR(IF($G303="","",$G303*$S$311/$G$311/Cadastro!$E$33),"")</f>
        <v>143.33098958333335</v>
      </c>
      <c r="I303" s="90">
        <f>IFERROR(IF($D303="","",VLOOKUP($D303,Cadastro!$C$4:$G$7,5,FALSE())),"")</f>
        <v>0.6</v>
      </c>
      <c r="J303" s="91">
        <f t="shared" si="66"/>
        <v>20.639662500000004</v>
      </c>
      <c r="K303" s="69">
        <f t="shared" si="67"/>
        <v>121.80000000000001</v>
      </c>
      <c r="L303" s="70"/>
      <c r="M303" s="70"/>
      <c r="N303" s="70"/>
      <c r="O303" s="65"/>
      <c r="P303" s="65"/>
      <c r="Q303" s="71" t="str">
        <f t="shared" ca="1" si="68"/>
        <v/>
      </c>
      <c r="R303" s="63"/>
      <c r="S303" s="133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100" t="s">
        <v>274</v>
      </c>
      <c r="F304" s="88">
        <f>IFERROR(IF($D304="","",VLOOKUP($D304,Cadastro!$C$4:$E$7,3,FALSE())),"")</f>
        <v>0.24</v>
      </c>
      <c r="G304" s="63">
        <v>30</v>
      </c>
      <c r="H304" s="69">
        <f>IFERROR(IF($G304="","",$G304*$S$311/$G$311/Cadastro!$E$33),"")</f>
        <v>148.2734375</v>
      </c>
      <c r="I304" s="90">
        <f>IFERROR(IF($D304="","",VLOOKUP($D304,Cadastro!$C$4:$G$7,5,FALSE())),"")</f>
        <v>0.6</v>
      </c>
      <c r="J304" s="91">
        <f t="shared" si="66"/>
        <v>21.351375000000001</v>
      </c>
      <c r="K304" s="64">
        <f t="shared" si="67"/>
        <v>126</v>
      </c>
      <c r="L304" s="61"/>
      <c r="M304" s="61"/>
      <c r="N304" s="61"/>
      <c r="O304" s="65"/>
      <c r="P304" s="65"/>
      <c r="Q304" s="66" t="str">
        <f t="shared" ca="1" si="68"/>
        <v/>
      </c>
      <c r="R304" s="63"/>
      <c r="S304" s="133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100" t="s">
        <v>274</v>
      </c>
      <c r="F305" s="88">
        <f>IFERROR(IF($D305="","",VLOOKUP($D305,Cadastro!$C$4:$E$7,3,FALSE())),"")</f>
        <v>0.35</v>
      </c>
      <c r="G305" s="63">
        <v>20</v>
      </c>
      <c r="H305" s="69">
        <f>IFERROR(IF($G305="","",$G305*$S$311/$G$311/Cadastro!$E$33),"")</f>
        <v>98.848958333333329</v>
      </c>
      <c r="I305" s="90">
        <f>IFERROR(IF($D305="","",VLOOKUP($D305,Cadastro!$C$4:$G$7,5,FALSE())),"")</f>
        <v>0.6</v>
      </c>
      <c r="J305" s="91">
        <f t="shared" si="66"/>
        <v>20.758281249999996</v>
      </c>
      <c r="K305" s="69">
        <f t="shared" si="67"/>
        <v>84</v>
      </c>
      <c r="L305" s="70"/>
      <c r="M305" s="70"/>
      <c r="N305" s="70"/>
      <c r="O305" s="65"/>
      <c r="P305" s="65"/>
      <c r="Q305" s="71" t="str">
        <f t="shared" ca="1" si="68"/>
        <v/>
      </c>
      <c r="R305" s="63"/>
      <c r="S305" s="133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100" t="s">
        <v>274</v>
      </c>
      <c r="F306" s="88">
        <f>IFERROR(IF($D306="","",VLOOKUP($D306,Cadastro!$C$4:$E$7,3,FALSE())),"")</f>
        <v>0.35</v>
      </c>
      <c r="G306" s="63">
        <v>10</v>
      </c>
      <c r="H306" s="69">
        <f>IFERROR(IF($G306="","",$G306*$S$311/$G$311/Cadastro!$E$33),"")</f>
        <v>49.424479166666664</v>
      </c>
      <c r="I306" s="90">
        <f>IFERROR(IF($D306="","",VLOOKUP($D306,Cadastro!$C$4:$G$7,5,FALSE())),"")</f>
        <v>0.6</v>
      </c>
      <c r="J306" s="91">
        <f t="shared" si="66"/>
        <v>10.379140624999998</v>
      </c>
      <c r="K306" s="64">
        <f t="shared" si="67"/>
        <v>42</v>
      </c>
      <c r="L306" s="61"/>
      <c r="M306" s="61"/>
      <c r="N306" s="61"/>
      <c r="O306" s="65"/>
      <c r="P306" s="65"/>
      <c r="Q306" s="66" t="str">
        <f t="shared" ca="1" si="68"/>
        <v/>
      </c>
      <c r="R306" s="63"/>
      <c r="S306" s="133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100" t="s">
        <v>274</v>
      </c>
      <c r="F307" s="88">
        <f>IFERROR(IF($D307="","",VLOOKUP($D307,Cadastro!$C$4:$E$7,3,FALSE())),"")</f>
        <v>0.35</v>
      </c>
      <c r="G307" s="63">
        <v>15</v>
      </c>
      <c r="H307" s="69">
        <f>IFERROR(IF($G307="","",$G307*$S$311/$G$311/Cadastro!$E$33),"")</f>
        <v>74.13671875</v>
      </c>
      <c r="I307" s="90">
        <f>IFERROR(IF($D307="","",VLOOKUP($D307,Cadastro!$C$4:$G$7,5,FALSE())),"")</f>
        <v>0.6</v>
      </c>
      <c r="J307" s="91">
        <f t="shared" si="66"/>
        <v>15.568710937499999</v>
      </c>
      <c r="K307" s="69">
        <f t="shared" si="67"/>
        <v>63</v>
      </c>
      <c r="L307" s="70"/>
      <c r="M307" s="70"/>
      <c r="N307" s="70"/>
      <c r="O307" s="65"/>
      <c r="P307" s="65"/>
      <c r="Q307" s="71" t="str">
        <f t="shared" ca="1" si="68"/>
        <v/>
      </c>
      <c r="R307" s="63"/>
      <c r="S307" s="133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100" t="s">
        <v>274</v>
      </c>
      <c r="F308" s="88">
        <f>IFERROR(IF($D308="","",VLOOKUP($D308,Cadastro!$C$4:$E$7,3,FALSE())),"")</f>
        <v>0.35</v>
      </c>
      <c r="G308" s="63">
        <v>0</v>
      </c>
      <c r="H308" s="69">
        <f>IFERROR(IF($G308="","",$G308*$S$311/$G$311/Cadastro!$E$33),"")</f>
        <v>0</v>
      </c>
      <c r="I308" s="90">
        <f>IFERROR(IF($D308="","",VLOOKUP($D308,Cadastro!$C$4:$G$7,5,FALSE())),"")</f>
        <v>0.6</v>
      </c>
      <c r="J308" s="91">
        <f t="shared" si="66"/>
        <v>0</v>
      </c>
      <c r="K308" s="64">
        <f t="shared" si="67"/>
        <v>0</v>
      </c>
      <c r="L308" s="61"/>
      <c r="M308" s="61"/>
      <c r="N308" s="61"/>
      <c r="O308" s="65"/>
      <c r="P308" s="65"/>
      <c r="Q308" s="66" t="str">
        <f t="shared" ca="1" si="68"/>
        <v/>
      </c>
      <c r="R308" s="63"/>
      <c r="S308" s="133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100" t="s">
        <v>274</v>
      </c>
      <c r="F309" s="88">
        <f>IFERROR(IF($D309="","",VLOOKUP($D309,Cadastro!$C$4:$E$7,3,FALSE())),"")</f>
        <v>0.35</v>
      </c>
      <c r="G309" s="63">
        <v>14</v>
      </c>
      <c r="H309" s="69">
        <f>IFERROR(IF($G309="","",$G309*$S$311/$G$311/Cadastro!$E$33),"")</f>
        <v>69.194270833333334</v>
      </c>
      <c r="I309" s="90">
        <f>IFERROR(IF($D309="","",VLOOKUP($D309,Cadastro!$C$4:$G$7,5,FALSE())),"")</f>
        <v>0.6</v>
      </c>
      <c r="J309" s="91">
        <f t="shared" si="66"/>
        <v>14.530796874999998</v>
      </c>
      <c r="K309" s="69">
        <f t="shared" si="67"/>
        <v>58.800000000000004</v>
      </c>
      <c r="L309" s="70"/>
      <c r="M309" s="70"/>
      <c r="N309" s="70"/>
      <c r="O309" s="65"/>
      <c r="P309" s="65"/>
      <c r="Q309" s="71" t="str">
        <f t="shared" ca="1" si="68"/>
        <v/>
      </c>
      <c r="R309" s="63"/>
      <c r="S309" s="133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100" t="s">
        <v>274</v>
      </c>
      <c r="F310" s="92">
        <f>IFERROR(IF($D310="","",VLOOKUP($D310,Cadastro!$C$4:$E$7,3,FALSE())),"")</f>
        <v>0.35</v>
      </c>
      <c r="G310" s="63">
        <v>10</v>
      </c>
      <c r="H310" s="69">
        <f>IFERROR(IF($G310="","",$G310*$S$311/$G$311/Cadastro!$E$33),"")</f>
        <v>49.424479166666664</v>
      </c>
      <c r="I310" s="93">
        <f>IFERROR(IF($D310="","",VLOOKUP($D310,Cadastro!$C$4:$G$7,5,FALSE())),"")</f>
        <v>0.6</v>
      </c>
      <c r="J310" s="94">
        <f t="shared" si="66"/>
        <v>10.379140624999998</v>
      </c>
      <c r="K310" s="64">
        <f t="shared" si="67"/>
        <v>42</v>
      </c>
      <c r="L310" s="61"/>
      <c r="M310" s="61"/>
      <c r="N310" s="61"/>
      <c r="O310" s="65"/>
      <c r="P310" s="65"/>
      <c r="Q310" s="66" t="str">
        <f t="shared" ca="1" si="68"/>
        <v/>
      </c>
      <c r="R310" s="63"/>
      <c r="S310" s="133"/>
    </row>
    <row r="311" spans="1:20" ht="15.75" customHeight="1">
      <c r="A311" s="156" t="s">
        <v>260</v>
      </c>
      <c r="B311" s="156"/>
      <c r="C311" s="156"/>
      <c r="D311" s="156"/>
      <c r="E311" s="156"/>
      <c r="F311" s="95"/>
      <c r="G311" s="96">
        <f>SUM(G299:G310)</f>
        <v>192</v>
      </c>
      <c r="H311" s="95">
        <f>IFERROR(SUM(H299:H310),"")</f>
        <v>948.94999999999993</v>
      </c>
      <c r="I311" s="97"/>
      <c r="J311" s="98">
        <f>IFERROR(SUM(J299:J310),"")</f>
        <v>159.15670781249997</v>
      </c>
      <c r="K311" s="2">
        <f>SUM(K299:K310)</f>
        <v>806.4</v>
      </c>
      <c r="L311" s="72"/>
      <c r="M311" s="72"/>
      <c r="N311" s="72"/>
      <c r="O311" s="134"/>
      <c r="P311" s="134"/>
      <c r="Q311" s="73">
        <f ca="1">IFERROR(SUM(Q299:Q310),"")</f>
        <v>7.5694444444444009E-2</v>
      </c>
      <c r="R311" s="2" t="s">
        <v>261</v>
      </c>
      <c r="S311" s="74">
        <v>948950</v>
      </c>
      <c r="T311" s="99">
        <f>IFERROR(J311,"")</f>
        <v>159.15670781249997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274</v>
      </c>
      <c r="F312" s="101">
        <f>IFERROR(IF($D312="","",VLOOKUP($D312,Cadastro!$C$4:$E$7,3,FALSE())),"")</f>
        <v>0.24</v>
      </c>
      <c r="G312" s="63">
        <v>23</v>
      </c>
      <c r="H312" s="64">
        <f>IFERROR(IF($G312="","",$G312*$S$324/$G$324/Cadastro!$E$33),"")</f>
        <v>104.51757575757576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15.050530909090908</v>
      </c>
      <c r="K312" s="64">
        <f t="shared" ref="K312:K323" si="71">IF(G312="","",IF(E312="PC 17",G312*4.2,IF(E312="PC 19",G312*5,IF(E312="CB",G312*24,""))))</f>
        <v>96.600000000000009</v>
      </c>
      <c r="L312" s="61" t="s">
        <v>29</v>
      </c>
      <c r="M312" s="61" t="s">
        <v>168</v>
      </c>
      <c r="N312" s="61" t="s">
        <v>83</v>
      </c>
      <c r="O312" s="65">
        <v>0.94097222222222199</v>
      </c>
      <c r="P312" s="65">
        <v>0.96875</v>
      </c>
      <c r="Q312" s="66">
        <f t="shared" ref="Q312:Q323" ca="1" si="72">IFERROR(IF(O312="","",IF(P312="",MOD(NOW()-O312,1),IF(P312&gt;=O312,P312-O312,P312+1-O312))),"")</f>
        <v>2.7777777777778012E-2</v>
      </c>
      <c r="R312" s="63"/>
      <c r="S312" s="133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62" t="s">
        <v>39</v>
      </c>
      <c r="E313" s="87" t="s">
        <v>274</v>
      </c>
      <c r="F313" s="88">
        <f>IFERROR(IF($D313="","",VLOOKUP($D313,Cadastro!$C$4:$E$7,3,FALSE())),"")</f>
        <v>0.24</v>
      </c>
      <c r="G313" s="63">
        <v>17</v>
      </c>
      <c r="H313" s="64">
        <f>IFERROR(IF($G313="","",$G313*$S$324/$G$324/Cadastro!$E$33),"")</f>
        <v>77.25212121212121</v>
      </c>
      <c r="I313" s="90">
        <f>IFERROR(IF($D313="","",VLOOKUP($D313,Cadastro!$C$4:$G$7,5,FALSE())),"")</f>
        <v>0.6</v>
      </c>
      <c r="J313" s="91">
        <f t="shared" si="70"/>
        <v>11.124305454545453</v>
      </c>
      <c r="K313" s="69">
        <f t="shared" si="71"/>
        <v>71.400000000000006</v>
      </c>
      <c r="L313" s="70" t="s">
        <v>28</v>
      </c>
      <c r="M313" s="70" t="s">
        <v>173</v>
      </c>
      <c r="N313" s="70" t="s">
        <v>36</v>
      </c>
      <c r="O313" s="65">
        <v>8.1250000000000003E-2</v>
      </c>
      <c r="P313" s="65">
        <v>9.5138888888888898E-2</v>
      </c>
      <c r="Q313" s="71">
        <f t="shared" ca="1" si="72"/>
        <v>1.3888888888888895E-2</v>
      </c>
      <c r="R313" s="63"/>
      <c r="S313" s="133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62" t="s">
        <v>39</v>
      </c>
      <c r="E314" s="87" t="s">
        <v>274</v>
      </c>
      <c r="F314" s="88">
        <f>IFERROR(IF($D314="","",VLOOKUP($D314,Cadastro!$C$4:$E$7,3,FALSE())),"")</f>
        <v>0.24</v>
      </c>
      <c r="G314" s="63">
        <v>35</v>
      </c>
      <c r="H314" s="64">
        <f>IFERROR(IF($G314="","",$G314*$S$324/$G$324/Cadastro!$E$33),"")</f>
        <v>159.04848484848486</v>
      </c>
      <c r="I314" s="90">
        <f>IFERROR(IF($D314="","",VLOOKUP($D314,Cadastro!$C$4:$G$7,5,FALSE())),"")</f>
        <v>0.6</v>
      </c>
      <c r="J314" s="91">
        <f t="shared" si="70"/>
        <v>22.902981818181818</v>
      </c>
      <c r="K314" s="64">
        <f t="shared" si="71"/>
        <v>147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2"/>
        <v>7.6388888888890005E-3</v>
      </c>
      <c r="R314" s="63"/>
      <c r="S314" s="133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62" t="s">
        <v>39</v>
      </c>
      <c r="E315" s="87" t="s">
        <v>274</v>
      </c>
      <c r="F315" s="88">
        <f>IFERROR(IF($D315="","",VLOOKUP($D315,Cadastro!$C$4:$E$7,3,FALSE())),"")</f>
        <v>0.24</v>
      </c>
      <c r="G315" s="63">
        <v>3</v>
      </c>
      <c r="H315" s="64">
        <f>IFERROR(IF($G315="","",$G315*$S$324/$G$324/Cadastro!$E$33),"")</f>
        <v>13.632727272727273</v>
      </c>
      <c r="I315" s="90">
        <f>IFERROR(IF($D315="","",VLOOKUP($D315,Cadastro!$C$4:$G$7,5,FALSE())),"")</f>
        <v>0.6</v>
      </c>
      <c r="J315" s="91">
        <f t="shared" si="70"/>
        <v>1.9631127272727271</v>
      </c>
      <c r="K315" s="69">
        <f t="shared" si="71"/>
        <v>12.600000000000001</v>
      </c>
      <c r="L315" s="70"/>
      <c r="M315" s="70"/>
      <c r="N315" s="70"/>
      <c r="O315" s="65"/>
      <c r="P315" s="65"/>
      <c r="Q315" s="71" t="str">
        <f t="shared" ca="1" si="72"/>
        <v/>
      </c>
      <c r="R315" s="63"/>
      <c r="S315" s="133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62" t="s">
        <v>39</v>
      </c>
      <c r="E316" s="87" t="s">
        <v>274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90.884848484848476</v>
      </c>
      <c r="I316" s="90">
        <f>IFERROR(IF($D316="","",VLOOKUP($D316,Cadastro!$C$4:$G$7,5,FALSE())),"")</f>
        <v>0.6</v>
      </c>
      <c r="J316" s="91">
        <f t="shared" si="70"/>
        <v>13.087418181818181</v>
      </c>
      <c r="K316" s="64">
        <f t="shared" si="71"/>
        <v>84</v>
      </c>
      <c r="L316" s="61"/>
      <c r="M316" s="61"/>
      <c r="N316" s="61"/>
      <c r="O316" s="65"/>
      <c r="P316" s="65"/>
      <c r="Q316" s="66" t="str">
        <f t="shared" ca="1" si="72"/>
        <v/>
      </c>
      <c r="R316" s="63"/>
      <c r="S316" s="133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62" t="s">
        <v>39</v>
      </c>
      <c r="E317" s="87" t="s">
        <v>274</v>
      </c>
      <c r="F317" s="88">
        <f>IFERROR(IF($D317="","",VLOOKUP($D317,Cadastro!$C$4:$E$7,3,FALSE())),"")</f>
        <v>0.24</v>
      </c>
      <c r="G317" s="63">
        <v>24</v>
      </c>
      <c r="H317" s="64">
        <f>IFERROR(IF($G317="","",$G317*$S$324/$G$324/Cadastro!$E$33),"")</f>
        <v>109.06181818181818</v>
      </c>
      <c r="I317" s="90">
        <f>IFERROR(IF($D317="","",VLOOKUP($D317,Cadastro!$C$4:$G$7,5,FALSE())),"")</f>
        <v>0.6</v>
      </c>
      <c r="J317" s="91">
        <f t="shared" si="70"/>
        <v>15.704901818181817</v>
      </c>
      <c r="K317" s="69">
        <f t="shared" si="71"/>
        <v>100.80000000000001</v>
      </c>
      <c r="L317" s="70"/>
      <c r="M317" s="70"/>
      <c r="N317" s="70"/>
      <c r="O317" s="65"/>
      <c r="P317" s="65"/>
      <c r="Q317" s="71" t="str">
        <f t="shared" ca="1" si="72"/>
        <v/>
      </c>
      <c r="R317" s="63"/>
      <c r="S317" s="133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62" t="s">
        <v>39</v>
      </c>
      <c r="E318" s="87" t="s">
        <v>274</v>
      </c>
      <c r="F318" s="88">
        <f>IFERROR(IF($D318="","",VLOOKUP($D318,Cadastro!$C$4:$E$7,3,FALSE())),"")</f>
        <v>0.24</v>
      </c>
      <c r="G318" s="63">
        <v>14</v>
      </c>
      <c r="H318" s="64">
        <f>IFERROR(IF($G318="","",$G318*$S$324/$G$324/Cadastro!$E$33),"")</f>
        <v>63.619393939393937</v>
      </c>
      <c r="I318" s="90">
        <f>IFERROR(IF($D318="","",VLOOKUP($D318,Cadastro!$C$4:$G$7,5,FALSE())),"")</f>
        <v>0.6</v>
      </c>
      <c r="J318" s="91">
        <f t="shared" si="70"/>
        <v>9.1611927272727272</v>
      </c>
      <c r="K318" s="64">
        <f t="shared" si="71"/>
        <v>58.800000000000004</v>
      </c>
      <c r="L318" s="61"/>
      <c r="M318" s="61"/>
      <c r="N318" s="61"/>
      <c r="O318" s="65"/>
      <c r="P318" s="65"/>
      <c r="Q318" s="66" t="str">
        <f t="shared" ca="1" si="72"/>
        <v/>
      </c>
      <c r="R318" s="63"/>
      <c r="S318" s="133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62" t="s">
        <v>39</v>
      </c>
      <c r="E319" s="87" t="s">
        <v>274</v>
      </c>
      <c r="F319" s="88">
        <f>IFERROR(IF($D319="","",VLOOKUP($D319,Cadastro!$C$4:$E$7,3,FALSE())),"")</f>
        <v>0.24</v>
      </c>
      <c r="G319" s="63">
        <v>24</v>
      </c>
      <c r="H319" s="64">
        <f>IFERROR(IF($G319="","",$G319*$S$324/$G$324/Cadastro!$E$33),"")</f>
        <v>109.06181818181818</v>
      </c>
      <c r="I319" s="90">
        <f>IFERROR(IF($D319="","",VLOOKUP($D319,Cadastro!$C$4:$G$7,5,FALSE())),"")</f>
        <v>0.6</v>
      </c>
      <c r="J319" s="91">
        <f t="shared" si="70"/>
        <v>15.704901818181817</v>
      </c>
      <c r="K319" s="69">
        <f t="shared" si="71"/>
        <v>100.80000000000001</v>
      </c>
      <c r="L319" s="70"/>
      <c r="M319" s="70"/>
      <c r="N319" s="70"/>
      <c r="O319" s="65"/>
      <c r="P319" s="65"/>
      <c r="Q319" s="71" t="str">
        <f t="shared" ca="1" si="72"/>
        <v/>
      </c>
      <c r="R319" s="63"/>
      <c r="S319" s="133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62" t="s">
        <v>39</v>
      </c>
      <c r="E320" s="87" t="s">
        <v>274</v>
      </c>
      <c r="F320" s="88">
        <f>IFERROR(IF($D320="","",VLOOKUP($D320,Cadastro!$C$4:$E$7,3,FALSE())),"")</f>
        <v>0.24</v>
      </c>
      <c r="G320" s="63">
        <v>17</v>
      </c>
      <c r="H320" s="64">
        <f>IFERROR(IF($G320="","",$G320*$S$324/$G$324/Cadastro!$E$33),"")</f>
        <v>77.25212121212121</v>
      </c>
      <c r="I320" s="90">
        <f>IFERROR(IF($D320="","",VLOOKUP($D320,Cadastro!$C$4:$G$7,5,FALSE())),"")</f>
        <v>0.6</v>
      </c>
      <c r="J320" s="91">
        <f t="shared" si="70"/>
        <v>11.124305454545453</v>
      </c>
      <c r="K320" s="64">
        <f t="shared" si="71"/>
        <v>71.400000000000006</v>
      </c>
      <c r="L320" s="61"/>
      <c r="M320" s="61"/>
      <c r="N320" s="61"/>
      <c r="O320" s="65"/>
      <c r="P320" s="65"/>
      <c r="Q320" s="66" t="str">
        <f t="shared" ca="1" si="72"/>
        <v/>
      </c>
      <c r="R320" s="63"/>
      <c r="S320" s="133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62" t="s">
        <v>39</v>
      </c>
      <c r="E321" s="87" t="s">
        <v>274</v>
      </c>
      <c r="F321" s="88">
        <f>IFERROR(IF($D321="","",VLOOKUP($D321,Cadastro!$C$4:$E$7,3,FALSE())),"")</f>
        <v>0.24</v>
      </c>
      <c r="G321" s="63">
        <v>16</v>
      </c>
      <c r="H321" s="64">
        <f>IFERROR(IF($G321="","",$G321*$S$324/$G$324/Cadastro!$E$33),"")</f>
        <v>72.707878787878784</v>
      </c>
      <c r="I321" s="90">
        <f>IFERROR(IF($D321="","",VLOOKUP($D321,Cadastro!$C$4:$G$7,5,FALSE())),"")</f>
        <v>0.6</v>
      </c>
      <c r="J321" s="91">
        <f t="shared" si="70"/>
        <v>10.469934545454544</v>
      </c>
      <c r="K321" s="69">
        <f t="shared" si="71"/>
        <v>67.2</v>
      </c>
      <c r="L321" s="70"/>
      <c r="M321" s="70"/>
      <c r="N321" s="70"/>
      <c r="O321" s="65"/>
      <c r="P321" s="65"/>
      <c r="Q321" s="71" t="str">
        <f t="shared" ca="1" si="72"/>
        <v/>
      </c>
      <c r="R321" s="63"/>
      <c r="S321" s="133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62" t="s">
        <v>39</v>
      </c>
      <c r="E322" s="87" t="s">
        <v>274</v>
      </c>
      <c r="F322" s="88">
        <f>IFERROR(IF($D322="","",VLOOKUP($D322,Cadastro!$C$4:$E$7,3,FALSE())),"")</f>
        <v>0.24</v>
      </c>
      <c r="G322" s="63">
        <v>20</v>
      </c>
      <c r="H322" s="64">
        <f>IFERROR(IF($G322="","",$G322*$S$324/$G$324/Cadastro!$E$33),"")</f>
        <v>90.884848484848476</v>
      </c>
      <c r="I322" s="90">
        <f>IFERROR(IF($D322="","",VLOOKUP($D322,Cadastro!$C$4:$G$7,5,FALSE())),"")</f>
        <v>0.6</v>
      </c>
      <c r="J322" s="91">
        <f t="shared" si="70"/>
        <v>13.087418181818181</v>
      </c>
      <c r="K322" s="64">
        <f t="shared" si="71"/>
        <v>84</v>
      </c>
      <c r="L322" s="61"/>
      <c r="M322" s="61"/>
      <c r="N322" s="61"/>
      <c r="O322" s="65"/>
      <c r="P322" s="65"/>
      <c r="Q322" s="66" t="str">
        <f t="shared" ca="1" si="72"/>
        <v/>
      </c>
      <c r="R322" s="63"/>
      <c r="S322" s="133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62" t="s">
        <v>39</v>
      </c>
      <c r="E323" s="87" t="s">
        <v>274</v>
      </c>
      <c r="F323" s="92">
        <f>IFERROR(IF($D323="","",VLOOKUP($D323,Cadastro!$C$4:$E$7,3,FALSE())),"")</f>
        <v>0.24</v>
      </c>
      <c r="G323" s="63">
        <v>18</v>
      </c>
      <c r="H323" s="64">
        <f>IFERROR(IF($G323="","",$G323*$S$324/$G$324/Cadastro!$E$33),"")</f>
        <v>81.796363636363637</v>
      </c>
      <c r="I323" s="93">
        <f>IFERROR(IF($D323="","",VLOOKUP($D323,Cadastro!$C$4:$G$7,5,FALSE())),"")</f>
        <v>0.6</v>
      </c>
      <c r="J323" s="94">
        <f t="shared" si="70"/>
        <v>11.778676363636363</v>
      </c>
      <c r="K323" s="69">
        <f t="shared" si="71"/>
        <v>75.600000000000009</v>
      </c>
      <c r="L323" s="70"/>
      <c r="M323" s="70"/>
      <c r="N323" s="70"/>
      <c r="O323" s="65"/>
      <c r="P323" s="65"/>
      <c r="Q323" s="71" t="str">
        <f t="shared" ca="1" si="72"/>
        <v/>
      </c>
      <c r="R323" s="63"/>
      <c r="S323" s="133"/>
    </row>
    <row r="324" spans="1:20" ht="15.75" customHeight="1">
      <c r="A324" s="156" t="s">
        <v>263</v>
      </c>
      <c r="B324" s="156"/>
      <c r="C324" s="156"/>
      <c r="D324" s="156"/>
      <c r="E324" s="156"/>
      <c r="F324" s="105"/>
      <c r="G324" s="96">
        <f>SUM(G312:G323)</f>
        <v>231</v>
      </c>
      <c r="H324" s="105">
        <f>IFERROR(SUM(H312:H323),"")</f>
        <v>1049.72</v>
      </c>
      <c r="I324" s="106"/>
      <c r="J324" s="107">
        <f>IFERROR(SUM(J312:J323),"")</f>
        <v>151.15967999999998</v>
      </c>
      <c r="K324" s="2">
        <f>SUM(K312:K323)</f>
        <v>970.2</v>
      </c>
      <c r="L324" s="72"/>
      <c r="M324" s="72"/>
      <c r="N324" s="72"/>
      <c r="O324" s="134"/>
      <c r="P324" s="134"/>
      <c r="Q324" s="73">
        <f ca="1">IFERROR(SUM(Q312:Q323),"")</f>
        <v>4.9305555555555908E-2</v>
      </c>
      <c r="R324" s="2" t="s">
        <v>261</v>
      </c>
      <c r="S324" s="74">
        <v>1049720</v>
      </c>
      <c r="T324" s="99">
        <f>IFERROR(J324,"")</f>
        <v>151.15967999999998</v>
      </c>
    </row>
    <row r="325" spans="1:20" ht="18" customHeight="1">
      <c r="A325" s="157" t="s">
        <v>249</v>
      </c>
      <c r="B325" s="157"/>
      <c r="C325" s="157"/>
      <c r="D325" s="157"/>
      <c r="E325" s="157"/>
      <c r="F325" s="108"/>
      <c r="G325" s="109">
        <f>G311+G324</f>
        <v>423</v>
      </c>
      <c r="H325" s="108">
        <f>IFERROR(H311+H324,"")</f>
        <v>1998.67</v>
      </c>
      <c r="I325" s="110"/>
      <c r="J325" s="111">
        <f>IFERROR(J311+J324,"")</f>
        <v>310.31638781249995</v>
      </c>
      <c r="K325" s="1">
        <f>K311+K324</f>
        <v>1776.6</v>
      </c>
      <c r="L325" s="76"/>
      <c r="M325" s="76"/>
      <c r="N325" s="76"/>
      <c r="O325" s="135"/>
      <c r="P325" s="135"/>
      <c r="Q325" s="77">
        <f ca="1">IFERROR(Q311+Q324,"")</f>
        <v>0.12499999999999992</v>
      </c>
      <c r="R325" s="1" t="s">
        <v>264</v>
      </c>
      <c r="S325" s="82">
        <f>IFERROR(S311+S324,"")</f>
        <v>1998670</v>
      </c>
      <c r="T325" s="118">
        <f>IFERROR(J325,"")</f>
        <v>310.31638781249995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13</v>
      </c>
      <c r="H326" s="101">
        <f>IFERROR(IF($G326="","",$G326*$S$338/$G$338/Cadastro!$E$33),"")</f>
        <v>72.569953917050697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15.239690322580644</v>
      </c>
      <c r="K326" s="64">
        <f>IF(G326="","",IF(E327="PC 17",G326*4.2,IF(E327="PC 19",G326*5,"")))</f>
        <v>65</v>
      </c>
      <c r="L326" s="61" t="s">
        <v>28</v>
      </c>
      <c r="M326" s="61" t="s">
        <v>173</v>
      </c>
      <c r="N326" s="61" t="s">
        <v>36</v>
      </c>
      <c r="O326" s="65">
        <v>0.42638888888888898</v>
      </c>
      <c r="P326" s="65">
        <v>0.438194444444444</v>
      </c>
      <c r="Q326" s="66">
        <f t="shared" ref="Q326:Q337" ca="1" si="75">IFERROR(IF(O326="","",IF(P326="",MOD(NOW()-O326,1),IF(P326&gt;=O326,P326-O326,P326+1-O326))),"")</f>
        <v>1.1805555555555014E-2</v>
      </c>
      <c r="R326" s="63"/>
      <c r="S326" s="133"/>
    </row>
    <row r="327" spans="1:20" ht="15" customHeight="1">
      <c r="A327" s="18">
        <v>46247</v>
      </c>
      <c r="B327" s="68">
        <f t="shared" ref="B327:B337" si="76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17</v>
      </c>
      <c r="H327" s="88">
        <f>IFERROR(IF($G327="","",$G327*$S$338/$G$338/Cadastro!$E$33),"")</f>
        <v>94.899170506912441</v>
      </c>
      <c r="I327" s="90">
        <f>IFERROR(IF($D327="","",VLOOKUP($D327,Cadastro!$C$4:$G$7,5,FALSE())),"")</f>
        <v>0.6</v>
      </c>
      <c r="J327" s="91">
        <f t="shared" si="74"/>
        <v>19.928825806451609</v>
      </c>
      <c r="K327" s="64">
        <f>IF(G327="","",IF(E328="PC 17",G327*4.2,IF(E328="PC 19",G327*5,"")))</f>
        <v>85</v>
      </c>
      <c r="L327" s="70" t="s">
        <v>26</v>
      </c>
      <c r="M327" s="70"/>
      <c r="N327" s="70" t="s">
        <v>34</v>
      </c>
      <c r="O327" s="65">
        <v>0.63124999999999998</v>
      </c>
      <c r="P327" s="65">
        <v>0.63680555555555596</v>
      </c>
      <c r="Q327" s="71">
        <f t="shared" ca="1" si="75"/>
        <v>5.5555555555559799E-3</v>
      </c>
      <c r="R327" s="63"/>
      <c r="S327" s="133"/>
    </row>
    <row r="328" spans="1:20" ht="15" customHeight="1">
      <c r="A328" s="59">
        <v>46247</v>
      </c>
      <c r="B328" s="60">
        <f t="shared" si="76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15</v>
      </c>
      <c r="H328" s="88">
        <f>IFERROR(IF($G328="","",$G328*$S$338/$G$338/Cadastro!$E$33),"")</f>
        <v>83.734562211981569</v>
      </c>
      <c r="I328" s="90">
        <f>IFERROR(IF($D328="","",VLOOKUP($D328,Cadastro!$C$4:$G$7,5,FALSE())),"")</f>
        <v>0.6</v>
      </c>
      <c r="J328" s="91">
        <f t="shared" si="74"/>
        <v>17.584258064516128</v>
      </c>
      <c r="K328" s="64">
        <f t="shared" ref="K328:K337" si="77">IF(G328="","",IF(E328="PC 17",G328*4.2,IF(E328="PC 19",G328*5,IF(E328="CB",G328*24,""))))</f>
        <v>75</v>
      </c>
      <c r="L328" s="61" t="s">
        <v>28</v>
      </c>
      <c r="M328" s="61" t="s">
        <v>66</v>
      </c>
      <c r="N328" s="61" t="s">
        <v>36</v>
      </c>
      <c r="O328" s="65">
        <v>0.70902777777777803</v>
      </c>
      <c r="P328" s="65">
        <v>0.72430555555555598</v>
      </c>
      <c r="Q328" s="66">
        <f t="shared" ca="1" si="75"/>
        <v>1.5277777777777946E-2</v>
      </c>
      <c r="R328" s="63"/>
      <c r="S328" s="133"/>
    </row>
    <row r="329" spans="1:20" ht="15" customHeight="1">
      <c r="A329" s="18">
        <v>46247</v>
      </c>
      <c r="B329" s="68">
        <f t="shared" si="76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61.40534562211981</v>
      </c>
      <c r="I329" s="90">
        <f>IFERROR(IF($D329="","",VLOOKUP($D329,Cadastro!$C$4:$G$7,5,FALSE())),"")</f>
        <v>0.6</v>
      </c>
      <c r="J329" s="91">
        <f t="shared" si="74"/>
        <v>12.895122580645159</v>
      </c>
      <c r="K329" s="69">
        <f t="shared" si="77"/>
        <v>55</v>
      </c>
      <c r="L329" s="70" t="s">
        <v>28</v>
      </c>
      <c r="M329" s="70" t="s">
        <v>61</v>
      </c>
      <c r="N329" s="70" t="s">
        <v>36</v>
      </c>
      <c r="O329" s="65">
        <v>0.72430555555555598</v>
      </c>
      <c r="P329" s="65">
        <v>0.73263888888888895</v>
      </c>
      <c r="Q329" s="71">
        <f t="shared" ca="1" si="75"/>
        <v>8.3333333333329707E-3</v>
      </c>
      <c r="R329" s="63"/>
      <c r="S329" s="133"/>
    </row>
    <row r="330" spans="1:20" ht="15" customHeight="1">
      <c r="A330" s="59">
        <v>46247</v>
      </c>
      <c r="B330" s="60">
        <f t="shared" si="76"/>
        <v>0.49999999999999972</v>
      </c>
      <c r="C330" s="61" t="s">
        <v>38</v>
      </c>
      <c r="D330" s="62" t="s">
        <v>31</v>
      </c>
      <c r="E330" s="87" t="s">
        <v>274</v>
      </c>
      <c r="F330" s="88">
        <f>IFERROR(IF($D330="","",VLOOKUP($D330,Cadastro!$C$4:$E$7,3,FALSE())),"")</f>
        <v>0.35</v>
      </c>
      <c r="G330" s="89">
        <v>17</v>
      </c>
      <c r="H330" s="88">
        <f>IFERROR(IF($G330="","",$G330*$S$338/$G$338/Cadastro!$E$33),"")</f>
        <v>94.899170506912441</v>
      </c>
      <c r="I330" s="90">
        <f>IFERROR(IF($D330="","",VLOOKUP($D330,Cadastro!$C$4:$G$7,5,FALSE())),"")</f>
        <v>0.6</v>
      </c>
      <c r="J330" s="91">
        <f t="shared" si="74"/>
        <v>19.928825806451609</v>
      </c>
      <c r="K330" s="64">
        <f t="shared" si="77"/>
        <v>71.400000000000006</v>
      </c>
      <c r="L330" s="61"/>
      <c r="M330" s="61"/>
      <c r="N330" s="61"/>
      <c r="O330" s="65"/>
      <c r="P330" s="65"/>
      <c r="Q330" s="66" t="str">
        <f t="shared" ca="1" si="75"/>
        <v/>
      </c>
      <c r="R330" s="63"/>
      <c r="S330" s="133"/>
    </row>
    <row r="331" spans="1:20" ht="15" customHeight="1">
      <c r="A331" s="18">
        <v>46247</v>
      </c>
      <c r="B331" s="68">
        <f t="shared" si="76"/>
        <v>0.54166666666666641</v>
      </c>
      <c r="C331" s="61" t="s">
        <v>38</v>
      </c>
      <c r="D331" s="62" t="s">
        <v>31</v>
      </c>
      <c r="E331" s="87" t="s">
        <v>259</v>
      </c>
      <c r="F331" s="88">
        <f>IFERROR(IF($D331="","",VLOOKUP($D331,Cadastro!$C$4:$E$7,3,FALSE())),"")</f>
        <v>0.35</v>
      </c>
      <c r="G331" s="89">
        <v>15</v>
      </c>
      <c r="H331" s="88">
        <f>IFERROR(IF($G331="","",$G331*$S$338/$G$338/Cadastro!$E$33),"")</f>
        <v>83.734562211981569</v>
      </c>
      <c r="I331" s="90">
        <f>IFERROR(IF($D331="","",VLOOKUP($D331,Cadastro!$C$4:$G$7,5,FALSE())),"")</f>
        <v>0.6</v>
      </c>
      <c r="J331" s="91">
        <f t="shared" si="74"/>
        <v>17.584258064516128</v>
      </c>
      <c r="K331" s="69">
        <f t="shared" si="77"/>
        <v>75</v>
      </c>
      <c r="L331" s="70"/>
      <c r="M331" s="70"/>
      <c r="N331" s="70"/>
      <c r="O331" s="65"/>
      <c r="P331" s="65"/>
      <c r="Q331" s="71" t="str">
        <f t="shared" ca="1" si="75"/>
        <v/>
      </c>
      <c r="R331" s="63"/>
      <c r="S331" s="133"/>
    </row>
    <row r="332" spans="1:20" ht="15" customHeight="1">
      <c r="A332" s="59">
        <v>46247</v>
      </c>
      <c r="B332" s="60">
        <f t="shared" si="76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50</v>
      </c>
      <c r="H332" s="88">
        <f>IFERROR(IF($G332="","",$G332*$S$338/$G$338/Cadastro!$E$33),"")</f>
        <v>279.11520737327186</v>
      </c>
      <c r="I332" s="90">
        <f>IFERROR(IF($D332="","",VLOOKUP($D332,Cadastro!$C$4:$G$7,5,FALSE())),"")</f>
        <v>0.6</v>
      </c>
      <c r="J332" s="91">
        <f t="shared" si="74"/>
        <v>58.614193548387085</v>
      </c>
      <c r="K332" s="64">
        <f t="shared" si="77"/>
        <v>210</v>
      </c>
      <c r="L332" s="61"/>
      <c r="M332" s="61"/>
      <c r="N332" s="61"/>
      <c r="O332" s="65"/>
      <c r="P332" s="65"/>
      <c r="Q332" s="66" t="str">
        <f t="shared" ca="1" si="75"/>
        <v/>
      </c>
      <c r="R332" s="63"/>
      <c r="S332" s="133"/>
    </row>
    <row r="333" spans="1:20" ht="15" customHeight="1">
      <c r="A333" s="18">
        <v>46247</v>
      </c>
      <c r="B333" s="68">
        <f t="shared" si="76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24</v>
      </c>
      <c r="H333" s="88">
        <f>IFERROR(IF($G333="","",$G333*$S$338/$G$338/Cadastro!$E$33),"")</f>
        <v>133.97529953917052</v>
      </c>
      <c r="I333" s="90">
        <f>IFERROR(IF($D333="","",VLOOKUP($D333,Cadastro!$C$4:$G$7,5,FALSE())),"")</f>
        <v>0.6</v>
      </c>
      <c r="J333" s="91">
        <f t="shared" si="74"/>
        <v>28.134812903225807</v>
      </c>
      <c r="K333" s="69">
        <f t="shared" si="77"/>
        <v>100.80000000000001</v>
      </c>
      <c r="L333" s="70"/>
      <c r="M333" s="70"/>
      <c r="N333" s="70"/>
      <c r="O333" s="65"/>
      <c r="P333" s="65"/>
      <c r="Q333" s="71" t="str">
        <f t="shared" ca="1" si="75"/>
        <v/>
      </c>
      <c r="R333" s="63"/>
      <c r="S333" s="133"/>
    </row>
    <row r="334" spans="1:20" ht="15" customHeight="1">
      <c r="A334" s="59">
        <v>46247</v>
      </c>
      <c r="B334" s="60">
        <f t="shared" si="76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10</v>
      </c>
      <c r="H334" s="88">
        <f>IFERROR(IF($G334="","",$G334*$S$338/$G$338/Cadastro!$E$33),"")</f>
        <v>55.823041474654374</v>
      </c>
      <c r="I334" s="90">
        <f>IFERROR(IF($D334="","",VLOOKUP($D334,Cadastro!$C$4:$G$7,5,FALSE())),"")</f>
        <v>0.6</v>
      </c>
      <c r="J334" s="91">
        <f t="shared" si="74"/>
        <v>11.722838709677417</v>
      </c>
      <c r="K334" s="64">
        <f t="shared" si="77"/>
        <v>42</v>
      </c>
      <c r="L334" s="61"/>
      <c r="M334" s="61"/>
      <c r="N334" s="61"/>
      <c r="O334" s="65"/>
      <c r="P334" s="65"/>
      <c r="Q334" s="66" t="str">
        <f t="shared" ca="1" si="75"/>
        <v/>
      </c>
      <c r="R334" s="63"/>
      <c r="S334" s="133"/>
    </row>
    <row r="335" spans="1:20" ht="15" customHeight="1">
      <c r="A335" s="18">
        <v>46247</v>
      </c>
      <c r="B335" s="68">
        <f t="shared" si="76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21</v>
      </c>
      <c r="H335" s="88">
        <f>IFERROR(IF($G335="","",$G335*$S$338/$G$338/Cadastro!$E$33),"")</f>
        <v>117.2283870967742</v>
      </c>
      <c r="I335" s="90">
        <f>IFERROR(IF($D335="","",VLOOKUP($D335,Cadastro!$C$4:$G$7,5,FALSE())),"")</f>
        <v>0.6</v>
      </c>
      <c r="J335" s="91">
        <f t="shared" si="74"/>
        <v>24.61796129032258</v>
      </c>
      <c r="K335" s="69">
        <f t="shared" si="77"/>
        <v>88.2</v>
      </c>
      <c r="L335" s="70"/>
      <c r="M335" s="70"/>
      <c r="N335" s="70"/>
      <c r="O335" s="65"/>
      <c r="P335" s="65"/>
      <c r="Q335" s="71" t="str">
        <f t="shared" ca="1" si="75"/>
        <v/>
      </c>
      <c r="R335" s="63"/>
      <c r="S335" s="133"/>
    </row>
    <row r="336" spans="1:20" ht="15" customHeight="1">
      <c r="A336" s="59">
        <v>46247</v>
      </c>
      <c r="B336" s="60">
        <f t="shared" si="76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12</v>
      </c>
      <c r="H336" s="88">
        <f>IFERROR(IF($G336="","",$G336*$S$338/$G$338/Cadastro!$E$33),"")</f>
        <v>66.987649769585261</v>
      </c>
      <c r="I336" s="90">
        <f>IFERROR(IF($D336="","",VLOOKUP($D336,Cadastro!$C$4:$G$7,5,FALSE())),"")</f>
        <v>0.6</v>
      </c>
      <c r="J336" s="91">
        <f t="shared" si="74"/>
        <v>14.067406451612904</v>
      </c>
      <c r="K336" s="64">
        <f t="shared" si="77"/>
        <v>50.400000000000006</v>
      </c>
      <c r="L336" s="61"/>
      <c r="M336" s="61"/>
      <c r="N336" s="61"/>
      <c r="O336" s="65"/>
      <c r="P336" s="65"/>
      <c r="Q336" s="66" t="str">
        <f t="shared" ca="1" si="75"/>
        <v/>
      </c>
      <c r="R336" s="63"/>
      <c r="S336" s="133"/>
    </row>
    <row r="337" spans="1:20" ht="15" customHeight="1">
      <c r="A337" s="18">
        <v>46247</v>
      </c>
      <c r="B337" s="68">
        <f t="shared" si="76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12</v>
      </c>
      <c r="H337" s="92">
        <f>IFERROR(IF($G337="","",$G337*$S$338/$G$338/Cadastro!$E$33),"")</f>
        <v>66.987649769585261</v>
      </c>
      <c r="I337" s="93">
        <f>IFERROR(IF($D337="","",VLOOKUP($D337,Cadastro!$C$4:$G$7,5,FALSE())),"")</f>
        <v>0.6</v>
      </c>
      <c r="J337" s="94">
        <f t="shared" si="74"/>
        <v>14.067406451612904</v>
      </c>
      <c r="K337" s="69">
        <f t="shared" si="77"/>
        <v>50.400000000000006</v>
      </c>
      <c r="L337" s="70"/>
      <c r="M337" s="70"/>
      <c r="N337" s="70"/>
      <c r="O337" s="65"/>
      <c r="P337" s="65"/>
      <c r="Q337" s="71" t="str">
        <f t="shared" ca="1" si="75"/>
        <v/>
      </c>
      <c r="R337" s="63"/>
      <c r="S337" s="133"/>
    </row>
    <row r="338" spans="1:20" ht="15.75" customHeight="1">
      <c r="A338" s="156" t="s">
        <v>260</v>
      </c>
      <c r="B338" s="156"/>
      <c r="C338" s="156"/>
      <c r="D338" s="156"/>
      <c r="E338" s="156"/>
      <c r="F338" s="95"/>
      <c r="G338" s="96">
        <f>SUM(G326:G337)</f>
        <v>217</v>
      </c>
      <c r="H338" s="95">
        <f>IFERROR(SUM(H326:H337),"")</f>
        <v>1211.3599999999999</v>
      </c>
      <c r="I338" s="97"/>
      <c r="J338" s="98">
        <f>IFERROR(SUM(J326:J337),"")</f>
        <v>254.38559999999993</v>
      </c>
      <c r="K338" s="2">
        <f>SUM(K326:K337)</f>
        <v>968.2</v>
      </c>
      <c r="L338" s="72"/>
      <c r="M338" s="72"/>
      <c r="N338" s="72"/>
      <c r="O338" s="134"/>
      <c r="P338" s="134"/>
      <c r="Q338" s="73">
        <f ca="1">IFERROR(SUM(Q326:Q337),"")</f>
        <v>4.097222222222191E-2</v>
      </c>
      <c r="R338" s="2" t="s">
        <v>261</v>
      </c>
      <c r="S338" s="74">
        <v>1211360</v>
      </c>
      <c r="T338" s="99">
        <f>IFERROR(J338,"")</f>
        <v>254.38559999999993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30</v>
      </c>
      <c r="H339" s="101">
        <f>IFERROR(IF($G339="","",$G339*$S$351/$G$351/Cadastro!$E$33),"")</f>
        <v>133.94050632911393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28.12750632911392</v>
      </c>
      <c r="K339" s="69">
        <f t="shared" ref="K339:K350" si="79">IF(G339="","",IF(E339="PC 17",G339*4.2,IF(E339="PC 19",G339*5,IF(E339="CB",G339*24,""))))</f>
        <v>126</v>
      </c>
      <c r="L339" s="70" t="s">
        <v>29</v>
      </c>
      <c r="M339" s="70" t="s">
        <v>173</v>
      </c>
      <c r="N339" s="70" t="s">
        <v>71</v>
      </c>
      <c r="O339" s="65">
        <v>0.88333333333333297</v>
      </c>
      <c r="P339" s="65">
        <v>0.88541666666666696</v>
      </c>
      <c r="Q339" s="71">
        <f t="shared" ref="Q339:Q350" ca="1" si="80">IFERROR(IF(O339="","",IF(P339="",MOD(NOW()-O339,1),IF(P339&gt;=O339,P339-O339,P339+1-O339))),"")</f>
        <v>2.0833333333339921E-3</v>
      </c>
      <c r="R339" s="63"/>
      <c r="S339" s="133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16</v>
      </c>
      <c r="H340" s="88">
        <f>IFERROR(IF($G340="","",$G340*$S$351/$G$351/Cadastro!$E$33),"")</f>
        <v>71.434936708860761</v>
      </c>
      <c r="I340" s="90">
        <f>IFERROR(IF($D340="","",VLOOKUP($D340,Cadastro!$C$4:$G$7,5,FALSE())),"")</f>
        <v>0.6</v>
      </c>
      <c r="J340" s="91">
        <f t="shared" si="78"/>
        <v>15.001336708860757</v>
      </c>
      <c r="K340" s="64">
        <f t="shared" si="79"/>
        <v>67.2</v>
      </c>
      <c r="L340" s="61" t="s">
        <v>29</v>
      </c>
      <c r="M340" s="61" t="s">
        <v>66</v>
      </c>
      <c r="N340" s="61" t="s">
        <v>37</v>
      </c>
      <c r="O340" s="65">
        <v>0.89652777777777803</v>
      </c>
      <c r="P340" s="65">
        <v>0.90138888888888902</v>
      </c>
      <c r="Q340" s="66">
        <f t="shared" ca="1" si="80"/>
        <v>4.8611111111109828E-3</v>
      </c>
      <c r="R340" s="63"/>
      <c r="S340" s="133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32</v>
      </c>
      <c r="H341" s="88">
        <f>IFERROR(IF($G341="","",$G341*$S$351/$G$351/Cadastro!$E$33),"")</f>
        <v>142.86987341772152</v>
      </c>
      <c r="I341" s="90">
        <f>IFERROR(IF($D341="","",VLOOKUP($D341,Cadastro!$C$4:$G$7,5,FALSE())),"")</f>
        <v>0.6</v>
      </c>
      <c r="J341" s="91">
        <f t="shared" si="78"/>
        <v>30.002673417721514</v>
      </c>
      <c r="K341" s="69">
        <f t="shared" si="79"/>
        <v>134.4</v>
      </c>
      <c r="L341" s="70" t="s">
        <v>29</v>
      </c>
      <c r="M341" s="70" t="s">
        <v>61</v>
      </c>
      <c r="N341" s="70" t="s">
        <v>37</v>
      </c>
      <c r="O341" s="65">
        <v>0.93472222222222201</v>
      </c>
      <c r="P341" s="65">
        <v>0.938194444444444</v>
      </c>
      <c r="Q341" s="71">
        <f t="shared" ca="1" si="80"/>
        <v>3.4722222222219878E-3</v>
      </c>
      <c r="R341" s="63"/>
      <c r="S341" s="133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53.576202531645571</v>
      </c>
      <c r="I342" s="90">
        <f>IFERROR(IF($D342="","",VLOOKUP($D342,Cadastro!$C$4:$G$7,5,FALSE())),"")</f>
        <v>0.6</v>
      </c>
      <c r="J342" s="91">
        <f t="shared" si="78"/>
        <v>11.25100253164557</v>
      </c>
      <c r="K342" s="64">
        <f t="shared" si="79"/>
        <v>50.400000000000006</v>
      </c>
      <c r="L342" s="61" t="s">
        <v>28</v>
      </c>
      <c r="M342" s="61" t="s">
        <v>173</v>
      </c>
      <c r="N342" s="61" t="s">
        <v>36</v>
      </c>
      <c r="O342" s="65">
        <v>0.94305555555555598</v>
      </c>
      <c r="P342" s="65">
        <v>0.95833333333333304</v>
      </c>
      <c r="Q342" s="66">
        <f t="shared" ca="1" si="80"/>
        <v>1.5277777777777057E-2</v>
      </c>
      <c r="R342" s="63"/>
      <c r="S342" s="133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15</v>
      </c>
      <c r="H343" s="88">
        <f>IFERROR(IF($G343="","",$G343*$S$351/$G$351/Cadastro!$E$33),"")</f>
        <v>66.970253164556965</v>
      </c>
      <c r="I343" s="90">
        <f>IFERROR(IF($D343="","",VLOOKUP($D343,Cadastro!$C$4:$G$7,5,FALSE())),"")</f>
        <v>0.6</v>
      </c>
      <c r="J343" s="91">
        <f t="shared" si="78"/>
        <v>14.06375316455696</v>
      </c>
      <c r="K343" s="69">
        <f t="shared" si="79"/>
        <v>63</v>
      </c>
      <c r="L343" s="70" t="s">
        <v>29</v>
      </c>
      <c r="M343" s="70" t="s">
        <v>61</v>
      </c>
      <c r="N343" s="70" t="s">
        <v>45</v>
      </c>
      <c r="O343" s="65">
        <v>0.97430555555555598</v>
      </c>
      <c r="P343" s="65">
        <v>0.98194444444444395</v>
      </c>
      <c r="Q343" s="71">
        <f t="shared" ca="1" si="80"/>
        <v>7.6388888888879736E-3</v>
      </c>
      <c r="R343" s="63"/>
      <c r="S343" s="133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27</v>
      </c>
      <c r="H344" s="88">
        <f>IFERROR(IF($G344="","",$G344*$S$351/$G$351/Cadastro!$E$33),"")</f>
        <v>120.54645569620254</v>
      </c>
      <c r="I344" s="90">
        <f>IFERROR(IF($D344="","",VLOOKUP($D344,Cadastro!$C$4:$G$7,5,FALSE())),"")</f>
        <v>0.6</v>
      </c>
      <c r="J344" s="91">
        <f t="shared" si="78"/>
        <v>25.314755696202528</v>
      </c>
      <c r="K344" s="64">
        <f t="shared" si="79"/>
        <v>113.4</v>
      </c>
      <c r="L344" s="61" t="s">
        <v>29</v>
      </c>
      <c r="M344" s="61" t="s">
        <v>66</v>
      </c>
      <c r="N344" s="61" t="s">
        <v>37</v>
      </c>
      <c r="O344" s="65">
        <v>0.99375000000000002</v>
      </c>
      <c r="P344" s="65">
        <v>0.99791666666666701</v>
      </c>
      <c r="Q344" s="66">
        <f t="shared" ca="1" si="80"/>
        <v>4.1666666666669849E-3</v>
      </c>
      <c r="R344" s="63"/>
      <c r="S344" s="133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24</v>
      </c>
      <c r="H345" s="88">
        <f>IFERROR(IF($G345="","",$G345*$S$351/$G$351/Cadastro!$E$33),"")</f>
        <v>107.15240506329114</v>
      </c>
      <c r="I345" s="90">
        <f>IFERROR(IF($D345="","",VLOOKUP($D345,Cadastro!$C$4:$G$7,5,FALSE())),"")</f>
        <v>0.6</v>
      </c>
      <c r="J345" s="91">
        <f t="shared" si="78"/>
        <v>22.50200506329114</v>
      </c>
      <c r="K345" s="69">
        <f t="shared" si="79"/>
        <v>100.80000000000001</v>
      </c>
      <c r="L345" s="70" t="s">
        <v>29</v>
      </c>
      <c r="M345" s="70" t="s">
        <v>66</v>
      </c>
      <c r="N345" s="70" t="s">
        <v>37</v>
      </c>
      <c r="O345" s="65">
        <v>1.7361111111111101E-2</v>
      </c>
      <c r="P345" s="65">
        <v>2.36111111111111E-2</v>
      </c>
      <c r="Q345" s="71">
        <f t="shared" ca="1" si="80"/>
        <v>6.2499999999999986E-3</v>
      </c>
      <c r="R345" s="63"/>
      <c r="S345" s="133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19</v>
      </c>
      <c r="H346" s="88">
        <f>IFERROR(IF($G346="","",$G346*$S$351/$G$351/Cadastro!$E$33),"")</f>
        <v>84.828987341772148</v>
      </c>
      <c r="I346" s="90">
        <f>IFERROR(IF($D346="","",VLOOKUP($D346,Cadastro!$C$4:$G$7,5,FALSE())),"")</f>
        <v>0.6</v>
      </c>
      <c r="J346" s="91">
        <f t="shared" si="78"/>
        <v>17.814087341772147</v>
      </c>
      <c r="K346" s="64">
        <f t="shared" si="79"/>
        <v>79.8</v>
      </c>
      <c r="L346" s="61" t="s">
        <v>28</v>
      </c>
      <c r="M346" s="61" t="s">
        <v>173</v>
      </c>
      <c r="N346" s="61" t="s">
        <v>36</v>
      </c>
      <c r="O346" s="65">
        <v>0.19375000000000001</v>
      </c>
      <c r="P346" s="65">
        <v>0.21666666666666701</v>
      </c>
      <c r="Q346" s="66">
        <f t="shared" ca="1" si="80"/>
        <v>2.2916666666667002E-2</v>
      </c>
      <c r="R346" s="63" t="s">
        <v>392</v>
      </c>
      <c r="S346" s="133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25</v>
      </c>
      <c r="H347" s="88">
        <f>IFERROR(IF($G347="","",$G347*$S$351/$G$351/Cadastro!$E$33),"")</f>
        <v>111.61708860759494</v>
      </c>
      <c r="I347" s="90">
        <f>IFERROR(IF($D347="","",VLOOKUP($D347,Cadastro!$C$4:$G$7,5,FALSE())),"")</f>
        <v>0.6</v>
      </c>
      <c r="J347" s="91">
        <f t="shared" si="78"/>
        <v>23.439588607594935</v>
      </c>
      <c r="K347" s="69">
        <f t="shared" si="79"/>
        <v>105</v>
      </c>
      <c r="L347" s="70" t="s">
        <v>29</v>
      </c>
      <c r="M347" s="70" t="s">
        <v>66</v>
      </c>
      <c r="N347" s="70" t="s">
        <v>65</v>
      </c>
      <c r="O347" s="65">
        <v>0.227083333333333</v>
      </c>
      <c r="P347" s="65">
        <v>0.242361111111111</v>
      </c>
      <c r="Q347" s="71">
        <f t="shared" ca="1" si="80"/>
        <v>1.5277777777778001E-2</v>
      </c>
      <c r="R347" s="63" t="s">
        <v>393</v>
      </c>
      <c r="S347" s="133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13</v>
      </c>
      <c r="H348" s="88">
        <f>IFERROR(IF($G348="","",$G348*$S$351/$G$351/Cadastro!$E$33),"")</f>
        <v>58.040886075949366</v>
      </c>
      <c r="I348" s="90">
        <f>IFERROR(IF($D348="","",VLOOKUP($D348,Cadastro!$C$4:$G$7,5,FALSE())),"")</f>
        <v>0.6</v>
      </c>
      <c r="J348" s="91">
        <f t="shared" si="78"/>
        <v>12.188586075949367</v>
      </c>
      <c r="K348" s="64">
        <f t="shared" si="79"/>
        <v>54.6</v>
      </c>
      <c r="L348" s="61"/>
      <c r="M348" s="61"/>
      <c r="N348" s="61"/>
      <c r="O348" s="65"/>
      <c r="P348" s="65"/>
      <c r="Q348" s="66" t="str">
        <f t="shared" ca="1" si="80"/>
        <v/>
      </c>
      <c r="R348" s="63"/>
      <c r="S348" s="133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9</v>
      </c>
      <c r="H349" s="88">
        <f>IFERROR(IF($G349="","",$G349*$S$351/$G$351/Cadastro!$E$33),"")</f>
        <v>40.182151898734176</v>
      </c>
      <c r="I349" s="90">
        <f>IFERROR(IF($D349="","",VLOOKUP($D349,Cadastro!$C$4:$G$7,5,FALSE())),"")</f>
        <v>0.6</v>
      </c>
      <c r="J349" s="91">
        <f t="shared" si="78"/>
        <v>8.4382518987341761</v>
      </c>
      <c r="K349" s="69">
        <f t="shared" si="79"/>
        <v>37.800000000000004</v>
      </c>
      <c r="L349" s="70"/>
      <c r="M349" s="70"/>
      <c r="N349" s="70"/>
      <c r="O349" s="65"/>
      <c r="P349" s="65"/>
      <c r="Q349" s="71" t="str">
        <f t="shared" ca="1" si="80"/>
        <v/>
      </c>
      <c r="R349" s="63"/>
      <c r="S349" s="133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15</v>
      </c>
      <c r="H350" s="92">
        <f>IFERROR(IF($G350="","",$G350*$S$351/$G$351/Cadastro!$E$33),"")</f>
        <v>66.970253164556965</v>
      </c>
      <c r="I350" s="93">
        <f>IFERROR(IF($D350="","",VLOOKUP($D350,Cadastro!$C$4:$G$7,5,FALSE())),"")</f>
        <v>0.6</v>
      </c>
      <c r="J350" s="94">
        <f t="shared" si="78"/>
        <v>14.06375316455696</v>
      </c>
      <c r="K350" s="64">
        <f t="shared" si="79"/>
        <v>63</v>
      </c>
      <c r="L350" s="61"/>
      <c r="M350" s="61"/>
      <c r="N350" s="61"/>
      <c r="O350" s="65"/>
      <c r="P350" s="65"/>
      <c r="Q350" s="66" t="str">
        <f t="shared" ca="1" si="80"/>
        <v/>
      </c>
      <c r="R350" s="63"/>
      <c r="S350" s="133"/>
    </row>
    <row r="351" spans="1:20" ht="15.75" customHeight="1">
      <c r="A351" s="156" t="s">
        <v>263</v>
      </c>
      <c r="B351" s="156"/>
      <c r="C351" s="156"/>
      <c r="D351" s="156"/>
      <c r="E351" s="156"/>
      <c r="F351" s="105"/>
      <c r="G351" s="96">
        <f>SUM(G339:G350)</f>
        <v>237</v>
      </c>
      <c r="H351" s="105">
        <f>IFERROR(SUM(H339:H350),"")</f>
        <v>1058.1300000000001</v>
      </c>
      <c r="I351" s="106"/>
      <c r="J351" s="107">
        <f>IFERROR(SUM(J339:J350),"")</f>
        <v>222.20729999999995</v>
      </c>
      <c r="K351" s="2">
        <f>SUM(K339:K350)</f>
        <v>995.4</v>
      </c>
      <c r="L351" s="72"/>
      <c r="M351" s="72"/>
      <c r="N351" s="72"/>
      <c r="O351" s="134"/>
      <c r="P351" s="134"/>
      <c r="Q351" s="73">
        <f ca="1">IFERROR(SUM(Q339:Q350),"")</f>
        <v>8.1944444444443987E-2</v>
      </c>
      <c r="R351" s="2" t="s">
        <v>261</v>
      </c>
      <c r="S351" s="74">
        <v>1058130</v>
      </c>
      <c r="T351" s="99">
        <f>IFERROR(J351,"")</f>
        <v>222.20729999999995</v>
      </c>
    </row>
    <row r="352" spans="1:20" ht="18" customHeight="1">
      <c r="A352" s="157" t="s">
        <v>249</v>
      </c>
      <c r="B352" s="157"/>
      <c r="C352" s="157"/>
      <c r="D352" s="157"/>
      <c r="E352" s="157"/>
      <c r="F352" s="108"/>
      <c r="G352" s="109">
        <f>G338+G351</f>
        <v>454</v>
      </c>
      <c r="H352" s="108">
        <f>IFERROR(H338+H351,"")</f>
        <v>2269.4899999999998</v>
      </c>
      <c r="I352" s="110"/>
      <c r="J352" s="111">
        <f>IFERROR(J338+J351,"")</f>
        <v>476.59289999999987</v>
      </c>
      <c r="K352" s="1">
        <f>K338+K351</f>
        <v>1963.6</v>
      </c>
      <c r="L352" s="76"/>
      <c r="M352" s="76"/>
      <c r="N352" s="76"/>
      <c r="O352" s="135"/>
      <c r="P352" s="135"/>
      <c r="Q352" s="77">
        <f ca="1">IFERROR(Q338+Q351,"")</f>
        <v>0.1229166666666659</v>
      </c>
      <c r="R352" s="1" t="s">
        <v>264</v>
      </c>
      <c r="S352" s="82">
        <f>IFERROR(S338+S351,"")</f>
        <v>2269490</v>
      </c>
      <c r="T352" s="118">
        <f>IFERROR(J352,"")</f>
        <v>476.59289999999987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12</v>
      </c>
      <c r="H353" s="101">
        <f>IFERROR(IF($G353="","",$G353*$S$365/$G$365/Cadastro!$E$33),"")</f>
        <v>54.191020408163261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11.380114285714283</v>
      </c>
      <c r="K353" s="69">
        <f t="shared" ref="K353:K364" si="83">IF(G353="","",IF(E353="PC 17",G353*4.2,IF(E353="PC 19",G353*5,IF(E353="CB",G353*24,""))))</f>
        <v>50.400000000000006</v>
      </c>
      <c r="L353" s="70" t="s">
        <v>27</v>
      </c>
      <c r="M353" s="70"/>
      <c r="N353" s="70" t="s">
        <v>103</v>
      </c>
      <c r="O353" s="65">
        <v>0.31458333333333299</v>
      </c>
      <c r="P353" s="65">
        <v>0.37361111111111101</v>
      </c>
      <c r="Q353" s="71">
        <f t="shared" ref="Q353:Q364" ca="1" si="84">IFERROR(IF(O353="","",IF(P353="",MOD(NOW()-O353,1),IF(P353&gt;=O353,P353-O353,P353+1-O353))),"")</f>
        <v>5.9027777777778012E-2</v>
      </c>
      <c r="R353" s="63"/>
      <c r="S353" s="133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15</v>
      </c>
      <c r="H354" s="88">
        <f>IFERROR(IF($G354="","",$G354*$S$365/$G$365/Cadastro!$E$33),"")</f>
        <v>67.738775510204079</v>
      </c>
      <c r="I354" s="90">
        <f>IFERROR(IF($D354="","",VLOOKUP($D354,Cadastro!$C$4:$G$7,5,FALSE())),"")</f>
        <v>0.6</v>
      </c>
      <c r="J354" s="91">
        <f t="shared" si="82"/>
        <v>14.225142857142854</v>
      </c>
      <c r="K354" s="64">
        <f t="shared" si="83"/>
        <v>63</v>
      </c>
      <c r="L354" s="70" t="s">
        <v>27</v>
      </c>
      <c r="M354" s="61" t="s">
        <v>151</v>
      </c>
      <c r="N354" s="70" t="s">
        <v>140</v>
      </c>
      <c r="O354" s="65">
        <v>0.42569444444444399</v>
      </c>
      <c r="P354" s="65">
        <v>0.45</v>
      </c>
      <c r="Q354" s="66">
        <f t="shared" ca="1" si="84"/>
        <v>2.4305555555556024E-2</v>
      </c>
      <c r="R354" s="63"/>
      <c r="S354" s="133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23</v>
      </c>
      <c r="H355" s="88">
        <f>IFERROR(IF($G355="","",$G355*$S$365/$G$365/Cadastro!$E$33),"")</f>
        <v>103.86612244897958</v>
      </c>
      <c r="I355" s="90">
        <f>IFERROR(IF($D355="","",VLOOKUP($D355,Cadastro!$C$4:$G$7,5,FALSE())),"")</f>
        <v>0.6</v>
      </c>
      <c r="J355" s="91">
        <f t="shared" si="82"/>
        <v>21.811885714285708</v>
      </c>
      <c r="K355" s="69">
        <f t="shared" si="83"/>
        <v>96.600000000000009</v>
      </c>
      <c r="L355" s="70" t="s">
        <v>28</v>
      </c>
      <c r="M355" s="70" t="s">
        <v>66</v>
      </c>
      <c r="N355" s="70" t="s">
        <v>36</v>
      </c>
      <c r="O355" s="65">
        <v>0.56874999999999998</v>
      </c>
      <c r="P355" s="65">
        <v>0.58263888888888904</v>
      </c>
      <c r="Q355" s="71">
        <f t="shared" ca="1" si="84"/>
        <v>1.3888888888889062E-2</v>
      </c>
      <c r="R355" s="80"/>
      <c r="S355" s="133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29</v>
      </c>
      <c r="H356" s="88">
        <f>IFERROR(IF($G356="","",$G356*$S$365/$G$365/Cadastro!$E$33),"")</f>
        <v>130.96163265306123</v>
      </c>
      <c r="I356" s="90">
        <f>IFERROR(IF($D356="","",VLOOKUP($D356,Cadastro!$C$4:$G$7,5,FALSE())),"")</f>
        <v>0.6</v>
      </c>
      <c r="J356" s="91">
        <f t="shared" si="82"/>
        <v>27.501942857142854</v>
      </c>
      <c r="K356" s="64">
        <f t="shared" si="83"/>
        <v>121.80000000000001</v>
      </c>
      <c r="L356" s="61" t="s">
        <v>29</v>
      </c>
      <c r="M356" s="61" t="s">
        <v>61</v>
      </c>
      <c r="N356" s="61" t="s">
        <v>65</v>
      </c>
      <c r="O356" s="65">
        <v>0.58263888888888904</v>
      </c>
      <c r="P356" s="65">
        <v>0.58819444444444502</v>
      </c>
      <c r="Q356" s="66">
        <f t="shared" ca="1" si="84"/>
        <v>5.5555555555559799E-3</v>
      </c>
      <c r="R356" s="63" t="s">
        <v>394</v>
      </c>
      <c r="S356" s="133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21</v>
      </c>
      <c r="H357" s="88">
        <f>IFERROR(IF($G357="","",$G357*$S$365/$G$365/Cadastro!$E$33),"")</f>
        <v>94.834285714285713</v>
      </c>
      <c r="I357" s="90">
        <f>IFERROR(IF($D357="","",VLOOKUP($D357,Cadastro!$C$4:$G$7,5,FALSE())),"")</f>
        <v>0.6</v>
      </c>
      <c r="J357" s="91">
        <f t="shared" si="82"/>
        <v>19.915199999999999</v>
      </c>
      <c r="K357" s="69">
        <f t="shared" si="83"/>
        <v>88.2</v>
      </c>
      <c r="L357" s="70" t="s">
        <v>29</v>
      </c>
      <c r="M357" s="70" t="s">
        <v>66</v>
      </c>
      <c r="N357" s="70" t="s">
        <v>71</v>
      </c>
      <c r="O357" s="65">
        <v>0.6875</v>
      </c>
      <c r="P357" s="65">
        <v>0.68888888888888899</v>
      </c>
      <c r="Q357" s="71">
        <f t="shared" ca="1" si="84"/>
        <v>1.388888888888995E-3</v>
      </c>
      <c r="R357" s="63"/>
      <c r="S357" s="133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67.738775510204079</v>
      </c>
      <c r="I358" s="90">
        <f>IFERROR(IF($D358="","",VLOOKUP($D358,Cadastro!$C$4:$G$7,5,FALSE())),"")</f>
        <v>0.6</v>
      </c>
      <c r="J358" s="91">
        <f t="shared" si="82"/>
        <v>14.225142857142854</v>
      </c>
      <c r="K358" s="64">
        <f t="shared" si="83"/>
        <v>63</v>
      </c>
      <c r="L358" s="61" t="s">
        <v>29</v>
      </c>
      <c r="M358" s="61" t="s">
        <v>66</v>
      </c>
      <c r="N358" s="61" t="s">
        <v>65</v>
      </c>
      <c r="O358" s="65">
        <v>0.69444444444444398</v>
      </c>
      <c r="P358" s="65">
        <v>0.70833333333333304</v>
      </c>
      <c r="Q358" s="66">
        <f t="shared" ca="1" si="84"/>
        <v>1.3888888888889062E-2</v>
      </c>
      <c r="R358" s="63" t="s">
        <v>395</v>
      </c>
      <c r="S358" s="133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67.738775510204079</v>
      </c>
      <c r="I359" s="90">
        <f>IFERROR(IF($D359="","",VLOOKUP($D359,Cadastro!$C$4:$G$7,5,FALSE())),"")</f>
        <v>0.6</v>
      </c>
      <c r="J359" s="91">
        <f t="shared" si="82"/>
        <v>14.225142857142854</v>
      </c>
      <c r="K359" s="69">
        <f t="shared" si="83"/>
        <v>63</v>
      </c>
      <c r="L359" s="70"/>
      <c r="M359" s="70"/>
      <c r="N359" s="70"/>
      <c r="O359" s="65"/>
      <c r="P359" s="65"/>
      <c r="Q359" s="71" t="str">
        <f t="shared" ca="1" si="84"/>
        <v/>
      </c>
      <c r="R359" s="63"/>
      <c r="S359" s="133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16</v>
      </c>
      <c r="H360" s="88">
        <f>IFERROR(IF($G360="","",$G360*$S$365/$G$365/Cadastro!$E$33),"")</f>
        <v>72.25469387755102</v>
      </c>
      <c r="I360" s="90">
        <f>IFERROR(IF($D360="","",VLOOKUP($D360,Cadastro!$C$4:$G$7,5,FALSE())),"")</f>
        <v>0.6</v>
      </c>
      <c r="J360" s="91">
        <f t="shared" si="82"/>
        <v>15.173485714285713</v>
      </c>
      <c r="K360" s="64">
        <f t="shared" si="83"/>
        <v>67.2</v>
      </c>
      <c r="L360" s="61"/>
      <c r="M360" s="61"/>
      <c r="N360" s="61"/>
      <c r="O360" s="65"/>
      <c r="P360" s="65"/>
      <c r="Q360" s="66" t="str">
        <f t="shared" ca="1" si="84"/>
        <v/>
      </c>
      <c r="R360" s="63"/>
      <c r="S360" s="133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17</v>
      </c>
      <c r="H361" s="88">
        <f>IFERROR(IF($G361="","",$G361*$S$365/$G$365/Cadastro!$E$33),"")</f>
        <v>76.770612244897961</v>
      </c>
      <c r="I361" s="90">
        <f>IFERROR(IF($D361="","",VLOOKUP($D361,Cadastro!$C$4:$G$7,5,FALSE())),"")</f>
        <v>0.6</v>
      </c>
      <c r="J361" s="91">
        <f t="shared" si="82"/>
        <v>16.121828571428569</v>
      </c>
      <c r="K361" s="69">
        <f t="shared" si="83"/>
        <v>71.400000000000006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133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22.579591836734693</v>
      </c>
      <c r="I362" s="90">
        <f>IFERROR(IF($D362="","",VLOOKUP($D362,Cadastro!$C$4:$G$7,5,FALSE())),"")</f>
        <v>0.6</v>
      </c>
      <c r="J362" s="91">
        <f t="shared" si="82"/>
        <v>4.7417142857142851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133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12</v>
      </c>
      <c r="H363" s="88">
        <f>IFERROR(IF($G363="","",$G363*$S$365/$G$365/Cadastro!$E$33),"")</f>
        <v>54.191020408163261</v>
      </c>
      <c r="I363" s="90">
        <f>IFERROR(IF($D363="","",VLOOKUP($D363,Cadastro!$C$4:$G$7,5,FALSE())),"")</f>
        <v>0.6</v>
      </c>
      <c r="J363" s="91">
        <f t="shared" si="82"/>
        <v>11.380114285714283</v>
      </c>
      <c r="K363" s="69">
        <f t="shared" si="83"/>
        <v>50.400000000000006</v>
      </c>
      <c r="L363" s="70"/>
      <c r="M363" s="70"/>
      <c r="N363" s="70"/>
      <c r="O363" s="65"/>
      <c r="P363" s="65"/>
      <c r="Q363" s="71" t="str">
        <f t="shared" ca="1" si="84"/>
        <v/>
      </c>
      <c r="R363" s="63"/>
      <c r="S363" s="133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16</v>
      </c>
      <c r="H364" s="92">
        <f>IFERROR(IF($G364="","",$G364*$S$365/$G$365/Cadastro!$E$33),"")</f>
        <v>72.25469387755102</v>
      </c>
      <c r="I364" s="93">
        <f>IFERROR(IF($D364="","",VLOOKUP($D364,Cadastro!$C$4:$G$7,5,FALSE())),"")</f>
        <v>0.6</v>
      </c>
      <c r="J364" s="94">
        <f t="shared" si="82"/>
        <v>15.173485714285713</v>
      </c>
      <c r="K364" s="64">
        <f t="shared" si="83"/>
        <v>67.2</v>
      </c>
      <c r="L364" s="61"/>
      <c r="M364" s="61"/>
      <c r="N364" s="61"/>
      <c r="O364" s="65"/>
      <c r="P364" s="65"/>
      <c r="Q364" s="66" t="str">
        <f t="shared" ca="1" si="84"/>
        <v/>
      </c>
      <c r="R364" s="63"/>
      <c r="S364" s="133"/>
    </row>
    <row r="365" spans="1:20" ht="15.75" customHeight="1">
      <c r="A365" s="120" t="s">
        <v>260</v>
      </c>
      <c r="B365" s="121"/>
      <c r="C365" s="121"/>
      <c r="D365" s="121"/>
      <c r="E365" s="137">
        <f>SUM(E353:E364)</f>
        <v>0</v>
      </c>
      <c r="F365" s="95"/>
      <c r="G365" s="96">
        <f>SUM(G353:G364)</f>
        <v>196</v>
      </c>
      <c r="H365" s="95">
        <f>IFERROR(SUM(H353:H364),"")</f>
        <v>885.12000000000012</v>
      </c>
      <c r="I365" s="97"/>
      <c r="J365" s="98">
        <f>IFERROR(SUM(J353:J364),"")</f>
        <v>185.87519999999998</v>
      </c>
      <c r="K365" s="2">
        <f>SUM(K353:K364)</f>
        <v>823.2</v>
      </c>
      <c r="L365" s="72"/>
      <c r="M365" s="72"/>
      <c r="N365" s="72"/>
      <c r="O365" s="134"/>
      <c r="P365" s="134"/>
      <c r="Q365" s="73">
        <f ca="1">IFERROR(SUM(Q353:Q364),"")</f>
        <v>0.11805555555555713</v>
      </c>
      <c r="R365" s="2" t="s">
        <v>261</v>
      </c>
      <c r="S365" s="74">
        <v>885120</v>
      </c>
      <c r="T365" s="99">
        <f>IFERROR(J365,"")</f>
        <v>185.87519999999998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19</v>
      </c>
      <c r="H366" s="101">
        <f>IFERROR(IF($G366="","",$G366*$S$378/$G$378/Cadastro!$E$33),"")</f>
        <v>88.543114754098369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18.594054098360655</v>
      </c>
      <c r="K366" s="64">
        <f t="shared" ref="K366:K377" si="87">IF(G366="","",IF(E366="PC 17",G366*4.2,IF(E366="PC 19",G366*5,IF(E366="CB",G366*24,""))))</f>
        <v>79.8</v>
      </c>
      <c r="L366" s="61" t="s">
        <v>29</v>
      </c>
      <c r="M366" s="61" t="s">
        <v>66</v>
      </c>
      <c r="N366" s="61" t="s">
        <v>37</v>
      </c>
      <c r="O366" s="65">
        <v>0.82083333333333297</v>
      </c>
      <c r="P366" s="65">
        <v>0.85416666666666696</v>
      </c>
      <c r="Q366" s="66">
        <f t="shared" ref="Q366:Q377" ca="1" si="88">IFERROR(IF(O366="","",IF(P366="",MOD(NOW()-O366,1),IF(P366&gt;=O366,P366-O366,P366+1-O366))),"")</f>
        <v>3.3333333333333992E-2</v>
      </c>
      <c r="R366" s="63"/>
      <c r="S366" s="133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21</v>
      </c>
      <c r="H367" s="88">
        <f>IFERROR(IF($G367="","",$G367*$S$378/$G$378/Cadastro!$E$33),"")</f>
        <v>97.863442622950828</v>
      </c>
      <c r="I367" s="90">
        <f>IFERROR(IF($D367="","",VLOOKUP($D367,Cadastro!$C$4:$G$7,5,FALSE())),"")</f>
        <v>0.6</v>
      </c>
      <c r="J367" s="91">
        <f t="shared" si="86"/>
        <v>20.551322950819671</v>
      </c>
      <c r="K367" s="69">
        <f t="shared" si="87"/>
        <v>88.2</v>
      </c>
      <c r="L367" s="70" t="s">
        <v>29</v>
      </c>
      <c r="M367" s="70" t="s">
        <v>142</v>
      </c>
      <c r="N367" s="70" t="s">
        <v>123</v>
      </c>
      <c r="O367" s="65">
        <v>0.91458333333333297</v>
      </c>
      <c r="P367" s="65">
        <v>0.92152777777777795</v>
      </c>
      <c r="Q367" s="71">
        <f t="shared" ca="1" si="88"/>
        <v>6.9444444444449749E-3</v>
      </c>
      <c r="R367" s="63"/>
      <c r="S367" s="133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22</v>
      </c>
      <c r="H368" s="88">
        <f>IFERROR(IF($G368="","",$G368*$S$378/$G$378/Cadastro!$E$33),"")</f>
        <v>102.52360655737705</v>
      </c>
      <c r="I368" s="90">
        <f>IFERROR(IF($D368="","",VLOOKUP($D368,Cadastro!$C$4:$G$7,5,FALSE())),"")</f>
        <v>0.6</v>
      </c>
      <c r="J368" s="91">
        <f t="shared" si="86"/>
        <v>21.529957377049175</v>
      </c>
      <c r="K368" s="64">
        <f t="shared" si="87"/>
        <v>92.4</v>
      </c>
      <c r="L368" s="61" t="s">
        <v>28</v>
      </c>
      <c r="M368" s="61" t="s">
        <v>173</v>
      </c>
      <c r="N368" s="61" t="s">
        <v>36</v>
      </c>
      <c r="O368" s="65">
        <v>0.92430555555555605</v>
      </c>
      <c r="P368" s="65">
        <v>0.93541666666666701</v>
      </c>
      <c r="Q368" s="66">
        <f t="shared" ca="1" si="88"/>
        <v>1.1111111111110961E-2</v>
      </c>
      <c r="R368" s="63"/>
      <c r="S368" s="133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17</v>
      </c>
      <c r="H369" s="88">
        <f>IFERROR(IF($G369="","",$G369*$S$378/$G$378/Cadastro!$E$33),"")</f>
        <v>79.22278688524591</v>
      </c>
      <c r="I369" s="90">
        <f>IFERROR(IF($D369="","",VLOOKUP($D369,Cadastro!$C$4:$G$7,5,FALSE())),"")</f>
        <v>0.6</v>
      </c>
      <c r="J369" s="91">
        <f t="shared" si="86"/>
        <v>16.636785245901638</v>
      </c>
      <c r="K369" s="69">
        <f t="shared" si="87"/>
        <v>71.400000000000006</v>
      </c>
      <c r="L369" s="70" t="s">
        <v>29</v>
      </c>
      <c r="M369" s="70" t="s">
        <v>61</v>
      </c>
      <c r="N369" s="70" t="s">
        <v>71</v>
      </c>
      <c r="O369" s="65">
        <v>0.98194444444444395</v>
      </c>
      <c r="P369" s="65">
        <v>0.98472222222222205</v>
      </c>
      <c r="Q369" s="71">
        <f t="shared" ca="1" si="88"/>
        <v>2.777777777778101E-3</v>
      </c>
      <c r="R369" s="63"/>
      <c r="S369" s="133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21</v>
      </c>
      <c r="H370" s="88">
        <f>IFERROR(IF($G370="","",$G370*$S$378/$G$378/Cadastro!$E$33),"")</f>
        <v>97.863442622950828</v>
      </c>
      <c r="I370" s="90">
        <f>IFERROR(IF($D370="","",VLOOKUP($D370,Cadastro!$C$4:$G$7,5,FALSE())),"")</f>
        <v>0.6</v>
      </c>
      <c r="J370" s="91">
        <f t="shared" si="86"/>
        <v>20.551322950819671</v>
      </c>
      <c r="K370" s="64">
        <f t="shared" si="87"/>
        <v>88.2</v>
      </c>
      <c r="L370" s="61" t="s">
        <v>29</v>
      </c>
      <c r="M370" s="61" t="s">
        <v>66</v>
      </c>
      <c r="N370" s="61" t="s">
        <v>71</v>
      </c>
      <c r="O370" s="65">
        <v>0</v>
      </c>
      <c r="P370" s="65">
        <v>3.4722222222222199E-3</v>
      </c>
      <c r="Q370" s="66">
        <f t="shared" ca="1" si="88"/>
        <v>3.4722222222222199E-3</v>
      </c>
      <c r="R370" s="63"/>
      <c r="S370" s="133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28</v>
      </c>
      <c r="H371" s="88">
        <f>IFERROR(IF($G371="","",$G371*$S$378/$G$378/Cadastro!$E$33),"")</f>
        <v>130.48459016393443</v>
      </c>
      <c r="I371" s="90">
        <f>IFERROR(IF($D371="","",VLOOKUP($D371,Cadastro!$C$4:$G$7,5,FALSE())),"")</f>
        <v>0.6</v>
      </c>
      <c r="J371" s="91">
        <f t="shared" si="86"/>
        <v>27.401763934426224</v>
      </c>
      <c r="K371" s="69">
        <f t="shared" si="87"/>
        <v>117.60000000000001</v>
      </c>
      <c r="L371" s="70" t="s">
        <v>27</v>
      </c>
      <c r="M371" s="70" t="s">
        <v>61</v>
      </c>
      <c r="N371" s="70" t="s">
        <v>167</v>
      </c>
      <c r="O371" s="65">
        <v>7.6388888888888895E-2</v>
      </c>
      <c r="P371" s="65">
        <v>0.100694444444444</v>
      </c>
      <c r="Q371" s="71">
        <f t="shared" ca="1" si="88"/>
        <v>2.4305555555555108E-2</v>
      </c>
      <c r="R371" s="63"/>
      <c r="S371" s="133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65.242295081967214</v>
      </c>
      <c r="I372" s="90">
        <f>IFERROR(IF($D372="","",VLOOKUP($D372,Cadastro!$C$4:$G$7,5,FALSE())),"")</f>
        <v>0.6</v>
      </c>
      <c r="J372" s="91">
        <f t="shared" si="86"/>
        <v>13.700881967213112</v>
      </c>
      <c r="K372" s="64">
        <f t="shared" si="87"/>
        <v>58.800000000000004</v>
      </c>
      <c r="L372" s="61" t="s">
        <v>29</v>
      </c>
      <c r="M372" s="61" t="s">
        <v>61</v>
      </c>
      <c r="N372" s="61" t="s">
        <v>65</v>
      </c>
      <c r="O372" s="65">
        <v>0.15277777777777801</v>
      </c>
      <c r="P372" s="65">
        <v>0.17013888888888901</v>
      </c>
      <c r="Q372" s="66">
        <f t="shared" ca="1" si="88"/>
        <v>1.7361111111110994E-2</v>
      </c>
      <c r="R372" s="63" t="s">
        <v>396</v>
      </c>
      <c r="S372" s="133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22</v>
      </c>
      <c r="H373" s="88">
        <f>IFERROR(IF($G373="","",$G373*$S$378/$G$378/Cadastro!$E$33),"")</f>
        <v>102.52360655737705</v>
      </c>
      <c r="I373" s="90">
        <f>IFERROR(IF($D373="","",VLOOKUP($D373,Cadastro!$C$4:$G$7,5,FALSE())),"")</f>
        <v>0.6</v>
      </c>
      <c r="J373" s="91">
        <f t="shared" si="86"/>
        <v>21.529957377049175</v>
      </c>
      <c r="K373" s="69">
        <f t="shared" si="87"/>
        <v>92.4</v>
      </c>
      <c r="L373" s="70" t="s">
        <v>27</v>
      </c>
      <c r="M373" s="70" t="s">
        <v>66</v>
      </c>
      <c r="N373" s="70" t="s">
        <v>177</v>
      </c>
      <c r="O373" s="65">
        <v>0.20486111111111099</v>
      </c>
      <c r="P373" s="65">
        <v>0.20902777777777801</v>
      </c>
      <c r="Q373" s="71">
        <f t="shared" ca="1" si="88"/>
        <v>4.1666666666670127E-3</v>
      </c>
      <c r="R373" s="63"/>
      <c r="S373" s="133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97.863442622950828</v>
      </c>
      <c r="I374" s="90">
        <f>IFERROR(IF($D374="","",VLOOKUP($D374,Cadastro!$C$4:$G$7,5,FALSE())),"")</f>
        <v>0.6</v>
      </c>
      <c r="J374" s="91">
        <f t="shared" si="86"/>
        <v>20.551322950819671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63"/>
      <c r="S374" s="133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20</v>
      </c>
      <c r="H375" s="88">
        <f>IFERROR(IF($G375="","",$G375*$S$378/$G$378/Cadastro!$E$33),"")</f>
        <v>93.203278688524591</v>
      </c>
      <c r="I375" s="90">
        <f>IFERROR(IF($D375="","",VLOOKUP($D375,Cadastro!$C$4:$G$7,5,FALSE())),"")</f>
        <v>0.6</v>
      </c>
      <c r="J375" s="91">
        <f t="shared" si="86"/>
        <v>19.572688524590163</v>
      </c>
      <c r="K375" s="69">
        <f t="shared" si="87"/>
        <v>84</v>
      </c>
      <c r="L375" s="70"/>
      <c r="M375" s="70"/>
      <c r="N375" s="70"/>
      <c r="O375" s="65"/>
      <c r="P375" s="65"/>
      <c r="Q375" s="71" t="str">
        <f t="shared" ca="1" si="88"/>
        <v/>
      </c>
      <c r="R375" s="63"/>
      <c r="S375" s="133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29</v>
      </c>
      <c r="H376" s="88">
        <f>IFERROR(IF($G376="","",$G376*$S$378/$G$378/Cadastro!$E$33),"")</f>
        <v>135.14475409836066</v>
      </c>
      <c r="I376" s="90">
        <f>IFERROR(IF($D376="","",VLOOKUP($D376,Cadastro!$C$4:$G$7,5,FALSE())),"")</f>
        <v>0.6</v>
      </c>
      <c r="J376" s="91">
        <f t="shared" si="86"/>
        <v>28.38039836065574</v>
      </c>
      <c r="K376" s="64">
        <f t="shared" si="87"/>
        <v>121.80000000000001</v>
      </c>
      <c r="L376" s="61"/>
      <c r="M376" s="61"/>
      <c r="N376" s="61"/>
      <c r="O376" s="65"/>
      <c r="P376" s="65"/>
      <c r="Q376" s="66" t="str">
        <f t="shared" ca="1" si="88"/>
        <v/>
      </c>
      <c r="R376" s="63"/>
      <c r="S376" s="133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46.601639344262296</v>
      </c>
      <c r="I377" s="93">
        <f>IFERROR(IF($D377="","",VLOOKUP($D377,Cadastro!$C$4:$G$7,5,FALSE())),"")</f>
        <v>0.6</v>
      </c>
      <c r="J377" s="94">
        <f t="shared" si="86"/>
        <v>9.7863442622950814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63"/>
      <c r="S377" s="133"/>
    </row>
    <row r="378" spans="1:20" ht="15.75" customHeight="1">
      <c r="A378" s="156" t="s">
        <v>263</v>
      </c>
      <c r="B378" s="156"/>
      <c r="C378" s="156"/>
      <c r="D378" s="156"/>
      <c r="E378" s="156"/>
      <c r="F378" s="105"/>
      <c r="G378" s="96">
        <f>SUM(G366:G377)</f>
        <v>244</v>
      </c>
      <c r="H378" s="105">
        <f>IFERROR(SUM(H366:H377),"")</f>
        <v>1137.0800000000002</v>
      </c>
      <c r="I378" s="106"/>
      <c r="J378" s="107">
        <f>IFERROR(SUM(J366:J377),"")</f>
        <v>238.78679999999994</v>
      </c>
      <c r="K378" s="2">
        <f>SUM(K366:K377)</f>
        <v>1024.8</v>
      </c>
      <c r="L378" s="72"/>
      <c r="M378" s="72"/>
      <c r="N378" s="72"/>
      <c r="O378" s="134"/>
      <c r="P378" s="134"/>
      <c r="Q378" s="73">
        <f ca="1">IFERROR(SUM(Q366:Q377),"")</f>
        <v>0.10347222222222335</v>
      </c>
      <c r="R378" s="2" t="s">
        <v>261</v>
      </c>
      <c r="S378" s="74">
        <v>1137080</v>
      </c>
      <c r="T378" s="99">
        <f>IFERROR(J378,"")</f>
        <v>238.78679999999994</v>
      </c>
    </row>
    <row r="379" spans="1:20" ht="18" customHeight="1">
      <c r="A379" s="157" t="s">
        <v>249</v>
      </c>
      <c r="B379" s="157"/>
      <c r="C379" s="157"/>
      <c r="D379" s="157"/>
      <c r="E379" s="157"/>
      <c r="F379" s="108"/>
      <c r="G379" s="109">
        <f>G365+G378</f>
        <v>440</v>
      </c>
      <c r="H379" s="108">
        <f>IFERROR(H365+H378,"")</f>
        <v>2022.2000000000003</v>
      </c>
      <c r="I379" s="110"/>
      <c r="J379" s="111">
        <f>IFERROR(J365+J378,"")</f>
        <v>424.66199999999992</v>
      </c>
      <c r="K379" s="1">
        <f>K365+K378</f>
        <v>1848</v>
      </c>
      <c r="L379" s="76"/>
      <c r="M379" s="76"/>
      <c r="N379" s="76"/>
      <c r="O379" s="135"/>
      <c r="P379" s="135"/>
      <c r="Q379" s="77">
        <f ca="1">IFERROR(Q365+Q378,"")</f>
        <v>0.22152777777778049</v>
      </c>
      <c r="R379" s="1" t="s">
        <v>264</v>
      </c>
      <c r="S379" s="82">
        <f>IFERROR(S365+S378,"")</f>
        <v>2022200</v>
      </c>
      <c r="T379" s="118">
        <f>IFERROR(J379,"")</f>
        <v>424.66199999999992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274</v>
      </c>
      <c r="F380" s="101">
        <f>IFERROR(IF($D380="","",VLOOKUP($D380,Cadastro!$C$4:$E$7,3,FALSE())),"")</f>
        <v>0.35</v>
      </c>
      <c r="G380" s="89">
        <v>16</v>
      </c>
      <c r="H380" s="101">
        <f>IFERROR(IF($G380="","",$G380*$S$392/$G$392/Cadastro!$E$33),"")</f>
        <v>77.219428571428566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16.216079999999998</v>
      </c>
      <c r="K380" s="64">
        <f t="shared" ref="K380:K391" si="91">IF(G380="","",IF(E380="PC 17",G380*4.2,IF(E380="PC 19",G380*5,IF(E380="CB",G380*24,""))))</f>
        <v>67.2</v>
      </c>
      <c r="L380" s="61" t="s">
        <v>29</v>
      </c>
      <c r="M380" s="61" t="s">
        <v>142</v>
      </c>
      <c r="N380" s="61" t="s">
        <v>123</v>
      </c>
      <c r="O380" s="65">
        <v>0.36944444444444502</v>
      </c>
      <c r="P380" s="65">
        <v>0.37986111111111098</v>
      </c>
      <c r="Q380" s="66">
        <f t="shared" ref="Q380:Q391" ca="1" si="92">IFERROR(IF(O380="","",IF(P380="",MOD(NOW()-O380,1),IF(P380&gt;=O380,P380-O380,P380+1-O380))),"")</f>
        <v>1.0416666666665964E-2</v>
      </c>
      <c r="R380" s="63"/>
      <c r="S380" s="133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31</v>
      </c>
      <c r="E381" s="87" t="s">
        <v>274</v>
      </c>
      <c r="F381" s="88">
        <f>IFERROR(IF($D381="","",VLOOKUP($D381,Cadastro!$C$4:$E$7,3,FALSE())),"")</f>
        <v>0.35</v>
      </c>
      <c r="G381" s="89">
        <v>17</v>
      </c>
      <c r="H381" s="88">
        <f>IFERROR(IF($G381="","",$G381*$S$392/$G$392/Cadastro!$E$33),"")</f>
        <v>82.045642857142852</v>
      </c>
      <c r="I381" s="90">
        <f>IFERROR(IF($D381="","",VLOOKUP($D381,Cadastro!$C$4:$G$7,5,FALSE())),"")</f>
        <v>0.6</v>
      </c>
      <c r="J381" s="91">
        <f t="shared" si="90"/>
        <v>17.229584999999997</v>
      </c>
      <c r="K381" s="69">
        <f t="shared" si="91"/>
        <v>71.400000000000006</v>
      </c>
      <c r="L381" s="70" t="s">
        <v>29</v>
      </c>
      <c r="M381" s="70" t="s">
        <v>139</v>
      </c>
      <c r="N381" s="70" t="s">
        <v>123</v>
      </c>
      <c r="O381" s="65">
        <v>0.39444444444444399</v>
      </c>
      <c r="P381" s="65">
        <v>0.39930555555555602</v>
      </c>
      <c r="Q381" s="71">
        <f t="shared" ca="1" si="92"/>
        <v>4.8611111111120375E-3</v>
      </c>
      <c r="R381" s="63"/>
      <c r="S381" s="133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13</v>
      </c>
      <c r="H382" s="88">
        <f>IFERROR(IF($G382="","",$G382*$S$392/$G$392/Cadastro!$E$33),"")</f>
        <v>62.740785714285714</v>
      </c>
      <c r="I382" s="90">
        <f>IFERROR(IF($D382="","",VLOOKUP($D382,Cadastro!$C$4:$G$7,5,FALSE())),"")</f>
        <v>0.6</v>
      </c>
      <c r="J382" s="91">
        <f t="shared" si="90"/>
        <v>13.175564999999999</v>
      </c>
      <c r="K382" s="64">
        <f t="shared" si="91"/>
        <v>54.6</v>
      </c>
      <c r="L382" s="61" t="s">
        <v>26</v>
      </c>
      <c r="M382" s="61"/>
      <c r="N382" s="70" t="s">
        <v>34</v>
      </c>
      <c r="O382" s="65">
        <v>0.484027777777778</v>
      </c>
      <c r="P382" s="65">
        <v>0.49097222222222198</v>
      </c>
      <c r="Q382" s="66">
        <f t="shared" ca="1" si="92"/>
        <v>6.9444444444439757E-3</v>
      </c>
      <c r="R382" s="63"/>
      <c r="S382" s="133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15</v>
      </c>
      <c r="H383" s="88">
        <f>IFERROR(IF($G383="","",$G383*$S$392/$G$392/Cadastro!$E$33),"")</f>
        <v>72.393214285714294</v>
      </c>
      <c r="I383" s="90">
        <f>IFERROR(IF($D383="","",VLOOKUP($D383,Cadastro!$C$4:$G$7,5,FALSE())),"")</f>
        <v>0.6</v>
      </c>
      <c r="J383" s="91">
        <f t="shared" si="90"/>
        <v>15.202575000000001</v>
      </c>
      <c r="K383" s="69">
        <f t="shared" si="91"/>
        <v>63</v>
      </c>
      <c r="L383" s="70" t="s">
        <v>28</v>
      </c>
      <c r="M383" s="70" t="s">
        <v>173</v>
      </c>
      <c r="N383" s="70" t="s">
        <v>36</v>
      </c>
      <c r="O383" s="65">
        <v>0.55625000000000002</v>
      </c>
      <c r="P383" s="65">
        <v>0.57222222222222197</v>
      </c>
      <c r="Q383" s="71">
        <f t="shared" ca="1" si="92"/>
        <v>1.5972222222221943E-2</v>
      </c>
      <c r="R383" s="63"/>
      <c r="S383" s="133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48.262142857142855</v>
      </c>
      <c r="I384" s="90">
        <f>IFERROR(IF($D384="","",VLOOKUP($D384,Cadastro!$C$4:$G$7,5,FALSE())),"")</f>
        <v>0.6</v>
      </c>
      <c r="J384" s="91">
        <f t="shared" si="90"/>
        <v>10.135049999999998</v>
      </c>
      <c r="K384" s="64">
        <f t="shared" si="91"/>
        <v>42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92"/>
        <v>2.6388888888889017E-2</v>
      </c>
      <c r="R384" s="63" t="s">
        <v>329</v>
      </c>
      <c r="S384" s="133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17</v>
      </c>
      <c r="H385" s="88">
        <f>IFERROR(IF($G385="","",$G385*$S$392/$G$392/Cadastro!$E$33),"")</f>
        <v>82.045642857142852</v>
      </c>
      <c r="I385" s="90">
        <f>IFERROR(IF($D385="","",VLOOKUP($D385,Cadastro!$C$4:$G$7,5,FALSE())),"")</f>
        <v>0.6</v>
      </c>
      <c r="J385" s="91">
        <f t="shared" si="90"/>
        <v>17.229584999999997</v>
      </c>
      <c r="K385" s="69">
        <f t="shared" si="91"/>
        <v>71.400000000000006</v>
      </c>
      <c r="L385" s="70" t="s">
        <v>27</v>
      </c>
      <c r="M385" s="70" t="s">
        <v>61</v>
      </c>
      <c r="N385" s="70" t="s">
        <v>43</v>
      </c>
      <c r="O385" s="65">
        <v>0.62777777777777799</v>
      </c>
      <c r="P385" s="65">
        <v>0.66666666666666696</v>
      </c>
      <c r="Q385" s="71">
        <f t="shared" ca="1" si="92"/>
        <v>3.8888888888888973E-2</v>
      </c>
      <c r="R385" s="63" t="s">
        <v>397</v>
      </c>
      <c r="S385" s="133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12</v>
      </c>
      <c r="H386" s="88">
        <f>IFERROR(IF($G386="","",$G386*$S$392/$G$392/Cadastro!$E$33),"")</f>
        <v>57.914571428571428</v>
      </c>
      <c r="I386" s="90">
        <f>IFERROR(IF($D386="","",VLOOKUP($D386,Cadastro!$C$4:$G$7,5,FALSE())),"")</f>
        <v>0.6</v>
      </c>
      <c r="J386" s="91">
        <f t="shared" si="90"/>
        <v>12.162059999999999</v>
      </c>
      <c r="K386" s="64">
        <f t="shared" si="91"/>
        <v>50.400000000000006</v>
      </c>
      <c r="L386" s="61"/>
      <c r="M386" s="61"/>
      <c r="N386" s="61"/>
      <c r="O386" s="65"/>
      <c r="P386" s="65"/>
      <c r="Q386" s="66" t="str">
        <f t="shared" ca="1" si="92"/>
        <v/>
      </c>
      <c r="R386" s="63"/>
      <c r="S386" s="133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4</v>
      </c>
      <c r="H387" s="88">
        <f>IFERROR(IF($G387="","",$G387*$S$392/$G$392/Cadastro!$E$33),"")</f>
        <v>19.304857142857141</v>
      </c>
      <c r="I387" s="90">
        <f>IFERROR(IF($D387="","",VLOOKUP($D387,Cadastro!$C$4:$G$7,5,FALSE())),"")</f>
        <v>0.6</v>
      </c>
      <c r="J387" s="91">
        <f t="shared" si="90"/>
        <v>4.0540199999999995</v>
      </c>
      <c r="K387" s="69">
        <f t="shared" si="91"/>
        <v>16.8</v>
      </c>
      <c r="L387" s="70"/>
      <c r="M387" s="70"/>
      <c r="N387" s="70"/>
      <c r="O387" s="65"/>
      <c r="P387" s="65"/>
      <c r="Q387" s="71" t="str">
        <f t="shared" ca="1" si="92"/>
        <v/>
      </c>
      <c r="R387" s="63"/>
      <c r="S387" s="133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6</v>
      </c>
      <c r="H388" s="88">
        <f>IFERROR(IF($G388="","",$G388*$S$392/$G$392/Cadastro!$E$33),"")</f>
        <v>28.957285714285714</v>
      </c>
      <c r="I388" s="90">
        <f>IFERROR(IF($D388="","",VLOOKUP($D388,Cadastro!$C$4:$G$7,5,FALSE())),"")</f>
        <v>0.6</v>
      </c>
      <c r="J388" s="91">
        <f t="shared" si="90"/>
        <v>6.0810299999999993</v>
      </c>
      <c r="K388" s="64">
        <f t="shared" si="91"/>
        <v>25.200000000000003</v>
      </c>
      <c r="L388" s="61"/>
      <c r="M388" s="61"/>
      <c r="N388" s="61"/>
      <c r="O388" s="65"/>
      <c r="P388" s="65"/>
      <c r="Q388" s="66" t="str">
        <f t="shared" ca="1" si="92"/>
        <v/>
      </c>
      <c r="R388" s="63"/>
      <c r="S388" s="133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38.609714285714283</v>
      </c>
      <c r="I389" s="90">
        <f>IFERROR(IF($D389="","",VLOOKUP($D389,Cadastro!$C$4:$G$7,5,FALSE())),"")</f>
        <v>0.6</v>
      </c>
      <c r="J389" s="91">
        <f t="shared" si="90"/>
        <v>8.108039999999999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92"/>
        <v/>
      </c>
      <c r="R389" s="63"/>
      <c r="S389" s="133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12</v>
      </c>
      <c r="H390" s="88">
        <f>IFERROR(IF($G390="","",$G390*$S$392/$G$392/Cadastro!$E$33),"")</f>
        <v>57.914571428571428</v>
      </c>
      <c r="I390" s="90">
        <f>IFERROR(IF($D390="","",VLOOKUP($D390,Cadastro!$C$4:$G$7,5,FALSE())),"")</f>
        <v>0.6</v>
      </c>
      <c r="J390" s="91">
        <f t="shared" si="90"/>
        <v>12.162059999999999</v>
      </c>
      <c r="K390" s="64">
        <f t="shared" si="91"/>
        <v>50.400000000000006</v>
      </c>
      <c r="L390" s="61"/>
      <c r="M390" s="61"/>
      <c r="N390" s="61"/>
      <c r="O390" s="65"/>
      <c r="P390" s="65"/>
      <c r="Q390" s="66" t="str">
        <f t="shared" ca="1" si="92"/>
        <v/>
      </c>
      <c r="R390" s="63"/>
      <c r="S390" s="133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10</v>
      </c>
      <c r="H391" s="92">
        <f>IFERROR(IF($G391="","",$G391*$S$392/$G$392/Cadastro!$E$33),"")</f>
        <v>48.262142857142855</v>
      </c>
      <c r="I391" s="93">
        <f>IFERROR(IF($D391="","",VLOOKUP($D391,Cadastro!$C$4:$G$7,5,FALSE())),"")</f>
        <v>0.6</v>
      </c>
      <c r="J391" s="94">
        <f t="shared" si="90"/>
        <v>10.135049999999998</v>
      </c>
      <c r="K391" s="69">
        <f t="shared" si="91"/>
        <v>42</v>
      </c>
      <c r="L391" s="70"/>
      <c r="M391" s="70"/>
      <c r="N391" s="70"/>
      <c r="O391" s="65"/>
      <c r="P391" s="65"/>
      <c r="Q391" s="71" t="str">
        <f t="shared" ca="1" si="92"/>
        <v/>
      </c>
      <c r="R391" s="63"/>
      <c r="S391" s="133"/>
    </row>
    <row r="392" spans="1:20" ht="15.75" customHeight="1">
      <c r="A392" s="156" t="s">
        <v>260</v>
      </c>
      <c r="B392" s="156"/>
      <c r="C392" s="156"/>
      <c r="D392" s="156"/>
      <c r="E392" s="156"/>
      <c r="F392" s="95"/>
      <c r="G392" s="96">
        <f>SUM(G380:G391)</f>
        <v>140</v>
      </c>
      <c r="H392" s="95">
        <f>IFERROR(SUM(H380:H391),"")</f>
        <v>675.67000000000007</v>
      </c>
      <c r="I392" s="97"/>
      <c r="J392" s="98">
        <f>IFERROR(SUM(J380:J391),"")</f>
        <v>141.89069999999998</v>
      </c>
      <c r="K392" s="2">
        <f>SUM(K380:K391)</f>
        <v>588</v>
      </c>
      <c r="L392" s="72"/>
      <c r="M392" s="72"/>
      <c r="N392" s="72"/>
      <c r="O392" s="134"/>
      <c r="P392" s="134"/>
      <c r="Q392" s="73">
        <f ca="1">IFERROR(SUM(Q380:Q391),"")</f>
        <v>0.10347222222222191</v>
      </c>
      <c r="R392" s="2" t="s">
        <v>261</v>
      </c>
      <c r="S392" s="74">
        <v>675670</v>
      </c>
      <c r="T392" s="99">
        <f>IFERROR(J392,"")</f>
        <v>141.89069999999998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13</v>
      </c>
      <c r="H393" s="101">
        <f>IFERROR(IF($G393="","",$G393*$S$405/$G$405/Cadastro!$E$33),"")</f>
        <v>57.940765765765768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12.16756081081081</v>
      </c>
      <c r="K393" s="69">
        <f t="shared" ref="K393:K404" si="95">IF(G393="","",IF(E393="PC 17",G393*4.2,IF(E393="PC 19",G393*5,IF(E393="CB",G393*24,""))))</f>
        <v>54.6</v>
      </c>
      <c r="L393" s="70" t="s">
        <v>27</v>
      </c>
      <c r="M393" s="70" t="s">
        <v>61</v>
      </c>
      <c r="N393" s="70" t="s">
        <v>230</v>
      </c>
      <c r="O393" s="65">
        <v>0.91319444444444398</v>
      </c>
      <c r="P393" s="65">
        <v>0.93333333333333302</v>
      </c>
      <c r="Q393" s="71">
        <f t="shared" ref="Q393:Q404" ca="1" si="96">IFERROR(IF(O393="","",IF(P393="",MOD(NOW()-O393,1),IF(P393&gt;=O393,P393-O393,P393+1-O393))),"")</f>
        <v>2.0138888888889039E-2</v>
      </c>
      <c r="R393" s="63"/>
      <c r="S393" s="133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21</v>
      </c>
      <c r="H394" s="88">
        <f>IFERROR(IF($G394="","",$G394*$S$405/$G$405/Cadastro!$E$33),"")</f>
        <v>93.596621621621622</v>
      </c>
      <c r="I394" s="90">
        <f>IFERROR(IF($D394="","",VLOOKUP($D394,Cadastro!$C$4:$G$7,5,FALSE())),"")</f>
        <v>0.6</v>
      </c>
      <c r="J394" s="91">
        <f t="shared" si="94"/>
        <v>19.655290540540541</v>
      </c>
      <c r="K394" s="64">
        <f t="shared" si="95"/>
        <v>88.2</v>
      </c>
      <c r="L394" s="61" t="s">
        <v>28</v>
      </c>
      <c r="M394" s="61" t="s">
        <v>173</v>
      </c>
      <c r="N394" s="61" t="s">
        <v>36</v>
      </c>
      <c r="O394" s="65">
        <v>5.2777777777777798E-2</v>
      </c>
      <c r="P394" s="65">
        <v>6.8055555555555605E-2</v>
      </c>
      <c r="Q394" s="66">
        <f t="shared" ca="1" si="96"/>
        <v>1.5277777777777807E-2</v>
      </c>
      <c r="R394" s="63" t="s">
        <v>398</v>
      </c>
      <c r="S394" s="133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24</v>
      </c>
      <c r="H395" s="88">
        <f>IFERROR(IF($G395="","",$G395*$S$405/$G$405/Cadastro!$E$33),"")</f>
        <v>106.96756756756757</v>
      </c>
      <c r="I395" s="90">
        <f>IFERROR(IF($D395="","",VLOOKUP($D395,Cadastro!$C$4:$G$7,5,FALSE())),"")</f>
        <v>0.6</v>
      </c>
      <c r="J395" s="91">
        <f t="shared" si="94"/>
        <v>22.463189189189187</v>
      </c>
      <c r="K395" s="69">
        <f t="shared" si="95"/>
        <v>100.80000000000001</v>
      </c>
      <c r="L395" s="70" t="s">
        <v>29</v>
      </c>
      <c r="M395" s="70" t="s">
        <v>66</v>
      </c>
      <c r="N395" s="70" t="s">
        <v>71</v>
      </c>
      <c r="O395" s="65">
        <v>0.15625</v>
      </c>
      <c r="P395" s="65">
        <v>0.180555555555556</v>
      </c>
      <c r="Q395" s="71">
        <f t="shared" ca="1" si="96"/>
        <v>2.4305555555555997E-2</v>
      </c>
      <c r="R395" s="65"/>
      <c r="S395" s="133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13</v>
      </c>
      <c r="H396" s="88">
        <f>IFERROR(IF($G396="","",$G396*$S$405/$G$405/Cadastro!$E$33),"")</f>
        <v>57.940765765765768</v>
      </c>
      <c r="I396" s="90">
        <f>IFERROR(IF($D396="","",VLOOKUP($D396,Cadastro!$C$4:$G$7,5,FALSE())),"")</f>
        <v>0.6</v>
      </c>
      <c r="J396" s="91">
        <f t="shared" si="94"/>
        <v>12.16756081081081</v>
      </c>
      <c r="K396" s="64">
        <f t="shared" si="95"/>
        <v>54.6</v>
      </c>
      <c r="L396" s="61"/>
      <c r="M396" s="61"/>
      <c r="N396" s="61"/>
      <c r="O396" s="65"/>
      <c r="P396" s="65"/>
      <c r="Q396" s="66" t="str">
        <f t="shared" ca="1" si="96"/>
        <v/>
      </c>
      <c r="R396" s="63"/>
      <c r="S396" s="133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30</v>
      </c>
      <c r="H397" s="88">
        <f>IFERROR(IF($G397="","",$G397*$S$405/$G$405/Cadastro!$E$33),"")</f>
        <v>133.70945945945948</v>
      </c>
      <c r="I397" s="90">
        <f>IFERROR(IF($D397="","",VLOOKUP($D397,Cadastro!$C$4:$G$7,5,FALSE())),"")</f>
        <v>0.6</v>
      </c>
      <c r="J397" s="91">
        <f t="shared" si="94"/>
        <v>28.078986486486489</v>
      </c>
      <c r="K397" s="69">
        <f t="shared" si="95"/>
        <v>126</v>
      </c>
      <c r="L397" s="70"/>
      <c r="M397" s="70"/>
      <c r="N397" s="70"/>
      <c r="O397" s="65"/>
      <c r="P397" s="65"/>
      <c r="Q397" s="71" t="str">
        <f t="shared" ca="1" si="96"/>
        <v/>
      </c>
      <c r="R397" s="63"/>
      <c r="S397" s="133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25</v>
      </c>
      <c r="H398" s="88">
        <f>IFERROR(IF($G398="","",$G398*$S$405/$G$405/Cadastro!$E$33),"")</f>
        <v>111.42454954954955</v>
      </c>
      <c r="I398" s="90">
        <f>IFERROR(IF($D398="","",VLOOKUP($D398,Cadastro!$C$4:$G$7,5,FALSE())),"")</f>
        <v>0.6</v>
      </c>
      <c r="J398" s="91">
        <f t="shared" si="94"/>
        <v>23.399155405405406</v>
      </c>
      <c r="K398" s="64">
        <f t="shared" si="95"/>
        <v>105</v>
      </c>
      <c r="L398" s="61"/>
      <c r="M398" s="61"/>
      <c r="N398" s="61"/>
      <c r="O398" s="65"/>
      <c r="P398" s="65"/>
      <c r="Q398" s="66" t="str">
        <f t="shared" ca="1" si="96"/>
        <v/>
      </c>
      <c r="R398" s="63"/>
      <c r="S398" s="133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13.370945945945946</v>
      </c>
      <c r="I399" s="90">
        <f>IFERROR(IF($D399="","",VLOOKUP($D399,Cadastro!$C$4:$G$7,5,FALSE())),"")</f>
        <v>0.6</v>
      </c>
      <c r="J399" s="91">
        <f t="shared" si="94"/>
        <v>2.8078986486486484</v>
      </c>
      <c r="K399" s="69">
        <f t="shared" si="95"/>
        <v>12.600000000000001</v>
      </c>
      <c r="L399" s="70"/>
      <c r="M399" s="70"/>
      <c r="N399" s="70"/>
      <c r="O399" s="65"/>
      <c r="P399" s="65"/>
      <c r="Q399" s="71" t="str">
        <f t="shared" ca="1" si="96"/>
        <v/>
      </c>
      <c r="R399" s="63"/>
      <c r="S399" s="133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22</v>
      </c>
      <c r="H400" s="88">
        <f>IFERROR(IF($G400="","",$G400*$S$405/$G$405/Cadastro!$E$33),"")</f>
        <v>98.053603603603605</v>
      </c>
      <c r="I400" s="90">
        <f>IFERROR(IF($D400="","",VLOOKUP($D400,Cadastro!$C$4:$G$7,5,FALSE())),"")</f>
        <v>0.6</v>
      </c>
      <c r="J400" s="91">
        <f t="shared" si="94"/>
        <v>20.591256756756753</v>
      </c>
      <c r="K400" s="64">
        <f t="shared" si="95"/>
        <v>92.4</v>
      </c>
      <c r="L400" s="61"/>
      <c r="M400" s="61"/>
      <c r="N400" s="61"/>
      <c r="O400" s="65"/>
      <c r="P400" s="65"/>
      <c r="Q400" s="66" t="str">
        <f t="shared" ca="1" si="96"/>
        <v/>
      </c>
      <c r="R400" s="63"/>
      <c r="S400" s="133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133.70945945945948</v>
      </c>
      <c r="I401" s="90">
        <f>IFERROR(IF($D401="","",VLOOKUP($D401,Cadastro!$C$4:$G$7,5,FALSE())),"")</f>
        <v>0.6</v>
      </c>
      <c r="J401" s="91">
        <f t="shared" si="94"/>
        <v>28.078986486486489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63"/>
      <c r="S401" s="133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21</v>
      </c>
      <c r="H402" s="88">
        <f>IFERROR(IF($G402="","",$G402*$S$405/$G$405/Cadastro!$E$33),"")</f>
        <v>93.596621621621622</v>
      </c>
      <c r="I402" s="90">
        <f>IFERROR(IF($D402="","",VLOOKUP($D402,Cadastro!$C$4:$G$7,5,FALSE())),"")</f>
        <v>0.6</v>
      </c>
      <c r="J402" s="91">
        <f t="shared" si="94"/>
        <v>13.477913513513512</v>
      </c>
      <c r="K402" s="64">
        <f t="shared" si="95"/>
        <v>88.2</v>
      </c>
      <c r="L402" s="61"/>
      <c r="M402" s="61"/>
      <c r="N402" s="61"/>
      <c r="O402" s="65"/>
      <c r="P402" s="65"/>
      <c r="Q402" s="66" t="str">
        <f t="shared" ca="1" si="96"/>
        <v/>
      </c>
      <c r="R402" s="63"/>
      <c r="S402" s="133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15</v>
      </c>
      <c r="H403" s="88">
        <f>IFERROR(IF($G403="","",$G403*$S$405/$G$405/Cadastro!$E$33),"")</f>
        <v>66.85472972972974</v>
      </c>
      <c r="I403" s="90">
        <f>IFERROR(IF($D403="","",VLOOKUP($D403,Cadastro!$C$4:$G$7,5,FALSE())),"")</f>
        <v>0.6</v>
      </c>
      <c r="J403" s="91">
        <f t="shared" si="94"/>
        <v>9.6270810810810818</v>
      </c>
      <c r="K403" s="69">
        <f t="shared" si="95"/>
        <v>63</v>
      </c>
      <c r="L403" s="70"/>
      <c r="M403" s="70"/>
      <c r="N403" s="70"/>
      <c r="O403" s="65"/>
      <c r="P403" s="65"/>
      <c r="Q403" s="71" t="str">
        <f t="shared" ca="1" si="96"/>
        <v/>
      </c>
      <c r="R403" s="63"/>
      <c r="S403" s="133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5</v>
      </c>
      <c r="H404" s="92">
        <f>IFERROR(IF($G404="","",$G404*$S$405/$G$405/Cadastro!$E$33),"")</f>
        <v>22.28490990990991</v>
      </c>
      <c r="I404" s="93">
        <f>IFERROR(IF($D404="","",VLOOKUP($D404,Cadastro!$C$4:$G$7,5,FALSE())),"")</f>
        <v>0.6</v>
      </c>
      <c r="J404" s="94">
        <f t="shared" si="94"/>
        <v>3.2090270270270267</v>
      </c>
      <c r="K404" s="64">
        <f t="shared" si="95"/>
        <v>21</v>
      </c>
      <c r="L404" s="61"/>
      <c r="M404" s="61"/>
      <c r="N404" s="61"/>
      <c r="O404" s="65"/>
      <c r="P404" s="65"/>
      <c r="Q404" s="66" t="str">
        <f t="shared" ca="1" si="96"/>
        <v/>
      </c>
      <c r="R404" s="63"/>
      <c r="S404" s="133"/>
    </row>
    <row r="405" spans="1:20" ht="15.75" customHeight="1">
      <c r="A405" s="156" t="s">
        <v>263</v>
      </c>
      <c r="B405" s="156"/>
      <c r="C405" s="156"/>
      <c r="D405" s="156"/>
      <c r="E405" s="156"/>
      <c r="F405" s="105"/>
      <c r="G405" s="96">
        <f>SUM(G393:G404)</f>
        <v>222</v>
      </c>
      <c r="H405" s="105">
        <f>IFERROR(SUM(H393:H404),"")</f>
        <v>989.44999999999982</v>
      </c>
      <c r="I405" s="106"/>
      <c r="J405" s="107">
        <f>IFERROR(SUM(J393:J404),"")</f>
        <v>195.72390675675675</v>
      </c>
      <c r="K405" s="2">
        <f>SUM(K393:K404)</f>
        <v>932.40000000000009</v>
      </c>
      <c r="L405" s="72"/>
      <c r="M405" s="72"/>
      <c r="N405" s="72"/>
      <c r="O405" s="134"/>
      <c r="P405" s="134"/>
      <c r="Q405" s="73">
        <f ca="1">IFERROR(SUM(Q393:Q404),"")</f>
        <v>5.9722222222222843E-2</v>
      </c>
      <c r="R405" s="2" t="s">
        <v>261</v>
      </c>
      <c r="S405" s="74">
        <v>989450</v>
      </c>
      <c r="T405" s="99">
        <f>IFERROR(J405,"")</f>
        <v>195.72390675675675</v>
      </c>
    </row>
    <row r="406" spans="1:20" ht="18" customHeight="1">
      <c r="A406" s="157" t="s">
        <v>249</v>
      </c>
      <c r="B406" s="157"/>
      <c r="C406" s="157"/>
      <c r="D406" s="157"/>
      <c r="E406" s="157"/>
      <c r="F406" s="108"/>
      <c r="G406" s="109">
        <f>G392+G405</f>
        <v>362</v>
      </c>
      <c r="H406" s="108">
        <f>IFERROR(H392+H405,"")</f>
        <v>1665.12</v>
      </c>
      <c r="I406" s="110"/>
      <c r="J406" s="111">
        <f>IFERROR(J392+J405,"")</f>
        <v>337.61460675675676</v>
      </c>
      <c r="K406" s="1">
        <f>K392+K405</f>
        <v>1520.4</v>
      </c>
      <c r="L406" s="76"/>
      <c r="M406" s="76"/>
      <c r="N406" s="76"/>
      <c r="O406" s="135"/>
      <c r="P406" s="135"/>
      <c r="Q406" s="77">
        <f ca="1">IFERROR(Q392+Q405,"")</f>
        <v>0.16319444444444475</v>
      </c>
      <c r="R406" s="1" t="s">
        <v>264</v>
      </c>
      <c r="S406" s="82">
        <f>IFERROR(S392+S405,"")</f>
        <v>1665120</v>
      </c>
      <c r="T406" s="118">
        <f>IFERROR(J406,"")</f>
        <v>337.61460675675676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10</v>
      </c>
      <c r="H407" s="101">
        <f>IFERROR(IF($G407="","",$G407*$S$419/$G$419/Cadastro!$E$33),"")</f>
        <v>44.183802816901405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6.3624676056338023</v>
      </c>
      <c r="K407" s="69">
        <f t="shared" ref="K407:K418" si="99">IF(G407="","",IF(E407="PC 17",G407*4.2,IF(E407="PC 19",G407*5,IF(E407="CB",G407*24,""))))</f>
        <v>42</v>
      </c>
      <c r="L407" s="70" t="s">
        <v>27</v>
      </c>
      <c r="M407" s="70"/>
      <c r="N407" s="70" t="s">
        <v>237</v>
      </c>
      <c r="O407" s="65">
        <v>0.327777777777778</v>
      </c>
      <c r="P407" s="65">
        <v>0.34027777777777801</v>
      </c>
      <c r="Q407" s="71">
        <f t="shared" ref="Q407:Q418" ca="1" si="100">IFERROR(IF(O407="","",IF(P407="",MOD(NOW()-O407,1),IF(P407&gt;=O407,P407-O407,P407+1-O407))),"")</f>
        <v>1.2500000000000011E-2</v>
      </c>
      <c r="R407" s="63" t="s">
        <v>399</v>
      </c>
      <c r="S407" s="133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4</v>
      </c>
      <c r="H408" s="88">
        <f>IFERROR(IF($G408="","",$G408*$S$419/$G$419/Cadastro!$E$33),"")</f>
        <v>17.673521126760562</v>
      </c>
      <c r="I408" s="90">
        <f>IFERROR(IF($D408="","",VLOOKUP($D408,Cadastro!$C$4:$G$7,5,FALSE())),"")</f>
        <v>0.6</v>
      </c>
      <c r="J408" s="91">
        <f t="shared" si="98"/>
        <v>2.5449870422535206</v>
      </c>
      <c r="K408" s="64">
        <f t="shared" si="99"/>
        <v>16.8</v>
      </c>
      <c r="L408" s="61" t="s">
        <v>28</v>
      </c>
      <c r="M408" s="61" t="s">
        <v>173</v>
      </c>
      <c r="N408" s="61" t="s">
        <v>36</v>
      </c>
      <c r="O408" s="65">
        <v>0.38333333333333303</v>
      </c>
      <c r="P408" s="65">
        <v>0.405555555555556</v>
      </c>
      <c r="Q408" s="66">
        <f t="shared" ca="1" si="100"/>
        <v>2.2222222222222976E-2</v>
      </c>
      <c r="R408" s="63"/>
      <c r="S408" s="133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8</v>
      </c>
      <c r="H409" s="88">
        <f>IFERROR(IF($G409="","",$G409*$S$419/$G$419/Cadastro!$E$33),"")</f>
        <v>35.347042253521124</v>
      </c>
      <c r="I409" s="90">
        <f>IFERROR(IF($D409="","",VLOOKUP($D409,Cadastro!$C$4:$G$7,5,FALSE())),"")</f>
        <v>0.6</v>
      </c>
      <c r="J409" s="91">
        <f t="shared" si="98"/>
        <v>5.0899740845070411</v>
      </c>
      <c r="K409" s="69">
        <f t="shared" si="99"/>
        <v>33.6</v>
      </c>
      <c r="L409" s="70" t="s">
        <v>29</v>
      </c>
      <c r="M409" s="70" t="s">
        <v>66</v>
      </c>
      <c r="N409" s="70" t="s">
        <v>37</v>
      </c>
      <c r="O409" s="65">
        <v>0.57291666666666696</v>
      </c>
      <c r="P409" s="65">
        <v>0.60555555555555596</v>
      </c>
      <c r="Q409" s="71">
        <f t="shared" ca="1" si="100"/>
        <v>3.2638888888888995E-2</v>
      </c>
      <c r="R409" s="63"/>
      <c r="S409" s="133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44.183802816901405</v>
      </c>
      <c r="I410" s="90">
        <f>IFERROR(IF($D410="","",VLOOKUP($D410,Cadastro!$C$4:$G$7,5,FALSE())),"")</f>
        <v>0.6</v>
      </c>
      <c r="J410" s="91">
        <f t="shared" si="98"/>
        <v>6.3624676056338023</v>
      </c>
      <c r="K410" s="64">
        <f t="shared" si="99"/>
        <v>42</v>
      </c>
      <c r="L410" s="61" t="s">
        <v>29</v>
      </c>
      <c r="M410" s="61" t="s">
        <v>66</v>
      </c>
      <c r="N410" s="61" t="s">
        <v>45</v>
      </c>
      <c r="O410" s="65">
        <v>0.66388888888888897</v>
      </c>
      <c r="P410" s="65">
        <v>0.67361111111111105</v>
      </c>
      <c r="Q410" s="66">
        <f t="shared" ca="1" si="100"/>
        <v>9.7222222222220767E-3</v>
      </c>
      <c r="R410" s="63"/>
      <c r="S410" s="133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19</v>
      </c>
      <c r="H411" s="88">
        <f>IFERROR(IF($G411="","",$G411*$S$419/$G$419/Cadastro!$E$33),"")</f>
        <v>83.949225352112663</v>
      </c>
      <c r="I411" s="90">
        <f>IFERROR(IF($D411="","",VLOOKUP($D411,Cadastro!$C$4:$G$7,5,FALSE())),"")</f>
        <v>0.6</v>
      </c>
      <c r="J411" s="91">
        <f t="shared" si="98"/>
        <v>12.088688450704224</v>
      </c>
      <c r="K411" s="69">
        <f t="shared" si="99"/>
        <v>79.8</v>
      </c>
      <c r="L411" s="70" t="s">
        <v>28</v>
      </c>
      <c r="M411" s="70" t="s">
        <v>173</v>
      </c>
      <c r="N411" s="70" t="s">
        <v>36</v>
      </c>
      <c r="O411" s="65">
        <v>0.69722222222222197</v>
      </c>
      <c r="P411" s="65">
        <v>0.72430555555555598</v>
      </c>
      <c r="Q411" s="71">
        <f t="shared" ca="1" si="100"/>
        <v>2.7083333333334014E-2</v>
      </c>
      <c r="R411" s="63"/>
      <c r="S411" s="133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27</v>
      </c>
      <c r="H412" s="88">
        <f>IFERROR(IF($G412="","",$G412*$S$419/$G$419/Cadastro!$E$33),"")</f>
        <v>119.29626760563382</v>
      </c>
      <c r="I412" s="90">
        <f>IFERROR(IF($D412="","",VLOOKUP($D412,Cadastro!$C$4:$G$7,5,FALSE())),"")</f>
        <v>0.6</v>
      </c>
      <c r="J412" s="91">
        <f t="shared" si="98"/>
        <v>17.178662535211267</v>
      </c>
      <c r="K412" s="64">
        <f t="shared" si="99"/>
        <v>113.4</v>
      </c>
      <c r="L412" s="61" t="s">
        <v>27</v>
      </c>
      <c r="M412" s="61" t="s">
        <v>61</v>
      </c>
      <c r="N412" s="61" t="s">
        <v>140</v>
      </c>
      <c r="O412" s="65">
        <v>0.74305555555555602</v>
      </c>
      <c r="P412" s="65">
        <v>0.75416666666666698</v>
      </c>
      <c r="Q412" s="66">
        <f t="shared" ca="1" si="100"/>
        <v>1.1111111111110961E-2</v>
      </c>
      <c r="R412" s="63"/>
      <c r="S412" s="133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18</v>
      </c>
      <c r="H413" s="88">
        <f>IFERROR(IF($G413="","",$G413*$S$419/$G$419/Cadastro!$E$33),"")</f>
        <v>79.530845070422544</v>
      </c>
      <c r="I413" s="90">
        <f>IFERROR(IF($D413="","",VLOOKUP($D413,Cadastro!$C$4:$G$7,5,FALSE())),"")</f>
        <v>0.6</v>
      </c>
      <c r="J413" s="91">
        <f t="shared" si="98"/>
        <v>11.452441690140846</v>
      </c>
      <c r="K413" s="69">
        <f t="shared" si="99"/>
        <v>75.600000000000009</v>
      </c>
      <c r="L413" s="70"/>
      <c r="M413" s="70"/>
      <c r="N413" s="70"/>
      <c r="O413" s="65"/>
      <c r="P413" s="65"/>
      <c r="Q413" s="71" t="str">
        <f t="shared" ca="1" si="100"/>
        <v/>
      </c>
      <c r="R413" s="63"/>
      <c r="S413" s="133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10</v>
      </c>
      <c r="H414" s="88">
        <f>IFERROR(IF($G414="","",$G414*$S$419/$G$419/Cadastro!$E$33),"")</f>
        <v>44.183802816901405</v>
      </c>
      <c r="I414" s="90">
        <f>IFERROR(IF($D414="","",VLOOKUP($D414,Cadastro!$C$4:$G$7,5,FALSE())),"")</f>
        <v>0.6</v>
      </c>
      <c r="J414" s="91">
        <f t="shared" si="98"/>
        <v>6.3624676056338023</v>
      </c>
      <c r="K414" s="64">
        <f t="shared" si="99"/>
        <v>42</v>
      </c>
      <c r="L414" s="61"/>
      <c r="M414" s="61"/>
      <c r="N414" s="61"/>
      <c r="O414" s="65"/>
      <c r="P414" s="65"/>
      <c r="Q414" s="66" t="str">
        <f t="shared" ca="1" si="100"/>
        <v/>
      </c>
      <c r="R414" s="63"/>
      <c r="S414" s="133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18</v>
      </c>
      <c r="H415" s="88">
        <f>IFERROR(IF($G415="","",$G415*$S$419/$G$419/Cadastro!$E$33),"")</f>
        <v>79.530845070422544</v>
      </c>
      <c r="I415" s="90">
        <f>IFERROR(IF($D415="","",VLOOKUP($D415,Cadastro!$C$4:$G$7,5,FALSE())),"")</f>
        <v>0.6</v>
      </c>
      <c r="J415" s="91">
        <f t="shared" si="98"/>
        <v>11.452441690140846</v>
      </c>
      <c r="K415" s="69">
        <f t="shared" si="99"/>
        <v>75.600000000000009</v>
      </c>
      <c r="L415" s="70"/>
      <c r="M415" s="70"/>
      <c r="N415" s="70"/>
      <c r="O415" s="65"/>
      <c r="P415" s="65"/>
      <c r="Q415" s="71" t="str">
        <f t="shared" ca="1" si="100"/>
        <v/>
      </c>
      <c r="R415" s="63"/>
      <c r="S415" s="133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8</v>
      </c>
      <c r="H416" s="88">
        <f>IFERROR(IF($G416="","",$G416*$S$419/$G$419/Cadastro!$E$33),"")</f>
        <v>35.347042253521124</v>
      </c>
      <c r="I416" s="90">
        <f>IFERROR(IF($D416="","",VLOOKUP($D416,Cadastro!$C$4:$G$7,5,FALSE())),"")</f>
        <v>0.6</v>
      </c>
      <c r="J416" s="91">
        <f t="shared" si="98"/>
        <v>5.0899740845070411</v>
      </c>
      <c r="K416" s="64">
        <f t="shared" si="99"/>
        <v>33.6</v>
      </c>
      <c r="L416" s="61"/>
      <c r="M416" s="61"/>
      <c r="N416" s="61"/>
      <c r="O416" s="65"/>
      <c r="P416" s="65"/>
      <c r="Q416" s="66" t="str">
        <f t="shared" ca="1" si="100"/>
        <v/>
      </c>
      <c r="R416" s="63"/>
      <c r="S416" s="133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2</v>
      </c>
      <c r="H417" s="88">
        <f>IFERROR(IF($G417="","",$G417*$S$419/$G$419/Cadastro!$E$33),"")</f>
        <v>8.836760563380281</v>
      </c>
      <c r="I417" s="90">
        <f>IFERROR(IF($D417="","",VLOOKUP($D417,Cadastro!$C$4:$G$7,5,FALSE())),"")</f>
        <v>0.6</v>
      </c>
      <c r="J417" s="91">
        <f t="shared" si="98"/>
        <v>1.2724935211267603</v>
      </c>
      <c r="K417" s="69">
        <f t="shared" si="99"/>
        <v>8.4</v>
      </c>
      <c r="L417" s="70"/>
      <c r="M417" s="70"/>
      <c r="N417" s="70"/>
      <c r="O417" s="65"/>
      <c r="P417" s="65"/>
      <c r="Q417" s="71" t="str">
        <f t="shared" ca="1" si="100"/>
        <v/>
      </c>
      <c r="R417" s="63"/>
      <c r="S417" s="133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8</v>
      </c>
      <c r="H418" s="92">
        <f>IFERROR(IF($G418="","",$G418*$S$419/$G$419/Cadastro!$E$33),"")</f>
        <v>35.347042253521124</v>
      </c>
      <c r="I418" s="93">
        <f>IFERROR(IF($D418="","",VLOOKUP($D418,Cadastro!$C$4:$G$7,5,FALSE())),"")</f>
        <v>0.6</v>
      </c>
      <c r="J418" s="94">
        <f t="shared" si="98"/>
        <v>5.0899740845070411</v>
      </c>
      <c r="K418" s="64">
        <f t="shared" si="99"/>
        <v>33.6</v>
      </c>
      <c r="L418" s="61"/>
      <c r="M418" s="61"/>
      <c r="N418" s="61"/>
      <c r="O418" s="65"/>
      <c r="P418" s="65"/>
      <c r="Q418" s="66" t="str">
        <f t="shared" ca="1" si="100"/>
        <v/>
      </c>
      <c r="R418" s="63"/>
      <c r="S418" s="133"/>
    </row>
    <row r="419" spans="1:20" ht="15.75" customHeight="1">
      <c r="A419" s="156" t="s">
        <v>260</v>
      </c>
      <c r="B419" s="156"/>
      <c r="C419" s="156"/>
      <c r="D419" s="156"/>
      <c r="E419" s="156"/>
      <c r="F419" s="95"/>
      <c r="G419" s="96">
        <f>SUM(G407:G418)</f>
        <v>142</v>
      </c>
      <c r="H419" s="95">
        <f>IFERROR(SUM(H407:H418),"")</f>
        <v>627.40999999999985</v>
      </c>
      <c r="I419" s="97"/>
      <c r="J419" s="98">
        <f>IFERROR(SUM(J407:J418),"")</f>
        <v>90.347039999999993</v>
      </c>
      <c r="K419" s="2">
        <f>SUM(K407:K418)</f>
        <v>596.40000000000009</v>
      </c>
      <c r="L419" s="72"/>
      <c r="M419" s="72"/>
      <c r="N419" s="72"/>
      <c r="O419" s="134"/>
      <c r="P419" s="134"/>
      <c r="Q419" s="73">
        <f ca="1">IFERROR(SUM(Q407:Q418),"")</f>
        <v>0.11527777777777903</v>
      </c>
      <c r="R419" s="2" t="s">
        <v>261</v>
      </c>
      <c r="S419" s="74">
        <v>627410</v>
      </c>
      <c r="T419" s="99">
        <f>IFERROR(J419,"")</f>
        <v>90.347039999999993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21</v>
      </c>
      <c r="H420" s="101">
        <f>IFERROR(IF($G420="","",$G420*$S$432/$G$432/Cadastro!$E$33),"")</f>
        <v>85.567180851063839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12.321674042553193</v>
      </c>
      <c r="K420" s="64">
        <f t="shared" ref="K420:K431" si="103">IF(G420="","",IF(E420="PC 17",G420*4.2,IF(E420="PC 19",G420*5,IF(E420="CB",G420*24,""))))</f>
        <v>88.2</v>
      </c>
      <c r="L420" s="61" t="s">
        <v>29</v>
      </c>
      <c r="M420" s="61" t="s">
        <v>66</v>
      </c>
      <c r="N420" s="61" t="s">
        <v>65</v>
      </c>
      <c r="O420" s="65">
        <v>0.82777777777777795</v>
      </c>
      <c r="P420" s="65">
        <v>0.84722222222222199</v>
      </c>
      <c r="Q420" s="66">
        <f t="shared" ref="Q420:Q431" ca="1" si="104">IFERROR(IF(O420="","",IF(P420="",MOD(NOW()-O420,1),IF(P420&gt;=O420,P420-O420,P420+1-O420))),"")</f>
        <v>1.9444444444444042E-2</v>
      </c>
      <c r="R420" s="63"/>
      <c r="S420" s="133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6</v>
      </c>
      <c r="H421" s="88">
        <f>IFERROR(IF($G421="","",$G421*$S$432/$G$432/Cadastro!$E$33),"")</f>
        <v>24.447765957446808</v>
      </c>
      <c r="I421" s="90">
        <f>IFERROR(IF($D421="","",VLOOKUP($D421,Cadastro!$C$4:$G$7,5,FALSE())),"")</f>
        <v>0.6</v>
      </c>
      <c r="J421" s="91">
        <f t="shared" si="102"/>
        <v>3.5204782978723399</v>
      </c>
      <c r="K421" s="69">
        <f t="shared" si="103"/>
        <v>25.200000000000003</v>
      </c>
      <c r="L421" s="70" t="s">
        <v>29</v>
      </c>
      <c r="M421" s="70" t="s">
        <v>61</v>
      </c>
      <c r="N421" s="70" t="s">
        <v>60</v>
      </c>
      <c r="O421" s="65">
        <v>0.85833333333333295</v>
      </c>
      <c r="P421" s="65">
        <v>0.86250000000000004</v>
      </c>
      <c r="Q421" s="71">
        <f t="shared" ca="1" si="104"/>
        <v>4.166666666667096E-3</v>
      </c>
      <c r="R421" s="63"/>
      <c r="S421" s="133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31</v>
      </c>
      <c r="H422" s="88">
        <f>IFERROR(IF($G422="","",$G422*$S$432/$G$432/Cadastro!$E$33),"")</f>
        <v>126.3134574468085</v>
      </c>
      <c r="I422" s="90">
        <f>IFERROR(IF($D422="","",VLOOKUP($D422,Cadastro!$C$4:$G$7,5,FALSE())),"")</f>
        <v>0.6</v>
      </c>
      <c r="J422" s="91">
        <f t="shared" si="102"/>
        <v>18.189137872340421</v>
      </c>
      <c r="K422" s="64">
        <f t="shared" si="103"/>
        <v>130.20000000000002</v>
      </c>
      <c r="L422" s="61" t="s">
        <v>29</v>
      </c>
      <c r="M422" s="61" t="s">
        <v>66</v>
      </c>
      <c r="N422" s="61" t="s">
        <v>71</v>
      </c>
      <c r="O422" s="65">
        <v>0.93888888888888899</v>
      </c>
      <c r="P422" s="65">
        <v>0.94374999999999998</v>
      </c>
      <c r="Q422" s="66">
        <f t="shared" ca="1" si="104"/>
        <v>4.8611111111109828E-3</v>
      </c>
      <c r="R422" s="63"/>
      <c r="S422" s="133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16</v>
      </c>
      <c r="H423" s="88">
        <f>IFERROR(IF($G423="","",$G423*$S$432/$G$432/Cadastro!$E$33),"")</f>
        <v>65.194042553191494</v>
      </c>
      <c r="I423" s="90">
        <f>IFERROR(IF($D423="","",VLOOKUP($D423,Cadastro!$C$4:$G$7,5,FALSE())),"")</f>
        <v>0.6</v>
      </c>
      <c r="J423" s="91">
        <f t="shared" si="102"/>
        <v>9.3879421276595743</v>
      </c>
      <c r="K423" s="69">
        <f t="shared" si="103"/>
        <v>67.2</v>
      </c>
      <c r="L423" s="70" t="s">
        <v>28</v>
      </c>
      <c r="M423" s="70" t="s">
        <v>173</v>
      </c>
      <c r="N423" s="70" t="s">
        <v>36</v>
      </c>
      <c r="O423" s="65">
        <v>0.95486111111111105</v>
      </c>
      <c r="P423" s="65">
        <v>0.97916666666666696</v>
      </c>
      <c r="Q423" s="71">
        <f t="shared" ca="1" si="104"/>
        <v>2.4305555555555913E-2</v>
      </c>
      <c r="R423" s="63" t="s">
        <v>400</v>
      </c>
      <c r="S423" s="133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14</v>
      </c>
      <c r="H424" s="88">
        <f>IFERROR(IF($G424="","",$G424*$S$432/$G$432/Cadastro!$E$33),"")</f>
        <v>57.044787234042552</v>
      </c>
      <c r="I424" s="90">
        <f>IFERROR(IF($D424="","",VLOOKUP($D424,Cadastro!$C$4:$G$7,5,FALSE())),"")</f>
        <v>0.6</v>
      </c>
      <c r="J424" s="91">
        <f t="shared" si="102"/>
        <v>8.2144493617021279</v>
      </c>
      <c r="K424" s="64">
        <f t="shared" si="103"/>
        <v>58.800000000000004</v>
      </c>
      <c r="L424" s="61" t="s">
        <v>29</v>
      </c>
      <c r="M424" s="61" t="s">
        <v>66</v>
      </c>
      <c r="N424" s="61" t="s">
        <v>71</v>
      </c>
      <c r="O424" s="65">
        <v>1.52777777777778E-2</v>
      </c>
      <c r="P424" s="65">
        <v>2.4305555555555601E-2</v>
      </c>
      <c r="Q424" s="66">
        <f t="shared" ca="1" si="104"/>
        <v>9.0277777777778012E-3</v>
      </c>
      <c r="R424" s="63"/>
      <c r="S424" s="133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13</v>
      </c>
      <c r="H425" s="88">
        <f>IFERROR(IF($G425="","",$G425*$S$432/$G$432/Cadastro!$E$33),"")</f>
        <v>52.970159574468084</v>
      </c>
      <c r="I425" s="90">
        <f>IFERROR(IF($D425="","",VLOOKUP($D425,Cadastro!$C$4:$G$7,5,FALSE())),"")</f>
        <v>0.6</v>
      </c>
      <c r="J425" s="91">
        <f t="shared" si="102"/>
        <v>7.6277029787234039</v>
      </c>
      <c r="K425" s="69">
        <f t="shared" si="103"/>
        <v>54.6</v>
      </c>
      <c r="L425" s="70" t="s">
        <v>29</v>
      </c>
      <c r="M425" s="70" t="s">
        <v>139</v>
      </c>
      <c r="N425" s="70" t="s">
        <v>123</v>
      </c>
      <c r="O425" s="65">
        <v>4.1666666666666699E-2</v>
      </c>
      <c r="P425" s="65">
        <v>4.9305555555555602E-2</v>
      </c>
      <c r="Q425" s="71">
        <f t="shared" ca="1" si="104"/>
        <v>7.6388888888889034E-3</v>
      </c>
      <c r="R425" s="63"/>
      <c r="S425" s="133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20</v>
      </c>
      <c r="H426" s="88">
        <f>IFERROR(IF($G426="","",$G426*$S$432/$G$432/Cadastro!$E$33),"")</f>
        <v>81.492553191489364</v>
      </c>
      <c r="I426" s="90">
        <f>IFERROR(IF($D426="","",VLOOKUP($D426,Cadastro!$C$4:$G$7,5,FALSE())),"")</f>
        <v>0.6</v>
      </c>
      <c r="J426" s="91">
        <f t="shared" si="102"/>
        <v>11.734927659574467</v>
      </c>
      <c r="K426" s="64">
        <f t="shared" si="103"/>
        <v>84</v>
      </c>
      <c r="L426" s="61" t="s">
        <v>29</v>
      </c>
      <c r="M426" s="61" t="s">
        <v>61</v>
      </c>
      <c r="N426" s="61" t="s">
        <v>71</v>
      </c>
      <c r="O426" s="65">
        <v>0.179166666666667</v>
      </c>
      <c r="P426" s="65">
        <v>0.19305555555555601</v>
      </c>
      <c r="Q426" s="66">
        <f t="shared" ca="1" si="104"/>
        <v>1.3888888888889006E-2</v>
      </c>
      <c r="R426" s="63"/>
      <c r="S426" s="133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19</v>
      </c>
      <c r="H427" s="88">
        <f>IFERROR(IF($G427="","",$G427*$S$432/$G$432/Cadastro!$E$33),"")</f>
        <v>77.417925531914889</v>
      </c>
      <c r="I427" s="90">
        <f>IFERROR(IF($D427="","",VLOOKUP($D427,Cadastro!$C$4:$G$7,5,FALSE())),"")</f>
        <v>0.6</v>
      </c>
      <c r="J427" s="91">
        <f t="shared" si="102"/>
        <v>11.148181276595743</v>
      </c>
      <c r="K427" s="69">
        <f t="shared" si="103"/>
        <v>79.8</v>
      </c>
      <c r="L427" s="70" t="s">
        <v>28</v>
      </c>
      <c r="M427" s="70" t="s">
        <v>173</v>
      </c>
      <c r="N427" s="70" t="s">
        <v>36</v>
      </c>
      <c r="O427" s="65">
        <v>0.25138888888888899</v>
      </c>
      <c r="P427" s="65">
        <v>0.26250000000000001</v>
      </c>
      <c r="Q427" s="71">
        <f t="shared" ca="1" si="104"/>
        <v>1.1111111111111016E-2</v>
      </c>
      <c r="R427" s="63"/>
      <c r="S427" s="133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13</v>
      </c>
      <c r="H428" s="88">
        <f>IFERROR(IF($G428="","",$G428*$S$432/$G$432/Cadastro!$E$33),"")</f>
        <v>52.970159574468084</v>
      </c>
      <c r="I428" s="90">
        <f>IFERROR(IF($D428="","",VLOOKUP($D428,Cadastro!$C$4:$G$7,5,FALSE())),"")</f>
        <v>0.6</v>
      </c>
      <c r="J428" s="91">
        <f t="shared" si="102"/>
        <v>7.6277029787234039</v>
      </c>
      <c r="K428" s="64">
        <f t="shared" si="103"/>
        <v>54.6</v>
      </c>
      <c r="L428" s="61"/>
      <c r="M428" s="61"/>
      <c r="N428" s="61"/>
      <c r="O428" s="65"/>
      <c r="P428" s="65"/>
      <c r="Q428" s="66" t="str">
        <f t="shared" ca="1" si="104"/>
        <v/>
      </c>
      <c r="R428" s="63"/>
      <c r="S428" s="133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15</v>
      </c>
      <c r="H429" s="88">
        <f>IFERROR(IF($G429="","",$G429*$S$432/$G$432/Cadastro!$E$33),"")</f>
        <v>61.119414893617027</v>
      </c>
      <c r="I429" s="90">
        <f>IFERROR(IF($D429="","",VLOOKUP($D429,Cadastro!$C$4:$G$7,5,FALSE())),"")</f>
        <v>0.6</v>
      </c>
      <c r="J429" s="91">
        <f t="shared" si="102"/>
        <v>8.8011957446808502</v>
      </c>
      <c r="K429" s="69">
        <f t="shared" si="103"/>
        <v>63</v>
      </c>
      <c r="L429" s="70"/>
      <c r="M429" s="70"/>
      <c r="N429" s="70"/>
      <c r="O429" s="65"/>
      <c r="P429" s="65"/>
      <c r="Q429" s="71" t="str">
        <f t="shared" ca="1" si="104"/>
        <v/>
      </c>
      <c r="R429" s="63"/>
      <c r="S429" s="133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16</v>
      </c>
      <c r="H430" s="88">
        <f>IFERROR(IF($G430="","",$G430*$S$432/$G$432/Cadastro!$E$33),"")</f>
        <v>65.194042553191494</v>
      </c>
      <c r="I430" s="90">
        <f>IFERROR(IF($D430="","",VLOOKUP($D430,Cadastro!$C$4:$G$7,5,FALSE())),"")</f>
        <v>0.6</v>
      </c>
      <c r="J430" s="91">
        <f t="shared" si="102"/>
        <v>9.3879421276595743</v>
      </c>
      <c r="K430" s="64">
        <f t="shared" si="103"/>
        <v>67.2</v>
      </c>
      <c r="L430" s="61"/>
      <c r="M430" s="61"/>
      <c r="N430" s="61"/>
      <c r="O430" s="65"/>
      <c r="P430" s="65"/>
      <c r="Q430" s="66" t="str">
        <f t="shared" ca="1" si="104"/>
        <v/>
      </c>
      <c r="R430" s="63"/>
      <c r="S430" s="133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4</v>
      </c>
      <c r="H431" s="92">
        <f>IFERROR(IF($G431="","",$G431*$S$432/$G$432/Cadastro!$E$33),"")</f>
        <v>16.298510638297873</v>
      </c>
      <c r="I431" s="93">
        <f>IFERROR(IF($D431="","",VLOOKUP($D431,Cadastro!$C$4:$G$7,5,FALSE())),"")</f>
        <v>0.6</v>
      </c>
      <c r="J431" s="94">
        <f t="shared" si="102"/>
        <v>2.3469855319148936</v>
      </c>
      <c r="K431" s="69">
        <f t="shared" si="103"/>
        <v>16.8</v>
      </c>
      <c r="L431" s="70"/>
      <c r="M431" s="70"/>
      <c r="N431" s="70"/>
      <c r="O431" s="65"/>
      <c r="P431" s="65"/>
      <c r="Q431" s="71" t="str">
        <f t="shared" ca="1" si="104"/>
        <v/>
      </c>
      <c r="R431" s="63"/>
      <c r="S431" s="133"/>
    </row>
    <row r="432" spans="1:20" ht="15.75" customHeight="1">
      <c r="A432" s="156" t="s">
        <v>263</v>
      </c>
      <c r="B432" s="156"/>
      <c r="C432" s="156"/>
      <c r="D432" s="156"/>
      <c r="E432" s="156"/>
      <c r="F432" s="105"/>
      <c r="G432" s="96">
        <f>SUM(G420:G431)</f>
        <v>188</v>
      </c>
      <c r="H432" s="105">
        <f>IFERROR(SUM(H420:H431),"")</f>
        <v>766.03</v>
      </c>
      <c r="I432" s="106"/>
      <c r="J432" s="107">
        <f>IFERROR(SUM(J420:J431),"")</f>
        <v>110.30832000000001</v>
      </c>
      <c r="K432" s="2">
        <f>SUM(K420:K431)</f>
        <v>789.6</v>
      </c>
      <c r="L432" s="72"/>
      <c r="M432" s="72"/>
      <c r="N432" s="72"/>
      <c r="O432" s="134"/>
      <c r="P432" s="134"/>
      <c r="Q432" s="73">
        <f ca="1">IFERROR(SUM(Q420:Q431),"")</f>
        <v>9.4444444444444761E-2</v>
      </c>
      <c r="R432" s="2" t="s">
        <v>261</v>
      </c>
      <c r="S432" s="74">
        <v>766030</v>
      </c>
      <c r="T432" s="99">
        <f>IFERROR(J432,"")</f>
        <v>110.30832000000001</v>
      </c>
    </row>
    <row r="433" spans="1:21" ht="18" customHeight="1">
      <c r="A433" s="157" t="s">
        <v>249</v>
      </c>
      <c r="B433" s="157"/>
      <c r="C433" s="157"/>
      <c r="D433" s="157"/>
      <c r="E433" s="157"/>
      <c r="F433" s="108"/>
      <c r="G433" s="109">
        <f>G419+G432</f>
        <v>330</v>
      </c>
      <c r="H433" s="108">
        <f>IFERROR(H419+H432,"")</f>
        <v>1393.4399999999998</v>
      </c>
      <c r="I433" s="110"/>
      <c r="J433" s="111">
        <f>IFERROR(J419+J432,"")</f>
        <v>200.65536</v>
      </c>
      <c r="K433" s="1">
        <f>K419+K432</f>
        <v>1386</v>
      </c>
      <c r="L433" s="76"/>
      <c r="M433" s="76"/>
      <c r="N433" s="76"/>
      <c r="O433" s="135"/>
      <c r="P433" s="135"/>
      <c r="Q433" s="77">
        <f ca="1">IFERROR(Q419+Q432,"")</f>
        <v>0.20972222222222381</v>
      </c>
      <c r="R433" s="1" t="s">
        <v>264</v>
      </c>
      <c r="S433" s="82">
        <f>IFERROR(S419+S432,"")</f>
        <v>1393440</v>
      </c>
      <c r="T433" s="118">
        <f>IFERROR(J433,"")</f>
        <v>200.65536</v>
      </c>
    </row>
    <row r="434" spans="1:21" ht="15" customHeight="1">
      <c r="A434" s="59">
        <v>46251</v>
      </c>
      <c r="B434" s="60">
        <v>0.33333333333333298</v>
      </c>
      <c r="C434" s="61" t="s">
        <v>54</v>
      </c>
      <c r="D434" s="62" t="s">
        <v>39</v>
      </c>
      <c r="E434" s="87" t="s">
        <v>274</v>
      </c>
      <c r="F434" s="101">
        <f>IFERROR(IF($D434="","",VLOOKUP($D434,Cadastro!$C$4:$E$7,3,FALSE())),"")</f>
        <v>0.24</v>
      </c>
      <c r="G434" s="89">
        <v>18</v>
      </c>
      <c r="H434" s="101">
        <f>IFERROR(IF($G434="","",$G434*$S$446/$G$446/Cadastro!$E$33),"")</f>
        <v>82.024918032786886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11.81158819672131</v>
      </c>
      <c r="K434" s="64">
        <f t="shared" ref="K434:K445" si="107">IF(G434="","",IF(E434="PC 17",G434*4.2,IF(E434="PC 19",G434*5,IF(E434="CB",G434*24,""))))</f>
        <v>75.600000000000009</v>
      </c>
      <c r="L434" s="61" t="s">
        <v>28</v>
      </c>
      <c r="M434" s="61" t="s">
        <v>173</v>
      </c>
      <c r="N434" s="61" t="s">
        <v>36</v>
      </c>
      <c r="O434" s="65">
        <v>0.57013888888888897</v>
      </c>
      <c r="P434" s="65">
        <v>0.58333333333333304</v>
      </c>
      <c r="Q434" s="66">
        <f t="shared" ref="Q434:Q445" ca="1" si="108">IFERROR(IF(O434="","",IF(P434="",MOD(NOW()-O434,1),IF(P434&gt;=O434,P434-O434,P434+1-O434))),"")</f>
        <v>1.3194444444444065E-2</v>
      </c>
      <c r="R434" s="63"/>
      <c r="S434" s="133"/>
    </row>
    <row r="435" spans="1:21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23</v>
      </c>
      <c r="H435" s="88">
        <f>IFERROR(IF($G435="","",$G435*$S$446/$G$446/Cadastro!$E$33),"")</f>
        <v>104.80961748633879</v>
      </c>
      <c r="I435" s="90">
        <f>IFERROR(IF($D435="","",VLOOKUP($D435,Cadastro!$C$4:$G$7,5,FALSE())),"")</f>
        <v>0.6</v>
      </c>
      <c r="J435" s="91">
        <f t="shared" si="106"/>
        <v>22.010019672131143</v>
      </c>
      <c r="K435" s="64">
        <f t="shared" si="107"/>
        <v>96.600000000000009</v>
      </c>
      <c r="L435" s="70" t="s">
        <v>27</v>
      </c>
      <c r="M435" s="70" t="s">
        <v>66</v>
      </c>
      <c r="N435" s="70" t="s">
        <v>167</v>
      </c>
      <c r="O435" s="65">
        <v>0.67986111111111103</v>
      </c>
      <c r="P435" s="65">
        <v>0.70277777777777795</v>
      </c>
      <c r="Q435" s="71">
        <f t="shared" ca="1" si="108"/>
        <v>2.2916666666666918E-2</v>
      </c>
      <c r="R435" s="63"/>
      <c r="S435" s="133"/>
    </row>
    <row r="436" spans="1:21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30</v>
      </c>
      <c r="H436" s="88">
        <f>IFERROR(IF($G436="","",$G436*$S$446/$G$446/Cadastro!$E$33),"")</f>
        <v>136.70819672131148</v>
      </c>
      <c r="I436" s="90">
        <f>IFERROR(IF($D436="","",VLOOKUP($D436,Cadastro!$C$4:$G$7,5,FALSE())),"")</f>
        <v>0.6</v>
      </c>
      <c r="J436" s="91">
        <f t="shared" si="106"/>
        <v>28.708721311475408</v>
      </c>
      <c r="K436" s="64">
        <f t="shared" si="107"/>
        <v>126</v>
      </c>
      <c r="L436" s="61"/>
      <c r="M436" s="61"/>
      <c r="N436" s="61"/>
      <c r="O436" s="65"/>
      <c r="P436" s="65"/>
      <c r="Q436" s="66" t="str">
        <f t="shared" ca="1" si="108"/>
        <v/>
      </c>
      <c r="R436" s="63"/>
      <c r="S436" s="133"/>
    </row>
    <row r="437" spans="1:21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26</v>
      </c>
      <c r="H437" s="88">
        <f>IFERROR(IF($G437="","",$G437*$S$446/$G$446/Cadastro!$E$33),"")</f>
        <v>118.48043715846994</v>
      </c>
      <c r="I437" s="90">
        <f>IFERROR(IF($D437="","",VLOOKUP($D437,Cadastro!$C$4:$G$7,5,FALSE())),"")</f>
        <v>0.6</v>
      </c>
      <c r="J437" s="91">
        <f t="shared" si="106"/>
        <v>24.880891803278686</v>
      </c>
      <c r="K437" s="69">
        <f t="shared" si="107"/>
        <v>109.2</v>
      </c>
      <c r="L437" s="70"/>
      <c r="M437" s="70"/>
      <c r="N437" s="70"/>
      <c r="O437" s="65"/>
      <c r="P437" s="65"/>
      <c r="Q437" s="71" t="str">
        <f t="shared" ca="1" si="108"/>
        <v/>
      </c>
      <c r="R437" s="63"/>
      <c r="S437" s="133"/>
    </row>
    <row r="438" spans="1:21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25</v>
      </c>
      <c r="H438" s="88">
        <f>IFERROR(IF($G438="","",$G438*$S$446/$G$446/Cadastro!$E$33),"")</f>
        <v>113.92349726775957</v>
      </c>
      <c r="I438" s="90">
        <f>IFERROR(IF($D438="","",VLOOKUP($D438,Cadastro!$C$4:$G$7,5,FALSE())),"")</f>
        <v>0.6</v>
      </c>
      <c r="J438" s="91">
        <f t="shared" si="106"/>
        <v>23.923934426229511</v>
      </c>
      <c r="K438" s="64">
        <f t="shared" si="107"/>
        <v>105</v>
      </c>
      <c r="L438" s="61"/>
      <c r="M438" s="61"/>
      <c r="N438" s="61"/>
      <c r="O438" s="65"/>
      <c r="P438" s="65"/>
      <c r="Q438" s="66" t="str">
        <f t="shared" ca="1" si="108"/>
        <v/>
      </c>
      <c r="R438" s="63"/>
      <c r="S438" s="133"/>
    </row>
    <row r="439" spans="1:21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45.569398907103825</v>
      </c>
      <c r="I439" s="90">
        <f>IFERROR(IF($D439="","",VLOOKUP($D439,Cadastro!$C$4:$G$7,5,FALSE())),"")</f>
        <v>0.6</v>
      </c>
      <c r="J439" s="91">
        <f t="shared" si="106"/>
        <v>9.569573770491802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63"/>
      <c r="S439" s="133"/>
    </row>
    <row r="440" spans="1:21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87" t="s">
        <v>274</v>
      </c>
      <c r="F440" s="88">
        <f>IFERROR(IF($D440="","",VLOOKUP($D440,Cadastro!$C$4:$E$7,3,FALSE())),"")</f>
        <v>0.35</v>
      </c>
      <c r="G440" s="89">
        <v>1</v>
      </c>
      <c r="H440" s="88">
        <f>IFERROR(IF($G440="","",$G440*$S$446/$G$446/Cadastro!$E$33),"")</f>
        <v>4.5569398907103826</v>
      </c>
      <c r="I440" s="90">
        <f>IFERROR(IF($D440="","",VLOOKUP($D440,Cadastro!$C$4:$G$7,5,FALSE())),"")</f>
        <v>0.6</v>
      </c>
      <c r="J440" s="91">
        <f t="shared" si="106"/>
        <v>0.95695737704918016</v>
      </c>
      <c r="K440" s="64">
        <f t="shared" si="107"/>
        <v>4.2</v>
      </c>
      <c r="L440" s="61"/>
      <c r="M440" s="61"/>
      <c r="N440" s="61"/>
      <c r="O440" s="65"/>
      <c r="P440" s="65"/>
      <c r="Q440" s="66" t="str">
        <f t="shared" ca="1" si="108"/>
        <v/>
      </c>
      <c r="R440" s="63"/>
      <c r="S440" s="133"/>
    </row>
    <row r="441" spans="1:21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12</v>
      </c>
      <c r="H441" s="88">
        <f>IFERROR(IF($G441="","",$G441*$S$446/$G$446/Cadastro!$E$33),"")</f>
        <v>54.683278688524588</v>
      </c>
      <c r="I441" s="90">
        <f>IFERROR(IF($D441="","",VLOOKUP($D441,Cadastro!$C$4:$G$7,5,FALSE())),"")</f>
        <v>0.6</v>
      </c>
      <c r="J441" s="91">
        <f t="shared" si="106"/>
        <v>7.8743921311475393</v>
      </c>
      <c r="K441" s="69">
        <f t="shared" si="107"/>
        <v>50.400000000000006</v>
      </c>
      <c r="L441" s="70"/>
      <c r="M441" s="70"/>
      <c r="N441" s="70"/>
      <c r="O441" s="65"/>
      <c r="P441" s="65"/>
      <c r="Q441" s="71" t="str">
        <f t="shared" ca="1" si="108"/>
        <v/>
      </c>
      <c r="R441" s="63"/>
      <c r="S441" s="133"/>
    </row>
    <row r="442" spans="1:21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15</v>
      </c>
      <c r="H442" s="88">
        <f>IFERROR(IF($G442="","",$G442*$S$446/$G$446/Cadastro!$E$33),"")</f>
        <v>68.35409836065574</v>
      </c>
      <c r="I442" s="90">
        <f>IFERROR(IF($D442="","",VLOOKUP($D442,Cadastro!$C$4:$G$7,5,FALSE())),"")</f>
        <v>0.6</v>
      </c>
      <c r="J442" s="91">
        <f t="shared" si="106"/>
        <v>9.8429901639344255</v>
      </c>
      <c r="K442" s="64">
        <f t="shared" si="107"/>
        <v>63</v>
      </c>
      <c r="L442" s="61"/>
      <c r="M442" s="61"/>
      <c r="N442" s="61"/>
      <c r="O442" s="65"/>
      <c r="P442" s="65"/>
      <c r="Q442" s="66" t="str">
        <f t="shared" ca="1" si="108"/>
        <v/>
      </c>
      <c r="R442" s="63"/>
      <c r="S442" s="133"/>
    </row>
    <row r="443" spans="1:21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41.012459016393443</v>
      </c>
      <c r="I443" s="90">
        <f>IFERROR(IF($D443="","",VLOOKUP($D443,Cadastro!$C$4:$G$7,5,FALSE())),"")</f>
        <v>0.6</v>
      </c>
      <c r="J443" s="91">
        <f t="shared" si="106"/>
        <v>8.6126163934426216</v>
      </c>
      <c r="K443" s="69">
        <f t="shared" si="107"/>
        <v>37.800000000000004</v>
      </c>
      <c r="L443" s="70"/>
      <c r="M443" s="70"/>
      <c r="N443" s="70"/>
      <c r="O443" s="65"/>
      <c r="P443" s="65"/>
      <c r="Q443" s="71" t="str">
        <f t="shared" ca="1" si="108"/>
        <v/>
      </c>
      <c r="R443" s="63"/>
      <c r="S443" s="133"/>
    </row>
    <row r="444" spans="1:21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11</v>
      </c>
      <c r="H444" s="88">
        <f>IFERROR(IF($G444="","",$G444*$S$446/$G$446/Cadastro!$E$33),"")</f>
        <v>50.126338797814206</v>
      </c>
      <c r="I444" s="90">
        <f>IFERROR(IF($D444="","",VLOOKUP($D444,Cadastro!$C$4:$G$7,5,FALSE())),"")</f>
        <v>0.6</v>
      </c>
      <c r="J444" s="91">
        <f t="shared" si="106"/>
        <v>10.526531147540982</v>
      </c>
      <c r="K444" s="64">
        <f t="shared" si="107"/>
        <v>46.2</v>
      </c>
      <c r="L444" s="61"/>
      <c r="M444" s="61"/>
      <c r="N444" s="61"/>
      <c r="O444" s="65"/>
      <c r="P444" s="65"/>
      <c r="Q444" s="66" t="str">
        <f t="shared" ca="1" si="108"/>
        <v/>
      </c>
      <c r="R444" s="63"/>
      <c r="S444" s="133"/>
    </row>
    <row r="445" spans="1:21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3</v>
      </c>
      <c r="H445" s="92">
        <f>IFERROR(IF($G445="","",$G445*$S$446/$G$446/Cadastro!$E$33),"")</f>
        <v>13.670819672131147</v>
      </c>
      <c r="I445" s="93">
        <f>IFERROR(IF($D445="","",VLOOKUP($D445,Cadastro!$C$4:$G$7,5,FALSE())),"")</f>
        <v>0.6</v>
      </c>
      <c r="J445" s="94">
        <f t="shared" si="106"/>
        <v>2.8708721311475407</v>
      </c>
      <c r="K445" s="69">
        <f t="shared" si="107"/>
        <v>12.600000000000001</v>
      </c>
      <c r="L445" s="70"/>
      <c r="M445" s="70"/>
      <c r="N445" s="70"/>
      <c r="O445" s="65"/>
      <c r="P445" s="65"/>
      <c r="Q445" s="71" t="str">
        <f t="shared" ca="1" si="108"/>
        <v/>
      </c>
      <c r="R445" s="63"/>
      <c r="S445" s="133"/>
    </row>
    <row r="446" spans="1:21" ht="15.75" customHeight="1">
      <c r="A446" s="156" t="s">
        <v>260</v>
      </c>
      <c r="B446" s="156"/>
      <c r="C446" s="156"/>
      <c r="D446" s="156"/>
      <c r="E446" s="156"/>
      <c r="F446" s="95"/>
      <c r="G446" s="96">
        <f>SUM(G434:G445)</f>
        <v>183</v>
      </c>
      <c r="H446" s="95">
        <f>IFERROR(SUM(H434:H445),"")</f>
        <v>833.92000000000019</v>
      </c>
      <c r="I446" s="97"/>
      <c r="J446" s="98">
        <f>IFERROR(SUM(J434:J445),"")</f>
        <v>161.58908852459015</v>
      </c>
      <c r="K446" s="2">
        <f>SUM(K434:K445)</f>
        <v>768.60000000000014</v>
      </c>
      <c r="L446" s="72"/>
      <c r="M446" s="72"/>
      <c r="N446" s="72"/>
      <c r="O446" s="134"/>
      <c r="P446" s="134"/>
      <c r="Q446" s="73">
        <f ca="1">IFERROR(SUM(Q434:Q445),"")</f>
        <v>3.6111111111110983E-2</v>
      </c>
      <c r="R446" s="2" t="s">
        <v>261</v>
      </c>
      <c r="S446" s="74">
        <v>833920</v>
      </c>
      <c r="T446" s="99">
        <f>IFERROR(J446,"")</f>
        <v>161.58908852459015</v>
      </c>
    </row>
    <row r="447" spans="1:21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40</v>
      </c>
      <c r="H447" s="101">
        <f>IFERROR(IF($G447="","",$G447*$S$459/$G$459/Cadastro!$E$33),"")</f>
        <v>180.4898678414097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37.902872246696035</v>
      </c>
      <c r="K447" s="69">
        <f>IF(G447="","",IF(E447="PC 17",G447*4.2,IF(E447="PC 19",G447*5,IF(E447="CB",G447*24,""))))</f>
        <v>168</v>
      </c>
      <c r="L447" s="70" t="s">
        <v>29</v>
      </c>
      <c r="M447" s="70" t="s">
        <v>173</v>
      </c>
      <c r="N447" s="70" t="s">
        <v>65</v>
      </c>
      <c r="O447" s="65">
        <v>0.96875</v>
      </c>
      <c r="P447" s="65">
        <v>0.99305555555555602</v>
      </c>
      <c r="Q447" s="71">
        <f t="shared" ref="Q447:Q458" ca="1" si="111">IFERROR(IF(O447="","",IF(P447="",MOD(NOW()-O447,1),IF(P447&gt;=O447,P447-O447,P447+1-O447))),"")</f>
        <v>2.4305555555556024E-2</v>
      </c>
      <c r="R447" s="63" t="s">
        <v>401</v>
      </c>
      <c r="S447" s="133"/>
    </row>
    <row r="448" spans="1:21" ht="15" customHeight="1">
      <c r="A448" s="59">
        <v>46251</v>
      </c>
      <c r="B448" s="60">
        <f t="shared" ref="B448:B458" si="112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42</v>
      </c>
      <c r="H448" s="88">
        <f>IFERROR(IF($G448="","",$G448*$S$459/$G$459/Cadastro!$E$33),"")</f>
        <v>189.5143612334802</v>
      </c>
      <c r="I448" s="90">
        <f>IFERROR(IF($D448="","",VLOOKUP($D448,Cadastro!$C$4:$G$7,5,FALSE())),"")</f>
        <v>0.6</v>
      </c>
      <c r="J448" s="91">
        <f t="shared" si="110"/>
        <v>39.798015859030841</v>
      </c>
      <c r="K448" s="64">
        <f>IF(G448="","",IF(E448="PC 17",G448*4.2,IF(E448="PC 19",G448*5,IF(E448="CB",G448*24,""))))</f>
        <v>176.4</v>
      </c>
      <c r="L448" s="61" t="s">
        <v>27</v>
      </c>
      <c r="M448" s="61" t="s">
        <v>66</v>
      </c>
      <c r="N448" s="61" t="s">
        <v>177</v>
      </c>
      <c r="O448" s="65">
        <v>1.94444444444444E-2</v>
      </c>
      <c r="P448" s="65">
        <v>3.2638888888888898E-2</v>
      </c>
      <c r="Q448" s="66">
        <f t="shared" ca="1" si="111"/>
        <v>1.3194444444444498E-2</v>
      </c>
      <c r="R448" s="63"/>
      <c r="S448" s="133"/>
      <c r="U448" s="136"/>
    </row>
    <row r="449" spans="1:20" ht="15" customHeight="1">
      <c r="A449" s="18">
        <v>46251</v>
      </c>
      <c r="B449" s="68">
        <f t="shared" si="112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49.63471365638766</v>
      </c>
      <c r="I449" s="90">
        <f>IFERROR(IF($D449="","",VLOOKUP($D449,Cadastro!$C$4:$G$7,5,FALSE())),"")</f>
        <v>0.6</v>
      </c>
      <c r="J449" s="91">
        <f t="shared" si="110"/>
        <v>10.423289867841406</v>
      </c>
      <c r="K449" s="69">
        <f>IF(G449="","",IF(E449="PC 17",G449*4.2,IF(E449="PC 19",G449*5,IF(E449="CB",G449*24,""))))</f>
        <v>46.2</v>
      </c>
      <c r="L449" s="70" t="s">
        <v>29</v>
      </c>
      <c r="M449" s="70" t="s">
        <v>66</v>
      </c>
      <c r="N449" s="70" t="s">
        <v>60</v>
      </c>
      <c r="O449" s="65">
        <v>3.54166666666667E-2</v>
      </c>
      <c r="P449" s="65">
        <v>4.1666666666666699E-2</v>
      </c>
      <c r="Q449" s="71">
        <f t="shared" ca="1" si="111"/>
        <v>6.2499999999999986E-3</v>
      </c>
      <c r="R449" s="63"/>
      <c r="S449" s="133"/>
    </row>
    <row r="450" spans="1:20" ht="15" customHeight="1">
      <c r="A450" s="59">
        <v>46251</v>
      </c>
      <c r="B450" s="60">
        <f t="shared" si="112"/>
        <v>0.95833333333333293</v>
      </c>
      <c r="C450" s="70" t="s">
        <v>30</v>
      </c>
      <c r="D450" s="75" t="s">
        <v>39</v>
      </c>
      <c r="E450" s="100" t="s">
        <v>274</v>
      </c>
      <c r="F450" s="88">
        <f>IFERROR(IF($D450="","",VLOOKUP($D450,Cadastro!$C$4:$E$7,3,FALSE())),"")</f>
        <v>0.24</v>
      </c>
      <c r="G450" s="89">
        <v>24</v>
      </c>
      <c r="H450" s="88">
        <f>IFERROR(IF($G450="","",$G450*$S$459/$G$459/Cadastro!$E$33),"")</f>
        <v>108.29392070484582</v>
      </c>
      <c r="I450" s="90">
        <f>IFERROR(IF($D450="","",VLOOKUP($D450,Cadastro!$C$4:$G$7,5,FALSE())),"")</f>
        <v>0.6</v>
      </c>
      <c r="J450" s="91">
        <f t="shared" si="110"/>
        <v>15.594324581497798</v>
      </c>
      <c r="K450" s="64">
        <f t="shared" ref="K450:K458" si="113">IF(G450="","",IF(E451="PC 17",G450*4.2,IF(E451="PC 19",G450*5,"")))</f>
        <v>100.80000000000001</v>
      </c>
      <c r="L450" s="61" t="s">
        <v>29</v>
      </c>
      <c r="M450" s="61" t="s">
        <v>66</v>
      </c>
      <c r="N450" s="61" t="s">
        <v>60</v>
      </c>
      <c r="O450" s="65">
        <v>4.5138888888888902E-2</v>
      </c>
      <c r="P450" s="65">
        <v>6.25E-2</v>
      </c>
      <c r="Q450" s="66">
        <f t="shared" ca="1" si="111"/>
        <v>1.7361111111111098E-2</v>
      </c>
      <c r="R450" s="63"/>
      <c r="S450" s="133"/>
    </row>
    <row r="451" spans="1:20" ht="15" customHeight="1">
      <c r="A451" s="18">
        <v>46251</v>
      </c>
      <c r="B451" s="68">
        <f t="shared" si="112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9</v>
      </c>
      <c r="H451" s="88">
        <f>IFERROR(IF($G451="","",$G451*$S$459/$G$459/Cadastro!$E$33),"")</f>
        <v>40.610220264317185</v>
      </c>
      <c r="I451" s="90">
        <f>IFERROR(IF($D451="","",VLOOKUP($D451,Cadastro!$C$4:$G$7,5,FALSE())),"")</f>
        <v>0.6</v>
      </c>
      <c r="J451" s="91">
        <f t="shared" si="110"/>
        <v>5.8478717180616746</v>
      </c>
      <c r="K451" s="64">
        <f t="shared" si="113"/>
        <v>37.800000000000004</v>
      </c>
      <c r="L451" s="70" t="s">
        <v>29</v>
      </c>
      <c r="M451" s="70" t="s">
        <v>66</v>
      </c>
      <c r="N451" s="70" t="s">
        <v>212</v>
      </c>
      <c r="O451" s="65">
        <v>0.180555555555556</v>
      </c>
      <c r="P451" s="65">
        <v>0.20486111111111099</v>
      </c>
      <c r="Q451" s="71">
        <f t="shared" ca="1" si="111"/>
        <v>2.4305555555554997E-2</v>
      </c>
      <c r="R451" s="63" t="s">
        <v>395</v>
      </c>
      <c r="S451" s="133"/>
    </row>
    <row r="452" spans="1:20" ht="15" customHeight="1">
      <c r="A452" s="59">
        <v>46251</v>
      </c>
      <c r="B452" s="60">
        <f t="shared" si="112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36.097973568281937</v>
      </c>
      <c r="I452" s="90">
        <f>IFERROR(IF($D452="","",VLOOKUP($D452,Cadastro!$C$4:$G$7,5,FALSE())),"")</f>
        <v>0.6</v>
      </c>
      <c r="J452" s="91">
        <f t="shared" si="110"/>
        <v>5.1981081938325984</v>
      </c>
      <c r="K452" s="64">
        <f t="shared" si="113"/>
        <v>33.6</v>
      </c>
      <c r="L452" s="61" t="s">
        <v>27</v>
      </c>
      <c r="M452" s="61" t="s">
        <v>66</v>
      </c>
      <c r="N452" s="61" t="s">
        <v>43</v>
      </c>
      <c r="O452" s="65">
        <v>0.22222222222222199</v>
      </c>
      <c r="P452" s="65">
        <v>0.26388888888888901</v>
      </c>
      <c r="Q452" s="66">
        <f t="shared" ca="1" si="111"/>
        <v>4.1666666666667018E-2</v>
      </c>
      <c r="R452" s="63"/>
      <c r="S452" s="133"/>
    </row>
    <row r="453" spans="1:20" ht="15" customHeight="1">
      <c r="A453" s="18">
        <v>46251</v>
      </c>
      <c r="B453" s="68">
        <f t="shared" si="112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15</v>
      </c>
      <c r="H453" s="88">
        <f>IFERROR(IF($G453="","",$G453*$S$459/$G$459/Cadastro!$E$33),"")</f>
        <v>67.683700440528625</v>
      </c>
      <c r="I453" s="90">
        <f>IFERROR(IF($D453="","",VLOOKUP($D453,Cadastro!$C$4:$G$7,5,FALSE())),"")</f>
        <v>0.6</v>
      </c>
      <c r="J453" s="91">
        <f t="shared" si="110"/>
        <v>14.213577092511011</v>
      </c>
      <c r="K453" s="64">
        <f t="shared" si="113"/>
        <v>63</v>
      </c>
      <c r="L453" s="70"/>
      <c r="M453" s="70"/>
      <c r="N453" s="70"/>
      <c r="O453" s="65"/>
      <c r="P453" s="65"/>
      <c r="Q453" s="71" t="str">
        <f t="shared" ca="1" si="111"/>
        <v/>
      </c>
      <c r="R453" s="63"/>
      <c r="S453" s="133"/>
    </row>
    <row r="454" spans="1:20" ht="15" customHeight="1">
      <c r="A454" s="59">
        <v>46251</v>
      </c>
      <c r="B454" s="60">
        <f t="shared" si="112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25</v>
      </c>
      <c r="H454" s="88">
        <f>IFERROR(IF($G454="","",$G454*$S$459/$G$459/Cadastro!$E$33),"")</f>
        <v>112.80616740088105</v>
      </c>
      <c r="I454" s="90">
        <f>IFERROR(IF($D454="","",VLOOKUP($D454,Cadastro!$C$4:$G$7,5,FALSE())),"")</f>
        <v>0.6</v>
      </c>
      <c r="J454" s="91">
        <f t="shared" si="110"/>
        <v>23.689295154185018</v>
      </c>
      <c r="K454" s="64">
        <f t="shared" si="113"/>
        <v>105</v>
      </c>
      <c r="L454" s="61"/>
      <c r="M454" s="61"/>
      <c r="N454" s="61"/>
      <c r="O454" s="65"/>
      <c r="P454" s="65"/>
      <c r="Q454" s="66" t="str">
        <f t="shared" ca="1" si="111"/>
        <v/>
      </c>
      <c r="R454" s="63"/>
      <c r="S454" s="133"/>
    </row>
    <row r="455" spans="1:20" ht="15" customHeight="1">
      <c r="A455" s="18">
        <v>46251</v>
      </c>
      <c r="B455" s="68">
        <f t="shared" si="112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31</v>
      </c>
      <c r="H455" s="88">
        <f>IFERROR(IF($G455="","",$G455*$S$459/$G$459/Cadastro!$E$33),"")</f>
        <v>139.87964757709253</v>
      </c>
      <c r="I455" s="90">
        <f>IFERROR(IF($D455="","",VLOOKUP($D455,Cadastro!$C$4:$G$7,5,FALSE())),"")</f>
        <v>0.6</v>
      </c>
      <c r="J455" s="91">
        <f t="shared" si="110"/>
        <v>29.374725991189429</v>
      </c>
      <c r="K455" s="64">
        <f t="shared" si="113"/>
        <v>130.20000000000002</v>
      </c>
      <c r="L455" s="70"/>
      <c r="M455" s="70"/>
      <c r="N455" s="70"/>
      <c r="O455" s="65"/>
      <c r="P455" s="65"/>
      <c r="Q455" s="71" t="str">
        <f t="shared" ca="1" si="111"/>
        <v/>
      </c>
      <c r="R455" s="63"/>
      <c r="S455" s="133"/>
    </row>
    <row r="456" spans="1:20" ht="15" customHeight="1">
      <c r="A456" s="59">
        <v>46251</v>
      </c>
      <c r="B456" s="60">
        <f t="shared" si="112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13</v>
      </c>
      <c r="H456" s="88">
        <f>IFERROR(IF($G456="","",$G456*$S$459/$G$459/Cadastro!$E$33),"")</f>
        <v>58.65920704845815</v>
      </c>
      <c r="I456" s="90">
        <f>IFERROR(IF($D456="","",VLOOKUP($D456,Cadastro!$C$4:$G$7,5,FALSE())),"")</f>
        <v>0.6</v>
      </c>
      <c r="J456" s="91">
        <f t="shared" si="110"/>
        <v>12.318433480176211</v>
      </c>
      <c r="K456" s="64">
        <f t="shared" si="113"/>
        <v>54.6</v>
      </c>
      <c r="L456" s="61"/>
      <c r="M456" s="61"/>
      <c r="N456" s="61"/>
      <c r="O456" s="65"/>
      <c r="P456" s="65"/>
      <c r="Q456" s="66" t="str">
        <f t="shared" ca="1" si="111"/>
        <v/>
      </c>
      <c r="R456" s="63"/>
      <c r="S456" s="133"/>
    </row>
    <row r="457" spans="1:20" ht="15" customHeight="1">
      <c r="A457" s="18">
        <v>46251</v>
      </c>
      <c r="B457" s="68">
        <f t="shared" si="112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9</v>
      </c>
      <c r="H457" s="88">
        <f>IFERROR(IF($G457="","",$G457*$S$459/$G$459/Cadastro!$E$33),"")</f>
        <v>40.610220264317185</v>
      </c>
      <c r="I457" s="90">
        <f>IFERROR(IF($D457="","",VLOOKUP($D457,Cadastro!$C$4:$G$7,5,FALSE())),"")</f>
        <v>0.6</v>
      </c>
      <c r="J457" s="91">
        <f t="shared" si="110"/>
        <v>8.5281462555066074</v>
      </c>
      <c r="K457" s="64">
        <f t="shared" si="113"/>
        <v>37.800000000000004</v>
      </c>
      <c r="L457" s="70"/>
      <c r="M457" s="70"/>
      <c r="N457" s="70"/>
      <c r="O457" s="65"/>
      <c r="P457" s="65"/>
      <c r="Q457" s="71" t="str">
        <f t="shared" ca="1" si="111"/>
        <v/>
      </c>
      <c r="R457" s="63"/>
      <c r="S457" s="133"/>
    </row>
    <row r="458" spans="1:20" ht="15" customHeight="1">
      <c r="A458" s="59">
        <v>46251</v>
      </c>
      <c r="B458" s="60">
        <f t="shared" si="112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0</v>
      </c>
      <c r="H458" s="92">
        <f>IFERROR(IF($G458="","",$G458*$S$459/$G$459/Cadastro!$E$33),"")</f>
        <v>0</v>
      </c>
      <c r="I458" s="93">
        <f>IFERROR(IF($D458="","",VLOOKUP($D458,Cadastro!$C$4:$G$7,5,FALSE())),"")</f>
        <v>0.6</v>
      </c>
      <c r="J458" s="94">
        <f t="shared" si="110"/>
        <v>0</v>
      </c>
      <c r="K458" s="64" t="str">
        <f t="shared" si="113"/>
        <v/>
      </c>
      <c r="L458" s="61"/>
      <c r="M458" s="61"/>
      <c r="N458" s="61"/>
      <c r="O458" s="65"/>
      <c r="P458" s="65"/>
      <c r="Q458" s="66" t="str">
        <f t="shared" ca="1" si="111"/>
        <v/>
      </c>
      <c r="R458" s="63"/>
      <c r="S458" s="133"/>
    </row>
    <row r="459" spans="1:20" ht="15.75" customHeight="1">
      <c r="A459" s="156" t="s">
        <v>263</v>
      </c>
      <c r="B459" s="156"/>
      <c r="C459" s="156"/>
      <c r="D459" s="156"/>
      <c r="E459" s="156"/>
      <c r="F459" s="105"/>
      <c r="G459" s="96">
        <f>SUM(G447:G458)</f>
        <v>227</v>
      </c>
      <c r="H459" s="105">
        <f>IFERROR(SUM(H447:H458),"")</f>
        <v>1024.28</v>
      </c>
      <c r="I459" s="106"/>
      <c r="J459" s="107">
        <f>IFERROR(SUM(J447:J458),"")</f>
        <v>202.88866044052861</v>
      </c>
      <c r="K459" s="2">
        <f>SUM(K447:K458)</f>
        <v>953.4</v>
      </c>
      <c r="L459" s="72"/>
      <c r="M459" s="72"/>
      <c r="N459" s="72"/>
      <c r="O459" s="134"/>
      <c r="P459" s="134"/>
      <c r="Q459" s="73">
        <f ca="1">IFERROR(SUM(Q447:Q458),"")</f>
        <v>0.12708333333333363</v>
      </c>
      <c r="R459" s="2" t="s">
        <v>261</v>
      </c>
      <c r="S459" s="74">
        <v>1024280</v>
      </c>
      <c r="T459" s="99">
        <f>IFERROR(J459,"")</f>
        <v>202.88866044052861</v>
      </c>
    </row>
    <row r="460" spans="1:20" ht="18" customHeight="1">
      <c r="A460" s="157" t="s">
        <v>249</v>
      </c>
      <c r="B460" s="157"/>
      <c r="C460" s="157"/>
      <c r="D460" s="157"/>
      <c r="E460" s="157"/>
      <c r="F460" s="108"/>
      <c r="G460" s="109">
        <f>G446+G459</f>
        <v>410</v>
      </c>
      <c r="H460" s="108">
        <f>IFERROR(H446+H459,"")</f>
        <v>1858.2000000000003</v>
      </c>
      <c r="I460" s="110"/>
      <c r="J460" s="111">
        <f>IFERROR(J446+J459,"")</f>
        <v>364.47774896511874</v>
      </c>
      <c r="K460" s="1">
        <f>K446+K459</f>
        <v>1722</v>
      </c>
      <c r="L460" s="76"/>
      <c r="M460" s="76"/>
      <c r="N460" s="76"/>
      <c r="O460" s="135"/>
      <c r="P460" s="135"/>
      <c r="Q460" s="77">
        <f ca="1">IFERROR(Q446+Q459,"")</f>
        <v>0.16319444444444461</v>
      </c>
      <c r="R460" s="1" t="s">
        <v>264</v>
      </c>
      <c r="S460" s="82">
        <f>IFERROR(S446+S459,"")</f>
        <v>1858200</v>
      </c>
      <c r="T460" s="118">
        <f>IFERROR(J460,"")</f>
        <v>364.47774896511874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13</v>
      </c>
      <c r="H461" s="101">
        <f>IFERROR(IF($G461="","",$G461*$S$473/$G$473/Cadastro!$E$33),"")</f>
        <v>62.367077922077925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8.9808592207792213</v>
      </c>
      <c r="K461" s="69">
        <f t="shared" ref="K461:K472" si="115">IF(G461="","",IF(E461="PC 17",G461*4.2,IF(E461="PC 19",G461*5,IF(E461="CB",G461*24,""))))</f>
        <v>54.6</v>
      </c>
      <c r="L461" s="70" t="s">
        <v>27</v>
      </c>
      <c r="M461" s="70" t="s">
        <v>66</v>
      </c>
      <c r="N461" s="70" t="s">
        <v>43</v>
      </c>
      <c r="O461" s="65">
        <v>0.29861111111111099</v>
      </c>
      <c r="P461" s="65">
        <v>0.53888888888888897</v>
      </c>
      <c r="Q461" s="71">
        <f t="shared" ref="Q461:Q472" ca="1" si="116">IFERROR(IF(O461="","",IF(P461="",MOD(NOW()-O461,1),IF(P461&gt;=O461,P461-O461,P461+1-O461))),"")</f>
        <v>0.24027777777777798</v>
      </c>
      <c r="R461" s="63"/>
      <c r="S461" s="133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16</v>
      </c>
      <c r="H462" s="88">
        <f>IFERROR(IF($G462="","",$G462*$S$473/$G$473/Cadastro!$E$33),"")</f>
        <v>76.759480519480519</v>
      </c>
      <c r="I462" s="90">
        <f>IFERROR(IF($D462="","",VLOOKUP($D462,Cadastro!$C$4:$G$7,5,FALSE())),"")</f>
        <v>0.6</v>
      </c>
      <c r="J462" s="91">
        <f t="shared" si="114"/>
        <v>11.053365194805194</v>
      </c>
      <c r="K462" s="64">
        <f t="shared" si="115"/>
        <v>67.2</v>
      </c>
      <c r="L462" s="61" t="s">
        <v>28</v>
      </c>
      <c r="M462" s="61" t="s">
        <v>61</v>
      </c>
      <c r="N462" s="61" t="s">
        <v>36</v>
      </c>
      <c r="O462" s="65">
        <v>0.51875000000000004</v>
      </c>
      <c r="P462" s="65">
        <v>0.54027777777777797</v>
      </c>
      <c r="Q462" s="66">
        <f t="shared" ca="1" si="116"/>
        <v>2.1527777777777923E-2</v>
      </c>
      <c r="R462" s="63"/>
      <c r="S462" s="133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10</v>
      </c>
      <c r="H463" s="88">
        <f>IFERROR(IF($G463="","",$G463*$S$473/$G$473/Cadastro!$E$33),"")</f>
        <v>47.974675324675324</v>
      </c>
      <c r="I463" s="90">
        <f>IFERROR(IF($D463="","",VLOOKUP($D463,Cadastro!$C$4:$G$7,5,FALSE())),"")</f>
        <v>0.6</v>
      </c>
      <c r="J463" s="91">
        <f t="shared" si="114"/>
        <v>6.9083532467532462</v>
      </c>
      <c r="K463" s="69">
        <f t="shared" si="115"/>
        <v>42</v>
      </c>
      <c r="L463" s="70" t="s">
        <v>29</v>
      </c>
      <c r="M463" s="70"/>
      <c r="N463" s="70" t="s">
        <v>83</v>
      </c>
      <c r="O463" s="65">
        <v>0.66527777777777797</v>
      </c>
      <c r="P463" s="65">
        <v>0.67152777777777795</v>
      </c>
      <c r="Q463" s="71">
        <f t="shared" ca="1" si="116"/>
        <v>6.2499999999999778E-3</v>
      </c>
      <c r="R463" s="63"/>
      <c r="S463" s="133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14</v>
      </c>
      <c r="H464" s="88">
        <f>IFERROR(IF($G464="","",$G464*$S$473/$G$473/Cadastro!$E$33),"")</f>
        <v>67.164545454545461</v>
      </c>
      <c r="I464" s="90">
        <f>IFERROR(IF($D464="","",VLOOKUP($D464,Cadastro!$C$4:$G$7,5,FALSE())),"")</f>
        <v>0.6</v>
      </c>
      <c r="J464" s="91">
        <f t="shared" si="114"/>
        <v>9.671694545454546</v>
      </c>
      <c r="K464" s="64">
        <f t="shared" si="115"/>
        <v>58.800000000000004</v>
      </c>
      <c r="L464" s="61" t="s">
        <v>29</v>
      </c>
      <c r="M464" s="61" t="s">
        <v>139</v>
      </c>
      <c r="N464" s="61" t="s">
        <v>123</v>
      </c>
      <c r="O464" s="65">
        <v>0.68541666666666701</v>
      </c>
      <c r="P464" s="65">
        <v>0.69444444444444398</v>
      </c>
      <c r="Q464" s="66">
        <f t="shared" ca="1" si="116"/>
        <v>9.0277777777769685E-3</v>
      </c>
      <c r="R464" s="63"/>
      <c r="S464" s="133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8</v>
      </c>
      <c r="H465" s="88">
        <f>IFERROR(IF($G465="","",$G465*$S$473/$G$473/Cadastro!$E$33),"")</f>
        <v>38.379740259740259</v>
      </c>
      <c r="I465" s="90">
        <f>IFERROR(IF($D465="","",VLOOKUP($D465,Cadastro!$C$4:$G$7,5,FALSE())),"")</f>
        <v>0.6</v>
      </c>
      <c r="J465" s="91">
        <f t="shared" si="114"/>
        <v>5.5266825974025968</v>
      </c>
      <c r="K465" s="69">
        <f t="shared" si="115"/>
        <v>33.6</v>
      </c>
      <c r="L465" s="70" t="s">
        <v>29</v>
      </c>
      <c r="M465" s="70" t="s">
        <v>139</v>
      </c>
      <c r="N465" s="70" t="s">
        <v>123</v>
      </c>
      <c r="O465" s="65">
        <v>0.73750000000000004</v>
      </c>
      <c r="P465" s="65">
        <v>0.75347222222222199</v>
      </c>
      <c r="Q465" s="71">
        <f t="shared" ca="1" si="116"/>
        <v>1.5972222222221943E-2</v>
      </c>
      <c r="R465" s="63"/>
      <c r="S465" s="133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9</v>
      </c>
      <c r="H466" s="88">
        <f>IFERROR(IF($G466="","",$G466*$S$473/$G$473/Cadastro!$E$33),"")</f>
        <v>43.177207792207795</v>
      </c>
      <c r="I466" s="90">
        <f>IFERROR(IF($D466="","",VLOOKUP($D466,Cadastro!$C$4:$G$7,5,FALSE())),"")</f>
        <v>0.6</v>
      </c>
      <c r="J466" s="91">
        <f t="shared" si="114"/>
        <v>6.2175179220779224</v>
      </c>
      <c r="K466" s="64">
        <f t="shared" si="115"/>
        <v>37.800000000000004</v>
      </c>
      <c r="L466" s="61"/>
      <c r="M466" s="61"/>
      <c r="N466" s="61"/>
      <c r="O466" s="65"/>
      <c r="P466" s="65"/>
      <c r="Q466" s="66" t="str">
        <f t="shared" ca="1" si="116"/>
        <v/>
      </c>
      <c r="R466" s="63"/>
      <c r="S466" s="133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10</v>
      </c>
      <c r="H467" s="88">
        <f>IFERROR(IF($G467="","",$G467*$S$473/$G$473/Cadastro!$E$33),"")</f>
        <v>47.974675324675324</v>
      </c>
      <c r="I467" s="90">
        <f>IFERROR(IF($D467="","",VLOOKUP($D467,Cadastro!$C$4:$G$7,5,FALSE())),"")</f>
        <v>0.6</v>
      </c>
      <c r="J467" s="91">
        <f t="shared" si="114"/>
        <v>6.9083532467532462</v>
      </c>
      <c r="K467" s="69">
        <f t="shared" si="115"/>
        <v>42</v>
      </c>
      <c r="L467" s="70"/>
      <c r="M467" s="70"/>
      <c r="N467" s="70"/>
      <c r="O467" s="65"/>
      <c r="P467" s="65"/>
      <c r="Q467" s="71" t="str">
        <f t="shared" ca="1" si="116"/>
        <v/>
      </c>
      <c r="R467" s="63"/>
      <c r="S467" s="133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24</v>
      </c>
      <c r="H468" s="88">
        <f>IFERROR(IF($G468="","",$G468*$S$473/$G$473/Cadastro!$E$33),"")</f>
        <v>115.13922077922078</v>
      </c>
      <c r="I468" s="90">
        <f>IFERROR(IF($D468="","",VLOOKUP($D468,Cadastro!$C$4:$G$7,5,FALSE())),"")</f>
        <v>0.6</v>
      </c>
      <c r="J468" s="91">
        <f t="shared" si="114"/>
        <v>16.58004779220779</v>
      </c>
      <c r="K468" s="64">
        <f t="shared" si="115"/>
        <v>100.80000000000001</v>
      </c>
      <c r="L468" s="61"/>
      <c r="M468" s="61"/>
      <c r="N468" s="61"/>
      <c r="O468" s="65"/>
      <c r="P468" s="65"/>
      <c r="Q468" s="66" t="str">
        <f t="shared" ca="1" si="116"/>
        <v/>
      </c>
      <c r="R468" s="63"/>
      <c r="S468" s="133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16</v>
      </c>
      <c r="H469" s="88">
        <f>IFERROR(IF($G469="","",$G469*$S$473/$G$473/Cadastro!$E$33),"")</f>
        <v>76.759480519480519</v>
      </c>
      <c r="I469" s="90">
        <f>IFERROR(IF($D469="","",VLOOKUP($D469,Cadastro!$C$4:$G$7,5,FALSE())),"")</f>
        <v>0.6</v>
      </c>
      <c r="J469" s="91">
        <f t="shared" si="114"/>
        <v>11.053365194805194</v>
      </c>
      <c r="K469" s="69">
        <f t="shared" si="115"/>
        <v>67.2</v>
      </c>
      <c r="L469" s="70"/>
      <c r="M469" s="70"/>
      <c r="N469" s="70"/>
      <c r="O469" s="65"/>
      <c r="P469" s="65"/>
      <c r="Q469" s="71" t="str">
        <f t="shared" ca="1" si="116"/>
        <v/>
      </c>
      <c r="R469" s="63"/>
      <c r="S469" s="133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15</v>
      </c>
      <c r="H470" s="88">
        <f>IFERROR(IF($G470="","",$G470*$S$473/$G$473/Cadastro!$E$33),"")</f>
        <v>71.962012987012983</v>
      </c>
      <c r="I470" s="90">
        <f>IFERROR(IF($D470="","",VLOOKUP($D470,Cadastro!$C$4:$G$7,5,FALSE())),"")</f>
        <v>0.6</v>
      </c>
      <c r="J470" s="91">
        <f t="shared" si="114"/>
        <v>10.362529870129869</v>
      </c>
      <c r="K470" s="64">
        <f t="shared" si="115"/>
        <v>63</v>
      </c>
      <c r="L470" s="61"/>
      <c r="M470" s="61"/>
      <c r="N470" s="61"/>
      <c r="O470" s="65"/>
      <c r="P470" s="65"/>
      <c r="Q470" s="66" t="str">
        <f t="shared" ca="1" si="116"/>
        <v/>
      </c>
      <c r="R470" s="63"/>
      <c r="S470" s="133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11</v>
      </c>
      <c r="H471" s="88">
        <f>IFERROR(IF($G471="","",$G471*$S$473/$G$473/Cadastro!$E$33),"")</f>
        <v>52.772142857142853</v>
      </c>
      <c r="I471" s="90">
        <f>IFERROR(IF($D471="","",VLOOKUP($D471,Cadastro!$C$4:$G$7,5,FALSE())),"")</f>
        <v>0.6</v>
      </c>
      <c r="J471" s="91">
        <f t="shared" si="114"/>
        <v>7.5991885714285701</v>
      </c>
      <c r="K471" s="69">
        <f t="shared" si="115"/>
        <v>46.2</v>
      </c>
      <c r="L471" s="70"/>
      <c r="M471" s="70"/>
      <c r="N471" s="70"/>
      <c r="O471" s="65"/>
      <c r="P471" s="65"/>
      <c r="Q471" s="71" t="str">
        <f t="shared" ca="1" si="116"/>
        <v/>
      </c>
      <c r="R471" s="63"/>
      <c r="S471" s="133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8</v>
      </c>
      <c r="H472" s="92">
        <f>IFERROR(IF($G472="","",$G472*$S$473/$G$473/Cadastro!$E$33),"")</f>
        <v>38.379740259740259</v>
      </c>
      <c r="I472" s="93">
        <f>IFERROR(IF($D472="","",VLOOKUP($D472,Cadastro!$C$4:$G$7,5,FALSE())),"")</f>
        <v>0.6</v>
      </c>
      <c r="J472" s="94">
        <f t="shared" si="114"/>
        <v>5.5266825974025968</v>
      </c>
      <c r="K472" s="64">
        <f t="shared" si="115"/>
        <v>33.6</v>
      </c>
      <c r="L472" s="61"/>
      <c r="M472" s="61"/>
      <c r="N472" s="61"/>
      <c r="O472" s="65"/>
      <c r="P472" s="65"/>
      <c r="Q472" s="66" t="str">
        <f t="shared" ca="1" si="116"/>
        <v/>
      </c>
      <c r="R472" s="63"/>
      <c r="S472" s="133"/>
    </row>
    <row r="473" spans="1:20" ht="15.75" customHeight="1">
      <c r="A473" s="156" t="s">
        <v>260</v>
      </c>
      <c r="B473" s="156"/>
      <c r="C473" s="156"/>
      <c r="D473" s="156"/>
      <c r="E473" s="156"/>
      <c r="F473" s="95"/>
      <c r="G473" s="96">
        <f>SUM(G461:G472)</f>
        <v>154</v>
      </c>
      <c r="H473" s="95">
        <f>IFERROR(SUM(H461:H472),"")</f>
        <v>738.81000000000006</v>
      </c>
      <c r="I473" s="97"/>
      <c r="J473" s="98">
        <f>IFERROR(SUM(J461:J472),"")</f>
        <v>106.38864000000001</v>
      </c>
      <c r="K473" s="2">
        <f>SUM(K461:K472)</f>
        <v>646.80000000000007</v>
      </c>
      <c r="L473" s="72"/>
      <c r="M473" s="72"/>
      <c r="N473" s="72"/>
      <c r="O473" s="134"/>
      <c r="P473" s="134"/>
      <c r="Q473" s="73">
        <f ca="1">IFERROR(SUM(Q461:Q472),"")</f>
        <v>0.29305555555555479</v>
      </c>
      <c r="R473" s="2" t="s">
        <v>261</v>
      </c>
      <c r="S473" s="74">
        <v>738810</v>
      </c>
      <c r="T473" s="99">
        <f>IFERROR(J473,"")</f>
        <v>106.38864000000001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14</v>
      </c>
      <c r="H474" s="101">
        <f>IFERROR(IF($G474="","",$G474*$S$486/$G$486/Cadastro!$E$33),"")</f>
        <v>57.117218543046356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8.2248794701986743</v>
      </c>
      <c r="K474" s="64">
        <f t="shared" ref="K474:K485" si="119">IF(G474="","",IF(E474="PC 17",G474*4.2,IF(E474="PC 19",G474*5,IF(E474="CB",G474*24,""))))</f>
        <v>58.800000000000004</v>
      </c>
      <c r="L474" s="61" t="s">
        <v>28</v>
      </c>
      <c r="M474" s="61" t="s">
        <v>173</v>
      </c>
      <c r="N474" s="61" t="s">
        <v>36</v>
      </c>
      <c r="O474" s="65">
        <v>0.80277777777777803</v>
      </c>
      <c r="P474" s="65">
        <v>0.81597222222222199</v>
      </c>
      <c r="Q474" s="66">
        <f t="shared" ref="Q474:Q485" ca="1" si="120">IFERROR(IF(O474="","",IF(P474="",MOD(NOW()-O474,1),IF(P474&gt;=O474,P474-O474,P474+1-O474))),"")</f>
        <v>1.3194444444443953E-2</v>
      </c>
      <c r="R474" s="63"/>
      <c r="S474" s="133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24</v>
      </c>
      <c r="H475" s="88">
        <f>IFERROR(IF($G475="","",$G475*$S$486/$G$486/Cadastro!$E$33),"")</f>
        <v>97.915231788079467</v>
      </c>
      <c r="I475" s="90">
        <f>IFERROR(IF($D475="","",VLOOKUP($D475,Cadastro!$C$4:$G$7,5,FALSE())),"")</f>
        <v>0.6</v>
      </c>
      <c r="J475" s="91">
        <f t="shared" si="118"/>
        <v>14.099793377483442</v>
      </c>
      <c r="K475" s="69">
        <f t="shared" si="119"/>
        <v>100.80000000000001</v>
      </c>
      <c r="L475" s="70" t="s">
        <v>29</v>
      </c>
      <c r="M475" s="70" t="s">
        <v>168</v>
      </c>
      <c r="N475" s="70" t="s">
        <v>83</v>
      </c>
      <c r="O475" s="65">
        <v>0.86319444444444504</v>
      </c>
      <c r="P475" s="65">
        <v>0.86458333333333304</v>
      </c>
      <c r="Q475" s="71">
        <f t="shared" ca="1" si="120"/>
        <v>1.3888888888879958E-3</v>
      </c>
      <c r="R475" s="63"/>
      <c r="S475" s="133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0</v>
      </c>
      <c r="H476" s="88">
        <f>IFERROR(IF($G476="","",$G476*$S$486/$G$486/Cadastro!$E$33),"")</f>
        <v>0</v>
      </c>
      <c r="I476" s="90">
        <f>IFERROR(IF($D476="","",VLOOKUP($D476,Cadastro!$C$4:$G$7,5,FALSE())),"")</f>
        <v>0.6</v>
      </c>
      <c r="J476" s="91">
        <f t="shared" si="118"/>
        <v>0</v>
      </c>
      <c r="K476" s="64">
        <f t="shared" si="119"/>
        <v>0</v>
      </c>
      <c r="L476" s="61" t="s">
        <v>27</v>
      </c>
      <c r="M476" s="61" t="s">
        <v>139</v>
      </c>
      <c r="N476" s="61"/>
      <c r="O476" s="65">
        <v>0.88263888888888897</v>
      </c>
      <c r="P476" s="65">
        <v>0.98472222222222205</v>
      </c>
      <c r="Q476" s="66">
        <f t="shared" ca="1" si="120"/>
        <v>0.10208333333333308</v>
      </c>
      <c r="R476" s="63" t="s">
        <v>402</v>
      </c>
      <c r="S476" s="133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8</v>
      </c>
      <c r="H477" s="88">
        <f>IFERROR(IF($G477="","",$G477*$S$486/$G$486/Cadastro!$E$33),"")</f>
        <v>32.638410596026489</v>
      </c>
      <c r="I477" s="90">
        <f>IFERROR(IF($D477="","",VLOOKUP($D477,Cadastro!$C$4:$G$7,5,FALSE())),"")</f>
        <v>0.6</v>
      </c>
      <c r="J477" s="91">
        <f t="shared" si="118"/>
        <v>4.6999311258278142</v>
      </c>
      <c r="K477" s="69">
        <f t="shared" si="119"/>
        <v>33.6</v>
      </c>
      <c r="L477" s="70" t="s">
        <v>29</v>
      </c>
      <c r="M477" s="70" t="s">
        <v>66</v>
      </c>
      <c r="N477" s="70" t="s">
        <v>45</v>
      </c>
      <c r="O477" s="65">
        <v>0.05</v>
      </c>
      <c r="P477" s="65">
        <v>5.9027777777777797E-2</v>
      </c>
      <c r="Q477" s="71">
        <f t="shared" ca="1" si="120"/>
        <v>9.0277777777777943E-3</v>
      </c>
      <c r="R477" s="63"/>
      <c r="S477" s="133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12</v>
      </c>
      <c r="H478" s="88">
        <f>IFERROR(IF($G478="","",$G478*$S$486/$G$486/Cadastro!$E$33),"")</f>
        <v>48.957615894039733</v>
      </c>
      <c r="I478" s="90">
        <f>IFERROR(IF($D478="","",VLOOKUP($D478,Cadastro!$C$4:$G$7,5,FALSE())),"")</f>
        <v>0.6</v>
      </c>
      <c r="J478" s="91">
        <f t="shared" si="118"/>
        <v>7.0498966887417209</v>
      </c>
      <c r="K478" s="64">
        <f t="shared" si="119"/>
        <v>50.400000000000006</v>
      </c>
      <c r="L478" s="61" t="s">
        <v>28</v>
      </c>
      <c r="M478" s="61" t="s">
        <v>173</v>
      </c>
      <c r="N478" s="61" t="s">
        <v>36</v>
      </c>
      <c r="O478" s="65">
        <v>0.15972222222222199</v>
      </c>
      <c r="P478" s="65">
        <v>0.17638888888888901</v>
      </c>
      <c r="Q478" s="66">
        <f t="shared" ca="1" si="120"/>
        <v>1.6666666666667024E-2</v>
      </c>
      <c r="R478" s="63"/>
      <c r="S478" s="133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12</v>
      </c>
      <c r="H479" s="88">
        <f>IFERROR(IF($G479="","",$G479*$S$486/$G$486/Cadastro!$E$33),"")</f>
        <v>48.957615894039733</v>
      </c>
      <c r="I479" s="90">
        <f>IFERROR(IF($D479="","",VLOOKUP($D479,Cadastro!$C$4:$G$7,5,FALSE())),"")</f>
        <v>0.6</v>
      </c>
      <c r="J479" s="91">
        <f t="shared" si="118"/>
        <v>7.0498966887417209</v>
      </c>
      <c r="K479" s="69">
        <f t="shared" si="119"/>
        <v>50.400000000000006</v>
      </c>
      <c r="L479" s="70" t="s">
        <v>27</v>
      </c>
      <c r="M479" s="70" t="s">
        <v>66</v>
      </c>
      <c r="N479" s="70" t="s">
        <v>140</v>
      </c>
      <c r="O479" s="65">
        <v>0.22430555555555601</v>
      </c>
      <c r="P479" s="65">
        <v>0.24027777777777801</v>
      </c>
      <c r="Q479" s="71">
        <f t="shared" ca="1" si="120"/>
        <v>1.5972222222221999E-2</v>
      </c>
      <c r="R479" s="63" t="s">
        <v>362</v>
      </c>
      <c r="S479" s="133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17</v>
      </c>
      <c r="H480" s="88">
        <f>IFERROR(IF($G480="","",$G480*$S$486/$G$486/Cadastro!$E$33),"")</f>
        <v>69.3566225165563</v>
      </c>
      <c r="I480" s="90">
        <f>IFERROR(IF($D480="","",VLOOKUP($D480,Cadastro!$C$4:$G$7,5,FALSE())),"")</f>
        <v>0.6</v>
      </c>
      <c r="J480" s="91">
        <f t="shared" si="118"/>
        <v>9.9873536423841056</v>
      </c>
      <c r="K480" s="64">
        <f t="shared" si="119"/>
        <v>71.400000000000006</v>
      </c>
      <c r="L480" s="61"/>
      <c r="M480" s="61"/>
      <c r="N480" s="61"/>
      <c r="O480" s="65"/>
      <c r="P480" s="65"/>
      <c r="Q480" s="66" t="str">
        <f t="shared" ca="1" si="120"/>
        <v/>
      </c>
      <c r="R480" s="63"/>
      <c r="S480" s="133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4</v>
      </c>
      <c r="H481" s="88">
        <f>IFERROR(IF($G481="","",$G481*$S$486/$G$486/Cadastro!$E$33),"")</f>
        <v>16.319205298013244</v>
      </c>
      <c r="I481" s="90">
        <f>IFERROR(IF($D481="","",VLOOKUP($D481,Cadastro!$C$4:$G$7,5,FALSE())),"")</f>
        <v>0.6</v>
      </c>
      <c r="J481" s="91">
        <f t="shared" si="118"/>
        <v>2.3499655629139071</v>
      </c>
      <c r="K481" s="69">
        <f t="shared" si="119"/>
        <v>16.8</v>
      </c>
      <c r="L481" s="70"/>
      <c r="M481" s="70"/>
      <c r="N481" s="70"/>
      <c r="O481" s="65"/>
      <c r="P481" s="65"/>
      <c r="Q481" s="71" t="str">
        <f t="shared" ca="1" si="120"/>
        <v/>
      </c>
      <c r="R481" s="63"/>
      <c r="S481" s="133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26</v>
      </c>
      <c r="H482" s="88">
        <f>IFERROR(IF($G482="","",$G482*$S$486/$G$486/Cadastro!$E$33),"")</f>
        <v>106.07483443708608</v>
      </c>
      <c r="I482" s="90">
        <f>IFERROR(IF($D482="","",VLOOKUP($D482,Cadastro!$C$4:$G$7,5,FALSE())),"")</f>
        <v>0.6</v>
      </c>
      <c r="J482" s="91">
        <f t="shared" si="118"/>
        <v>15.274776158940394</v>
      </c>
      <c r="K482" s="64">
        <f t="shared" si="119"/>
        <v>109.2</v>
      </c>
      <c r="L482" s="61"/>
      <c r="M482" s="61"/>
      <c r="N482" s="61"/>
      <c r="O482" s="65"/>
      <c r="P482" s="65"/>
      <c r="Q482" s="66" t="str">
        <f t="shared" ca="1" si="120"/>
        <v/>
      </c>
      <c r="R482" s="63"/>
      <c r="S482" s="133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10</v>
      </c>
      <c r="H483" s="88">
        <f>IFERROR(IF($G483="","",$G483*$S$486/$G$486/Cadastro!$E$33),"")</f>
        <v>40.798013245033118</v>
      </c>
      <c r="I483" s="90">
        <f>IFERROR(IF($D483="","",VLOOKUP($D483,Cadastro!$C$4:$G$7,5,FALSE())),"")</f>
        <v>0.6</v>
      </c>
      <c r="J483" s="91">
        <f t="shared" si="118"/>
        <v>5.8749139072847685</v>
      </c>
      <c r="K483" s="69">
        <f t="shared" si="119"/>
        <v>42</v>
      </c>
      <c r="L483" s="70"/>
      <c r="M483" s="70"/>
      <c r="N483" s="70"/>
      <c r="O483" s="65"/>
      <c r="P483" s="65"/>
      <c r="Q483" s="71" t="str">
        <f t="shared" ca="1" si="120"/>
        <v/>
      </c>
      <c r="R483" s="63"/>
      <c r="S483" s="133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14</v>
      </c>
      <c r="H484" s="88">
        <f>IFERROR(IF($G484="","",$G484*$S$486/$G$486/Cadastro!$E$33),"")</f>
        <v>57.117218543046356</v>
      </c>
      <c r="I484" s="90">
        <f>IFERROR(IF($D484="","",VLOOKUP($D484,Cadastro!$C$4:$G$7,5,FALSE())),"")</f>
        <v>0.6</v>
      </c>
      <c r="J484" s="91">
        <f t="shared" si="118"/>
        <v>8.2248794701986743</v>
      </c>
      <c r="K484" s="64">
        <f t="shared" si="119"/>
        <v>58.800000000000004</v>
      </c>
      <c r="L484" s="61"/>
      <c r="M484" s="61"/>
      <c r="N484" s="61"/>
      <c r="O484" s="65"/>
      <c r="P484" s="65"/>
      <c r="Q484" s="66" t="str">
        <f t="shared" ca="1" si="120"/>
        <v/>
      </c>
      <c r="R484" s="63"/>
      <c r="S484" s="133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10</v>
      </c>
      <c r="H485" s="92">
        <f>IFERROR(IF($G485="","",$G485*$S$486/$G$486/Cadastro!$E$33),"")</f>
        <v>40.798013245033118</v>
      </c>
      <c r="I485" s="93">
        <f>IFERROR(IF($D485="","",VLOOKUP($D485,Cadastro!$C$4:$G$7,5,FALSE())),"")</f>
        <v>0.6</v>
      </c>
      <c r="J485" s="94">
        <f t="shared" si="118"/>
        <v>5.8749139072847685</v>
      </c>
      <c r="K485" s="69">
        <f t="shared" si="119"/>
        <v>42</v>
      </c>
      <c r="L485" s="70"/>
      <c r="M485" s="70"/>
      <c r="N485" s="70"/>
      <c r="O485" s="65"/>
      <c r="P485" s="65"/>
      <c r="Q485" s="71" t="str">
        <f t="shared" ca="1" si="120"/>
        <v/>
      </c>
      <c r="R485" s="63"/>
      <c r="S485" s="133"/>
    </row>
    <row r="486" spans="1:20" ht="15.75" customHeight="1">
      <c r="A486" s="156" t="s">
        <v>263</v>
      </c>
      <c r="B486" s="156"/>
      <c r="C486" s="156"/>
      <c r="D486" s="156"/>
      <c r="E486" s="156"/>
      <c r="F486" s="105"/>
      <c r="G486" s="96">
        <f>SUM(G474:G485)</f>
        <v>151</v>
      </c>
      <c r="H486" s="105">
        <f>IFERROR(SUM(H474:H485),"")</f>
        <v>616.04999999999984</v>
      </c>
      <c r="I486" s="106"/>
      <c r="J486" s="107">
        <f>IFERROR(SUM(J474:J485),"")</f>
        <v>88.711199999999977</v>
      </c>
      <c r="K486" s="2">
        <f>SUM(K474:K485)</f>
        <v>634.19999999999993</v>
      </c>
      <c r="L486" s="72"/>
      <c r="M486" s="72"/>
      <c r="N486" s="72"/>
      <c r="O486" s="134"/>
      <c r="P486" s="134"/>
      <c r="Q486" s="73">
        <f ca="1">IFERROR(SUM(Q474:Q485),"")</f>
        <v>0.15833333333333185</v>
      </c>
      <c r="R486" s="2" t="s">
        <v>261</v>
      </c>
      <c r="S486" s="74">
        <v>616050</v>
      </c>
      <c r="T486" s="99">
        <f>IFERROR(J486,"")</f>
        <v>88.711199999999977</v>
      </c>
    </row>
    <row r="487" spans="1:20" ht="18" customHeight="1">
      <c r="A487" s="157" t="s">
        <v>249</v>
      </c>
      <c r="B487" s="157"/>
      <c r="C487" s="157"/>
      <c r="D487" s="157"/>
      <c r="E487" s="157"/>
      <c r="F487" s="108"/>
      <c r="G487" s="109">
        <f>G473+G486</f>
        <v>305</v>
      </c>
      <c r="H487" s="108">
        <f>IFERROR(H473+H486,"")</f>
        <v>1354.86</v>
      </c>
      <c r="I487" s="110"/>
      <c r="J487" s="111">
        <f>IFERROR(J473+J486,"")</f>
        <v>195.09983999999997</v>
      </c>
      <c r="K487" s="1">
        <f>K473+K486</f>
        <v>1281</v>
      </c>
      <c r="L487" s="76"/>
      <c r="M487" s="76"/>
      <c r="N487" s="76"/>
      <c r="O487" s="135"/>
      <c r="P487" s="135"/>
      <c r="Q487" s="77">
        <f ca="1">IFERROR(Q473+Q486,"")</f>
        <v>0.45138888888888662</v>
      </c>
      <c r="R487" s="1" t="s">
        <v>264</v>
      </c>
      <c r="S487" s="82">
        <f>IFERROR(S473+S486,"")</f>
        <v>1354860</v>
      </c>
      <c r="T487" s="118">
        <f>IFERROR(J487,"")</f>
        <v>195.09983999999997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19</v>
      </c>
      <c r="H488" s="101">
        <f>IFERROR(IF($G488="","",$G488*$S$500/$G$500/Cadastro!$E$33),"")</f>
        <v>81.293663366336631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11.706287524752474</v>
      </c>
      <c r="K488" s="64">
        <f t="shared" ref="K488:K499" si="123">IF(G488="","",IF(E488="PC 17",G488*4.2,IF(E488="PC 19",G488*5,IF(E488="CB",G488*24,""))))</f>
        <v>79.8</v>
      </c>
      <c r="L488" s="61" t="s">
        <v>29</v>
      </c>
      <c r="M488" s="61"/>
      <c r="N488" s="61" t="s">
        <v>83</v>
      </c>
      <c r="O488" s="65">
        <v>0.33680555555555602</v>
      </c>
      <c r="P488" s="65">
        <v>0.34861111111111098</v>
      </c>
      <c r="Q488" s="66">
        <f ca="1">IFERROR(IF(O488="","",IF(P488="",MOD(NOW()-O488,1),IF(P488&gt;=O488,P488-O488,P488+1-O488))),"")</f>
        <v>1.1805555555554959E-2</v>
      </c>
      <c r="R488" s="63"/>
      <c r="S488" s="133"/>
    </row>
    <row r="489" spans="1:20" ht="15" customHeight="1">
      <c r="A489" s="18">
        <v>46253</v>
      </c>
      <c r="B489" s="68">
        <f t="shared" ref="B489:B499" si="124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10</v>
      </c>
      <c r="H489" s="88">
        <f>IFERROR(IF($G489="","",$G489*$S$500/$G$500/Cadastro!$E$33),"")</f>
        <v>42.78613861386139</v>
      </c>
      <c r="I489" s="90">
        <f>IFERROR(IF($D489="","",VLOOKUP($D489,Cadastro!$C$4:$G$7,5,FALSE())),"")</f>
        <v>0.6</v>
      </c>
      <c r="J489" s="91">
        <f t="shared" si="122"/>
        <v>6.1612039603960396</v>
      </c>
      <c r="K489" s="69">
        <f t="shared" si="123"/>
        <v>42</v>
      </c>
      <c r="L489" s="70" t="s">
        <v>28</v>
      </c>
      <c r="M489" s="70" t="s">
        <v>173</v>
      </c>
      <c r="N489" s="70" t="s">
        <v>36</v>
      </c>
      <c r="O489" s="65">
        <v>0.48194444444444445</v>
      </c>
      <c r="P489" s="65">
        <v>0.50972222222222219</v>
      </c>
      <c r="Q489" s="71">
        <f ca="1">IFERROR(IF(O489="","",IF(P489="",MOD(NOW()-O489,1),IF(P489&gt;=O489,P489-O489,P489+1-O489))),"")</f>
        <v>2.7777777777777735E-2</v>
      </c>
      <c r="R489" s="63"/>
      <c r="S489" s="133"/>
    </row>
    <row r="490" spans="1:20" ht="15" customHeight="1">
      <c r="A490" s="59">
        <v>46253</v>
      </c>
      <c r="B490" s="60">
        <f t="shared" si="124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23</v>
      </c>
      <c r="H490" s="88">
        <f>IFERROR(IF($G490="","",$G490*$S$500/$G$500/Cadastro!$E$33),"")</f>
        <v>98.408118811881181</v>
      </c>
      <c r="I490" s="90">
        <f>IFERROR(IF($D490="","",VLOOKUP($D490,Cadastro!$C$4:$G$7,5,FALSE())),"")</f>
        <v>0.6</v>
      </c>
      <c r="J490" s="91">
        <f t="shared" si="122"/>
        <v>14.170769108910891</v>
      </c>
      <c r="K490" s="64">
        <f t="shared" si="123"/>
        <v>96.600000000000009</v>
      </c>
      <c r="L490" s="61" t="s">
        <v>29</v>
      </c>
      <c r="M490" s="61" t="s">
        <v>66</v>
      </c>
      <c r="N490" s="61" t="s">
        <v>65</v>
      </c>
      <c r="O490" s="65">
        <v>0.65486111111111112</v>
      </c>
      <c r="P490" s="65">
        <v>0.69722222222222219</v>
      </c>
      <c r="Q490" s="66">
        <f ca="1">IFERROR(IF(O490="","",IF(P490="",MOD(NOW()-O490,1),IF(P490&gt;=O490,P490-O490,P490+1-O490))),"")</f>
        <v>4.2361111111111072E-2</v>
      </c>
      <c r="R490" s="63"/>
      <c r="S490" s="133"/>
    </row>
    <row r="491" spans="1:20" ht="15" customHeight="1">
      <c r="A491" s="18">
        <v>46253</v>
      </c>
      <c r="B491" s="68">
        <f t="shared" si="124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16</v>
      </c>
      <c r="H491" s="88">
        <f>IFERROR(IF($G491="","",$G491*$S$500/$G$500/Cadastro!$E$33),"")</f>
        <v>68.457821782178215</v>
      </c>
      <c r="I491" s="90">
        <f>IFERROR(IF($D491="","",VLOOKUP($D491,Cadastro!$C$4:$G$7,5,FALSE())),"")</f>
        <v>0.6</v>
      </c>
      <c r="J491" s="91">
        <f t="shared" si="122"/>
        <v>9.8579263366336622</v>
      </c>
      <c r="K491" s="69">
        <f t="shared" si="123"/>
        <v>67.2</v>
      </c>
      <c r="L491" s="70" t="s">
        <v>29</v>
      </c>
      <c r="M491" s="70" t="s">
        <v>61</v>
      </c>
      <c r="N491" s="70" t="s">
        <v>37</v>
      </c>
      <c r="O491" s="65">
        <v>0.75138888888888888</v>
      </c>
      <c r="P491" s="65">
        <v>0.75416666666666665</v>
      </c>
      <c r="Q491" s="71">
        <f ca="1">IFERROR(IF(O491="","",IF(P491="",MOD(NOW()-O491,1),IF(P491&gt;=O491,P491-O491,P491+1-O491))),"")</f>
        <v>2.7777777777777679E-3</v>
      </c>
      <c r="R491" s="63"/>
      <c r="S491" s="133"/>
    </row>
    <row r="492" spans="1:20" ht="15" customHeight="1">
      <c r="A492" s="59">
        <v>46253</v>
      </c>
      <c r="B492" s="60">
        <f t="shared" si="124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7</v>
      </c>
      <c r="H492" s="88">
        <f>IFERROR(IF($G492="","",$G492*$S$500/$G$500/Cadastro!$E$33),"")</f>
        <v>29.95029702970297</v>
      </c>
      <c r="I492" s="90">
        <f>IFERROR(IF($D492="","",VLOOKUP($D492,Cadastro!$C$4:$G$7,5,FALSE())),"")</f>
        <v>0.6</v>
      </c>
      <c r="J492" s="91">
        <f t="shared" si="122"/>
        <v>4.3128427722772278</v>
      </c>
      <c r="K492" s="64">
        <f t="shared" si="123"/>
        <v>35</v>
      </c>
      <c r="L492" s="61"/>
      <c r="M492" s="61"/>
      <c r="N492" s="61"/>
      <c r="O492" s="65"/>
      <c r="P492" s="65"/>
      <c r="Q492" s="66"/>
      <c r="R492" s="63"/>
      <c r="S492" s="133"/>
    </row>
    <row r="493" spans="1:20" ht="15" customHeight="1">
      <c r="A493" s="18">
        <v>46253</v>
      </c>
      <c r="B493" s="68">
        <f t="shared" si="124"/>
        <v>0.54166666666666641</v>
      </c>
      <c r="C493" s="61" t="s">
        <v>54</v>
      </c>
      <c r="D493" s="62" t="s">
        <v>39</v>
      </c>
      <c r="E493" s="87" t="s">
        <v>274</v>
      </c>
      <c r="F493" s="88">
        <f>IFERROR(IF($D493="","",VLOOKUP($D493,Cadastro!$C$4:$E$7,3,FALSE())),"")</f>
        <v>0.24</v>
      </c>
      <c r="G493" s="89">
        <v>12</v>
      </c>
      <c r="H493" s="88">
        <f>IFERROR(IF($G493="","",$G493*$S$500/$G$500/Cadastro!$E$33),"")</f>
        <v>51.343366336633665</v>
      </c>
      <c r="I493" s="90">
        <f>IFERROR(IF($D493="","",VLOOKUP($D493,Cadastro!$C$4:$G$7,5,FALSE())),"")</f>
        <v>0.6</v>
      </c>
      <c r="J493" s="91">
        <f t="shared" si="122"/>
        <v>7.3934447524752471</v>
      </c>
      <c r="K493" s="69">
        <f t="shared" si="123"/>
        <v>50.400000000000006</v>
      </c>
      <c r="L493" s="70"/>
      <c r="M493" s="70"/>
      <c r="N493" s="70"/>
      <c r="O493" s="65"/>
      <c r="P493" s="65"/>
      <c r="Q493" s="71" t="str">
        <f t="shared" ref="Q493:Q499" ca="1" si="125">IFERROR(IF(O493="","",IF(P493="",MOD(NOW()-O493,1),IF(P493&gt;=O493,P493-O493,P493+1-O493))),"")</f>
        <v/>
      </c>
      <c r="R493" s="63"/>
      <c r="S493" s="133"/>
    </row>
    <row r="494" spans="1:20" ht="15" customHeight="1">
      <c r="A494" s="59">
        <v>46253</v>
      </c>
      <c r="B494" s="60">
        <f t="shared" si="124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>
        <v>27</v>
      </c>
      <c r="H494" s="88">
        <f>IFERROR(IF($G494="","",$G494*$S$500/$G$500/Cadastro!$E$33),"")</f>
        <v>115.52257425742575</v>
      </c>
      <c r="I494" s="90">
        <f>IFERROR(IF($D494="","",VLOOKUP($D494,Cadastro!$C$4:$G$7,5,FALSE())),"")</f>
        <v>0.6</v>
      </c>
      <c r="J494" s="91">
        <f t="shared" si="122"/>
        <v>16.635250693069306</v>
      </c>
      <c r="K494" s="64">
        <f t="shared" si="123"/>
        <v>113.4</v>
      </c>
      <c r="L494" s="61"/>
      <c r="M494" s="61"/>
      <c r="N494" s="61"/>
      <c r="O494" s="65"/>
      <c r="P494" s="65"/>
      <c r="Q494" s="66" t="str">
        <f t="shared" ca="1" si="125"/>
        <v/>
      </c>
      <c r="R494" s="63"/>
      <c r="S494" s="133"/>
    </row>
    <row r="495" spans="1:20" ht="15" customHeight="1">
      <c r="A495" s="18">
        <v>46253</v>
      </c>
      <c r="B495" s="68">
        <f t="shared" si="124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26</v>
      </c>
      <c r="H495" s="88">
        <f>IFERROR(IF($G495="","",$G495*$S$500/$G$500/Cadastro!$E$33),"")</f>
        <v>111.24396039603961</v>
      </c>
      <c r="I495" s="90">
        <f>IFERROR(IF($D495="","",VLOOKUP($D495,Cadastro!$C$4:$G$7,5,FALSE())),"")</f>
        <v>0.6</v>
      </c>
      <c r="J495" s="91">
        <f t="shared" si="122"/>
        <v>16.019130297029704</v>
      </c>
      <c r="K495" s="69">
        <f t="shared" si="123"/>
        <v>109.2</v>
      </c>
      <c r="L495" s="70"/>
      <c r="M495" s="70"/>
      <c r="N495" s="70"/>
      <c r="O495" s="65"/>
      <c r="P495" s="65"/>
      <c r="Q495" s="71" t="str">
        <f t="shared" ca="1" si="125"/>
        <v/>
      </c>
      <c r="R495" s="63"/>
      <c r="S495" s="133"/>
    </row>
    <row r="496" spans="1:20" ht="15" customHeight="1">
      <c r="A496" s="59">
        <v>46253</v>
      </c>
      <c r="B496" s="60">
        <f t="shared" si="124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17</v>
      </c>
      <c r="H496" s="88">
        <f>IFERROR(IF($G496="","",$G496*$S$500/$G$500/Cadastro!$E$33),"")</f>
        <v>72.736435643564363</v>
      </c>
      <c r="I496" s="90">
        <f>IFERROR(IF($D496="","",VLOOKUP($D496,Cadastro!$C$4:$G$7,5,FALSE())),"")</f>
        <v>0.6</v>
      </c>
      <c r="J496" s="91">
        <f t="shared" si="122"/>
        <v>10.474046732673267</v>
      </c>
      <c r="K496" s="64">
        <f t="shared" si="123"/>
        <v>71.400000000000006</v>
      </c>
      <c r="L496" s="61"/>
      <c r="M496" s="61"/>
      <c r="N496" s="61"/>
      <c r="O496" s="65"/>
      <c r="P496" s="65"/>
      <c r="Q496" s="66" t="str">
        <f t="shared" ca="1" si="125"/>
        <v/>
      </c>
      <c r="R496" s="63"/>
      <c r="S496" s="133"/>
    </row>
    <row r="497" spans="1:20" ht="15" customHeight="1">
      <c r="A497" s="18">
        <v>46253</v>
      </c>
      <c r="B497" s="68">
        <f t="shared" si="124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10</v>
      </c>
      <c r="H497" s="88">
        <f>IFERROR(IF($G497="","",$G497*$S$500/$G$500/Cadastro!$E$33),"")</f>
        <v>42.78613861386139</v>
      </c>
      <c r="I497" s="90">
        <f>IFERROR(IF($D497="","",VLOOKUP($D497,Cadastro!$C$4:$G$7,5,FALSE())),"")</f>
        <v>0.6</v>
      </c>
      <c r="J497" s="91">
        <f t="shared" si="122"/>
        <v>6.1612039603960396</v>
      </c>
      <c r="K497" s="69">
        <f t="shared" si="123"/>
        <v>42</v>
      </c>
      <c r="L497" s="70"/>
      <c r="M497" s="70"/>
      <c r="N497" s="70"/>
      <c r="O497" s="65"/>
      <c r="P497" s="65"/>
      <c r="Q497" s="71" t="str">
        <f t="shared" ca="1" si="125"/>
        <v/>
      </c>
      <c r="R497" s="63"/>
      <c r="S497" s="133"/>
    </row>
    <row r="498" spans="1:20" ht="15" customHeight="1">
      <c r="A498" s="59">
        <v>46253</v>
      </c>
      <c r="B498" s="60">
        <f t="shared" si="124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23</v>
      </c>
      <c r="H498" s="88">
        <f>IFERROR(IF($G498="","",$G498*$S$500/$G$500/Cadastro!$E$33),"")</f>
        <v>98.408118811881181</v>
      </c>
      <c r="I498" s="90">
        <f>IFERROR(IF($D498="","",VLOOKUP($D498,Cadastro!$C$4:$G$7,5,FALSE())),"")</f>
        <v>0.6</v>
      </c>
      <c r="J498" s="91">
        <f t="shared" si="122"/>
        <v>14.170769108910891</v>
      </c>
      <c r="K498" s="64">
        <f t="shared" si="123"/>
        <v>96.600000000000009</v>
      </c>
      <c r="L498" s="61"/>
      <c r="M498" s="61"/>
      <c r="N498" s="61"/>
      <c r="O498" s="65"/>
      <c r="P498" s="65"/>
      <c r="Q498" s="66" t="str">
        <f t="shared" ca="1" si="125"/>
        <v/>
      </c>
      <c r="R498" s="63"/>
      <c r="S498" s="133"/>
    </row>
    <row r="499" spans="1:20" ht="15" customHeight="1">
      <c r="A499" s="18">
        <v>46253</v>
      </c>
      <c r="B499" s="68">
        <f t="shared" si="124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12</v>
      </c>
      <c r="H499" s="92">
        <f>IFERROR(IF($G499="","",$G499*$S$500/$G$500/Cadastro!$E$33),"")</f>
        <v>51.343366336633665</v>
      </c>
      <c r="I499" s="93">
        <f>IFERROR(IF($D499="","",VLOOKUP($D499,Cadastro!$C$4:$G$7,5,FALSE())),"")</f>
        <v>0.6</v>
      </c>
      <c r="J499" s="94">
        <f t="shared" si="122"/>
        <v>7.3934447524752471</v>
      </c>
      <c r="K499" s="69">
        <f t="shared" si="123"/>
        <v>50.400000000000006</v>
      </c>
      <c r="L499" s="70"/>
      <c r="M499" s="70"/>
      <c r="N499" s="70"/>
      <c r="O499" s="65"/>
      <c r="P499" s="65"/>
      <c r="Q499" s="71" t="str">
        <f t="shared" ca="1" si="125"/>
        <v/>
      </c>
      <c r="R499" s="63"/>
      <c r="S499" s="133"/>
    </row>
    <row r="500" spans="1:20" ht="15.75" customHeight="1">
      <c r="A500" s="156" t="s">
        <v>260</v>
      </c>
      <c r="B500" s="156"/>
      <c r="C500" s="156"/>
      <c r="D500" s="156"/>
      <c r="E500" s="156"/>
      <c r="F500" s="95"/>
      <c r="G500" s="96">
        <f>SUM(G488:G499)</f>
        <v>202</v>
      </c>
      <c r="H500" s="95">
        <f>IFERROR(SUM(H488:H499),"")</f>
        <v>864.28</v>
      </c>
      <c r="I500" s="97"/>
      <c r="J500" s="98">
        <f>IFERROR(SUM(J488:J499),"")</f>
        <v>124.45631999999999</v>
      </c>
      <c r="K500" s="2">
        <f>SUM(K488:K499)</f>
        <v>854</v>
      </c>
      <c r="L500" s="72"/>
      <c r="M500" s="72"/>
      <c r="N500" s="72"/>
      <c r="O500" s="134"/>
      <c r="P500" s="134"/>
      <c r="Q500" s="73">
        <f ca="1">IFERROR(SUM(Q488:Q499),"")</f>
        <v>8.4722222222221533E-2</v>
      </c>
      <c r="R500" s="2" t="s">
        <v>261</v>
      </c>
      <c r="S500" s="74">
        <v>864280</v>
      </c>
      <c r="T500" s="99">
        <f>IFERROR(J500,"")</f>
        <v>124.45631999999999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274</v>
      </c>
      <c r="F501" s="101">
        <f>IFERROR(IF($D501="","",VLOOKUP($D501,Cadastro!$C$4:$E$7,3,FALSE())),"")</f>
        <v>0.24</v>
      </c>
      <c r="G501" s="89">
        <v>10</v>
      </c>
      <c r="H501" s="101">
        <f>IFERROR(IF($G501="","",$G501*$S$513/$G$513/Cadastro!$E$33),"")</f>
        <v>45.481250000000003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6.5492999999999997</v>
      </c>
      <c r="K501" s="69">
        <f t="shared" ref="K501:K512" si="127">IF(G501="","",IF(E501="PC 17",G501*4.2,IF(E501="PC 19",G501*5,IF(E501="CB",G501*24,""))))</f>
        <v>42</v>
      </c>
      <c r="L501" s="70" t="s">
        <v>28</v>
      </c>
      <c r="M501" s="70" t="s">
        <v>173</v>
      </c>
      <c r="N501" s="70" t="s">
        <v>36</v>
      </c>
      <c r="O501" s="65">
        <v>0.79166666666666663</v>
      </c>
      <c r="P501" s="65">
        <v>0.79722222222222228</v>
      </c>
      <c r="Q501" s="71">
        <f t="shared" ref="Q501:Q512" ca="1" si="128">IFERROR(IF(O501="","",IF(P501="",MOD(NOW()-O501,1),IF(P501&gt;=O501,P501-O501,P501+1-O501))),"")</f>
        <v>5.5555555555556468E-3</v>
      </c>
      <c r="R501" s="63"/>
      <c r="S501" s="133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274</v>
      </c>
      <c r="F502" s="88">
        <f>IFERROR(IF($D502="","",VLOOKUP($D502,Cadastro!$C$4:$E$7,3,FALSE())),"")</f>
        <v>0.24</v>
      </c>
      <c r="G502" s="89">
        <v>14</v>
      </c>
      <c r="H502" s="88">
        <f>IFERROR(IF($G502="","",$G502*$S$513/$G$513/Cadastro!$E$33),"")</f>
        <v>63.673749999999998</v>
      </c>
      <c r="I502" s="90">
        <f>IFERROR(IF($D502="","",VLOOKUP($D502,Cadastro!$C$4:$G$7,5,FALSE())),"")</f>
        <v>0.6</v>
      </c>
      <c r="J502" s="91">
        <f t="shared" si="126"/>
        <v>9.1690199999999997</v>
      </c>
      <c r="K502" s="64">
        <f t="shared" si="127"/>
        <v>58.800000000000004</v>
      </c>
      <c r="L502" s="61" t="s">
        <v>27</v>
      </c>
      <c r="M502" s="61" t="s">
        <v>139</v>
      </c>
      <c r="N502" s="61" t="s">
        <v>209</v>
      </c>
      <c r="O502" s="65">
        <v>0.94236111111111109</v>
      </c>
      <c r="P502" s="65">
        <v>0.99236111111111114</v>
      </c>
      <c r="Q502" s="66">
        <f t="shared" ca="1" si="128"/>
        <v>5.0000000000000044E-2</v>
      </c>
      <c r="R502" s="63"/>
      <c r="S502" s="133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274</v>
      </c>
      <c r="F503" s="88">
        <f>IFERROR(IF($D503="","",VLOOKUP($D503,Cadastro!$C$4:$E$7,3,FALSE())),"")</f>
        <v>0.24</v>
      </c>
      <c r="G503" s="89">
        <v>23</v>
      </c>
      <c r="H503" s="88">
        <f>IFERROR(IF($G503="","",$G503*$S$513/$G$513/Cadastro!$E$33),"")</f>
        <v>104.606875</v>
      </c>
      <c r="I503" s="90">
        <f>IFERROR(IF($D503="","",VLOOKUP($D503,Cadastro!$C$4:$G$7,5,FALSE())),"")</f>
        <v>0.6</v>
      </c>
      <c r="J503" s="91">
        <f t="shared" si="126"/>
        <v>15.06339</v>
      </c>
      <c r="K503" s="69">
        <f t="shared" si="127"/>
        <v>96.600000000000009</v>
      </c>
      <c r="L503" s="70" t="s">
        <v>28</v>
      </c>
      <c r="M503" s="70" t="s">
        <v>173</v>
      </c>
      <c r="N503" s="70" t="s">
        <v>36</v>
      </c>
      <c r="O503" s="65">
        <v>0.16319444444444445</v>
      </c>
      <c r="P503" s="65">
        <v>0.17499999999999999</v>
      </c>
      <c r="Q503" s="71">
        <f t="shared" ca="1" si="128"/>
        <v>1.1805555555555541E-2</v>
      </c>
      <c r="R503" s="63"/>
      <c r="S503" s="133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274</v>
      </c>
      <c r="F504" s="88">
        <f>IFERROR(IF($D504="","",VLOOKUP($D504,Cadastro!$C$4:$E$7,3,FALSE())),"")</f>
        <v>0.24</v>
      </c>
      <c r="G504" s="89">
        <v>7</v>
      </c>
      <c r="H504" s="88">
        <f>IFERROR(IF($G504="","",$G504*$S$513/$G$513/Cadastro!$E$33),"")</f>
        <v>31.836874999999999</v>
      </c>
      <c r="I504" s="90">
        <f>IFERROR(IF($D504="","",VLOOKUP($D504,Cadastro!$C$4:$G$7,5,FALSE())),"")</f>
        <v>0.6</v>
      </c>
      <c r="J504" s="91">
        <f t="shared" si="126"/>
        <v>4.5845099999999999</v>
      </c>
      <c r="K504" s="64">
        <f t="shared" si="127"/>
        <v>29.400000000000002</v>
      </c>
      <c r="L504" s="61" t="s">
        <v>28</v>
      </c>
      <c r="M504" s="61" t="s">
        <v>61</v>
      </c>
      <c r="N504" s="61" t="s">
        <v>36</v>
      </c>
      <c r="O504" s="65">
        <v>0.21666666666666667</v>
      </c>
      <c r="P504" s="65">
        <v>0.24166666666666667</v>
      </c>
      <c r="Q504" s="66">
        <f t="shared" ca="1" si="128"/>
        <v>2.4999999999999994E-2</v>
      </c>
      <c r="R504" s="63" t="s">
        <v>403</v>
      </c>
      <c r="S504" s="133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274</v>
      </c>
      <c r="F505" s="88">
        <f>IFERROR(IF($D505="","",VLOOKUP($D505,Cadastro!$C$4:$E$7,3,FALSE())),"")</f>
        <v>0.24</v>
      </c>
      <c r="G505" s="89">
        <v>7</v>
      </c>
      <c r="H505" s="88">
        <f>IFERROR(IF($G505="","",$G505*$S$513/$G$513/Cadastro!$E$33),"")</f>
        <v>31.836874999999999</v>
      </c>
      <c r="I505" s="90">
        <f>IFERROR(IF($D505="","",VLOOKUP($D505,Cadastro!$C$4:$G$7,5,FALSE())),"")</f>
        <v>0.6</v>
      </c>
      <c r="J505" s="91">
        <f t="shared" si="126"/>
        <v>4.5845099999999999</v>
      </c>
      <c r="K505" s="69">
        <f t="shared" si="127"/>
        <v>29.400000000000002</v>
      </c>
      <c r="L505" s="70" t="s">
        <v>26</v>
      </c>
      <c r="M505" s="70"/>
      <c r="N505" s="70" t="s">
        <v>34</v>
      </c>
      <c r="O505" s="65">
        <v>0.25069444444444444</v>
      </c>
      <c r="P505" s="65">
        <v>0.26597222222222222</v>
      </c>
      <c r="Q505" s="71">
        <f t="shared" ca="1" si="128"/>
        <v>1.5277777777777779E-2</v>
      </c>
      <c r="R505" s="63"/>
      <c r="S505" s="133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274</v>
      </c>
      <c r="F506" s="88">
        <f>IFERROR(IF($D506="","",VLOOKUP($D506,Cadastro!$C$4:$E$7,3,FALSE())),"")</f>
        <v>0.24</v>
      </c>
      <c r="G506" s="89">
        <v>14</v>
      </c>
      <c r="H506" s="88">
        <f>IFERROR(IF($G506="","",$G506*$S$513/$G$513/Cadastro!$E$33),"")</f>
        <v>63.673749999999998</v>
      </c>
      <c r="I506" s="90">
        <f>IFERROR(IF($D506="","",VLOOKUP($D506,Cadastro!$C$4:$G$7,5,FALSE())),"")</f>
        <v>0.6</v>
      </c>
      <c r="J506" s="91">
        <f t="shared" si="126"/>
        <v>9.1690199999999997</v>
      </c>
      <c r="K506" s="64">
        <f>IF(G506="","",IF(E506="PC 17",G506*4.2,IF(E506="PC 19",G506*5,IF(E506="CB",G506*24,""))))</f>
        <v>58.800000000000004</v>
      </c>
      <c r="L506" s="61" t="s">
        <v>29</v>
      </c>
      <c r="M506" s="61" t="s">
        <v>61</v>
      </c>
      <c r="N506" s="61" t="s">
        <v>71</v>
      </c>
      <c r="O506" s="65">
        <v>0.27291666666666664</v>
      </c>
      <c r="P506" s="65">
        <v>0.27500000000000002</v>
      </c>
      <c r="Q506" s="66">
        <f t="shared" ca="1" si="128"/>
        <v>2.0833333333333814E-3</v>
      </c>
      <c r="R506" s="63"/>
      <c r="S506" s="133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54" t="s">
        <v>274</v>
      </c>
      <c r="F507" s="88">
        <f>IFERROR(IF($D507="","",VLOOKUP($D507,Cadastro!$C$4:$E$7,3,FALSE())),"")</f>
        <v>0.24</v>
      </c>
      <c r="G507" s="89">
        <v>22</v>
      </c>
      <c r="H507" s="88">
        <f>IFERROR(IF($G507="","",$G507*$S$513/$G$513/Cadastro!$E$33),"")</f>
        <v>100.05875</v>
      </c>
      <c r="I507" s="90">
        <f>IFERROR(IF($D507="","",VLOOKUP($D507,Cadastro!$C$4:$G$7,5,FALSE())),"")</f>
        <v>0.6</v>
      </c>
      <c r="J507" s="91">
        <f t="shared" si="126"/>
        <v>14.408459999999998</v>
      </c>
      <c r="K507" s="155">
        <f>IF(G507="","",IF(E507="PC 17",G507*4.2,IF(E507="PC 19",G507*5,IF(E507="CB",G507*24,""))))</f>
        <v>92.4</v>
      </c>
      <c r="L507" s="70" t="s">
        <v>29</v>
      </c>
      <c r="M507" s="70" t="s">
        <v>61</v>
      </c>
      <c r="N507" s="70" t="s">
        <v>65</v>
      </c>
      <c r="O507" s="65">
        <v>0.27777777777777779</v>
      </c>
      <c r="P507" s="65">
        <v>0.28680555555555554</v>
      </c>
      <c r="Q507" s="71">
        <f t="shared" ca="1" si="128"/>
        <v>9.0277777777777457E-3</v>
      </c>
      <c r="R507" s="63"/>
      <c r="S507" s="133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274</v>
      </c>
      <c r="F508" s="88">
        <f>IFERROR(IF($D508="","",VLOOKUP($D508,Cadastro!$C$4:$E$7,3,FALSE())),"")</f>
        <v>0.35</v>
      </c>
      <c r="G508" s="89">
        <v>21</v>
      </c>
      <c r="H508" s="88">
        <f>IFERROR(IF($G508="","",$G508*$S$513/$G$513/Cadastro!$E$33),"")</f>
        <v>95.510625000000005</v>
      </c>
      <c r="I508" s="90">
        <f>IFERROR(IF($D508="","",VLOOKUP($D508,Cadastro!$C$4:$G$7,5,FALSE())),"")</f>
        <v>0.6</v>
      </c>
      <c r="J508" s="91">
        <f t="shared" si="126"/>
        <v>20.057231250000001</v>
      </c>
      <c r="K508" s="64">
        <f t="shared" si="127"/>
        <v>88.2</v>
      </c>
      <c r="L508" s="61"/>
      <c r="M508" s="61"/>
      <c r="N508" s="61"/>
      <c r="O508" s="65"/>
      <c r="P508" s="65"/>
      <c r="Q508" s="66" t="str">
        <f t="shared" ca="1" si="128"/>
        <v/>
      </c>
      <c r="R508" s="63"/>
      <c r="S508" s="133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274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90.962500000000006</v>
      </c>
      <c r="I509" s="90">
        <f>IFERROR(IF($D509="","",VLOOKUP($D509,Cadastro!$C$4:$G$7,5,FALSE())),"")</f>
        <v>0.6</v>
      </c>
      <c r="J509" s="91">
        <f t="shared" si="126"/>
        <v>19.102124999999997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63"/>
      <c r="S509" s="133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274</v>
      </c>
      <c r="F510" s="88">
        <f>IFERROR(IF($D510="","",VLOOKUP($D510,Cadastro!$C$4:$E$7,3,FALSE())),"")</f>
        <v>0.35</v>
      </c>
      <c r="G510" s="89">
        <v>12</v>
      </c>
      <c r="H510" s="88">
        <f>IFERROR(IF($G510="","",$G510*$S$513/$G$513/Cadastro!$E$33),"")</f>
        <v>54.577500000000001</v>
      </c>
      <c r="I510" s="90">
        <f>IFERROR(IF($D510="","",VLOOKUP($D510,Cadastro!$C$4:$G$7,5,FALSE())),"")</f>
        <v>0.6</v>
      </c>
      <c r="J510" s="91">
        <f t="shared" si="126"/>
        <v>11.461274999999999</v>
      </c>
      <c r="K510" s="64">
        <f t="shared" si="127"/>
        <v>50.400000000000006</v>
      </c>
      <c r="L510" s="61"/>
      <c r="M510" s="61"/>
      <c r="N510" s="61"/>
      <c r="O510" s="65"/>
      <c r="P510" s="65"/>
      <c r="Q510" s="66" t="str">
        <f t="shared" ca="1" si="128"/>
        <v/>
      </c>
      <c r="R510" s="63"/>
      <c r="S510" s="133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274</v>
      </c>
      <c r="F511" s="88">
        <f>IFERROR(IF($D511="","",VLOOKUP($D511,Cadastro!$C$4:$E$7,3,FALSE())),"")</f>
        <v>0.35</v>
      </c>
      <c r="G511" s="89">
        <v>10</v>
      </c>
      <c r="H511" s="88">
        <f>IFERROR(IF($G511="","",$G511*$S$513/$G$513/Cadastro!$E$33),"")</f>
        <v>45.481250000000003</v>
      </c>
      <c r="I511" s="90">
        <f>IFERROR(IF($D511="","",VLOOKUP($D511,Cadastro!$C$4:$G$7,5,FALSE())),"")</f>
        <v>0.6</v>
      </c>
      <c r="J511" s="91">
        <f t="shared" si="126"/>
        <v>9.5510624999999987</v>
      </c>
      <c r="K511" s="69">
        <f t="shared" si="127"/>
        <v>42</v>
      </c>
      <c r="L511" s="70"/>
      <c r="M511" s="70"/>
      <c r="N511" s="70"/>
      <c r="O511" s="65"/>
      <c r="P511" s="65"/>
      <c r="Q511" s="71" t="str">
        <f t="shared" ca="1" si="128"/>
        <v/>
      </c>
      <c r="R511" s="63"/>
      <c r="S511" s="133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274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63"/>
      <c r="S512" s="133"/>
    </row>
    <row r="513" spans="1:20" ht="15.75" customHeight="1">
      <c r="A513" s="156" t="s">
        <v>263</v>
      </c>
      <c r="B513" s="156"/>
      <c r="C513" s="156"/>
      <c r="D513" s="156"/>
      <c r="E513" s="156"/>
      <c r="F513" s="105"/>
      <c r="G513" s="96">
        <f>SUM(G501:G512)</f>
        <v>160</v>
      </c>
      <c r="H513" s="105">
        <f>IFERROR(SUM(H501:H512),"")</f>
        <v>727.7</v>
      </c>
      <c r="I513" s="106"/>
      <c r="J513" s="107">
        <f>IFERROR(SUM(J501:J512),"")</f>
        <v>123.69990375</v>
      </c>
      <c r="K513" s="2">
        <f>SUM(K501:K512)</f>
        <v>672.00000000000011</v>
      </c>
      <c r="L513" s="72"/>
      <c r="M513" s="72"/>
      <c r="N513" s="72"/>
      <c r="O513" s="134"/>
      <c r="P513" s="134"/>
      <c r="Q513" s="73">
        <f ca="1">IFERROR(SUM(Q501:Q512),"")</f>
        <v>0.11875000000000013</v>
      </c>
      <c r="R513" s="2" t="s">
        <v>261</v>
      </c>
      <c r="S513" s="74">
        <v>727700</v>
      </c>
      <c r="T513" s="99">
        <f>IFERROR(J513,"")</f>
        <v>123.69990375</v>
      </c>
    </row>
    <row r="514" spans="1:20" ht="18" customHeight="1">
      <c r="A514" s="157" t="s">
        <v>249</v>
      </c>
      <c r="B514" s="157"/>
      <c r="C514" s="157"/>
      <c r="D514" s="157"/>
      <c r="E514" s="157"/>
      <c r="F514" s="108"/>
      <c r="G514" s="109">
        <f>G500+G513</f>
        <v>362</v>
      </c>
      <c r="H514" s="108">
        <f>IFERROR(H500+H513,"")</f>
        <v>1591.98</v>
      </c>
      <c r="I514" s="110"/>
      <c r="J514" s="111">
        <f>IFERROR(J500+J513,"")</f>
        <v>248.15622374999998</v>
      </c>
      <c r="K514" s="1">
        <f>K500+K513</f>
        <v>1526</v>
      </c>
      <c r="L514" s="76"/>
      <c r="M514" s="76"/>
      <c r="N514" s="76"/>
      <c r="O514" s="135"/>
      <c r="P514" s="135"/>
      <c r="Q514" s="77">
        <f ca="1">IFERROR(Q500+Q513,"")</f>
        <v>0.20347222222222167</v>
      </c>
      <c r="R514" s="1" t="s">
        <v>264</v>
      </c>
      <c r="S514" s="82">
        <f>IFERROR(S500+S513,"")</f>
        <v>1591980</v>
      </c>
      <c r="T514" s="118">
        <f>IFERROR(J514,"")</f>
        <v>248.15622374999998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274</v>
      </c>
      <c r="F515" s="101">
        <f>IFERROR(IF($D515="","",VLOOKUP($D515,Cadastro!$C$4:$E$7,3,FALSE())),"")</f>
        <v>0.35</v>
      </c>
      <c r="G515" s="89">
        <v>13</v>
      </c>
      <c r="H515" s="101">
        <f>IFERROR(IF($G515="","",$G515*$S$527/$G$527/Cadastro!$E$33),"")</f>
        <v>63.554162436548218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13.346374111675125</v>
      </c>
      <c r="K515" s="69">
        <f t="shared" ref="K515:K526" si="131">IF(G515="","",IF(E515="PC 17",G515*4.2,IF(E515="PC 19",G515*5,IF(E515="CB",G515*24,""))))</f>
        <v>54.6</v>
      </c>
      <c r="L515" s="70" t="s">
        <v>29</v>
      </c>
      <c r="M515" s="70" t="s">
        <v>61</v>
      </c>
      <c r="N515" s="70" t="s">
        <v>65</v>
      </c>
      <c r="O515" s="65">
        <v>0.29930555555555555</v>
      </c>
      <c r="P515" s="65">
        <v>0.31597222222222221</v>
      </c>
      <c r="Q515" s="71">
        <f t="shared" ref="Q515:Q526" ca="1" si="132">IFERROR(IF(O515="","",IF(P515="",MOD(NOW()-O515,1),IF(P515&gt;=O515,P515-O515,P515+1-O515))),"")</f>
        <v>1.6666666666666663E-2</v>
      </c>
      <c r="R515" s="63"/>
      <c r="S515" s="133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274</v>
      </c>
      <c r="F516" s="88">
        <f>IFERROR(IF($D516="","",VLOOKUP($D516,Cadastro!$C$4:$E$7,3,FALSE())),"")</f>
        <v>0.35</v>
      </c>
      <c r="G516" s="89">
        <v>22</v>
      </c>
      <c r="H516" s="88">
        <f>IFERROR(IF($G516="","",$G516*$S$527/$G$527/Cadastro!$E$33),"")</f>
        <v>107.55319796954315</v>
      </c>
      <c r="I516" s="90">
        <f>IFERROR(IF($D516="","",VLOOKUP($D516,Cadastro!$C$4:$G$7,5,FALSE())),"")</f>
        <v>0.6</v>
      </c>
      <c r="J516" s="91">
        <f t="shared" si="130"/>
        <v>22.586171573604059</v>
      </c>
      <c r="K516" s="64">
        <f t="shared" si="131"/>
        <v>92.4</v>
      </c>
      <c r="L516" s="70" t="s">
        <v>29</v>
      </c>
      <c r="M516" s="61" t="s">
        <v>66</v>
      </c>
      <c r="N516" s="70" t="s">
        <v>37</v>
      </c>
      <c r="O516" s="65">
        <v>0.51388888888888884</v>
      </c>
      <c r="P516" s="65">
        <v>0.51944444444444449</v>
      </c>
      <c r="Q516" s="66">
        <f t="shared" ca="1" si="132"/>
        <v>5.5555555555556468E-3</v>
      </c>
      <c r="R516" s="63"/>
      <c r="S516" s="133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274</v>
      </c>
      <c r="F517" s="88">
        <f>IFERROR(IF($D517="","",VLOOKUP($D517,Cadastro!$C$4:$E$7,3,FALSE())),"")</f>
        <v>0.35</v>
      </c>
      <c r="G517" s="89">
        <v>19</v>
      </c>
      <c r="H517" s="88">
        <f>IFERROR(IF($G517="","",$G517*$S$527/$G$527/Cadastro!$E$33),"")</f>
        <v>92.886852791878169</v>
      </c>
      <c r="I517" s="90">
        <f>IFERROR(IF($D517="","",VLOOKUP($D517,Cadastro!$C$4:$G$7,5,FALSE())),"")</f>
        <v>0.6</v>
      </c>
      <c r="J517" s="91">
        <f t="shared" si="130"/>
        <v>19.506239086294414</v>
      </c>
      <c r="K517" s="69">
        <f t="shared" si="131"/>
        <v>79.8</v>
      </c>
      <c r="L517" s="70" t="s">
        <v>28</v>
      </c>
      <c r="M517" s="70" t="s">
        <v>173</v>
      </c>
      <c r="N517" s="70" t="s">
        <v>36</v>
      </c>
      <c r="O517" s="65">
        <v>0.55208333333333337</v>
      </c>
      <c r="P517" s="65">
        <v>0.5756944444444444</v>
      </c>
      <c r="Q517" s="71">
        <f t="shared" ca="1" si="132"/>
        <v>2.3611111111111027E-2</v>
      </c>
      <c r="R517" s="63"/>
      <c r="S517" s="133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274</v>
      </c>
      <c r="F518" s="88">
        <f>IFERROR(IF($D518="","",VLOOKUP($D518,Cadastro!$C$4:$E$7,3,FALSE())),"")</f>
        <v>0.35</v>
      </c>
      <c r="G518" s="89">
        <v>20</v>
      </c>
      <c r="H518" s="88">
        <f>IFERROR(IF($G518="","",$G518*$S$527/$G$527/Cadastro!$E$33),"")</f>
        <v>97.775634517766491</v>
      </c>
      <c r="I518" s="90">
        <f>IFERROR(IF($D518="","",VLOOKUP($D518,Cadastro!$C$4:$G$7,5,FALSE())),"")</f>
        <v>0.6</v>
      </c>
      <c r="J518" s="91">
        <f t="shared" si="130"/>
        <v>20.532883248730958</v>
      </c>
      <c r="K518" s="64">
        <f t="shared" si="131"/>
        <v>84</v>
      </c>
      <c r="L518" s="70" t="s">
        <v>29</v>
      </c>
      <c r="M518" s="61"/>
      <c r="N518" s="61" t="s">
        <v>83</v>
      </c>
      <c r="O518" s="65">
        <v>0.66874999999999996</v>
      </c>
      <c r="P518" s="65">
        <v>0.67291666666666672</v>
      </c>
      <c r="Q518" s="66">
        <f t="shared" ca="1" si="132"/>
        <v>4.1666666666667629E-3</v>
      </c>
      <c r="R518" s="63"/>
      <c r="S518" s="133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274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63.554162436548218</v>
      </c>
      <c r="I519" s="90">
        <f>IFERROR(IF($D519="","",VLOOKUP($D519,Cadastro!$C$4:$G$7,5,FALSE())),"")</f>
        <v>0.6</v>
      </c>
      <c r="J519" s="91">
        <f t="shared" si="130"/>
        <v>13.346374111675125</v>
      </c>
      <c r="K519" s="69">
        <f t="shared" si="131"/>
        <v>54.6</v>
      </c>
      <c r="L519" s="70"/>
      <c r="M519" s="70"/>
      <c r="N519" s="70"/>
      <c r="O519" s="65"/>
      <c r="P519" s="65"/>
      <c r="Q519" s="71" t="str">
        <f t="shared" ca="1" si="132"/>
        <v/>
      </c>
      <c r="R519" s="63"/>
      <c r="S519" s="133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274</v>
      </c>
      <c r="F520" s="88">
        <f>IFERROR(IF($D520="","",VLOOKUP($D520,Cadastro!$C$4:$E$7,3,FALSE())),"")</f>
        <v>0.35</v>
      </c>
      <c r="G520" s="89">
        <v>18</v>
      </c>
      <c r="H520" s="88">
        <f>IFERROR(IF($G520="","",$G520*$S$527/$G$527/Cadastro!$E$33),"")</f>
        <v>87.998071065989848</v>
      </c>
      <c r="I520" s="90">
        <f>IFERROR(IF($D520="","",VLOOKUP($D520,Cadastro!$C$4:$G$7,5,FALSE())),"")</f>
        <v>0.6</v>
      </c>
      <c r="J520" s="91">
        <f t="shared" si="130"/>
        <v>18.479594923857867</v>
      </c>
      <c r="K520" s="64">
        <f t="shared" si="131"/>
        <v>75.600000000000009</v>
      </c>
      <c r="L520" s="61"/>
      <c r="M520" s="61"/>
      <c r="N520" s="61"/>
      <c r="O520" s="65"/>
      <c r="P520" s="65"/>
      <c r="Q520" s="66" t="str">
        <f t="shared" ca="1" si="132"/>
        <v/>
      </c>
      <c r="R520" s="63"/>
      <c r="S520" s="133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259</v>
      </c>
      <c r="F521" s="88">
        <f>IFERROR(IF($D521="","",VLOOKUP($D521,Cadastro!$C$4:$E$7,3,FALSE())),"")</f>
        <v>0.35</v>
      </c>
      <c r="G521" s="89">
        <v>17</v>
      </c>
      <c r="H521" s="88">
        <f>IFERROR(IF($G521="","",$G521*$S$527/$G$527/Cadastro!$E$33),"")</f>
        <v>83.109289340101512</v>
      </c>
      <c r="I521" s="90">
        <f>IFERROR(IF($D521="","",VLOOKUP($D521,Cadastro!$C$4:$G$7,5,FALSE())),"")</f>
        <v>0.6</v>
      </c>
      <c r="J521" s="91">
        <f t="shared" si="130"/>
        <v>17.452950761421317</v>
      </c>
      <c r="K521" s="69">
        <f t="shared" si="131"/>
        <v>85</v>
      </c>
      <c r="L521" s="70"/>
      <c r="M521" s="70"/>
      <c r="N521" s="70"/>
      <c r="O521" s="65"/>
      <c r="P521" s="65"/>
      <c r="Q521" s="71" t="str">
        <f t="shared" ca="1" si="132"/>
        <v/>
      </c>
      <c r="R521" s="63"/>
      <c r="S521" s="133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259</v>
      </c>
      <c r="F522" s="88">
        <f>IFERROR(IF($D522="","",VLOOKUP($D522,Cadastro!$C$4:$E$7,3,FALSE())),"")</f>
        <v>0.35</v>
      </c>
      <c r="G522" s="89">
        <v>19</v>
      </c>
      <c r="H522" s="88">
        <f>IFERROR(IF($G522="","",$G522*$S$527/$G$527/Cadastro!$E$33),"")</f>
        <v>92.886852791878169</v>
      </c>
      <c r="I522" s="90">
        <f>IFERROR(IF($D522="","",VLOOKUP($D522,Cadastro!$C$4:$G$7,5,FALSE())),"")</f>
        <v>0.6</v>
      </c>
      <c r="J522" s="91">
        <f t="shared" si="130"/>
        <v>19.506239086294414</v>
      </c>
      <c r="K522" s="64">
        <f t="shared" si="131"/>
        <v>95</v>
      </c>
      <c r="L522" s="61"/>
      <c r="M522" s="61"/>
      <c r="N522" s="61"/>
      <c r="O522" s="65"/>
      <c r="P522" s="65"/>
      <c r="Q522" s="66" t="str">
        <f t="shared" ca="1" si="132"/>
        <v/>
      </c>
      <c r="R522" s="63"/>
      <c r="S522" s="133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259</v>
      </c>
      <c r="F523" s="88">
        <f>IFERROR(IF($D523="","",VLOOKUP($D523,Cadastro!$C$4:$E$7,3,FALSE())),"")</f>
        <v>0.35</v>
      </c>
      <c r="G523" s="89">
        <v>15</v>
      </c>
      <c r="H523" s="88">
        <f>IFERROR(IF($G523="","",$G523*$S$527/$G$527/Cadastro!$E$33),"")</f>
        <v>73.331725888324868</v>
      </c>
      <c r="I523" s="90">
        <f>IFERROR(IF($D523="","",VLOOKUP($D523,Cadastro!$C$4:$G$7,5,FALSE())),"")</f>
        <v>0.6</v>
      </c>
      <c r="J523" s="91">
        <f t="shared" si="130"/>
        <v>15.399662436548221</v>
      </c>
      <c r="K523" s="69">
        <f t="shared" si="131"/>
        <v>75</v>
      </c>
      <c r="L523" s="70"/>
      <c r="M523" s="70"/>
      <c r="N523" s="70"/>
      <c r="O523" s="65"/>
      <c r="P523" s="65"/>
      <c r="Q523" s="71" t="str">
        <f t="shared" ca="1" si="132"/>
        <v/>
      </c>
      <c r="R523" s="63"/>
      <c r="S523" s="133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259</v>
      </c>
      <c r="F524" s="88">
        <f>IFERROR(IF($D524="","",VLOOKUP($D524,Cadastro!$C$4:$E$7,3,FALSE())),"")</f>
        <v>0.35</v>
      </c>
      <c r="G524" s="89">
        <v>15</v>
      </c>
      <c r="H524" s="88">
        <f>IFERROR(IF($G524="","",$G524*$S$527/$G$527/Cadastro!$E$33),"")</f>
        <v>73.331725888324868</v>
      </c>
      <c r="I524" s="90">
        <f>IFERROR(IF($D524="","",VLOOKUP($D524,Cadastro!$C$4:$G$7,5,FALSE())),"")</f>
        <v>0.6</v>
      </c>
      <c r="J524" s="91">
        <f t="shared" si="130"/>
        <v>15.399662436548221</v>
      </c>
      <c r="K524" s="64">
        <f t="shared" si="131"/>
        <v>75</v>
      </c>
      <c r="L524" s="61"/>
      <c r="M524" s="61"/>
      <c r="N524" s="61"/>
      <c r="O524" s="65"/>
      <c r="P524" s="65"/>
      <c r="Q524" s="66" t="str">
        <f t="shared" ca="1" si="132"/>
        <v/>
      </c>
      <c r="R524" s="63"/>
      <c r="S524" s="133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259</v>
      </c>
      <c r="F525" s="88">
        <f>IFERROR(IF($D525="","",VLOOKUP($D525,Cadastro!$C$4:$E$7,3,FALSE())),"")</f>
        <v>0.35</v>
      </c>
      <c r="G525" s="89">
        <v>15</v>
      </c>
      <c r="H525" s="88">
        <f>IFERROR(IF($G525="","",$G525*$S$527/$G$527/Cadastro!$E$33),"")</f>
        <v>73.331725888324868</v>
      </c>
      <c r="I525" s="90">
        <f>IFERROR(IF($D525="","",VLOOKUP($D525,Cadastro!$C$4:$G$7,5,FALSE())),"")</f>
        <v>0.6</v>
      </c>
      <c r="J525" s="91">
        <f t="shared" si="130"/>
        <v>15.399662436548221</v>
      </c>
      <c r="K525" s="69">
        <f t="shared" si="131"/>
        <v>75</v>
      </c>
      <c r="L525" s="70"/>
      <c r="M525" s="70"/>
      <c r="N525" s="70"/>
      <c r="O525" s="65"/>
      <c r="P525" s="65"/>
      <c r="Q525" s="71" t="str">
        <f t="shared" ca="1" si="132"/>
        <v/>
      </c>
      <c r="R525" s="63"/>
      <c r="S525" s="133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259</v>
      </c>
      <c r="F526" s="92">
        <f>IFERROR(IF($D526="","",VLOOKUP($D526,Cadastro!$C$4:$E$7,3,FALSE())),"")</f>
        <v>0.35</v>
      </c>
      <c r="G526" s="89">
        <v>11</v>
      </c>
      <c r="H526" s="92">
        <f>IFERROR(IF($G526="","",$G526*$S$527/$G$527/Cadastro!$E$33),"")</f>
        <v>53.776598984771574</v>
      </c>
      <c r="I526" s="93">
        <f>IFERROR(IF($D526="","",VLOOKUP($D526,Cadastro!$C$4:$G$7,5,FALSE())),"")</f>
        <v>0.6</v>
      </c>
      <c r="J526" s="94">
        <f t="shared" si="130"/>
        <v>11.293085786802029</v>
      </c>
      <c r="K526" s="64">
        <f t="shared" si="131"/>
        <v>55</v>
      </c>
      <c r="L526" s="61"/>
      <c r="M526" s="61"/>
      <c r="N526" s="61"/>
      <c r="O526" s="65"/>
      <c r="P526" s="65"/>
      <c r="Q526" s="66" t="str">
        <f t="shared" ca="1" si="132"/>
        <v/>
      </c>
      <c r="R526" s="63"/>
      <c r="S526" s="133"/>
    </row>
    <row r="527" spans="1:20" ht="15.75" customHeight="1">
      <c r="A527" s="156" t="s">
        <v>260</v>
      </c>
      <c r="B527" s="156"/>
      <c r="C527" s="156"/>
      <c r="D527" s="156"/>
      <c r="E527" s="156"/>
      <c r="F527" s="95"/>
      <c r="G527" s="96">
        <f>SUM(G515:G526)</f>
        <v>197</v>
      </c>
      <c r="H527" s="95">
        <f>IFERROR(SUM(H515:H526),"")</f>
        <v>963.08999999999992</v>
      </c>
      <c r="I527" s="97"/>
      <c r="J527" s="98">
        <f>IFERROR(SUM(J515:J526),"")</f>
        <v>202.24889999999996</v>
      </c>
      <c r="K527" s="2">
        <f>SUM(K515:K526)</f>
        <v>901</v>
      </c>
      <c r="L527" s="72"/>
      <c r="M527" s="72"/>
      <c r="N527" s="72"/>
      <c r="O527" s="134"/>
      <c r="P527" s="134"/>
      <c r="Q527" s="73">
        <f ca="1">IFERROR(SUM(Q515:Q526),"")</f>
        <v>5.00000000000001E-2</v>
      </c>
      <c r="R527" s="2" t="s">
        <v>261</v>
      </c>
      <c r="S527" s="74">
        <v>963090</v>
      </c>
      <c r="T527" s="99">
        <f>IFERROR(J527,"")</f>
        <v>202.24889999999996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274</v>
      </c>
      <c r="F528" s="101">
        <f>IFERROR(IF($D528="","",VLOOKUP($D528,Cadastro!$C$4:$E$7,3,FALSE())),"")</f>
        <v>0.35</v>
      </c>
      <c r="G528" s="89">
        <v>22</v>
      </c>
      <c r="H528" s="101">
        <f>IFERROR(IF($G528="","",$G528*$S$540/$G$540/Cadastro!$E$33),"")</f>
        <v>98.289940119760473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20.640887425149696</v>
      </c>
      <c r="K528" s="64">
        <f t="shared" ref="K528:K539" si="135">IF(G528="","",IF(E528="PC 17",G528*4.2,IF(E528="PC 19",G528*5,IF(E528="CB",G528*24,""))))</f>
        <v>92.4</v>
      </c>
      <c r="L528" s="61" t="s">
        <v>29</v>
      </c>
      <c r="M528" s="61" t="s">
        <v>61</v>
      </c>
      <c r="N528" s="61" t="s">
        <v>71</v>
      </c>
      <c r="O528" s="65">
        <v>0.86388888888888893</v>
      </c>
      <c r="P528" s="65">
        <v>0.86597222222222225</v>
      </c>
      <c r="Q528" s="66">
        <f t="shared" ref="Q528:Q539" ca="1" si="136">IFERROR(IF(O528="","",IF(P528="",MOD(NOW()-O528,1),IF(P528&gt;=O528,P528-O528,P528+1-O528))),"")</f>
        <v>2.0833333333333259E-3</v>
      </c>
      <c r="R528" s="63"/>
      <c r="S528" s="133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259</v>
      </c>
      <c r="F529" s="88">
        <f>IFERROR(IF($D529="","",VLOOKUP($D529,Cadastro!$C$4:$E$7,3,FALSE())),"")</f>
        <v>0.24</v>
      </c>
      <c r="G529" s="89">
        <v>19</v>
      </c>
      <c r="H529" s="88">
        <f>IFERROR(IF($G529="","",$G529*$S$540/$G$540/Cadastro!$E$33),"")</f>
        <v>84.886766467065868</v>
      </c>
      <c r="I529" s="90">
        <f>IFERROR(IF($D529="","",VLOOKUP($D529,Cadastro!$C$4:$G$7,5,FALSE())),"")</f>
        <v>0.6</v>
      </c>
      <c r="J529" s="91">
        <f t="shared" si="134"/>
        <v>12.223694371257483</v>
      </c>
      <c r="K529" s="69">
        <f t="shared" si="135"/>
        <v>95</v>
      </c>
      <c r="L529" s="70" t="s">
        <v>28</v>
      </c>
      <c r="M529" s="70" t="s">
        <v>173</v>
      </c>
      <c r="N529" s="70" t="s">
        <v>36</v>
      </c>
      <c r="O529" s="65">
        <v>0.8666666666666667</v>
      </c>
      <c r="P529" s="65">
        <v>0.88888888888888884</v>
      </c>
      <c r="Q529" s="71">
        <f t="shared" ca="1" si="136"/>
        <v>2.2222222222222143E-2</v>
      </c>
      <c r="R529" s="63"/>
      <c r="S529" s="133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274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22.338622754491016</v>
      </c>
      <c r="I530" s="90">
        <f>IFERROR(IF($D530="","",VLOOKUP($D530,Cadastro!$C$4:$G$7,5,FALSE())),"")</f>
        <v>0.6</v>
      </c>
      <c r="J530" s="91">
        <f t="shared" si="134"/>
        <v>3.2167616766467062</v>
      </c>
      <c r="K530" s="64">
        <f t="shared" si="135"/>
        <v>21</v>
      </c>
      <c r="L530" s="61" t="s">
        <v>29</v>
      </c>
      <c r="M530" s="61" t="s">
        <v>66</v>
      </c>
      <c r="N530" s="61" t="s">
        <v>37</v>
      </c>
      <c r="O530" s="65">
        <v>0.88888888888888884</v>
      </c>
      <c r="P530" s="65">
        <v>0.89444444444444449</v>
      </c>
      <c r="Q530" s="66">
        <f t="shared" ca="1" si="136"/>
        <v>5.5555555555556468E-3</v>
      </c>
      <c r="R530" s="63"/>
      <c r="S530" s="133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274</v>
      </c>
      <c r="F531" s="88">
        <f>IFERROR(IF($D531="","",VLOOKUP($D531,Cadastro!$C$4:$E$7,3,FALSE())),"")</f>
        <v>0.24</v>
      </c>
      <c r="G531" s="89">
        <v>10</v>
      </c>
      <c r="H531" s="88">
        <f>IFERROR(IF($G531="","",$G531*$S$540/$G$540/Cadastro!$E$33),"")</f>
        <v>44.677245508982033</v>
      </c>
      <c r="I531" s="90">
        <f>IFERROR(IF($D531="","",VLOOKUP($D531,Cadastro!$C$4:$G$7,5,FALSE())),"")</f>
        <v>0.6</v>
      </c>
      <c r="J531" s="91">
        <f t="shared" si="134"/>
        <v>6.4335233532934124</v>
      </c>
      <c r="K531" s="69">
        <f t="shared" si="135"/>
        <v>42</v>
      </c>
      <c r="L531" s="70" t="s">
        <v>29</v>
      </c>
      <c r="M531" s="70" t="s">
        <v>66</v>
      </c>
      <c r="N531" s="70" t="s">
        <v>60</v>
      </c>
      <c r="O531" s="65">
        <v>0.92152777777777772</v>
      </c>
      <c r="P531" s="65">
        <v>0.9243055555555556</v>
      </c>
      <c r="Q531" s="71">
        <f t="shared" ca="1" si="136"/>
        <v>2.7777777777778789E-3</v>
      </c>
      <c r="R531" s="63"/>
      <c r="S531" s="133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274</v>
      </c>
      <c r="F532" s="88">
        <f>IFERROR(IF($D532="","",VLOOKUP($D532,Cadastro!$C$4:$E$7,3,FALSE())),"")</f>
        <v>0.24</v>
      </c>
      <c r="G532" s="89">
        <v>20</v>
      </c>
      <c r="H532" s="88">
        <f>IFERROR(IF($G532="","",$G532*$S$540/$G$540/Cadastro!$E$33),"")</f>
        <v>89.354491017964065</v>
      </c>
      <c r="I532" s="90">
        <f>IFERROR(IF($D532="","",VLOOKUP($D532,Cadastro!$C$4:$G$7,5,FALSE())),"")</f>
        <v>0.6</v>
      </c>
      <c r="J532" s="91">
        <f t="shared" si="134"/>
        <v>12.867046706586825</v>
      </c>
      <c r="K532" s="64">
        <f t="shared" si="135"/>
        <v>84</v>
      </c>
      <c r="L532" s="61" t="s">
        <v>29</v>
      </c>
      <c r="M532" s="61" t="s">
        <v>61</v>
      </c>
      <c r="N532" s="61" t="s">
        <v>60</v>
      </c>
      <c r="O532" s="65">
        <v>0.12569444444444444</v>
      </c>
      <c r="P532" s="65">
        <v>0.12986111111111112</v>
      </c>
      <c r="Q532" s="66">
        <f t="shared" ca="1" si="136"/>
        <v>4.1666666666666796E-3</v>
      </c>
      <c r="R532" s="63"/>
      <c r="S532" s="133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274</v>
      </c>
      <c r="F533" s="88">
        <f>IFERROR(IF($D533="","",VLOOKUP($D533,Cadastro!$C$4:$E$7,3,FALSE())),"")</f>
        <v>0.24</v>
      </c>
      <c r="G533" s="89">
        <v>20</v>
      </c>
      <c r="H533" s="88">
        <f>IFERROR(IF($G533="","",$G533*$S$540/$G$540/Cadastro!$E$33),"")</f>
        <v>89.354491017964065</v>
      </c>
      <c r="I533" s="90">
        <f>IFERROR(IF($D533="","",VLOOKUP($D533,Cadastro!$C$4:$G$7,5,FALSE())),"")</f>
        <v>0.6</v>
      </c>
      <c r="J533" s="91">
        <f t="shared" si="134"/>
        <v>12.867046706586825</v>
      </c>
      <c r="K533" s="69">
        <f t="shared" si="135"/>
        <v>84</v>
      </c>
      <c r="L533" s="70" t="s">
        <v>29</v>
      </c>
      <c r="M533" s="70" t="s">
        <v>61</v>
      </c>
      <c r="N533" s="70" t="s">
        <v>60</v>
      </c>
      <c r="O533" s="65">
        <v>0.13472222222222222</v>
      </c>
      <c r="P533" s="65">
        <v>0.14791666666666667</v>
      </c>
      <c r="Q533" s="71">
        <f t="shared" ca="1" si="136"/>
        <v>1.3194444444444453E-2</v>
      </c>
      <c r="R533" s="63"/>
      <c r="S533" s="133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274</v>
      </c>
      <c r="F534" s="88">
        <f>IFERROR(IF($D534="","",VLOOKUP($D534,Cadastro!$C$4:$E$7,3,FALSE())),"")</f>
        <v>0.24</v>
      </c>
      <c r="G534" s="89">
        <v>14</v>
      </c>
      <c r="H534" s="88">
        <f>IFERROR(IF($G534="","",$G534*$S$540/$G$540/Cadastro!$E$33),"")</f>
        <v>62.548143712574849</v>
      </c>
      <c r="I534" s="90">
        <f>IFERROR(IF($D534="","",VLOOKUP($D534,Cadastro!$C$4:$G$7,5,FALSE())),"")</f>
        <v>0.6</v>
      </c>
      <c r="J534" s="91">
        <f t="shared" si="134"/>
        <v>9.0069326946107768</v>
      </c>
      <c r="K534" s="64">
        <f t="shared" si="135"/>
        <v>58.800000000000004</v>
      </c>
      <c r="L534" s="61" t="s">
        <v>28</v>
      </c>
      <c r="M534" s="61" t="s">
        <v>173</v>
      </c>
      <c r="N534" s="61" t="s">
        <v>36</v>
      </c>
      <c r="O534" s="65">
        <v>0.17986111111111111</v>
      </c>
      <c r="P534" s="65">
        <v>0.2013888888888889</v>
      </c>
      <c r="Q534" s="66">
        <f t="shared" ca="1" si="136"/>
        <v>2.1527777777777785E-2</v>
      </c>
      <c r="R534" s="63"/>
      <c r="S534" s="133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274</v>
      </c>
      <c r="F535" s="88">
        <f>IFERROR(IF($D535="","",VLOOKUP($D535,Cadastro!$C$4:$E$7,3,FALSE())),"")</f>
        <v>0.24</v>
      </c>
      <c r="G535" s="89">
        <v>14</v>
      </c>
      <c r="H535" s="88">
        <f>IFERROR(IF($G535="","",$G535*$S$540/$G$540/Cadastro!$E$33),"")</f>
        <v>62.548143712574849</v>
      </c>
      <c r="I535" s="90">
        <f>IFERROR(IF($D535="","",VLOOKUP($D535,Cadastro!$C$4:$G$7,5,FALSE())),"")</f>
        <v>0.6</v>
      </c>
      <c r="J535" s="91">
        <f t="shared" si="134"/>
        <v>9.0069326946107768</v>
      </c>
      <c r="K535" s="69">
        <f t="shared" si="135"/>
        <v>58.800000000000004</v>
      </c>
      <c r="L535" s="70" t="s">
        <v>29</v>
      </c>
      <c r="M535" s="70" t="s">
        <v>66</v>
      </c>
      <c r="N535" s="70" t="s">
        <v>71</v>
      </c>
      <c r="O535" s="65">
        <v>0.2388888888888889</v>
      </c>
      <c r="P535" s="65">
        <v>0.24513888888888888</v>
      </c>
      <c r="Q535" s="71">
        <f t="shared" ca="1" si="136"/>
        <v>6.2499999999999778E-3</v>
      </c>
      <c r="R535" s="63"/>
      <c r="S535" s="133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274</v>
      </c>
      <c r="F536" s="88">
        <f>IFERROR(IF($D536="","",VLOOKUP($D536,Cadastro!$C$4:$E$7,3,FALSE())),"")</f>
        <v>0.35</v>
      </c>
      <c r="G536" s="89">
        <v>5</v>
      </c>
      <c r="H536" s="88">
        <f>IFERROR(IF($G536="","",$G536*$S$540/$G$540/Cadastro!$E$33),"")</f>
        <v>22.338622754491016</v>
      </c>
      <c r="I536" s="90">
        <f>IFERROR(IF($D536="","",VLOOKUP($D536,Cadastro!$C$4:$G$7,5,FALSE())),"")</f>
        <v>0.6</v>
      </c>
      <c r="J536" s="91">
        <f t="shared" si="134"/>
        <v>4.6911107784431127</v>
      </c>
      <c r="K536" s="64">
        <f t="shared" si="135"/>
        <v>21</v>
      </c>
      <c r="L536" s="61" t="s">
        <v>29</v>
      </c>
      <c r="M536" s="61" t="s">
        <v>61</v>
      </c>
      <c r="N536" s="61" t="s">
        <v>71</v>
      </c>
      <c r="O536" s="65">
        <v>0.26944444444444443</v>
      </c>
      <c r="P536" s="65">
        <v>0.29166666666666669</v>
      </c>
      <c r="Q536" s="66">
        <f t="shared" ca="1" si="136"/>
        <v>2.2222222222222254E-2</v>
      </c>
      <c r="R536" s="63"/>
      <c r="S536" s="133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274</v>
      </c>
      <c r="F537" s="88">
        <f>IFERROR(IF($D537="","",VLOOKUP($D537,Cadastro!$C$4:$E$7,3,FALSE())),"")</f>
        <v>0.35</v>
      </c>
      <c r="G537" s="89">
        <v>7</v>
      </c>
      <c r="H537" s="88">
        <f>IFERROR(IF($G537="","",$G537*$S$540/$G$540/Cadastro!$E$33),"")</f>
        <v>31.274071856287424</v>
      </c>
      <c r="I537" s="90">
        <f>IFERROR(IF($D537="","",VLOOKUP($D537,Cadastro!$C$4:$G$7,5,FALSE())),"")</f>
        <v>0.6</v>
      </c>
      <c r="J537" s="91">
        <f t="shared" si="134"/>
        <v>6.5675550898203587</v>
      </c>
      <c r="K537" s="69">
        <f t="shared" si="135"/>
        <v>29.400000000000002</v>
      </c>
      <c r="L537" s="70"/>
      <c r="M537" s="70"/>
      <c r="N537" s="70"/>
      <c r="O537" s="65"/>
      <c r="P537" s="65"/>
      <c r="Q537" s="71" t="str">
        <f t="shared" ca="1" si="136"/>
        <v/>
      </c>
      <c r="R537" s="63"/>
      <c r="S537" s="133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274</v>
      </c>
      <c r="F538" s="88">
        <f>IFERROR(IF($D538="","",VLOOKUP($D538,Cadastro!$C$4:$E$7,3,FALSE())),"")</f>
        <v>0.35</v>
      </c>
      <c r="G538" s="89">
        <v>14</v>
      </c>
      <c r="H538" s="88">
        <f>IFERROR(IF($G538="","",$G538*$S$540/$G$540/Cadastro!$E$33),"")</f>
        <v>62.548143712574849</v>
      </c>
      <c r="I538" s="90">
        <f>IFERROR(IF($D538="","",VLOOKUP($D538,Cadastro!$C$4:$G$7,5,FALSE())),"")</f>
        <v>0.6</v>
      </c>
      <c r="J538" s="91">
        <f t="shared" si="134"/>
        <v>13.135110179640717</v>
      </c>
      <c r="K538" s="64">
        <f t="shared" si="135"/>
        <v>58.800000000000004</v>
      </c>
      <c r="L538" s="61"/>
      <c r="M538" s="61"/>
      <c r="N538" s="61"/>
      <c r="O538" s="65"/>
      <c r="P538" s="65"/>
      <c r="Q538" s="66" t="str">
        <f t="shared" ca="1" si="136"/>
        <v/>
      </c>
      <c r="R538" s="63"/>
      <c r="S538" s="133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274</v>
      </c>
      <c r="F539" s="92">
        <f>IFERROR(IF($D539="","",VLOOKUP($D539,Cadastro!$C$4:$E$7,3,FALSE())),"")</f>
        <v>0.35</v>
      </c>
      <c r="G539" s="89">
        <v>17</v>
      </c>
      <c r="H539" s="92">
        <f>IFERROR(IF($G539="","",$G539*$S$540/$G$540/Cadastro!$E$33),"")</f>
        <v>75.951317365269475</v>
      </c>
      <c r="I539" s="93">
        <f>IFERROR(IF($D539="","",VLOOKUP($D539,Cadastro!$C$4:$G$7,5,FALSE())),"")</f>
        <v>0.6</v>
      </c>
      <c r="J539" s="94">
        <f t="shared" si="134"/>
        <v>15.949776646706587</v>
      </c>
      <c r="K539" s="69">
        <f t="shared" si="135"/>
        <v>71.400000000000006</v>
      </c>
      <c r="L539" s="70"/>
      <c r="M539" s="70"/>
      <c r="N539" s="70"/>
      <c r="O539" s="65"/>
      <c r="P539" s="65"/>
      <c r="Q539" s="71" t="str">
        <f t="shared" ca="1" si="136"/>
        <v/>
      </c>
      <c r="R539" s="63"/>
      <c r="S539" s="133"/>
    </row>
    <row r="540" spans="1:20" ht="15.75" customHeight="1">
      <c r="A540" s="156" t="s">
        <v>263</v>
      </c>
      <c r="B540" s="156"/>
      <c r="C540" s="156"/>
      <c r="D540" s="156"/>
      <c r="E540" s="156"/>
      <c r="F540" s="105"/>
      <c r="G540" s="96">
        <f>SUM(G528:G539)</f>
        <v>167</v>
      </c>
      <c r="H540" s="105">
        <f>IFERROR(SUM(H528:H539),"")</f>
        <v>746.1099999999999</v>
      </c>
      <c r="I540" s="106"/>
      <c r="J540" s="107">
        <f>IFERROR(SUM(J528:J539),"")</f>
        <v>126.60637832335328</v>
      </c>
      <c r="K540" s="2">
        <f>SUM(K528:K539)</f>
        <v>716.59999999999991</v>
      </c>
      <c r="L540" s="72"/>
      <c r="M540" s="72"/>
      <c r="N540" s="72"/>
      <c r="O540" s="134"/>
      <c r="P540" s="134"/>
      <c r="Q540" s="73">
        <f ca="1">IFERROR(SUM(Q528:Q539),"")</f>
        <v>0.10000000000000014</v>
      </c>
      <c r="R540" s="2" t="s">
        <v>261</v>
      </c>
      <c r="S540" s="74">
        <v>746110</v>
      </c>
      <c r="T540" s="99">
        <f>IFERROR(J540,"")</f>
        <v>126.60637832335328</v>
      </c>
    </row>
    <row r="541" spans="1:20" ht="18" customHeight="1">
      <c r="A541" s="157" t="s">
        <v>249</v>
      </c>
      <c r="B541" s="157"/>
      <c r="C541" s="157"/>
      <c r="D541" s="157"/>
      <c r="E541" s="157"/>
      <c r="F541" s="108"/>
      <c r="G541" s="109">
        <f>G527+G540</f>
        <v>364</v>
      </c>
      <c r="H541" s="108">
        <f>IFERROR(H527+H540,"")</f>
        <v>1709.1999999999998</v>
      </c>
      <c r="I541" s="110"/>
      <c r="J541" s="111">
        <f>IFERROR(J527+J540,"")</f>
        <v>328.85527832335322</v>
      </c>
      <c r="K541" s="1">
        <f>K527+K540</f>
        <v>1617.6</v>
      </c>
      <c r="L541" s="76"/>
      <c r="M541" s="76"/>
      <c r="N541" s="76"/>
      <c r="O541" s="135"/>
      <c r="P541" s="135"/>
      <c r="Q541" s="77">
        <f ca="1">IFERROR(Q527+Q540,"")</f>
        <v>0.15000000000000024</v>
      </c>
      <c r="R541" s="1" t="s">
        <v>264</v>
      </c>
      <c r="S541" s="82">
        <f>IFERROR(S527+S540,"")</f>
        <v>1709200</v>
      </c>
      <c r="T541" s="118">
        <f>IFERROR(J541,"")</f>
        <v>328.85527832335322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274</v>
      </c>
      <c r="F542" s="101">
        <f>IFERROR(IF($D542="","",VLOOKUP($D542,Cadastro!$C$4:$E$7,3,FALSE())),"")</f>
        <v>0.24</v>
      </c>
      <c r="G542" s="89">
        <v>14</v>
      </c>
      <c r="H542" s="101">
        <f>IFERROR(IF($G542="","",$G542*$S$554/$G$554/Cadastro!$E$33),"")</f>
        <v>0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0</v>
      </c>
      <c r="K542" s="64">
        <f t="shared" ref="K542:K553" si="139">IF(G542="","",IF(E542="PC 17",G542*4.2,IF(E542="PC 19",G542*5,IF(E542="CB",G542*24,""))))</f>
        <v>58.800000000000004</v>
      </c>
      <c r="L542" s="61" t="s">
        <v>29</v>
      </c>
      <c r="M542" s="61" t="s">
        <v>61</v>
      </c>
      <c r="N542" s="61" t="s">
        <v>65</v>
      </c>
      <c r="O542" s="65">
        <v>0.2986111111111111</v>
      </c>
      <c r="P542" s="65">
        <v>0.31736111111111109</v>
      </c>
      <c r="Q542" s="66">
        <f t="shared" ref="Q542:Q553" ca="1" si="140">IFERROR(IF(O542="","",IF(P542="",MOD(NOW()-O542,1),IF(P542&gt;=O542,P542-O542,P542+1-O542))),"")</f>
        <v>1.8749999999999989E-2</v>
      </c>
      <c r="R542" s="63"/>
      <c r="S542" s="133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274</v>
      </c>
      <c r="F543" s="88">
        <f>IFERROR(IF($D543="","",VLOOKUP($D543,Cadastro!$C$4:$E$7,3,FALSE())),"")</f>
        <v>0.24</v>
      </c>
      <c r="G543" s="89">
        <v>30</v>
      </c>
      <c r="H543" s="88">
        <f>IFERROR(IF($G543="","",$G543*$S$554/$G$554/Cadastro!$E$33),"")</f>
        <v>0</v>
      </c>
      <c r="I543" s="90">
        <f>IFERROR(IF($D543="","",VLOOKUP($D543,Cadastro!$C$4:$G$7,5,FALSE())),"")</f>
        <v>0.6</v>
      </c>
      <c r="J543" s="91">
        <f t="shared" si="138"/>
        <v>0</v>
      </c>
      <c r="K543" s="69">
        <f t="shared" si="139"/>
        <v>126</v>
      </c>
      <c r="L543" s="70" t="s">
        <v>29</v>
      </c>
      <c r="M543" s="70" t="s">
        <v>61</v>
      </c>
      <c r="N543" s="70" t="s">
        <v>71</v>
      </c>
      <c r="O543" s="65">
        <v>0.3298611111111111</v>
      </c>
      <c r="P543" s="65">
        <v>0.33194444444444443</v>
      </c>
      <c r="Q543" s="71">
        <f t="shared" ca="1" si="140"/>
        <v>2.0833333333333259E-3</v>
      </c>
      <c r="R543" s="63"/>
      <c r="S543" s="133"/>
    </row>
    <row r="544" spans="1:20" ht="15" customHeight="1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274</v>
      </c>
      <c r="F544" s="88">
        <f>IFERROR(IF($D544="","",VLOOKUP($D544,Cadastro!$C$4:$E$7,3,FALSE())),"")</f>
        <v>0.24</v>
      </c>
      <c r="G544" s="89">
        <v>16</v>
      </c>
      <c r="H544" s="88">
        <f>IFERROR(IF($G544="","",$G544*$S$554/$G$554/Cadastro!$E$33),"")</f>
        <v>0</v>
      </c>
      <c r="I544" s="90">
        <f>IFERROR(IF($D544="","",VLOOKUP($D544,Cadastro!$C$4:$G$7,5,FALSE())),"")</f>
        <v>0.6</v>
      </c>
      <c r="J544" s="91">
        <f t="shared" si="138"/>
        <v>0</v>
      </c>
      <c r="K544" s="64">
        <f t="shared" si="139"/>
        <v>67.2</v>
      </c>
      <c r="L544" s="61" t="s">
        <v>29</v>
      </c>
      <c r="M544" s="61" t="s">
        <v>66</v>
      </c>
      <c r="N544" s="61" t="s">
        <v>60</v>
      </c>
      <c r="O544" s="65">
        <v>0.39583333333333331</v>
      </c>
      <c r="P544" s="65">
        <v>0.40277777777777779</v>
      </c>
      <c r="Q544" s="66">
        <f t="shared" ca="1" si="140"/>
        <v>6.9444444444444753E-3</v>
      </c>
      <c r="R544" s="63"/>
      <c r="S544" s="133"/>
    </row>
    <row r="545" spans="1:20" ht="15" customHeight="1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274</v>
      </c>
      <c r="F545" s="88">
        <f>IFERROR(IF($D545="","",VLOOKUP($D545,Cadastro!$C$4:$E$7,3,FALSE())),"")</f>
        <v>0.24</v>
      </c>
      <c r="G545" s="89"/>
      <c r="H545" s="88" t="str">
        <f>IFERROR(IF($G545="","",$G545*$S$554/$G$554/Cadastro!$E$33),"")</f>
        <v/>
      </c>
      <c r="I545" s="90">
        <f>IFERROR(IF($D545="","",VLOOKUP($D545,Cadastro!$C$4:$G$7,5,FALSE())),"")</f>
        <v>0.6</v>
      </c>
      <c r="J545" s="91" t="str">
        <f t="shared" si="138"/>
        <v/>
      </c>
      <c r="K545" s="69" t="str">
        <f t="shared" si="139"/>
        <v/>
      </c>
      <c r="L545" s="70" t="s">
        <v>29</v>
      </c>
      <c r="M545" s="70" t="s">
        <v>66</v>
      </c>
      <c r="N545" s="70" t="s">
        <v>60</v>
      </c>
      <c r="O545" s="65">
        <v>0.41805555555555557</v>
      </c>
      <c r="P545" s="65">
        <v>0.42499999999999999</v>
      </c>
      <c r="Q545" s="71">
        <f t="shared" ca="1" si="140"/>
        <v>6.9444444444444198E-3</v>
      </c>
      <c r="R545" s="63"/>
      <c r="S545" s="133"/>
    </row>
    <row r="546" spans="1:20" ht="15" customHeight="1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274</v>
      </c>
      <c r="F546" s="88">
        <f>IFERROR(IF($D546="","",VLOOKUP($D546,Cadastro!$C$4:$E$7,3,FALSE())),"")</f>
        <v>0.24</v>
      </c>
      <c r="G546" s="89"/>
      <c r="H546" s="88" t="str">
        <f>IFERROR(IF($G546="","",$G546*$S$554/$G$554/Cadastro!$E$33),"")</f>
        <v/>
      </c>
      <c r="I546" s="90">
        <f>IFERROR(IF($D546="","",VLOOKUP($D546,Cadastro!$C$4:$G$7,5,FALSE())),"")</f>
        <v>0.6</v>
      </c>
      <c r="J546" s="91" t="str">
        <f t="shared" si="138"/>
        <v/>
      </c>
      <c r="K546" s="64" t="str">
        <f t="shared" si="139"/>
        <v/>
      </c>
      <c r="L546" s="61" t="s">
        <v>29</v>
      </c>
      <c r="M546" s="61" t="s">
        <v>168</v>
      </c>
      <c r="N546" s="61" t="s">
        <v>83</v>
      </c>
      <c r="O546" s="65">
        <v>0.46875</v>
      </c>
      <c r="P546" s="65">
        <v>0.4826388888888889</v>
      </c>
      <c r="Q546" s="66">
        <f t="shared" ca="1" si="140"/>
        <v>1.3888888888888895E-2</v>
      </c>
      <c r="R546" s="63"/>
      <c r="S546" s="133"/>
    </row>
    <row r="547" spans="1:20" ht="15" customHeight="1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274</v>
      </c>
      <c r="F547" s="88">
        <f>IFERROR(IF($D547="","",VLOOKUP($D547,Cadastro!$C$4:$E$7,3,FALSE())),"")</f>
        <v>0.24</v>
      </c>
      <c r="G547" s="89"/>
      <c r="H547" s="88" t="str">
        <f>IFERROR(IF($G547="","",$G547*$S$554/$G$554/Cadastro!$E$33),"")</f>
        <v/>
      </c>
      <c r="I547" s="90">
        <f>IFERROR(IF($D547="","",VLOOKUP($D547,Cadastro!$C$4:$G$7,5,FALSE())),"")</f>
        <v>0.6</v>
      </c>
      <c r="J547" s="91" t="str">
        <f t="shared" si="138"/>
        <v/>
      </c>
      <c r="K547" s="69" t="str">
        <f t="shared" si="139"/>
        <v/>
      </c>
      <c r="L547" s="70"/>
      <c r="M547" s="70"/>
      <c r="N547" s="70"/>
      <c r="O547" s="65"/>
      <c r="P547" s="65"/>
      <c r="Q547" s="71" t="str">
        <f t="shared" ca="1" si="140"/>
        <v/>
      </c>
      <c r="R547" s="63"/>
      <c r="S547" s="133"/>
    </row>
    <row r="548" spans="1:20" ht="15" customHeight="1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274</v>
      </c>
      <c r="F548" s="88">
        <f>IFERROR(IF($D548="","",VLOOKUP($D548,Cadastro!$C$4:$E$7,3,FALSE())),"")</f>
        <v>0.24</v>
      </c>
      <c r="G548" s="89"/>
      <c r="H548" s="88" t="str">
        <f>IFERROR(IF($G548="","",$G548*$S$554/$G$554/Cadastro!$E$33),"")</f>
        <v/>
      </c>
      <c r="I548" s="90">
        <f>IFERROR(IF($D548="","",VLOOKUP($D548,Cadastro!$C$4:$G$7,5,FALSE())),"")</f>
        <v>0.6</v>
      </c>
      <c r="J548" s="91" t="str">
        <f t="shared" si="138"/>
        <v/>
      </c>
      <c r="K548" s="64" t="str">
        <f t="shared" si="139"/>
        <v/>
      </c>
      <c r="L548" s="61"/>
      <c r="M548" s="61"/>
      <c r="N548" s="61"/>
      <c r="O548" s="65"/>
      <c r="P548" s="65"/>
      <c r="Q548" s="66" t="str">
        <f t="shared" ca="1" si="140"/>
        <v/>
      </c>
      <c r="R548" s="63"/>
      <c r="S548" s="133"/>
    </row>
    <row r="549" spans="1:20" ht="15" customHeight="1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274</v>
      </c>
      <c r="F549" s="88">
        <f>IFERROR(IF($D549="","",VLOOKUP($D549,Cadastro!$C$4:$E$7,3,FALSE())),"")</f>
        <v>0.24</v>
      </c>
      <c r="G549" s="89"/>
      <c r="H549" s="88" t="str">
        <f>IFERROR(IF($G549="","",$G549*$S$554/$G$554/Cadastro!$E$33),"")</f>
        <v/>
      </c>
      <c r="I549" s="90">
        <f>IFERROR(IF($D549="","",VLOOKUP($D549,Cadastro!$C$4:$G$7,5,FALSE())),"")</f>
        <v>0.6</v>
      </c>
      <c r="J549" s="91" t="str">
        <f t="shared" si="138"/>
        <v/>
      </c>
      <c r="K549" s="69" t="str">
        <f t="shared" si="139"/>
        <v/>
      </c>
      <c r="L549" s="70"/>
      <c r="M549" s="70"/>
      <c r="N549" s="70"/>
      <c r="O549" s="65"/>
      <c r="P549" s="65"/>
      <c r="Q549" s="71" t="str">
        <f t="shared" ca="1" si="140"/>
        <v/>
      </c>
      <c r="R549" s="63"/>
      <c r="S549" s="133"/>
    </row>
    <row r="550" spans="1:20" ht="15" customHeight="1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274</v>
      </c>
      <c r="F550" s="88">
        <f>IFERROR(IF($D550="","",VLOOKUP($D550,Cadastro!$C$4:$E$7,3,FALSE())),"")</f>
        <v>0.24</v>
      </c>
      <c r="G550" s="89"/>
      <c r="H550" s="88" t="str">
        <f>IFERROR(IF($G550="","",$G550*$S$554/$G$554/Cadastro!$E$33),"")</f>
        <v/>
      </c>
      <c r="I550" s="90">
        <f>IFERROR(IF($D550="","",VLOOKUP($D550,Cadastro!$C$4:$G$7,5,FALSE())),"")</f>
        <v>0.6</v>
      </c>
      <c r="J550" s="91" t="str">
        <f t="shared" si="138"/>
        <v/>
      </c>
      <c r="K550" s="64" t="str">
        <f t="shared" si="139"/>
        <v/>
      </c>
      <c r="L550" s="61"/>
      <c r="M550" s="61"/>
      <c r="N550" s="61"/>
      <c r="O550" s="65"/>
      <c r="P550" s="65"/>
      <c r="Q550" s="66" t="str">
        <f t="shared" ca="1" si="140"/>
        <v/>
      </c>
      <c r="R550" s="63"/>
      <c r="S550" s="133"/>
    </row>
    <row r="551" spans="1:20" ht="15" customHeight="1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274</v>
      </c>
      <c r="F551" s="88">
        <f>IFERROR(IF($D551="","",VLOOKUP($D551,Cadastro!$C$4:$E$7,3,FALSE())),"")</f>
        <v>0.24</v>
      </c>
      <c r="G551" s="89"/>
      <c r="H551" s="88" t="str">
        <f>IFERROR(IF($G551="","",$G551*$S$554/$G$554/Cadastro!$E$33),"")</f>
        <v/>
      </c>
      <c r="I551" s="90">
        <f>IFERROR(IF($D551="","",VLOOKUP($D551,Cadastro!$C$4:$G$7,5,FALSE())),"")</f>
        <v>0.6</v>
      </c>
      <c r="J551" s="91" t="str">
        <f t="shared" si="138"/>
        <v/>
      </c>
      <c r="K551" s="69" t="str">
        <f t="shared" si="139"/>
        <v/>
      </c>
      <c r="L551" s="70"/>
      <c r="M551" s="70"/>
      <c r="N551" s="70"/>
      <c r="O551" s="65"/>
      <c r="P551" s="65"/>
      <c r="Q551" s="71" t="str">
        <f t="shared" ca="1" si="140"/>
        <v/>
      </c>
      <c r="R551" s="63"/>
      <c r="S551" s="133"/>
    </row>
    <row r="552" spans="1:20" ht="15" customHeight="1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274</v>
      </c>
      <c r="F552" s="88">
        <f>IFERROR(IF($D552="","",VLOOKUP($D552,Cadastro!$C$4:$E$7,3,FALSE())),"")</f>
        <v>0.24</v>
      </c>
      <c r="G552" s="89"/>
      <c r="H552" s="88" t="str">
        <f>IFERROR(IF($G552="","",$G552*$S$554/$G$554/Cadastro!$E$33),"")</f>
        <v/>
      </c>
      <c r="I552" s="90">
        <f>IFERROR(IF($D552="","",VLOOKUP($D552,Cadastro!$C$4:$G$7,5,FALSE())),"")</f>
        <v>0.6</v>
      </c>
      <c r="J552" s="91" t="str">
        <f t="shared" si="138"/>
        <v/>
      </c>
      <c r="K552" s="64" t="str">
        <f t="shared" si="139"/>
        <v/>
      </c>
      <c r="L552" s="61"/>
      <c r="M552" s="61"/>
      <c r="N552" s="61"/>
      <c r="O552" s="65"/>
      <c r="P552" s="65"/>
      <c r="Q552" s="66" t="str">
        <f t="shared" ca="1" si="140"/>
        <v/>
      </c>
      <c r="R552" s="63"/>
      <c r="S552" s="133"/>
    </row>
    <row r="553" spans="1:20" ht="15" customHeight="1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274</v>
      </c>
      <c r="F553" s="92">
        <f>IFERROR(IF($D553="","",VLOOKUP($D553,Cadastro!$C$4:$E$7,3,FALSE())),"")</f>
        <v>0.24</v>
      </c>
      <c r="G553" s="89"/>
      <c r="H553" s="92" t="str">
        <f>IFERROR(IF($G553="","",$G553*$S$554/$G$554/Cadastro!$E$33),"")</f>
        <v/>
      </c>
      <c r="I553" s="93">
        <f>IFERROR(IF($D553="","",VLOOKUP($D553,Cadastro!$C$4:$G$7,5,FALSE())),"")</f>
        <v>0.6</v>
      </c>
      <c r="J553" s="94" t="str">
        <f t="shared" si="138"/>
        <v/>
      </c>
      <c r="K553" s="69" t="str">
        <f t="shared" si="139"/>
        <v/>
      </c>
      <c r="L553" s="70"/>
      <c r="M553" s="70"/>
      <c r="N553" s="70"/>
      <c r="O553" s="65"/>
      <c r="P553" s="65"/>
      <c r="Q553" s="71" t="str">
        <f t="shared" ca="1" si="140"/>
        <v/>
      </c>
      <c r="R553" s="63"/>
      <c r="S553" s="133"/>
    </row>
    <row r="554" spans="1:20" ht="15.75" customHeight="1">
      <c r="A554" s="156" t="s">
        <v>260</v>
      </c>
      <c r="B554" s="156"/>
      <c r="C554" s="156"/>
      <c r="D554" s="156"/>
      <c r="E554" s="156"/>
      <c r="F554" s="95"/>
      <c r="G554" s="96">
        <f>SUM(G542:G553)</f>
        <v>60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252</v>
      </c>
      <c r="L554" s="72"/>
      <c r="M554" s="72"/>
      <c r="N554" s="72"/>
      <c r="O554" s="134"/>
      <c r="P554" s="134"/>
      <c r="Q554" s="73">
        <f ca="1">IFERROR(SUM(Q542:Q553),"")</f>
        <v>4.8611111111111105E-2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42">IFERROR(IF($H555="","",$H555*$F555*$I555),"")</f>
        <v/>
      </c>
      <c r="K555" s="69" t="str">
        <f t="shared" ref="K555:K566" si="143">IF(G555="","",IF(E555="PC 17",G555*4.2,IF(E555="PC 19",G555*5,IF(E555="CB",G555*24,""))))</f>
        <v/>
      </c>
      <c r="L555" s="70"/>
      <c r="M555" s="70"/>
      <c r="N555" s="70"/>
      <c r="O555" s="65"/>
      <c r="P555" s="65"/>
      <c r="Q555" s="71"/>
      <c r="R555" s="63"/>
      <c r="S555" s="133"/>
    </row>
    <row r="556" spans="1:20" ht="15" customHeight="1">
      <c r="A556" s="59">
        <v>46255</v>
      </c>
      <c r="B556" s="60">
        <f t="shared" ref="B556:B566" si="144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42"/>
        <v/>
      </c>
      <c r="K556" s="64" t="str">
        <f t="shared" si="143"/>
        <v/>
      </c>
      <c r="L556" s="61"/>
      <c r="M556" s="61"/>
      <c r="N556" s="61"/>
      <c r="O556" s="65"/>
      <c r="P556" s="65"/>
      <c r="Q556" s="66" t="str">
        <f t="shared" ref="Q556:Q566" ca="1" si="145">IFERROR(IF(O556="","",IF(P556="",MOD(NOW()-O556,1),IF(P556&gt;=O556,P556-O556,P556+1-O556))),"")</f>
        <v/>
      </c>
      <c r="R556" s="63"/>
      <c r="S556" s="133"/>
    </row>
    <row r="557" spans="1:20" ht="15" customHeight="1">
      <c r="A557" s="18">
        <v>46255</v>
      </c>
      <c r="B557" s="68">
        <f t="shared" si="144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42"/>
        <v/>
      </c>
      <c r="K557" s="69" t="str">
        <f t="shared" si="143"/>
        <v/>
      </c>
      <c r="L557" s="70"/>
      <c r="M557" s="70"/>
      <c r="N557" s="70"/>
      <c r="O557" s="65"/>
      <c r="P557" s="65"/>
      <c r="Q557" s="71" t="str">
        <f t="shared" ca="1" si="145"/>
        <v/>
      </c>
      <c r="R557" s="63"/>
      <c r="S557" s="133"/>
    </row>
    <row r="558" spans="1:20" ht="15" customHeight="1">
      <c r="A558" s="59">
        <v>46255</v>
      </c>
      <c r="B558" s="60">
        <f t="shared" si="144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42"/>
        <v/>
      </c>
      <c r="K558" s="64" t="str">
        <f t="shared" si="143"/>
        <v/>
      </c>
      <c r="L558" s="61"/>
      <c r="M558" s="61"/>
      <c r="N558" s="61"/>
      <c r="O558" s="65"/>
      <c r="P558" s="65"/>
      <c r="Q558" s="66" t="str">
        <f t="shared" ca="1" si="145"/>
        <v/>
      </c>
      <c r="R558" s="63"/>
      <c r="S558" s="133"/>
    </row>
    <row r="559" spans="1:20" ht="15" customHeight="1">
      <c r="A559" s="18">
        <v>46255</v>
      </c>
      <c r="B559" s="68">
        <f t="shared" si="144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42"/>
        <v/>
      </c>
      <c r="K559" s="69" t="str">
        <f t="shared" si="143"/>
        <v/>
      </c>
      <c r="L559" s="70"/>
      <c r="M559" s="70"/>
      <c r="N559" s="70"/>
      <c r="O559" s="65"/>
      <c r="P559" s="65"/>
      <c r="Q559" s="71" t="str">
        <f t="shared" ca="1" si="145"/>
        <v/>
      </c>
      <c r="R559" s="63"/>
      <c r="S559" s="133"/>
    </row>
    <row r="560" spans="1:20" ht="15" customHeight="1">
      <c r="A560" s="59">
        <v>46255</v>
      </c>
      <c r="B560" s="60">
        <f t="shared" si="144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42"/>
        <v/>
      </c>
      <c r="K560" s="64" t="str">
        <f t="shared" si="143"/>
        <v/>
      </c>
      <c r="L560" s="61"/>
      <c r="M560" s="61"/>
      <c r="N560" s="61"/>
      <c r="O560" s="65"/>
      <c r="P560" s="65"/>
      <c r="Q560" s="66" t="str">
        <f t="shared" ca="1" si="145"/>
        <v/>
      </c>
      <c r="R560" s="63"/>
      <c r="S560" s="133"/>
    </row>
    <row r="561" spans="1:20" ht="15" customHeight="1">
      <c r="A561" s="18">
        <v>46255</v>
      </c>
      <c r="B561" s="68">
        <f t="shared" si="144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42"/>
        <v/>
      </c>
      <c r="K561" s="69" t="str">
        <f t="shared" si="143"/>
        <v/>
      </c>
      <c r="L561" s="70"/>
      <c r="M561" s="70"/>
      <c r="N561" s="70"/>
      <c r="O561" s="65"/>
      <c r="P561" s="65"/>
      <c r="Q561" s="71" t="str">
        <f t="shared" ca="1" si="145"/>
        <v/>
      </c>
      <c r="R561" s="63"/>
      <c r="S561" s="133"/>
    </row>
    <row r="562" spans="1:20" ht="15" customHeight="1">
      <c r="A562" s="59">
        <v>46255</v>
      </c>
      <c r="B562" s="60">
        <f t="shared" si="144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5"/>
        <v/>
      </c>
      <c r="R562" s="63"/>
      <c r="S562" s="133"/>
    </row>
    <row r="563" spans="1:20" ht="15" customHeight="1">
      <c r="A563" s="18">
        <v>46255</v>
      </c>
      <c r="B563" s="68">
        <f t="shared" si="144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5"/>
        <v/>
      </c>
      <c r="R563" s="63"/>
      <c r="S563" s="133"/>
    </row>
    <row r="564" spans="1:20" ht="15" customHeight="1">
      <c r="A564" s="59">
        <v>46255</v>
      </c>
      <c r="B564" s="60">
        <f t="shared" si="144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5"/>
        <v/>
      </c>
      <c r="R564" s="63"/>
      <c r="S564" s="133"/>
    </row>
    <row r="565" spans="1:20" ht="15" customHeight="1">
      <c r="A565" s="18">
        <v>46255</v>
      </c>
      <c r="B565" s="68">
        <f t="shared" si="144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5"/>
        <v/>
      </c>
      <c r="R565" s="63"/>
      <c r="S565" s="133"/>
    </row>
    <row r="566" spans="1:20" ht="15" customHeight="1">
      <c r="A566" s="59">
        <v>46255</v>
      </c>
      <c r="B566" s="60">
        <f t="shared" si="144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5"/>
        <v/>
      </c>
      <c r="R566" s="63"/>
      <c r="S566" s="133"/>
    </row>
    <row r="567" spans="1:20" ht="15.75" customHeight="1">
      <c r="A567" s="156" t="s">
        <v>263</v>
      </c>
      <c r="B567" s="156"/>
      <c r="C567" s="156"/>
      <c r="D567" s="156"/>
      <c r="E567" s="156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134"/>
      <c r="P567" s="134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57" t="s">
        <v>249</v>
      </c>
      <c r="B568" s="157"/>
      <c r="C568" s="157"/>
      <c r="D568" s="157"/>
      <c r="E568" s="157"/>
      <c r="F568" s="108"/>
      <c r="G568" s="109">
        <f>G554+G567</f>
        <v>60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252</v>
      </c>
      <c r="L568" s="76"/>
      <c r="M568" s="76"/>
      <c r="N568" s="76"/>
      <c r="O568" s="135"/>
      <c r="P568" s="135"/>
      <c r="Q568" s="77">
        <f ca="1">IFERROR(Q554+Q567,"")</f>
        <v>4.8611111111111105E-2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74" ca="1" si="148">IFERROR(IF(O569="","",IF(P569="",MOD(NOW()-O569,1),IF(P569&gt;=O569,P569-O569,P569+1-O569))),"")</f>
        <v/>
      </c>
      <c r="R569" s="63"/>
      <c r="S569" s="133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63"/>
      <c r="S570" s="133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63"/>
      <c r="S571" s="133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63"/>
      <c r="S572" s="133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63"/>
      <c r="S573" s="133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63"/>
      <c r="S574" s="133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/>
      <c r="R575" s="63"/>
      <c r="S575" s="133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ca="1">IFERROR(IF(O576="","",IF(P576="",MOD(NOW()-O576,1),IF(P576&gt;=O576,P576-O576,P576+1-O576))),"")</f>
        <v/>
      </c>
      <c r="R576" s="63"/>
      <c r="S576" s="133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ca="1">IFERROR(IF(O577="","",IF(P577="",MOD(NOW()-O577,1),IF(P577&gt;=O577,P577-O577,P577+1-O577))),"")</f>
        <v/>
      </c>
      <c r="R577" s="63"/>
      <c r="S577" s="133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ca="1">IFERROR(IF(O578="","",IF(P578="",MOD(NOW()-O578,1),IF(P578&gt;=O578,P578-O578,P578+1-O578))),"")</f>
        <v/>
      </c>
      <c r="R578" s="63"/>
      <c r="S578" s="133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ca="1">IFERROR(IF(O579="","",IF(P579="",MOD(NOW()-O579,1),IF(P579&gt;=O579,P579-O579,P579+1-O579))),"")</f>
        <v/>
      </c>
      <c r="R579" s="63"/>
      <c r="S579" s="133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ca="1">IFERROR(IF(O580="","",IF(P580="",MOD(NOW()-O580,1),IF(P580&gt;=O580,P580-O580,P580+1-O580))),"")</f>
        <v/>
      </c>
      <c r="R580" s="63"/>
      <c r="S580" s="133"/>
    </row>
    <row r="581" spans="1:20" ht="15.75" customHeight="1">
      <c r="A581" s="156" t="s">
        <v>260</v>
      </c>
      <c r="B581" s="156"/>
      <c r="C581" s="156"/>
      <c r="D581" s="156"/>
      <c r="E581" s="156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134"/>
      <c r="P581" s="134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63"/>
      <c r="S582" s="133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63"/>
      <c r="S583" s="133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63"/>
      <c r="S584" s="133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63"/>
      <c r="S585" s="133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63"/>
      <c r="S586" s="133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63"/>
      <c r="S587" s="133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63"/>
      <c r="S588" s="133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63"/>
      <c r="S589" s="133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63"/>
      <c r="S590" s="133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63"/>
      <c r="S591" s="133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63"/>
      <c r="S592" s="133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63"/>
      <c r="S593" s="133"/>
    </row>
    <row r="594" spans="1:20" ht="15.75" customHeight="1">
      <c r="A594" s="156" t="s">
        <v>263</v>
      </c>
      <c r="B594" s="156"/>
      <c r="C594" s="156"/>
      <c r="D594" s="156"/>
      <c r="E594" s="156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134"/>
      <c r="P594" s="134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57" t="s">
        <v>249</v>
      </c>
      <c r="B595" s="157"/>
      <c r="C595" s="157"/>
      <c r="D595" s="157"/>
      <c r="E595" s="157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135"/>
      <c r="P595" s="135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63"/>
      <c r="S596" s="133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63"/>
      <c r="S597" s="133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63"/>
      <c r="S598" s="133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63"/>
      <c r="S599" s="133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63"/>
      <c r="S600" s="133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63"/>
      <c r="S601" s="133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63"/>
      <c r="S602" s="133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63"/>
      <c r="S603" s="133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63"/>
      <c r="S604" s="133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63"/>
      <c r="S605" s="133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63"/>
      <c r="S606" s="133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63"/>
      <c r="S607" s="133"/>
    </row>
    <row r="608" spans="1:20" ht="15.75" customHeight="1">
      <c r="A608" s="156" t="s">
        <v>260</v>
      </c>
      <c r="B608" s="156"/>
      <c r="C608" s="156"/>
      <c r="D608" s="156"/>
      <c r="E608" s="156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134"/>
      <c r="P608" s="134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63"/>
      <c r="S609" s="133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63"/>
      <c r="S610" s="133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63"/>
      <c r="S611" s="133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63"/>
      <c r="S612" s="133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63"/>
      <c r="S613" s="133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63"/>
      <c r="S614" s="133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63"/>
      <c r="S615" s="133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63"/>
      <c r="S616" s="133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63"/>
      <c r="S617" s="133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63"/>
      <c r="S618" s="133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63"/>
      <c r="S619" s="133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63"/>
      <c r="S620" s="133"/>
    </row>
    <row r="621" spans="1:20" ht="15.75" customHeight="1">
      <c r="A621" s="156" t="s">
        <v>263</v>
      </c>
      <c r="B621" s="156"/>
      <c r="C621" s="156"/>
      <c r="D621" s="156"/>
      <c r="E621" s="156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134"/>
      <c r="P621" s="134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57" t="s">
        <v>249</v>
      </c>
      <c r="B622" s="157"/>
      <c r="C622" s="157"/>
      <c r="D622" s="157"/>
      <c r="E622" s="157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135"/>
      <c r="P622" s="135"/>
      <c r="Q622" s="77">
        <f ca="1">IFERROR(Q608+Q621,"")</f>
        <v>0</v>
      </c>
      <c r="R622" s="1" t="s">
        <v>264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63"/>
      <c r="S623" s="133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63"/>
      <c r="S624" s="133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63"/>
      <c r="S625" s="133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63"/>
      <c r="S626" s="133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63"/>
      <c r="S627" s="133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63"/>
      <c r="S628" s="133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63"/>
      <c r="S629" s="133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63"/>
      <c r="S630" s="133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63"/>
      <c r="S631" s="133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63"/>
      <c r="S632" s="133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63"/>
      <c r="S633" s="133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63"/>
      <c r="S634" s="133"/>
    </row>
    <row r="635" spans="1:20" ht="15.75" customHeight="1">
      <c r="A635" s="156" t="s">
        <v>260</v>
      </c>
      <c r="B635" s="156"/>
      <c r="C635" s="156"/>
      <c r="D635" s="156"/>
      <c r="E635" s="156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134"/>
      <c r="P635" s="134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63"/>
      <c r="S636" s="133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63"/>
      <c r="S637" s="133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63"/>
      <c r="S638" s="133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63"/>
      <c r="S639" s="133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63"/>
      <c r="S640" s="133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63"/>
      <c r="S641" s="133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63"/>
      <c r="S642" s="133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63"/>
      <c r="S643" s="133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63"/>
      <c r="S644" s="133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63"/>
      <c r="S645" s="133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63"/>
      <c r="S646" s="133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63"/>
      <c r="S647" s="133"/>
    </row>
    <row r="648" spans="1:20" ht="15.75" customHeight="1">
      <c r="A648" s="156" t="s">
        <v>263</v>
      </c>
      <c r="B648" s="156"/>
      <c r="C648" s="156"/>
      <c r="D648" s="156"/>
      <c r="E648" s="156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134"/>
      <c r="P648" s="134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57" t="s">
        <v>249</v>
      </c>
      <c r="B649" s="157"/>
      <c r="C649" s="157"/>
      <c r="D649" s="157"/>
      <c r="E649" s="157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135"/>
      <c r="P649" s="135"/>
      <c r="Q649" s="77">
        <f ca="1">IFERROR(Q635+Q648,"")</f>
        <v>0</v>
      </c>
      <c r="R649" s="1" t="s">
        <v>264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63"/>
      <c r="S650" s="133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63"/>
      <c r="S651" s="133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63"/>
      <c r="S652" s="133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63"/>
      <c r="S653" s="133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63"/>
      <c r="S654" s="133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63"/>
      <c r="S655" s="133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63"/>
      <c r="S656" s="133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63"/>
      <c r="S657" s="133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63"/>
      <c r="S658" s="133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63"/>
      <c r="S659" s="133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63"/>
      <c r="S660" s="133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63"/>
      <c r="S661" s="133"/>
    </row>
    <row r="662" spans="1:20" ht="15.75" customHeight="1">
      <c r="A662" s="156" t="s">
        <v>260</v>
      </c>
      <c r="B662" s="156"/>
      <c r="C662" s="156"/>
      <c r="D662" s="156"/>
      <c r="E662" s="156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134"/>
      <c r="P662" s="134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63"/>
      <c r="S663" s="133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63"/>
      <c r="S664" s="133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63"/>
      <c r="S665" s="133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63"/>
      <c r="S666" s="133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63"/>
      <c r="S667" s="133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63"/>
      <c r="S668" s="133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63"/>
      <c r="S669" s="133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63"/>
      <c r="S670" s="133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63"/>
      <c r="S671" s="133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63"/>
      <c r="S672" s="133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63"/>
      <c r="S673" s="133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63"/>
      <c r="S674" s="133"/>
    </row>
    <row r="675" spans="1:20" ht="15.75" customHeight="1">
      <c r="A675" s="156" t="s">
        <v>263</v>
      </c>
      <c r="B675" s="156"/>
      <c r="C675" s="156"/>
      <c r="D675" s="156"/>
      <c r="E675" s="156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134"/>
      <c r="P675" s="134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57" t="s">
        <v>249</v>
      </c>
      <c r="B676" s="157"/>
      <c r="C676" s="157"/>
      <c r="D676" s="157"/>
      <c r="E676" s="157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135"/>
      <c r="P676" s="135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63"/>
      <c r="S677" s="133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66" t="str">
        <f t="shared" ca="1" si="180"/>
        <v/>
      </c>
      <c r="R678" s="63"/>
      <c r="S678" s="133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63"/>
      <c r="S679" s="133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66" t="str">
        <f t="shared" ca="1" si="180"/>
        <v/>
      </c>
      <c r="R680" s="63"/>
      <c r="S680" s="133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63"/>
      <c r="S681" s="133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66" t="str">
        <f t="shared" ca="1" si="180"/>
        <v/>
      </c>
      <c r="R682" s="63"/>
      <c r="S682" s="133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63"/>
      <c r="S683" s="133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63"/>
      <c r="S684" s="133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63"/>
      <c r="S685" s="133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63"/>
      <c r="S686" s="133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63"/>
      <c r="S687" s="133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63"/>
      <c r="S688" s="133"/>
    </row>
    <row r="689" spans="1:20" ht="15.75" customHeight="1">
      <c r="A689" s="156" t="s">
        <v>260</v>
      </c>
      <c r="B689" s="156"/>
      <c r="C689" s="156"/>
      <c r="D689" s="156"/>
      <c r="E689" s="156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134"/>
      <c r="P689" s="134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63"/>
      <c r="S690" s="133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63"/>
      <c r="S691" s="133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63"/>
      <c r="S692" s="133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63"/>
      <c r="S693" s="133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63"/>
      <c r="S694" s="133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63"/>
      <c r="S695" s="133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63"/>
      <c r="S696" s="133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63"/>
      <c r="S697" s="133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63"/>
      <c r="S698" s="133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63"/>
      <c r="S699" s="133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63"/>
      <c r="S700" s="133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63"/>
      <c r="S701" s="133"/>
    </row>
    <row r="702" spans="1:20" ht="15.75" customHeight="1">
      <c r="A702" s="156" t="s">
        <v>263</v>
      </c>
      <c r="B702" s="156"/>
      <c r="C702" s="156"/>
      <c r="D702" s="156"/>
      <c r="E702" s="156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134"/>
      <c r="P702" s="134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57" t="s">
        <v>249</v>
      </c>
      <c r="B703" s="157"/>
      <c r="C703" s="157"/>
      <c r="D703" s="157"/>
      <c r="E703" s="157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135"/>
      <c r="P703" s="135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63"/>
      <c r="S704" s="133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63"/>
      <c r="S705" s="133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63"/>
      <c r="S706" s="133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63"/>
      <c r="S707" s="133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63"/>
      <c r="S708" s="133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63"/>
      <c r="S709" s="133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63"/>
      <c r="S710" s="133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63"/>
      <c r="S711" s="133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63"/>
      <c r="S712" s="133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63"/>
      <c r="S713" s="133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63"/>
      <c r="S714" s="133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63"/>
      <c r="S715" s="133"/>
    </row>
    <row r="716" spans="1:20" ht="15.75" customHeight="1">
      <c r="A716" s="156" t="s">
        <v>260</v>
      </c>
      <c r="B716" s="156"/>
      <c r="C716" s="156"/>
      <c r="D716" s="156"/>
      <c r="E716" s="156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134"/>
      <c r="P716" s="134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63"/>
      <c r="S717" s="133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63"/>
      <c r="S718" s="133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63"/>
      <c r="S719" s="133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63"/>
      <c r="S720" s="133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63"/>
      <c r="S721" s="133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63"/>
      <c r="S722" s="133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63"/>
      <c r="S723" s="133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63"/>
      <c r="S724" s="133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63"/>
      <c r="S725" s="133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63"/>
      <c r="S726" s="133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63"/>
      <c r="S727" s="133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63"/>
      <c r="S728" s="133"/>
    </row>
    <row r="729" spans="1:20" ht="15.75" customHeight="1">
      <c r="A729" s="156" t="s">
        <v>263</v>
      </c>
      <c r="B729" s="156"/>
      <c r="C729" s="156"/>
      <c r="D729" s="156"/>
      <c r="E729" s="156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134"/>
      <c r="P729" s="134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57" t="s">
        <v>249</v>
      </c>
      <c r="B730" s="157"/>
      <c r="C730" s="157"/>
      <c r="D730" s="157"/>
      <c r="E730" s="157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135"/>
      <c r="P730" s="135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63"/>
      <c r="S731" s="133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63"/>
      <c r="S732" s="133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63"/>
      <c r="S733" s="133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63"/>
      <c r="S734" s="133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63"/>
      <c r="S735" s="133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63"/>
      <c r="S736" s="133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63"/>
      <c r="S737" s="133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63"/>
      <c r="S738" s="133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63"/>
      <c r="S739" s="133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63"/>
      <c r="S740" s="133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63"/>
      <c r="S741" s="133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63"/>
      <c r="S742" s="133"/>
    </row>
    <row r="743" spans="1:20" ht="15.75" customHeight="1">
      <c r="A743" s="156" t="s">
        <v>260</v>
      </c>
      <c r="B743" s="156"/>
      <c r="C743" s="156"/>
      <c r="D743" s="156"/>
      <c r="E743" s="156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134"/>
      <c r="P743" s="134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63"/>
      <c r="S744" s="133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63"/>
      <c r="S745" s="133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63"/>
      <c r="S746" s="133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63"/>
      <c r="S747" s="133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63"/>
      <c r="S748" s="133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63"/>
      <c r="S749" s="133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63"/>
      <c r="S750" s="133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63"/>
      <c r="S751" s="133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63"/>
      <c r="S752" s="133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63"/>
      <c r="S753" s="133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63"/>
      <c r="S754" s="133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63"/>
      <c r="S755" s="133"/>
    </row>
    <row r="756" spans="1:20" ht="15.75" customHeight="1">
      <c r="A756" s="156" t="s">
        <v>263</v>
      </c>
      <c r="B756" s="156"/>
      <c r="C756" s="156"/>
      <c r="D756" s="156"/>
      <c r="E756" s="156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134"/>
      <c r="P756" s="134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57" t="s">
        <v>249</v>
      </c>
      <c r="B757" s="157"/>
      <c r="C757" s="157"/>
      <c r="D757" s="157"/>
      <c r="E757" s="157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135"/>
      <c r="P757" s="135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63"/>
      <c r="S758" s="133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63"/>
      <c r="S759" s="133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63"/>
      <c r="S760" s="133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63"/>
      <c r="S761" s="133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63"/>
      <c r="S762" s="133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63"/>
      <c r="S763" s="133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63"/>
      <c r="S764" s="133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63"/>
      <c r="S765" s="133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63"/>
      <c r="S766" s="133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63"/>
      <c r="S767" s="133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63"/>
      <c r="S768" s="133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63"/>
      <c r="S769" s="133"/>
    </row>
    <row r="770" spans="1:20" ht="15.75" customHeight="1">
      <c r="A770" s="156" t="s">
        <v>260</v>
      </c>
      <c r="B770" s="156"/>
      <c r="C770" s="156"/>
      <c r="D770" s="156"/>
      <c r="E770" s="156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134"/>
      <c r="P770" s="134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63"/>
      <c r="S771" s="133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63"/>
      <c r="S772" s="133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63"/>
      <c r="S773" s="133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63"/>
      <c r="S774" s="133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63"/>
      <c r="S775" s="133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63"/>
      <c r="S776" s="133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63"/>
      <c r="S777" s="133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63"/>
      <c r="S778" s="133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63"/>
      <c r="S779" s="133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63"/>
      <c r="S780" s="133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63"/>
      <c r="S781" s="133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63"/>
      <c r="S782" s="133"/>
    </row>
    <row r="783" spans="1:20" ht="15.75" customHeight="1">
      <c r="A783" s="156" t="s">
        <v>263</v>
      </c>
      <c r="B783" s="156"/>
      <c r="C783" s="156"/>
      <c r="D783" s="156"/>
      <c r="E783" s="156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134"/>
      <c r="P783" s="134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57" t="s">
        <v>249</v>
      </c>
      <c r="B784" s="157"/>
      <c r="C784" s="157"/>
      <c r="D784" s="157"/>
      <c r="E784" s="157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135"/>
      <c r="P784" s="135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63"/>
      <c r="S785" s="133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63"/>
      <c r="S786" s="133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63"/>
      <c r="S787" s="133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63"/>
      <c r="S788" s="133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63"/>
      <c r="S789" s="133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63"/>
      <c r="S790" s="133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63"/>
      <c r="S791" s="133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63"/>
      <c r="S792" s="133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63"/>
      <c r="S793" s="133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63"/>
      <c r="S794" s="133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63"/>
      <c r="S795" s="133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63"/>
      <c r="S796" s="133"/>
    </row>
    <row r="797" spans="1:20" ht="15.75" customHeight="1">
      <c r="A797" s="156" t="s">
        <v>260</v>
      </c>
      <c r="B797" s="156"/>
      <c r="C797" s="156"/>
      <c r="D797" s="156"/>
      <c r="E797" s="156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134"/>
      <c r="P797" s="134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63"/>
      <c r="S798" s="133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63"/>
      <c r="S799" s="133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63"/>
      <c r="S800" s="133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63"/>
      <c r="S801" s="133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63"/>
      <c r="S802" s="133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63"/>
      <c r="S803" s="133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63"/>
      <c r="S804" s="133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63"/>
      <c r="S805" s="133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63"/>
      <c r="S806" s="133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63"/>
      <c r="S807" s="133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63"/>
      <c r="S808" s="133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63"/>
      <c r="S809" s="133"/>
    </row>
    <row r="810" spans="1:20" ht="15.75" customHeight="1">
      <c r="A810" s="156" t="s">
        <v>263</v>
      </c>
      <c r="B810" s="156"/>
      <c r="C810" s="156"/>
      <c r="D810" s="156"/>
      <c r="E810" s="156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134"/>
      <c r="P810" s="134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57" t="s">
        <v>249</v>
      </c>
      <c r="B811" s="157"/>
      <c r="C811" s="157"/>
      <c r="D811" s="157"/>
      <c r="E811" s="157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135"/>
      <c r="P811" s="135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63"/>
      <c r="S812" s="133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71" t="str">
        <f t="shared" ca="1" si="219"/>
        <v/>
      </c>
      <c r="R813" s="63"/>
      <c r="S813" s="133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66" t="str">
        <f t="shared" ca="1" si="219"/>
        <v/>
      </c>
      <c r="R814" s="63"/>
      <c r="S814" s="133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71" t="str">
        <f t="shared" ca="1" si="219"/>
        <v/>
      </c>
      <c r="R815" s="63"/>
      <c r="S815" s="133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66" t="str">
        <f t="shared" ca="1" si="219"/>
        <v/>
      </c>
      <c r="R816" s="63"/>
      <c r="S816" s="133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71" t="str">
        <f t="shared" ca="1" si="219"/>
        <v/>
      </c>
      <c r="R817" s="63"/>
      <c r="S817" s="133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66" t="str">
        <f t="shared" ca="1" si="219"/>
        <v/>
      </c>
      <c r="R818" s="63"/>
      <c r="S818" s="133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71" t="str">
        <f t="shared" ca="1" si="219"/>
        <v/>
      </c>
      <c r="R819" s="63"/>
      <c r="S819" s="133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66" t="str">
        <f t="shared" ca="1" si="219"/>
        <v/>
      </c>
      <c r="R820" s="63"/>
      <c r="S820" s="133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71" t="str">
        <f t="shared" ca="1" si="219"/>
        <v/>
      </c>
      <c r="R821" s="63"/>
      <c r="S821" s="133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66" t="str">
        <f t="shared" ca="1" si="219"/>
        <v/>
      </c>
      <c r="R822" s="63"/>
      <c r="S822" s="133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71" t="str">
        <f t="shared" ca="1" si="219"/>
        <v/>
      </c>
      <c r="R823" s="63"/>
      <c r="S823" s="133"/>
    </row>
    <row r="824" spans="1:20" ht="15.75" customHeight="1">
      <c r="A824" s="156" t="s">
        <v>260</v>
      </c>
      <c r="B824" s="156"/>
      <c r="C824" s="156"/>
      <c r="D824" s="156"/>
      <c r="E824" s="156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134"/>
      <c r="P824" s="134"/>
      <c r="Q824" s="73">
        <f ca="1">IFERROR(SUM(Q812:Q823),"")</f>
        <v>0</v>
      </c>
      <c r="R824" s="2" t="s">
        <v>261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71" t="str">
        <f t="shared" ref="Q825:Q836" ca="1" si="223">IFERROR(IF(O825="","",IF(P825="",MOD(NOW()-O825,1),IF(P825&gt;=O825,P825-O825,P825+1-O825))),"")</f>
        <v/>
      </c>
      <c r="R825" s="63"/>
      <c r="S825" s="133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71" t="str">
        <f t="shared" ca="1" si="223"/>
        <v/>
      </c>
      <c r="R826" s="63"/>
      <c r="S826" s="133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71" t="str">
        <f t="shared" ca="1" si="223"/>
        <v/>
      </c>
      <c r="R827" s="63"/>
      <c r="S827" s="133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71" t="str">
        <f t="shared" ca="1" si="223"/>
        <v/>
      </c>
      <c r="R828" s="63"/>
      <c r="S828" s="133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71" t="str">
        <f t="shared" ca="1" si="223"/>
        <v/>
      </c>
      <c r="R829" s="63"/>
      <c r="S829" s="133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71" t="str">
        <f t="shared" ca="1" si="223"/>
        <v/>
      </c>
      <c r="R830" s="63"/>
      <c r="S830" s="133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71" t="str">
        <f t="shared" ca="1" si="223"/>
        <v/>
      </c>
      <c r="R831" s="63"/>
      <c r="S831" s="133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71" t="str">
        <f t="shared" ca="1" si="223"/>
        <v/>
      </c>
      <c r="R832" s="63"/>
      <c r="S832" s="133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71" t="str">
        <f t="shared" ca="1" si="223"/>
        <v/>
      </c>
      <c r="R833" s="63"/>
      <c r="S833" s="133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71" t="str">
        <f t="shared" ca="1" si="223"/>
        <v/>
      </c>
      <c r="R834" s="63"/>
      <c r="S834" s="133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71" t="str">
        <f t="shared" ca="1" si="223"/>
        <v/>
      </c>
      <c r="R835" s="63"/>
      <c r="S835" s="133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71" t="str">
        <f t="shared" ca="1" si="223"/>
        <v/>
      </c>
      <c r="R836" s="63"/>
      <c r="S836" s="133"/>
    </row>
    <row r="837" spans="1:20" ht="15.75" customHeight="1">
      <c r="A837" s="156" t="s">
        <v>263</v>
      </c>
      <c r="B837" s="156"/>
      <c r="C837" s="156"/>
      <c r="D837" s="156"/>
      <c r="E837" s="156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134"/>
      <c r="P837" s="134"/>
      <c r="Q837" s="73">
        <f ca="1">IFERROR(SUM(Q825:Q836),"")</f>
        <v>0</v>
      </c>
      <c r="R837" s="2" t="s">
        <v>261</v>
      </c>
      <c r="S837" s="74"/>
      <c r="T837" s="99">
        <f>IFERROR(J837,"")</f>
        <v>0</v>
      </c>
    </row>
    <row r="838" spans="1:20" ht="18" customHeight="1">
      <c r="A838" s="157" t="s">
        <v>249</v>
      </c>
      <c r="B838" s="157"/>
      <c r="C838" s="157"/>
      <c r="D838" s="157"/>
      <c r="E838" s="157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135"/>
      <c r="P838" s="135"/>
      <c r="Q838" s="77">
        <f ca="1">IFERROR(Q824+Q837,"")</f>
        <v>0</v>
      </c>
      <c r="R838" s="1" t="s">
        <v>264</v>
      </c>
      <c r="S838" s="82">
        <f>IFERROR(S824+S837,"")</f>
        <v>0</v>
      </c>
      <c r="T838" s="118">
        <f>IFERROR(J838,"")</f>
        <v>0</v>
      </c>
    </row>
  </sheetData>
  <sheetProtection algorithmName="SHA-512" hashValue="kxPPFervXGnmgyrW50iGSJUo3io946tXDmP41FW+w61kVlRo9pTxrlET9lt8tSPhFteLJBH9C9hVTtrtPCTgQQ==" saltValue="U0bisFdpfCvQwbXv4qEyB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2B1A3CF-5FC7-4FEA-8536-053612F4F612}"/>
</file>

<file path=customXml/itemProps2.xml><?xml version="1.0" encoding="utf-8"?>
<ds:datastoreItem xmlns:ds="http://schemas.openxmlformats.org/officeDocument/2006/customXml" ds:itemID="{F4B32959-3F17-4606-A7DA-57182556EC1F}"/>
</file>

<file path=customXml/itemProps3.xml><?xml version="1.0" encoding="utf-8"?>
<ds:datastoreItem xmlns:ds="http://schemas.openxmlformats.org/officeDocument/2006/customXml" ds:itemID="{956D0346-DD6D-4A32-81B9-BD446DB6FCD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2026-08-21T15:38:45Z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