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239" documentId="8_{C51EB6CB-002B-4D6B-B68F-DDEBDB4460C0}" xr6:coauthVersionLast="47" xr6:coauthVersionMax="47" xr10:uidLastSave="{CEC09361-DE1F-42AE-81C3-05B8E34B68DD}"/>
  <bookViews>
    <workbookView xWindow="-108" yWindow="-108" windowWidth="23256" windowHeight="12456" tabRatio="500" firstSheet="4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7" i="5" l="1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<sst xmlns="http://schemas.openxmlformats.org/spreadsheetml/2006/main" count="5166" uniqueCount="326">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</sst>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3274380</v>
      </c>
      <c r="D13" s="11">
        <f>IFERROR('Linha 1'!O271,"")</f>
        <v>1630320</v>
      </c>
      <c r="E13" s="11">
        <f>IFERROR('Linha 2'!O271,"")</f>
        <v>877340</v>
      </c>
      <c r="F13" s="11">
        <f>IFERROR('Linha 3'!O271,"")</f>
        <v>1454220</v>
      </c>
      <c r="G13" s="12">
        <f t="shared" si="0"/>
        <v>3961880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33711890</v>
      </c>
      <c r="D35" s="13">
        <f>IFERROR(SUM(D4:D34),"")</f>
        <v>11283420</v>
      </c>
      <c r="E35" s="13">
        <f>IFERROR(SUM(E4:E34),"")</f>
        <v>5437280</v>
      </c>
      <c r="F35" s="13">
        <f>IFERROR(SUM(F4:F34),"")</f>
        <v>13853440</v>
      </c>
      <c r="G35" s="13">
        <f>IFERROR(SUM(G4:G34),"")</f>
        <v>30574140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3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3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3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3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3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3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3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3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3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3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3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3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3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3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3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3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3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3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3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3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3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3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3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3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3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3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3"/>
      <c r="I58" s="16"/>
      <c r="J58" s="16"/>
      <c r="K58" s="16" t="s">
        <v>208</v>
      </c>
      <c r="L58" s="16"/>
      <c r="M58" s="16"/>
    </row>
    <row r="59" spans="1:13" ht="15" customHeight="1">
      <c r="H59" s="113"/>
      <c r="I59" s="17"/>
      <c r="J59" s="17"/>
      <c r="K59" s="17" t="s">
        <v>209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210</v>
      </c>
      <c r="L61" s="17"/>
      <c r="M61" s="17"/>
    </row>
    <row r="62" spans="1:13" ht="15" customHeight="1">
      <c r="H62" s="113"/>
      <c r="I62" s="16"/>
      <c r="J62" s="16"/>
      <c r="K62" s="16" t="s">
        <v>211</v>
      </c>
      <c r="L62" s="16"/>
      <c r="M62" s="16"/>
    </row>
    <row r="63" spans="1:13" ht="15" customHeight="1">
      <c r="H63" s="113"/>
      <c r="I63" s="17"/>
      <c r="J63" s="17"/>
      <c r="K63" s="17" t="s">
        <v>212</v>
      </c>
      <c r="L63" s="17"/>
      <c r="M63" s="17"/>
    </row>
    <row r="64" spans="1:13" ht="15" customHeight="1">
      <c r="H64" s="113"/>
      <c r="I64" s="16"/>
      <c r="J64" s="16"/>
      <c r="K64" s="16" t="s">
        <v>213</v>
      </c>
      <c r="L64" s="16"/>
      <c r="M64" s="16"/>
    </row>
    <row r="65" spans="8:13" ht="15" customHeight="1">
      <c r="H65" s="113"/>
      <c r="I65" s="17"/>
      <c r="J65" s="17"/>
      <c r="K65" s="17" t="s">
        <v>214</v>
      </c>
      <c r="L65" s="17"/>
      <c r="M65" s="17"/>
    </row>
    <row r="66" spans="8:13" ht="15" customHeight="1">
      <c r="H66" s="113"/>
      <c r="I66" s="16"/>
      <c r="J66" s="16"/>
      <c r="K66" s="16" t="s">
        <v>215</v>
      </c>
      <c r="L66" s="16"/>
      <c r="M66" s="16"/>
    </row>
    <row r="67" spans="8:13" ht="15" customHeight="1">
      <c r="H67" s="113"/>
      <c r="I67" s="17"/>
      <c r="J67" s="17"/>
      <c r="K67" s="17" t="s">
        <v>216</v>
      </c>
      <c r="L67" s="17"/>
      <c r="M67" s="17"/>
    </row>
    <row r="68" spans="8:13" ht="15" customHeight="1">
      <c r="H68" s="113"/>
      <c r="I68" s="16"/>
      <c r="J68" s="16"/>
      <c r="K68" s="16" t="s">
        <v>217</v>
      </c>
      <c r="L68" s="16"/>
      <c r="M68" s="16"/>
    </row>
    <row r="69" spans="8:13" ht="15" customHeight="1">
      <c r="H69" s="113"/>
      <c r="I69" s="17"/>
      <c r="J69" s="17"/>
      <c r="K69" s="17" t="s">
        <v>218</v>
      </c>
      <c r="L69" s="17"/>
      <c r="M69" s="17"/>
    </row>
    <row r="70" spans="8:13" ht="15" customHeight="1">
      <c r="H70" s="113"/>
      <c r="I70" s="16"/>
      <c r="J70" s="16"/>
      <c r="K70" s="16" t="s">
        <v>219</v>
      </c>
      <c r="L70" s="16"/>
      <c r="M70" s="16"/>
    </row>
    <row r="71" spans="8:13" ht="15" customHeight="1">
      <c r="H71" s="113"/>
      <c r="I71" s="17"/>
      <c r="J71" s="17"/>
      <c r="K71" s="17" t="s">
        <v>220</v>
      </c>
      <c r="L71" s="17"/>
      <c r="M71" s="17"/>
    </row>
    <row r="72" spans="8:13" ht="15" customHeight="1">
      <c r="H72" s="113"/>
      <c r="I72" s="16"/>
      <c r="J72" s="16"/>
      <c r="K72" s="16" t="s">
        <v>221</v>
      </c>
      <c r="L72" s="16"/>
      <c r="M72" s="16"/>
    </row>
    <row r="73" spans="8:13" ht="15" customHeight="1">
      <c r="H73" s="113"/>
      <c r="I73" s="17"/>
      <c r="J73" s="17"/>
      <c r="K73" s="17" t="s">
        <v>222</v>
      </c>
      <c r="L73" s="17"/>
      <c r="M73" s="17"/>
    </row>
    <row r="74" spans="8:13" ht="15" customHeight="1">
      <c r="H74" s="113"/>
      <c r="I74" s="16"/>
      <c r="J74" s="16"/>
      <c r="K74" s="16" t="s">
        <v>223</v>
      </c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60" activePane="bottomLeft" state="frozen"/>
      <selection pane="bottomLeft" activeCell="D280" sqref="D280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5" t="s">
        <v>235</v>
      </c>
      <c r="B230" s="116"/>
      <c r="C230" s="116"/>
      <c r="D230" s="116"/>
      <c r="E230" s="117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>
        <v>27</v>
      </c>
      <c r="G269" s="28">
        <f t="shared" si="57"/>
        <v>135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>
        <v>1124700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3274380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55" activePane="bottomLeft" state="frozen"/>
      <selection pane="bottomLeft" activeCell="H279" sqref="H27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257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258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259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260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261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262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263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264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0.16995150462753372</v>
      </c>
      <c r="N53" s="46" t="s">
        <v>265</v>
      </c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0.30884039351642262</v>
      </c>
      <c r="N54" s="36" t="s">
        <v>236</v>
      </c>
      <c r="O54" s="84">
        <v>352430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0.39356261573864493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257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266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267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268</v>
      </c>
      <c r="M96" s="30" t="str">
        <f t="shared" ref="M96:M107" ca="1" si="22">IFERROR(IF(K96="","",IF(L96="",MOD(NOW()-K96,1),IF(L96&gt;=K96,L96-K96,L96+1-K96))),"")</f>
        <v/>
      </c>
      <c r="N96" s="46" t="s">
        <v>269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270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271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272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273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274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275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277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274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278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279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272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266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280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281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282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235</v>
      </c>
      <c r="B230" s="116"/>
      <c r="C230" s="116"/>
      <c r="D230" s="116"/>
      <c r="E230" s="117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4</v>
      </c>
      <c r="G269" s="28">
        <f t="shared" si="57"/>
        <v>16.8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164</v>
      </c>
      <c r="G270" s="36">
        <f>SUM(G258:G269)</f>
        <v>688.8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>
        <v>732130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347</v>
      </c>
      <c r="G271" s="40">
        <f>G257+G270</f>
        <v>1514.1999999999998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1630320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>
        <v>0.29166666666666669</v>
      </c>
      <c r="L272" s="29"/>
      <c r="M272" s="30">
        <f t="shared" ref="M272:M283" ca="1" si="61">IFERROR(IF(K272="","",IF(L272="",MOD(NOW()-K272,1),IF(L272&gt;=K272,L272-K272,L272+1-K272))),"")</f>
        <v>0.99981261574430391</v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0.99981261574430391</v>
      </c>
      <c r="N284" s="36" t="s">
        <v>236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77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0.99981261574430391</v>
      </c>
      <c r="N298" s="40" t="s">
        <v>240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254" zoomScale="50" zoomScaleNormal="50" workbookViewId="0">
      <selection activeCell="D272" sqref="D272:D28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283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260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284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238</v>
      </c>
      <c r="B27" s="107"/>
      <c r="C27" s="107"/>
      <c r="D27" s="107"/>
      <c r="E27" s="108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283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283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285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286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287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288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289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290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291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275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266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292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293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278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278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294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295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296</v>
      </c>
      <c r="M222" s="30" t="str">
        <f t="shared" ca="1" si="49"/>
        <v/>
      </c>
      <c r="N222" s="27" t="s">
        <v>297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235</v>
      </c>
      <c r="B230" s="107"/>
      <c r="C230" s="107"/>
      <c r="D230" s="107"/>
      <c r="E230" s="108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298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235</v>
      </c>
      <c r="B257" s="107"/>
      <c r="C257" s="107"/>
      <c r="D257" s="107"/>
      <c r="E257" s="108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266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9.7034837963292375E-2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0.15884039351884793</v>
      </c>
      <c r="N270" s="36" t="s">
        <v>236</v>
      </c>
      <c r="O270" s="39">
        <v>327900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0.2199515046299591</v>
      </c>
      <c r="N271" s="40" t="s">
        <v>240</v>
      </c>
      <c r="O271" s="48">
        <f>IFERROR(O257+O270,"")</f>
        <v>877340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63:E380 E29:E256 E260:E261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D29:D256 D258:D294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34" activePane="bottomLeft" state="frozen"/>
      <selection pane="bottomLeft" activeCell="O271" sqref="O27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299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263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283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300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301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235</v>
      </c>
      <c r="B41" s="107"/>
      <c r="C41" s="107"/>
      <c r="D41" s="107"/>
      <c r="E41" s="108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302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303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304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305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283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283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306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307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266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283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308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309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275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310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311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312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313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314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315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316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317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318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319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235</v>
      </c>
      <c r="B230" s="107"/>
      <c r="C230" s="107"/>
      <c r="D230" s="107"/>
      <c r="E230" s="108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320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321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322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323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290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324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325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>
        <v>650660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362</v>
      </c>
      <c r="G271" s="40">
        <f>G257+G270</f>
        <v>1578.8000000000002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1454220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235</v>
      </c>
      <c r="B338" s="107"/>
      <c r="C338" s="107"/>
      <c r="D338" s="107"/>
      <c r="E338" s="108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2026-08-11T10:59:53Z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