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082" documentId="8_{AF585B22-221D-4780-BB9C-493D365A6A02}" xr6:coauthVersionLast="47" xr6:coauthVersionMax="47" xr10:uidLastSave="{3E72125D-D9FB-44EE-BE28-297D7DF802FE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<sst xmlns="http://schemas.openxmlformats.org/spreadsheetml/2006/main" count="11139" uniqueCount="414">
  <si>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</si>
  <si>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</si>
  <si>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</si>
  <si>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</si>
  <si>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</si>
  <si>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</si>
  <si>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</si>
  <si>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</si>
  <si>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</si>
  <si>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</si>
  <si>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</si>
  <si>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</si>
  <si>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</si>
  <si>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</si>
  <si>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</si>
  <si>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</si>
  <si>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</si>
  <si>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</si>
  <si>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</si>
  <si>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</si>
  <si>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</si>
  <si>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</si>
  <si>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</si>
  <si>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</si>
  <si>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</si>
  <si>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</si>
  <si>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</si>
  <si>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</si>
  <si>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</si>
  <si>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</si>
  <si>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</si>
  <si>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</si>
  <si>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</si>
  <si>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</si>
  <si>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</si>
  <si>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</si>
  <si>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</si>
  <si>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</si>
  <si>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</si>
  <si>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</si>
  <si>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</si>
  <si>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</si>
  <si>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</si>
  <si>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</si>
  <si>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</si>
  <si>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</si>
  <si>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</si>
  <si>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</si>
  <si>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</si>
  <si>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</si>
  <si>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</si>
  <si>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</si>
  <si>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</si>
  <si>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</si>
  <si>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</si>
  <si>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</si>
  <si>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</si>
  <si>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</si>
  <si>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</si>
  <si>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</si>
  <si>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</si>
  <si>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</si>
  <si>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</si>
  <si>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</si>
  <si>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</si>
  <si>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</si>
  <si>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</si>
  <si>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</si>
  <si>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</si>
  <si>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</si>
  <si>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</si>
  <si>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</si>
  <si>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</si>
  <si>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</si>
  <si>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</si>
  <si>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</si>
  <si>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</si>
  <si>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</si>
  <si>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</si>
  <si>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</si>
  <si>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</si>
  <si>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</si>
  <si>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</si>
  <si>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</si>
  <si>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</si>
  <si>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</si>
  <si>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</si>
  <si>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</si>
  <si>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</si>
  <si>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</si>
  <si>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</si>
  <si>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</si>
  <si>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</si>
  <si>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</si>
  <si>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</si>
  <si>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</si>
  <si>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</si>
  <si>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</si>
  <si>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</si>
  <si>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</si>
  <si>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</si>
  <si>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</si>
  <si>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</si>
  <si>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</si>
  <si>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</si>
  <si>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</si>
  <si>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</si>
  <si>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</si>
  <si>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</si>
  <si>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</si>
  <si>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</si>
  <si>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</si>
  <si>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</si>
  <si>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</si>
  <si>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</si>
  <si>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</si>
  <si>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</si>
  <si>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</si>
  <si>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</si>
  <si>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</si>
  <si>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</si>
  <si>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</si>
  <si>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</si>
  <si>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</si>
  <si>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</si>
  <si>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</si>
  <si>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</si>
  <si>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</si>
  <si>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</si>
  <si>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</si>
  <si>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</si>
  <si>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</si>
  <si>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</si>
  <si>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</si>
  <si>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</si>
  <si>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</si>
  <si>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</si>
  <si>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</si>
  <si>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</si>
  <si>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</si>
  <si>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</si>
  <si>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</si>
  <si>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</si>
  <si>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</si>
  <si>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</si>
  <si>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</si>
  <si>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</si>
  <si>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</si>
  <si>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</si>
  <si>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</si>
  <si>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</si>
  <si>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</si>
  <si>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</si>
  <si>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</si>
  <si>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</si>
  <si>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</si>
  <si>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</si>
  <si>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</si>
  <si>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</si>
  <si>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</si>
  <si>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</si>
  <si>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</si>
  <si>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</si>
  <si>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</si>
  <si>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</si>
  <si>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</si>
  <si>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</si>
  <si>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</si>
  <si>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</si>
  <si>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</si>
  <si>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</si>
  <si>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</si>
  <si>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</si>
  <si>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</si>
  <si>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</si>
  <si>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</si>
  <si>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</si>
  <si>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</si>
  <si>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</si>
  <si>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</si>
  <si>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</si>
  <si>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</si>
  <si>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</si>
  <si>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</si>
  <si>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</si>
  <si>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</si>
  <si>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</si>
  <si>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</si>
  <si>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</si>
  <si>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</si>
  <si>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</si>
  <si>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</si>
  <si>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</si>
  <si>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</si>
  <si>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</si>
  <si>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</si>
  <si>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</si>
  <si>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</si>
  <si>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</si>
  <si>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</si>
  <si>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</si>
  <si>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</si>
  <si>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</si>
  <si>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</si>
  <si>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</si>
  <si>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</si>
  <si>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</si>
  <si>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</si>
  <si>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</si>
  <si>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</si>
  <si>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</si>
  <si>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</si>
  <si>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</si>
  <si>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</si>
  <si>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</si>
  <si>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</si>
  <si>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</si>
  <si>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</si>
  <si>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</si>
  <si>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</si>
  <si>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</si>
  <si>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</si>
  <si>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</si>
  <si>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</si>
  <si>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</si>
  <si>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</si>
  <si>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</si>
  <si>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</si>
  <si>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</si>
  <si>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</si>
  <si>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</si>
  <si>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</si>
  <si>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</si>
  <si>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</si>
  <si>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</si>
  <si>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</si>
  <si>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</si>
  <si>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</si>
  <si>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</si>
  <si>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</si>
  <si>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</si>
  <si>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</si>
  <si>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</si>
  <si>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</si>
  <si>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</si>
  <si>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</si>
  <si>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</si>
  <si>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</si>
  <si>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</si>
  <si>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</si>
  <si>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</si>
  <si>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</si>
  <si>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</si>
  <si>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</si>
  <si>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</si>
  <si>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</si>
  <si>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</si>
  <si>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</si>
  <si>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</si>
  <si>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</si>
  <si>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</si>
  <si>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</si>
  <si>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</si>
  <si>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</si>
  <si>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</si>
  <si>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</si>
  <si>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</si>
  <si>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</si>
  <si>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</si>
  <si>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</si>
  <si>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</si>
  <si>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</si>
  <si>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</si>
  <si>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</si>
  <si>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</si>
  <si>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</si>
  <si>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</si>
  <si>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</si>
  <si>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</si>
  <si>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</si>
  <si>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</si>
  <si>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</si>
  <si>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</si>
  <si>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</si>
  <si>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</si>
  <si>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</si>
  <si>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</si>
  <si>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</si>
  <si>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</si>
  <si>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</si>
  <si>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</si>
  <si>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</si>
  <si>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</si>
  <si>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</si>
  <si>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</si>
  <si>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</si>
  <si>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</si>
  <si>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</si>
  <si>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</si>
  <si>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</si>
  <si>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</si>
  <si>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</si>
  <si>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</si>
  <si>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</si>
  <si>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</si>
  <si>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</si>
  <si>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</si>
  <si>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</si>
  <si>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</si>
  <si>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</si>
  <si>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</si>
  <si>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</si>
  <si>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</si>
  <si>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</si>
  <si>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</si>
  <si>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</si>
  <si>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</si>
  <si>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</si>
  <si>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</si>
  <si>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</si>
  <si>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</si>
  <si>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</si>
  <si>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</si>
  <si>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</si>
  <si>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</si>
  <si>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</si>
  <si>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</si>
  <si>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</si>
  <si>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</si>
  <si>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</si>
  <si>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troca de martelos mm 1 e 2</t>
  </si>
  <si>
    <t>serviço de solda no queixo 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</si>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</sst>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E735" sqref="E7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119</v>
      </c>
      <c r="G743" s="36">
        <f>SUM(G731:G742)</f>
        <v>595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119</v>
      </c>
      <c r="G757" s="40">
        <f>G743+G756</f>
        <v>595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17" activePane="bottomLeft" state="frozen"/>
      <selection pane="bottomLeft" activeCell="J744" sqref="J7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0.3411190972183249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0.49875798610721378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0.60848020832943595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0.31959131944313413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0.49042465277646752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0.63556354166535645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 t="s">
        <v>330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331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66</v>
      </c>
      <c r="G743" s="36">
        <f>SUM(G731:G742)</f>
        <v>277.20000000000005</v>
      </c>
      <c r="H743" s="37"/>
      <c r="I743" s="37"/>
      <c r="J743" s="37"/>
      <c r="K743" s="37"/>
      <c r="L743" s="37"/>
      <c r="M743" s="38">
        <f ca="1">IFERROR(SUM(M731:M742),"")</f>
        <v>4.4444444444444398E-2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66</v>
      </c>
      <c r="G757" s="40">
        <f>G743+G756</f>
        <v>277.20000000000005</v>
      </c>
      <c r="H757" s="41"/>
      <c r="I757" s="41"/>
      <c r="J757" s="41"/>
      <c r="K757" s="41"/>
      <c r="L757" s="41"/>
      <c r="M757" s="42">
        <f ca="1">IFERROR(M743+M756,"")</f>
        <v>4.4444444444444398E-2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E732" sqref="E7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339</v>
      </c>
      <c r="N166" s="27" t="s">
        <v>340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>
        <v>13</v>
      </c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>
        <v>6</v>
      </c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>
        <v>0</v>
      </c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30</v>
      </c>
      <c r="G743" s="36">
        <f>SUM(G731:G742)</f>
        <v>4.2</v>
      </c>
      <c r="H743" s="37"/>
      <c r="I743" s="37"/>
      <c r="J743" s="37"/>
      <c r="K743" s="37"/>
      <c r="L743" s="37"/>
      <c r="M743" s="38">
        <f ca="1">IFERROR(SUM(M731:M742),"")</f>
        <v>4.0972222222222243E-2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30</v>
      </c>
      <c r="G757" s="40">
        <f>G743+G756</f>
        <v>4.2</v>
      </c>
      <c r="H757" s="41"/>
      <c r="I757" s="41"/>
      <c r="J757" s="41"/>
      <c r="K757" s="41"/>
      <c r="L757" s="41"/>
      <c r="M757" s="42">
        <f ca="1">IFERROR(M743+M756,"")</f>
        <v>4.0972222222222243E-2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F736" sqref="F7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365</v>
      </c>
      <c r="L58" s="29">
        <v>0.54097222222222219</v>
      </c>
      <c r="M58" s="30" t="str">
        <f t="shared" ca="1" si="13"/>
        <v/>
      </c>
      <c r="N58" s="27" t="s">
        <v>366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0.33139687500079162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0.53070243055634725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0.89806354166745828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>
        <v>0.4513888888888889</v>
      </c>
      <c r="M735" s="35">
        <f t="shared" ca="1" si="163"/>
        <v>2.430555555555558E-2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 t="s">
        <v>20</v>
      </c>
      <c r="I736" s="26" t="s">
        <v>155</v>
      </c>
      <c r="J736" s="26" t="s">
        <v>74</v>
      </c>
      <c r="K736" s="29">
        <v>0.46875</v>
      </c>
      <c r="L736" s="29">
        <v>0.47152777777777777</v>
      </c>
      <c r="M736" s="30">
        <f t="shared" ca="1" si="163"/>
        <v>2.7777777777777679E-3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61</v>
      </c>
      <c r="G743" s="36">
        <f>SUM(G731:G742)</f>
        <v>256.2</v>
      </c>
      <c r="H743" s="37"/>
      <c r="I743" s="37"/>
      <c r="J743" s="37"/>
      <c r="K743" s="61"/>
      <c r="L743" s="61"/>
      <c r="M743" s="38">
        <f ca="1">IFERROR(SUM(M731:M742),"")</f>
        <v>8.6805555555555525E-2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61</v>
      </c>
      <c r="G757" s="40">
        <f>G743+G756</f>
        <v>256.2</v>
      </c>
      <c r="H757" s="41"/>
      <c r="I757" s="41"/>
      <c r="J757" s="41"/>
      <c r="K757" s="63"/>
      <c r="L757" s="63"/>
      <c r="M757" s="42">
        <f ca="1">IFERROR(M743+M756,"")</f>
        <v>8.6805555555555525E-2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2026-07-28T17:56:43Z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