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33" documentId="13_ncr:1_{A6DBCFB4-28D9-4249-9038-216934055CA6}" xr6:coauthVersionLast="47" xr6:coauthVersionMax="47" xr10:uidLastSave="{A216F999-F00A-4630-B495-41D03CE35C2C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<sst xmlns="http://schemas.openxmlformats.org/spreadsheetml/2006/main" count="10060" uniqueCount="428">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</sst>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4.9149189813761041E-2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4.9149189813761041E-2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4.9149189813761041E-2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E607" sqref="E60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0.21928807869699085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0.35817696758587858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0.44289918980810139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/>
      <c r="H596" s="101" t="str">
        <f>IFERROR(IF($G596="","",$G596*$S$608/$G$608/Cadastro!$E$33),"")</f>
        <v/>
      </c>
      <c r="I596" s="102">
        <f>IFERROR(IF($D596="","",VLOOKUP($D596,Cadastro!$C$4:$G$7,5,FALSE())),"")</f>
        <v>0.6</v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N596" sqref="N596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/>
      <c r="H596" s="101" t="str">
        <f>IFERROR(IF($G596="","",$G596*$S$608/$G$608/Cadastro!$E$33),"")</f>
        <v/>
      </c>
      <c r="I596" s="102">
        <f>IFERROR(IF($D596="","",VLOOKUP($D596,Cadastro!$C$4:$G$7,5,FALSE())),"")</f>
        <v>0.6</v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/>
      <c r="Q596" s="66">
        <f t="shared" ref="Q596:Q607" ca="1" si="153">IFERROR(IF(O596="","",IF(P596="",MOD(NOW()-O596,1),IF(P596&gt;=O596,P596-O596,P596+1-O596))),"")</f>
        <v>1.442696758749662E-2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1.442696758749662E-2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1.442696758749662E-2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80" activePane="bottomLeft" state="frozen"/>
      <selection pane="bottomLeft" activeCell="L599" sqref="L59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/>
      <c r="H596" s="101" t="str">
        <f>IFERROR(IF($G596="","",$G596*$S$608/$G$608/Cadastro!$E$33),"")</f>
        <v/>
      </c>
      <c r="I596" s="102">
        <f>IFERROR(IF($D596="","",VLOOKUP($D596,Cadastro!$C$4:$G$7,5,FALSE())),"")</f>
        <v>0.6</v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4"/>
        <v/>
      </c>
      <c r="K597" s="69" t="str">
        <f t="shared" si="155"/>
        <v/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2026-08-23T12:11:19Z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