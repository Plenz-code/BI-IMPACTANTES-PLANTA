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31" documentId="8_{C51EB6CB-002B-4D6B-B68F-DDEBDB4460C0}" xr6:coauthVersionLast="47" xr6:coauthVersionMax="47" xr10:uidLastSave="{93A5B848-863F-4E45-AA9C-45AE54EF1AD3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<sst xmlns="http://schemas.openxmlformats.org/spreadsheetml/2006/main" count="2045" uniqueCount="259">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</sst>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3"/>
      <c r="I56" s="16"/>
      <c r="J56" s="16"/>
      <c r="K56" s="16" t="s">
        <v>202</v>
      </c>
      <c r="L56" s="16"/>
      <c r="M56" s="16"/>
    </row>
    <row r="57" spans="1:13" ht="15" customHeight="1" x14ac:dyDescent="0.25">
      <c r="H57" s="113"/>
      <c r="I57" s="17"/>
      <c r="J57" s="17"/>
      <c r="K57" s="17" t="s">
        <v>50</v>
      </c>
      <c r="L57" s="17"/>
      <c r="M57" s="17"/>
    </row>
    <row r="58" spans="1:13" ht="15" customHeight="1" x14ac:dyDescent="0.25">
      <c r="H58" s="113"/>
      <c r="I58" s="16"/>
      <c r="J58" s="16"/>
      <c r="K58" s="16" t="s">
        <v>203</v>
      </c>
      <c r="L58" s="16"/>
      <c r="M58" s="16"/>
    </row>
    <row r="59" spans="1:13" ht="15" customHeight="1" x14ac:dyDescent="0.25">
      <c r="H59" s="113"/>
      <c r="I59" s="17"/>
      <c r="J59" s="17"/>
      <c r="K59" s="17" t="s">
        <v>204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205</v>
      </c>
      <c r="L61" s="17"/>
      <c r="M61" s="17"/>
    </row>
    <row r="62" spans="1:13" ht="15" customHeight="1" x14ac:dyDescent="0.25">
      <c r="H62" s="113"/>
      <c r="I62" s="16"/>
      <c r="J62" s="16"/>
      <c r="K62" s="16" t="s">
        <v>206</v>
      </c>
      <c r="L62" s="16"/>
      <c r="M62" s="16"/>
    </row>
    <row r="63" spans="1:13" ht="15" customHeight="1" x14ac:dyDescent="0.25">
      <c r="H63" s="113"/>
      <c r="I63" s="17"/>
      <c r="J63" s="17"/>
      <c r="K63" s="17" t="s">
        <v>207</v>
      </c>
      <c r="L63" s="17"/>
      <c r="M63" s="17"/>
    </row>
    <row r="64" spans="1:13" ht="15" customHeight="1" x14ac:dyDescent="0.25">
      <c r="H64" s="113"/>
      <c r="I64" s="16"/>
      <c r="J64" s="16"/>
      <c r="K64" s="16" t="s">
        <v>208</v>
      </c>
      <c r="L64" s="16"/>
      <c r="M64" s="16"/>
    </row>
    <row r="65" spans="8:13" ht="15" customHeight="1" x14ac:dyDescent="0.25">
      <c r="H65" s="113"/>
      <c r="I65" s="17"/>
      <c r="J65" s="17"/>
      <c r="K65" s="17" t="s">
        <v>209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210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211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212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213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214</v>
      </c>
      <c r="L70" s="16"/>
      <c r="M70" s="16"/>
    </row>
    <row r="71" spans="8:13" ht="15" customHeight="1" x14ac:dyDescent="0.25">
      <c r="H71" s="113"/>
      <c r="I71" s="17"/>
      <c r="J71" s="17"/>
      <c r="K71" s="17" t="s">
        <v>215</v>
      </c>
      <c r="L71" s="17"/>
      <c r="M71" s="17"/>
    </row>
    <row r="72" spans="8:13" ht="15" customHeight="1" x14ac:dyDescent="0.25">
      <c r="H72" s="113"/>
      <c r="I72" s="16"/>
      <c r="J72" s="16"/>
      <c r="K72" s="16" t="s">
        <v>216</v>
      </c>
      <c r="L72" s="16"/>
      <c r="M72" s="16"/>
    </row>
    <row r="73" spans="8:13" ht="15" customHeight="1" x14ac:dyDescent="0.25">
      <c r="H73" s="113"/>
      <c r="I73" s="17"/>
      <c r="J73" s="17"/>
      <c r="K73" s="17"/>
      <c r="L73" s="17"/>
      <c r="M73" s="17"/>
    </row>
    <row r="74" spans="8:13" ht="15" customHeight="1" x14ac:dyDescent="0.25">
      <c r="H74" s="113"/>
      <c r="I74" s="16"/>
      <c r="J74" s="16"/>
      <c r="K74" s="16"/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9" sqref="F59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 x14ac:dyDescent="0.25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 x14ac:dyDescent="0.25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81</v>
      </c>
      <c r="G68" s="36">
        <f>SUM(G56:G67)</f>
        <v>405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405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 x14ac:dyDescent="0.25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15" t="s">
        <v>232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0" activePane="bottomLeft" state="frozen"/>
      <selection pane="bottomLeft" activeCell="K69" sqref="K69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 x14ac:dyDescent="0.25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0.33097094907134306</v>
      </c>
      <c r="N53" s="46" t="s">
        <v>251</v>
      </c>
      <c r="O53" s="31"/>
    </row>
    <row r="54" spans="1:15" ht="15.75" customHeight="1" x14ac:dyDescent="0.25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0.46985983796023195</v>
      </c>
      <c r="N54" s="36" t="s">
        <v>229</v>
      </c>
      <c r="O54" s="84">
        <v>352430</v>
      </c>
    </row>
    <row r="55" spans="1:15" ht="18" customHeight="1" x14ac:dyDescent="0.25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0.55458206018245426</v>
      </c>
      <c r="N55" s="40" t="s">
        <v>233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3.6805555555555543E-2</v>
      </c>
      <c r="N68" s="36" t="s">
        <v>229</v>
      </c>
      <c r="O68" s="54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81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 x14ac:dyDescent="0.25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3.6805555555555543E-2</v>
      </c>
      <c r="N82" s="40" t="s">
        <v>233</v>
      </c>
      <c r="O82" s="82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 x14ac:dyDescent="0.25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 x14ac:dyDescent="0.25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 x14ac:dyDescent="0.25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 x14ac:dyDescent="0.25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 x14ac:dyDescent="0.25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6" t="s">
        <v>228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 x14ac:dyDescent="0.25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 x14ac:dyDescent="0.25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 x14ac:dyDescent="0.25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 x14ac:dyDescent="0.25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 x14ac:dyDescent="0.25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 x14ac:dyDescent="0.25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 x14ac:dyDescent="0.25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 x14ac:dyDescent="0.25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 x14ac:dyDescent="0.25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 x14ac:dyDescent="0.25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 x14ac:dyDescent="0.25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 x14ac:dyDescent="0.25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 x14ac:dyDescent="0.25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 x14ac:dyDescent="0.25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 x14ac:dyDescent="0.25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 x14ac:dyDescent="0.25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 x14ac:dyDescent="0.25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 x14ac:dyDescent="0.25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 x14ac:dyDescent="0.25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 x14ac:dyDescent="0.25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59" sqref="F59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 x14ac:dyDescent="0.25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 x14ac:dyDescent="0.25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14</v>
      </c>
      <c r="G68" s="36">
        <f>SUM(G56:G67)</f>
        <v>58.800000000000004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14</v>
      </c>
      <c r="G82" s="40">
        <f>G68+G81</f>
        <v>58.800000000000004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 x14ac:dyDescent="0.25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L57" sqref="L57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 x14ac:dyDescent="0.25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 x14ac:dyDescent="0.25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45</v>
      </c>
      <c r="G68" s="36">
        <f>SUM(G56:G67)</f>
        <v>189</v>
      </c>
      <c r="H68" s="37"/>
      <c r="I68" s="37"/>
      <c r="J68" s="37"/>
      <c r="K68" s="61"/>
      <c r="L68" s="61"/>
      <c r="M68" s="38">
        <f ca="1">IFERROR(SUM(M56:M67),"")</f>
        <v>5.5555555555555913E-3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45</v>
      </c>
      <c r="G82" s="40">
        <f>G68+G81</f>
        <v>189</v>
      </c>
      <c r="H82" s="41"/>
      <c r="I82" s="41"/>
      <c r="J82" s="41"/>
      <c r="K82" s="63"/>
      <c r="L82" s="63"/>
      <c r="M82" s="42">
        <f ca="1">IFERROR(M68+M81,"")</f>
        <v>5.5555555555555913E-3</v>
      </c>
      <c r="N82" s="40" t="s">
        <v>233</v>
      </c>
      <c r="O82" s="48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 x14ac:dyDescent="0.25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 x14ac:dyDescent="0.25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2026-08-03T14:51:55Z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