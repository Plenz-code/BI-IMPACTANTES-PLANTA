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736" documentId="13_ncr:1_{0A10D8D4-8450-4366-8075-B53B08E6B7EA}" xr6:coauthVersionLast="47" xr6:coauthVersionMax="47" xr10:uidLastSave="{2E52D89B-6699-45B7-B03D-B47CEAEA3DF2}"/>
  <bookViews>
    <workbookView xWindow="-28920" yWindow="-6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H349" i="6" s="1"/>
  <c r="J349" i="6" s="1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H349" i="5" s="1"/>
  <c r="J349" i="5" s="1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H349" i="4" s="1"/>
  <c r="J349" i="4" s="1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7" i="6" l="1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<sst xmlns="http://schemas.openxmlformats.org/spreadsheetml/2006/main" count="6153" uniqueCount="342">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</sst>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13" activePane="bottomLeft" state="frozen"/>
      <selection pane="bottomLeft" activeCell="F350" sqref="F35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290</v>
      </c>
      <c r="G351" s="36">
        <f>SUM(G339:G350)</f>
        <v>1450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522</v>
      </c>
      <c r="G352" s="40">
        <f>G338+G351</f>
        <v>2610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6" activePane="bottomLeft" state="frozen"/>
      <selection pane="bottomLeft" activeCell="G350" sqref="G35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0.13143356481305091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0.2703224537019398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0.35504467592416211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16</v>
      </c>
      <c r="H349" s="134">
        <f>IFERROR(IF($G349="","",$G349*$S$351/$G$351/Cadastro!$E$33),"")</f>
        <v>0</v>
      </c>
      <c r="I349" s="135">
        <f>IFERROR(IF($D349="","",VLOOKUP($D349,Cadastro!$C$4:$G$7,5,FALSE)),"")</f>
        <v>0.6</v>
      </c>
      <c r="J349" s="136">
        <f t="shared" si="78"/>
        <v>0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160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672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197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845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50" sqref="G35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6"/>
        <v>0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6"/>
        <v>0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6"/>
        <v>0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6"/>
        <v>0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4</v>
      </c>
      <c r="H349" s="134">
        <f>IFERROR(IF($G349="","",$G349*$S$351/$G$351/Cadastro!$E$33),"")</f>
        <v>0</v>
      </c>
      <c r="I349" s="135">
        <f>IFERROR(IF($D349="","",VLOOKUP($D349,Cadastro!$C$4:$G$7,5,FALSE)),"")</f>
        <v>0.6</v>
      </c>
      <c r="J349" s="136">
        <f t="shared" si="76"/>
        <v>0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56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235.20000000000005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117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532.20000000000005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G350" sqref="G35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105</v>
      </c>
      <c r="L347" s="33" t="s">
        <v>25</v>
      </c>
      <c r="M347" s="33" t="s">
        <v>62</v>
      </c>
      <c r="N347" s="33" t="s">
        <v>61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9</v>
      </c>
      <c r="H349" s="134">
        <f>IFERROR(IF($G349="","",$G349*$S$351/$G$351/Cadastro!$E$33),"")</f>
        <v>0</v>
      </c>
      <c r="I349" s="135">
        <f>IFERROR(IF($D349="","",VLOOKUP($D349,Cadastro!$C$4:$G$7,5,FALSE)),"")</f>
        <v>0.6</v>
      </c>
      <c r="J349" s="136">
        <f t="shared" si="78"/>
        <v>0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222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932.4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439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1900.6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2026-08-14T10:04:47Z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