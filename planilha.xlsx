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6948" documentId="13_ncr:1_{9DFDFEE8-78F7-4C04-B87C-99924EE6CC37}" xr6:coauthVersionLast="47" xr6:coauthVersionMax="47" xr10:uidLastSave="{9C501DD3-6F97-4A29-A7A3-9444BA80F724}"/>
  <bookViews>
    <workbookView xWindow="-108" yWindow="-108" windowWidth="23256" windowHeight="12456" tabRatio="500" firstSheet="3" activeTab="2" xr2:uid="{00000000-000D-0000-FFFF-FFFF00000000}"/>
  </bookViews>
  <sheets>
    <sheet name="Resumo" sheetId="1" r:id="rId1"/>
    <sheet name="Britador Móvel" sheetId="3" r:id="rId2"/>
    <sheet name="Britador" sheetId="4" r:id="rId3"/>
    <sheet name="Linha 1" sheetId="5" r:id="rId4"/>
    <sheet name="Linha 2" sheetId="6" r:id="rId5"/>
    <sheet name="Linha 3" sheetId="7" r:id="rId6"/>
    <sheet name="Movimentação Mina" sheetId="8" r:id="rId7"/>
    <sheet name="Planilha1" sheetId="9" state="hidden" r:id="rId8"/>
    <sheet name="Cadastro" sheetId="2" r:id="rId9"/>
  </sheets>
  <definedNames>
    <definedName name="_xlnm._FilterDatabase" localSheetId="6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<sst xmlns="http://schemas.openxmlformats.org/spreadsheetml/2006/main" count="4435" uniqueCount="1305">
  <si>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</si>
  <si>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</si>
  <si>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</si>
  <si>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</si>
  <si>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</si>
  <si>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</si>
  <si>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</si>
  <si>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</si>
  <si>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</si>
  <si>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</si>
  <si>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</si>
  <si>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</si>
  <si>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</si>
  <si>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</si>
  <si>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</si>
  <si>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</si>
  <si>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</si>
  <si>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Turno</t>
  </si>
  <si>
    <t>Hora do
Apontamento</t>
  </si>
  <si>
    <t>Supervisor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</si>
  <si>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</si>
  <si>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</si>
  <si>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</si>
  <si>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</si>
  <si>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</si>
  <si>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</si>
  <si>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</si>
  <si>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</si>
  <si>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</si>
  <si>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</si>
  <si>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</si>
  <si>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Tipo de Material</t>
  </si>
  <si>
    <t>Pá Carregadeira</t>
  </si>
  <si>
    <t>N° de Conchadas</t>
  </si>
  <si>
    <t>Produção Linha 3
(Hora a Hora)</t>
  </si>
  <si>
    <t>Tipo de Parada</t>
  </si>
  <si>
    <t>Equipamento</t>
  </si>
  <si>
    <t>Descrição do Apontamento</t>
  </si>
  <si>
    <t>Horário
Inicial</t>
  </si>
  <si>
    <t>Horário
Final</t>
  </si>
  <si>
    <t>Tempo Total
da Parada</t>
  </si>
  <si>
    <t>Totalizador
da Balança</t>
  </si>
  <si>
    <t>Douglas</t>
  </si>
  <si>
    <t>G0</t>
  </si>
  <si>
    <t>PC 19</t>
  </si>
  <si>
    <t>Corretiva mecânica</t>
  </si>
  <si>
    <t>Britador de facas</t>
  </si>
  <si>
    <t>Apertar parafuso do mancal</t>
  </si>
  <si>
    <t xml:space="preserve">troca dos dois parafuso do mancal </t>
  </si>
  <si>
    <t>Corretiva elétrica</t>
  </si>
  <si>
    <t>Queda de energia elétrica</t>
  </si>
  <si>
    <t>tc1 parou</t>
  </si>
  <si>
    <t>☀  TURNO DIURNO</t>
  </si>
  <si>
    <t>Totalizador da balança  ➜</t>
  </si>
  <si>
    <t>Victor</t>
  </si>
  <si>
    <t>Troca do motor da TC1</t>
  </si>
  <si>
    <t>troca de pino</t>
  </si>
  <si>
    <t>Lubrificação</t>
  </si>
  <si>
    <t>Troca de rolamento</t>
  </si>
  <si>
    <t>🌙  TURNO NOTURNO</t>
  </si>
  <si>
    <t>Totalizador global  ➜</t>
  </si>
  <si>
    <t>Operacional</t>
  </si>
  <si>
    <t>parada progamada</t>
  </si>
  <si>
    <t xml:space="preserve">instalação do motor da tc01 </t>
  </si>
  <si>
    <t>Teor médio de entrada</t>
  </si>
  <si>
    <t>Ponderamento da massa da balança (t)</t>
  </si>
  <si>
    <t>Recuperação da planta</t>
  </si>
  <si>
    <t>Ouro previsto (g)</t>
  </si>
  <si>
    <t>G1</t>
  </si>
  <si>
    <t>PC 17</t>
  </si>
  <si>
    <t>Preventiva</t>
  </si>
  <si>
    <t>Manutenção Programada</t>
  </si>
  <si>
    <t>Bomba de polpa 02 (6x4) CX 01</t>
  </si>
  <si>
    <t>Troca de correia da bomba</t>
  </si>
  <si>
    <t>arrebentou correia</t>
  </si>
  <si>
    <t>Troca de componente de desgaste</t>
  </si>
  <si>
    <t>Moinho de martelo 02</t>
  </si>
  <si>
    <t>Troca de martelo</t>
  </si>
  <si>
    <t>Material não britável no moinho (ferro / objeto estranho)</t>
  </si>
  <si>
    <t>troca de martelo mm2</t>
  </si>
  <si>
    <t>Moinho de martelo 01</t>
  </si>
  <si>
    <t>Martelo soltou</t>
  </si>
  <si>
    <t>Bomba de polpa 01 (8x6) CX 01</t>
  </si>
  <si>
    <t>Manutenção elétrica — falha ao partir</t>
  </si>
  <si>
    <t>Moinho de martelo 1 e 2</t>
  </si>
  <si>
    <t>forramento de moinho</t>
  </si>
  <si>
    <t>Marcos</t>
  </si>
  <si>
    <t xml:space="preserve">TROCA DE BOMBA </t>
  </si>
  <si>
    <t xml:space="preserve">TROCA DE MARTELO E 2 MANUTENÇÃO DE BALATA </t>
  </si>
  <si>
    <t xml:space="preserve">parada progamada </t>
  </si>
  <si>
    <t>Moinho de martelo 03</t>
  </si>
  <si>
    <t>Caixa de Polpa</t>
  </si>
  <si>
    <t>Ajuste do nível da caixa de polpa</t>
  </si>
  <si>
    <t>Janela de inspeção caiu</t>
  </si>
  <si>
    <t>13;41</t>
  </si>
  <si>
    <t>corrente alta / centrífuga parando</t>
  </si>
  <si>
    <t>troca de martelo 4 e 5</t>
  </si>
  <si>
    <t>Moinho de martelo 04</t>
  </si>
  <si>
    <t xml:space="preserve">solda nas grelhas </t>
  </si>
  <si>
    <t>Troca de grelha</t>
  </si>
  <si>
    <t>Moinho de bola 03</t>
  </si>
  <si>
    <t>Serviço de solda — outros</t>
  </si>
  <si>
    <t>solda na peneira do descarte</t>
  </si>
  <si>
    <t>trocad martelo 4 e 5</t>
  </si>
  <si>
    <t>Reposição de Grelha</t>
  </si>
  <si>
    <t>moinho de martelo 4 e 5</t>
  </si>
  <si>
    <t>Moinho de bola 04</t>
  </si>
  <si>
    <t xml:space="preserve">aperta parafuso do redutor </t>
  </si>
  <si>
    <t>Caixa de polpa cheia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</si>
  <si>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</si>
  <si>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</si>
  <si>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</si>
  <si>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</si>
  <si>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</si>
  <si>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</si>
  <si>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</si>
  <si>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</si>
  <si>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</si>
  <si>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</si>
  <si>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</si>
  <si>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</si>
  <si>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</si>
  <si>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</si>
  <si>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</si>
  <si>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</si>
  <si>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</si>
  <si>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</si>
  <si>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</si>
  <si>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</si>
  <si>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</si>
  <si>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</si>
  <si>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</si>
  <si>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</si>
  <si>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</si>
  <si>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</si>
  <si>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</si>
  <si>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</si>
  <si>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</si>
  <si>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</si>
  <si>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</si>
  <si>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</si>
  <si>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</si>
  <si>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</si>
  <si>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</si>
  <si>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</si>
  <si>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</si>
  <si>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</si>
  <si>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</si>
  <si>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</si>
  <si>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</si>
  <si>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</si>
  <si>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</si>
  <si>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</si>
  <si>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</si>
  <si>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</si>
  <si>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</si>
  <si>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</si>
  <si>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</si>
  <si>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</si>
  <si>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</si>
  <si>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</si>
  <si>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</si>
  <si>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</si>
  <si>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</si>
  <si>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</si>
  <si>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</si>
  <si>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</si>
  <si>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</si>
  <si>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</si>
  <si>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</si>
  <si>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</si>
  <si>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</si>
  <si>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</si>
  <si>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</si>
  <si>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</si>
  <si>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</si>
  <si>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</si>
  <si>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</si>
  <si>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</si>
  <si>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</si>
  <si>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</si>
  <si>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</si>
  <si>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</si>
  <si>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</si>
  <si>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</si>
  <si>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</si>
  <si>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</si>
  <si>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</si>
  <si>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</si>
  <si>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</si>
  <si>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</si>
  <si>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</si>
  <si>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</si>
  <si>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</si>
  <si>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</si>
  <si>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</si>
  <si>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</si>
  <si>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</si>
  <si>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</si>
  <si>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</si>
  <si>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</si>
  <si>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</si>
  <si>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</si>
  <si>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</si>
  <si>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</si>
  <si>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</si>
  <si>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</si>
  <si>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</si>
  <si>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</si>
  <si>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</si>
  <si>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</si>
  <si>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</si>
  <si>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</si>
  <si>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</si>
  <si>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</si>
  <si>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</si>
  <si>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</si>
  <si>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</si>
  <si>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</si>
  <si>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</si>
  <si>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</si>
  <si>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</si>
  <si>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</si>
  <si>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</si>
  <si>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</si>
  <si>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</si>
  <si>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</si>
  <si>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</si>
  <si>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</si>
  <si>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G3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</si>
  <si>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</si>
  <si>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</si>
  <si>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</si>
  <si>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</si>
  <si>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</si>
  <si>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</si>
  <si>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</si>
  <si>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</si>
  <si>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</si>
  <si>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</si>
  <si>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</si>
  <si>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</si>
  <si>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</si>
  <si>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</si>
  <si>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</si>
  <si>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</si>
  <si>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</si>
  <si>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</si>
  <si>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</si>
  <si>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</si>
  <si>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</si>
  <si>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</si>
  <si>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</si>
  <si>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</si>
  <si>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</si>
  <si>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</si>
  <si>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</si>
  <si>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</si>
  <si>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</si>
  <si>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</si>
  <si>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</si>
  <si>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</si>
  <si>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</si>
  <si>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</si>
  <si>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</si>
  <si>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</si>
  <si>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</si>
  <si>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</si>
  <si>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</si>
  <si>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</si>
  <si>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</si>
  <si>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</si>
  <si>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</si>
  <si>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</si>
  <si>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</si>
  <si>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</si>
  <si>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</si>
  <si>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</si>
  <si>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</si>
  <si>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</si>
  <si>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</si>
  <si>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</si>
  <si>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</si>
  <si>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</si>
  <si>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</si>
  <si>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</si>
  <si>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</si>
  <si>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</si>
  <si>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</si>
  <si>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</si>
  <si>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</si>
  <si>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</si>
  <si>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</si>
  <si>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</si>
  <si>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</si>
  <si>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</si>
  <si>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</si>
  <si>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</si>
  <si>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</si>
  <si>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</si>
  <si>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</si>
  <si>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</si>
  <si>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</si>
  <si>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</si>
  <si>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</si>
  <si>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</si>
  <si>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</si>
  <si>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</si>
  <si>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</si>
  <si>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</si>
  <si>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</si>
  <si>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</si>
  <si>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</si>
  <si>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</si>
  <si>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</si>
  <si>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</si>
  <si>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</si>
  <si>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</si>
  <si>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</si>
  <si>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</si>
  <si>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</si>
  <si>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</si>
  <si>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</si>
  <si>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</si>
  <si>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</si>
  <si>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</si>
  <si>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</si>
  <si>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</si>
  <si>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</si>
  <si>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</si>
  <si>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</si>
  <si>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</si>
  <si>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</si>
  <si>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</si>
  <si>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</si>
  <si>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</si>
  <si>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</si>
  <si>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</si>
  <si>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</si>
  <si>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</si>
  <si>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</si>
  <si>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</si>
  <si>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</si>
  <si>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</si>
  <si>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</si>
  <si>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</si>
  <si>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</si>
  <si>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</si>
  <si>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</si>
  <si>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</si>
  <si>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</si>
  <si>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</si>
  <si>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</si>
  <si>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</si>
  <si>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</si>
  <si>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</si>
  <si>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</si>
  <si>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</si>
  <si>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</si>
  <si>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</si>
  <si>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</si>
  <si>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</si>
  <si>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</si>
  <si>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</si>
  <si>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</si>
  <si>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</si>
  <si>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</si>
  <si>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</si>
  <si>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</si>
  <si>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</si>
  <si>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</si>
  <si>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</si>
  <si>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</si>
  <si>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</si>
  <si>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</si>
  <si>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</si>
  <si>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</si>
  <si>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</si>
  <si>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</si>
  <si>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</si>
  <si>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</si>
  <si>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</si>
  <si>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</si>
  <si>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</si>
  <si>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</si>
  <si>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</si>
  <si>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</si>
  <si>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</si>
  <si>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</si>
  <si>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</si>
  <si>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</si>
  <si>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</si>
  <si>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</si>
  <si>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</si>
  <si>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</si>
  <si>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</si>
  <si>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</si>
  <si>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</si>
  <si>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</si>
  <si>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</si>
  <si>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</si>
  <si>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</si>
  <si>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</si>
  <si>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</si>
  <si>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</si>
  <si>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</si>
  <si>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</si>
  <si>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</si>
  <si>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</si>
  <si>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</si>
  <si>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</si>
  <si>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</si>
  <si>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</si>
  <si>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</si>
  <si>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</si>
  <si>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</si>
  <si>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</si>
  <si>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</si>
  <si>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</si>
  <si>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</si>
  <si>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</si>
  <si>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</si>
  <si>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</si>
  <si>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</si>
  <si>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</si>
  <si>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</si>
  <si>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</si>
  <si>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</si>
  <si>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</si>
  <si>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</si>
  <si>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</si>
  <si>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</si>
  <si>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</si>
  <si>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</si>
  <si>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</si>
  <si>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</si>
  <si>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</si>
  <si>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</si>
  <si>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</si>
  <si>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</si>
  <si>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</si>
  <si>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</si>
  <si>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</si>
  <si>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</si>
  <si>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</si>
  <si>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</si>
  <si>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</si>
  <si>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</si>
  <si>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</si>
  <si>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</si>
  <si>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</si>
  <si>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</si>
  <si>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</si>
  <si>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</si>
  <si>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</si>
  <si>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</si>
  <si>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</si>
  <si>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</si>
  <si>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</si>
  <si>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</si>
  <si>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</si>
  <si>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</si>
  <si>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</si>
  <si>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</si>
  <si>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</si>
  <si>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</si>
  <si>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</si>
  <si>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</si>
  <si>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</si>
  <si>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</si>
  <si>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</si>
  <si>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</si>
  <si>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</si>
  <si>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</si>
  <si>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</si>
  <si>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</si>
  <si>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</si>
  <si>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</si>
  <si>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</si>
  <si>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</si>
  <si>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</si>
  <si>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</si>
  <si>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</si>
  <si>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</si>
  <si>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</si>
  <si>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</si>
  <si>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</si>
  <si>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</si>
  <si>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</si>
  <si>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</si>
  <si>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</si>
  <si>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</si>
  <si>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</si>
  <si>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</si>
  <si>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</si>
  <si>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</si>
  <si>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</si>
  <si>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</si>
  <si>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</si>
  <si>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</si>
  <si>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</si>
  <si>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</si>
  <si>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</si>
  <si>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</si>
  <si>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</si>
  <si>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</si>
  <si>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</si>
  <si>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</si>
  <si>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</si>
  <si>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</si>
  <si>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</si>
  <si>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</si>
  <si>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</si>
  <si>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</si>
  <si>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</si>
  <si>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</si>
  <si>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</si>
  <si>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</si>
  <si>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</si>
  <si>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</si>
  <si>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</si>
  <si>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</si>
  <si>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</si>
  <si>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</si>
  <si>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</si>
  <si>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</si>
  <si>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</si>
  <si>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</si>
  <si>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</si>
  <si>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</si>
  <si>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</si>
  <si>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</si>
  <si>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</si>
  <si>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</si>
  <si>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</si>
  <si>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</si>
  <si>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</si>
  <si>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</si>
  <si>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</si>
  <si>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</si>
  <si>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</si>
  <si>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</si>
  <si>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</si>
  <si>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</si>
  <si>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</si>
  <si>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</si>
  <si>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</si>
  <si>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</si>
  <si>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</si>
  <si>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</si>
  <si>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</si>
  <si>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</si>
  <si>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</si>
  <si>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</si>
  <si>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</si>
  <si>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</si>
  <si>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</si>
  <si>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</si>
  <si>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G2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</si>
  <si>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</si>
  <si>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</si>
  <si>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</si>
  <si>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</si>
  <si>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</si>
  <si>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</si>
  <si>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</si>
  <si>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</si>
  <si>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</si>
  <si>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</si>
  <si>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</si>
  <si>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</si>
  <si>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</si>
  <si>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</si>
  <si>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</si>
  <si>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</si>
  <si>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</si>
  <si>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</si>
  <si>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</si>
  <si>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</si>
  <si>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</si>
  <si>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</si>
  <si>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</si>
  <si>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</si>
  <si>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</si>
  <si>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</si>
  <si>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</si>
  <si>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</si>
  <si>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</si>
  <si>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</si>
  <si>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</si>
  <si>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</si>
  <si>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</si>
  <si>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</si>
  <si>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</si>
  <si>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</si>
  <si>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</si>
  <si>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</si>
  <si>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</si>
  <si>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</si>
  <si>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</si>
  <si>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</si>
  <si>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</si>
  <si>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</si>
  <si>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</si>
  <si>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</si>
  <si>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</si>
  <si>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</si>
  <si>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</si>
  <si>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</si>
  <si>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</si>
  <si>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</si>
  <si>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</si>
  <si>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</si>
  <si>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</si>
  <si>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</si>
  <si>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</si>
  <si>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</si>
  <si>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</si>
  <si>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</si>
  <si>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</si>
  <si>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</si>
  <si>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</si>
  <si>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</si>
  <si>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</si>
  <si>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</si>
  <si>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</si>
  <si>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</si>
  <si>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</si>
  <si>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</si>
  <si>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</si>
  <si>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</si>
  <si>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</si>
  <si>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</si>
  <si>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</si>
  <si>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</si>
  <si>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</si>
  <si>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</si>
  <si>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</si>
  <si>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</si>
  <si>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</si>
  <si>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</si>
  <si>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</si>
  <si>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</si>
  <si>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</si>
  <si>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</si>
  <si>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</si>
  <si>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</si>
  <si>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</si>
  <si>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</si>
  <si>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</si>
  <si>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</si>
  <si>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</si>
  <si>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</si>
  <si>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</si>
  <si>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</si>
  <si>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</si>
  <si>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</si>
  <si>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</si>
  <si>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</si>
  <si>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</si>
  <si>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</si>
  <si>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</si>
  <si>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</si>
  <si>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</si>
  <si>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</si>
  <si>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</si>
  <si>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</si>
  <si>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</si>
  <si>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</si>
  <si>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</si>
  <si>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</si>
  <si>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</si>
  <si>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</si>
  <si>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</si>
  <si>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</si>
  <si>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</si>
  <si>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</si>
  <si>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</si>
  <si>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</si>
  <si>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</si>
  <si>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</si>
  <si>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</si>
  <si>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</si>
  <si>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</si>
  <si>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</si>
  <si>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</si>
  <si>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</si>
  <si>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</si>
  <si>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</si>
  <si>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</si>
  <si>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</si>
  <si>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</si>
  <si>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</si>
  <si>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</si>
  <si>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</si>
  <si>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</si>
  <si>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</si>
  <si>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</si>
  <si>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</si>
  <si>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</si>
  <si>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</si>
  <si>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</si>
  <si>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</si>
  <si>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</si>
  <si>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</si>
  <si>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</si>
  <si>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</si>
  <si>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</si>
  <si>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</si>
  <si>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</si>
  <si>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</si>
  <si>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</si>
  <si>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</si>
  <si>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</si>
  <si>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</si>
  <si>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</si>
  <si>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</si>
  <si>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</si>
  <si>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</si>
  <si>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</si>
  <si>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</si>
  <si>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</si>
  <si>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</si>
  <si>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</si>
  <si>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</si>
  <si>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</si>
  <si>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</si>
  <si>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</si>
  <si>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</si>
  <si>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</si>
  <si>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</si>
  <si>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</si>
  <si>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</si>
  <si>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</si>
  <si>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</si>
  <si>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</si>
  <si>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</si>
  <si>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</si>
  <si>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</si>
  <si>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</si>
  <si>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</si>
  <si>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</si>
  <si>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</si>
  <si>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</si>
  <si>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</si>
  <si>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</si>
  <si>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</si>
  <si>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</si>
  <si>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</si>
  <si>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</si>
  <si>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</si>
  <si>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</si>
  <si>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</si>
  <si>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</si>
  <si>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</si>
  <si>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</si>
  <si>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</si>
  <si>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</si>
  <si>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</si>
  <si>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</si>
  <si>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</si>
  <si>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</si>
  <si>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</si>
  <si>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</si>
  <si>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</si>
  <si>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</si>
  <si>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</si>
  <si>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</si>
  <si>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</si>
  <si>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</si>
  <si>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</si>
  <si>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</si>
  <si>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</si>
  <si>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</si>
  <si>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</si>
  <si>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</si>
  <si>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</si>
  <si>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</si>
  <si>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</si>
  <si>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</si>
  <si>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</si>
  <si>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</si>
  <si>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</si>
  <si>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</si>
  <si>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</si>
  <si>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</si>
  <si>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</si>
  <si>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</si>
  <si>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</si>
  <si>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</si>
  <si>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</si>
  <si>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</si>
  <si>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</si>
  <si>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</si>
  <si>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</si>
  <si>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</si>
  <si>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</si>
  <si>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</si>
  <si>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</si>
  <si>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</si>
  <si>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</si>
  <si>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</si>
  <si>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</si>
  <si>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</si>
  <si>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</si>
  <si>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</si>
  <si>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</si>
  <si>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</si>
  <si>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</si>
  <si>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</si>
  <si>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</si>
  <si>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</si>
  <si>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</si>
  <si>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</si>
  <si>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</si>
  <si>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</si>
  <si>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</si>
  <si>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</si>
  <si>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</si>
  <si>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</si>
  <si>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</si>
  <si>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</si>
  <si>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</si>
  <si>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</si>
  <si>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</si>
  <si>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</si>
  <si>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</si>
  <si>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</si>
  <si>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</si>
  <si>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</si>
  <si>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</si>
  <si>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</si>
  <si>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</si>
  <si>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</si>
  <si>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</si>
  <si>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</si>
  <si>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</si>
  <si>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</si>
  <si>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</si>
  <si>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</si>
  <si>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</si>
  <si>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</si>
  <si>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</si>
  <si>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</si>
  <si>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</si>
  <si>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</si>
  <si>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</si>
  <si>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</si>
  <si>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</si>
  <si>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</si>
  <si>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</si>
  <si>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</si>
  <si>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</si>
  <si>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</si>
  <si>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</si>
  <si>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</si>
  <si>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</si>
  <si>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</si>
  <si>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</si>
  <si>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</si>
  <si>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</si>
  <si>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</si>
  <si>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</si>
  <si>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</si>
  <si>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</si>
  <si>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</si>
  <si>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</si>
  <si>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</si>
  <si>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</si>
  <si>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</si>
  <si>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</si>
  <si>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</si>
  <si>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</si>
  <si>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</si>
  <si>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</si>
  <si>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</si>
  <si>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</si>
  <si>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</si>
  <si>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</si>
  <si>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</si>
  <si>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</si>
  <si>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</si>
  <si>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</si>
  <si>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</si>
  <si>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</si>
  <si>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</si>
  <si>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</si>
  <si>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</si>
  <si>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</si>
  <si>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</si>
  <si>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</si>
  <si>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</si>
  <si>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</si>
  <si>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</si>
  <si>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</si>
  <si>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</si>
  <si>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</si>
  <si>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</si>
  <si>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</si>
  <si>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</si>
  <si>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</si>
  <si>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</si>
  <si>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</si>
  <si>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</si>
  <si>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</si>
  <si>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</si>
  <si>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</si>
  <si>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</si>
  <si>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</si>
  <si>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</si>
  <si>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</si>
  <si>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</si>
  <si>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</si>
  <si>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</si>
  <si>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</si>
  <si>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</si>
  <si>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</si>
  <si>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</si>
  <si>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</si>
  <si>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</si>
  <si>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</si>
  <si>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</si>
  <si>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</si>
  <si>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</si>
  <si>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</si>
  <si>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</si>
  <si>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</si>
  <si>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</si>
  <si>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</si>
  <si>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</si>
  <si>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</si>
  <si>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</si>
  <si>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</si>
  <si>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</si>
  <si>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</si>
  <si>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</si>
  <si>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</si>
  <si>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</si>
  <si>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</si>
  <si>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</si>
  <si>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</si>
  <si>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</si>
  <si>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</si>
  <si>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</si>
  <si>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</si>
  <si>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</si>
  <si>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</si>
  <si>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</si>
  <si>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</si>
  <si>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</si>
  <si>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</si>
  <si>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</si>
  <si>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</si>
  <si>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</si>
  <si>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</si>
  <si>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</si>
  <si>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</si>
  <si>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</si>
  <si>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</si>
  <si>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</si>
  <si>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</si>
  <si>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</si>
  <si>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</si>
  <si>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</si>
  <si>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</si>
  <si>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</si>
  <si>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</si>
  <si>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</si>
  <si>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</si>
  <si>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</si>
  <si>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</si>
  <si>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</si>
  <si>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</si>
  <si>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</si>
  <si>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</si>
  <si>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</si>
  <si>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</si>
  <si>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</si>
  <si>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</si>
  <si>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</si>
  <si>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</si>
  <si>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</si>
  <si>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</si>
  <si>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</si>
  <si>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</si>
  <si>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</si>
  <si>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</si>
  <si>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</si>
  <si>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</si>
  <si>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</si>
  <si>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</si>
  <si>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</si>
  <si>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</si>
  <si>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</si>
  <si>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</si>
  <si>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</si>
  <si>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</si>
  <si>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</si>
  <si>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</si>
  <si>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</si>
  <si>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</si>
  <si>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</si>
  <si>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</si>
  <si>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</si>
  <si>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</si>
  <si>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</si>
  <si>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</si>
  <si>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</si>
  <si>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</si>
  <si>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</si>
  <si>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</si>
  <si>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</si>
  <si>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</si>
  <si>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</si>
  <si>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</si>
  <si>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</si>
  <si>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</si>
  <si>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</si>
  <si>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</si>
  <si>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</si>
  <si>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</si>
  <si>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</si>
  <si>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</si>
  <si>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</si>
  <si>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</si>
  <si>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</si>
  <si>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</si>
  <si>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</si>
  <si>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</si>
  <si>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</si>
  <si>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</si>
  <si>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</si>
  <si>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</si>
  <si>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</si>
  <si>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</si>
  <si>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</si>
  <si>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</si>
  <si>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</si>
  <si>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</si>
  <si>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</si>
  <si>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</si>
  <si>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</si>
  <si>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</si>
  <si>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</si>
  <si>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</si>
  <si>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</si>
  <si>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</si>
  <si>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</si>
  <si>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</si>
  <si>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</si>
  <si>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</si>
  <si>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</si>
  <si>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</si>
  <si>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</si>
  <si>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</si>
  <si>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</si>
  <si>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</si>
  <si>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</si>
  <si>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</si>
  <si>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</si>
  <si>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</si>
  <si>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</si>
  <si>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</si>
  <si>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</si>
  <si>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</si>
  <si>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</si>
  <si>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</si>
  <si>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</si>
  <si>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</si>
  <si>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</si>
  <si>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</si>
  <si>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</si>
  <si>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</si>
  <si>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</si>
  <si>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</si>
  <si>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</si>
  <si>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</si>
  <si>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</si>
  <si>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</si>
  <si>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</si>
  <si>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</si>
  <si>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</si>
  <si>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</si>
  <si>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</si>
  <si>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</si>
  <si>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</si>
  <si>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</si>
  <si>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</si>
  <si>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</si>
  <si>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</si>
  <si>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</si>
  <si>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</si>
  <si>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</si>
  <si>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</si>
  <si>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</si>
  <si>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</si>
  <si>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</si>
  <si>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</si>
  <si>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</si>
  <si>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</si>
  <si>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</si>
  <si>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</si>
  <si>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</si>
  <si>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</si>
  <si>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</si>
  <si>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</si>
  <si>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</si>
  <si>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</si>
  <si>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</si>
  <si>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</si>
  <si>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</si>
  <si>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</si>
  <si>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</si>
  <si>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</si>
  <si>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</si>
  <si>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</si>
  <si>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</si>
  <si>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</si>
  <si>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</si>
  <si>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</si>
  <si>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</si>
  <si>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</si>
  <si>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</si>
  <si>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</si>
  <si>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</si>
  <si>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</si>
  <si>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</si>
  <si>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</si>
  <si>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</si>
  <si>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📋  CADASTRO DE OPÇÕES — LISTAS DE SELEÇÃO</t>
  </si>
  <si>
    <t>📌  DESCRIÇÕES POR TIPO DE PARADA  (listas dependentes — )</t>
  </si>
  <si>
    <t>Manutenção preventiva programada</t>
  </si>
  <si>
    <t>Obstrução no ciclone ou hidrociclone</t>
  </si>
  <si>
    <t>Obstrução de bica do moinho</t>
  </si>
  <si>
    <t>Lubrificação de rolamento / mancal</t>
  </si>
  <si>
    <t>Motor queimado / superaquecido</t>
  </si>
  <si>
    <t>Obstrução interna do moinho</t>
  </si>
  <si>
    <t>Antônio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</si>
  <si>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</si>
  <si>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</si>
  <si>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</si>
  <si>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</si>
  <si>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</si>
  <si>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G4</t>
  </si>
  <si>
    <t>Aperto de parafusos do mancal</t>
  </si>
  <si>
    <t>Troca de balata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</si>
  <si>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</si>
  <si>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</si>
  <si>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</si>
  <si>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</si>
  <si>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</si>
  <si>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</si>
  <si>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</si>
  <si>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</si>
  <si>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Pedra grande presa na boca / bica do moinho</t>
  </si>
  <si>
    <t>Alimentadora de correia 01</t>
  </si>
  <si>
    <t>BRITAGEM PARADA QUEBROU O ROLETE DA TC 2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</si>
  <si>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</si>
  <si>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</si>
  <si>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</si>
  <si>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</si>
  <si>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</si>
  <si>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</si>
  <si>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</si>
  <si>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</si>
  <si>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Alimentadora de correia 03</t>
  </si>
  <si>
    <t>Recolocado saco do moinho</t>
  </si>
  <si>
    <t>Falha na guilhotina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</si>
  <si>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</si>
  <si>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</si>
  <si>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</si>
  <si>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</si>
  <si>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</si>
  <si>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</si>
  <si>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</si>
  <si>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</si>
  <si>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</si>
  <si>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</si>
  <si>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</si>
  <si>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</si>
  <si>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</si>
  <si>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</si>
  <si>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</si>
  <si>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</si>
  <si>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</si>
  <si>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</si>
  <si>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</si>
  <si>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</si>
  <si>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</si>
  <si>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</si>
  <si>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</si>
  <si>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</si>
  <si>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</si>
  <si>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</si>
  <si>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</si>
  <si>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</si>
  <si>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</si>
  <si>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</si>
  <si>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</si>
  <si>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</si>
  <si>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</si>
  <si>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</si>
  <si>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</si>
  <si>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</si>
  <si>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</si>
  <si>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</si>
  <si>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</si>
  <si>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</si>
  <si>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</si>
  <si>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</si>
  <si>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</si>
  <si>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</si>
  <si>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</si>
  <si>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</si>
  <si>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</si>
  <si>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</si>
  <si>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</si>
  <si>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Obstrução bica</t>
  </si>
  <si>
    <t>Troca de motor-redutor</t>
  </si>
  <si>
    <t>Obstrução</t>
  </si>
  <si>
    <t>Troca de motor</t>
  </si>
  <si>
    <t>Engaiolamento de mataco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</si>
  <si>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</si>
  <si>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</si>
  <si>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</si>
  <si>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</si>
  <si>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</si>
  <si>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</si>
  <si>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</si>
  <si>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</si>
  <si>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</si>
  <si>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</si>
  <si>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</si>
  <si>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</si>
  <si>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</si>
  <si>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</si>
  <si>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</si>
  <si>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</si>
  <si>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</si>
  <si>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</si>
  <si>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</si>
  <si>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faze um sevico de solda na bica</t>
  </si>
  <si>
    <t xml:space="preserve">troca do rolamento do volante </t>
  </si>
  <si>
    <t>falta de material</t>
  </si>
  <si>
    <t>Troca de volante</t>
  </si>
  <si>
    <t>Moinho vibrando</t>
  </si>
  <si>
    <t>bomba de água limpa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</si>
  <si>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</si>
  <si>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</si>
  <si>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</si>
  <si>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</si>
  <si>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</si>
  <si>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</si>
  <si>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</si>
  <si>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</si>
  <si>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</si>
  <si>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</si>
  <si>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</si>
  <si>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</si>
  <si>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</si>
  <si>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</si>
  <si>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</si>
  <si>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</si>
  <si>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</si>
  <si>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</si>
  <si>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</si>
  <si>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</si>
  <si>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</si>
  <si>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</si>
  <si>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</si>
  <si>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</si>
  <si>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</si>
  <si>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</si>
  <si>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</si>
  <si>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</si>
  <si>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</si>
  <si>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</si>
  <si>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</si>
  <si>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</si>
  <si>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</si>
  <si>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</si>
  <si>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</si>
  <si>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</si>
  <si>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</si>
  <si>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</si>
  <si>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</si>
  <si>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</si>
  <si>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</si>
  <si>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</si>
  <si>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</si>
  <si>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</si>
  <si>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</si>
  <si>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</si>
  <si>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</si>
  <si>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</si>
  <si>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</si>
  <si>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</si>
  <si>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</si>
  <si>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</si>
  <si>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</si>
  <si>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</si>
  <si>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</si>
  <si>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</si>
  <si>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</si>
  <si>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troca de correia da centrifuga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</si>
</sst>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H2" sqref="H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0</v>
      </c>
      <c r="D5" s="26">
        <f>IFERROR('Linha 1'!S55,"")</f>
        <v>0</v>
      </c>
      <c r="E5" s="26">
        <f>IFERROR('Linha 2'!S55,"")</f>
        <v>0</v>
      </c>
      <c r="F5" s="26">
        <f>IFERROR('Linha 3'!S55,"")</f>
        <v>0</v>
      </c>
      <c r="G5" s="27">
        <f t="shared" si="0"/>
        <v>0</v>
      </c>
      <c r="H5" s="21">
        <f>IFERROR('Linha 1'!T55+'Linha 2'!T55+'Linha 3'!T55,0)</f>
        <v>0</v>
      </c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3101200</v>
      </c>
      <c r="D35" s="31">
        <f t="shared" si="2"/>
        <v>872690</v>
      </c>
      <c r="E35" s="31">
        <f t="shared" si="2"/>
        <v>294380</v>
      </c>
      <c r="F35" s="31">
        <f t="shared" si="2"/>
        <v>1391160</v>
      </c>
      <c r="G35" s="31">
        <f t="shared" si="2"/>
        <v>2558230</v>
      </c>
      <c r="H35" s="32">
        <f>IFERROR(SUM(H4:H34),"")</f>
        <v>720.4050608695652</v>
      </c>
      <c r="I35" s="32">
        <f>IFERROR(SUM(I4:I34),"")</f>
        <v>0</v>
      </c>
      <c r="J35" s="33" t="str">
        <f>IFERROR(IF(OR(H35="",I35="",H35=0,I35=0),"",MIN(H35,I35)/MAX(H35,I35)),"")</f>
        <v/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nYRhyhbJIC7HN+eRi0R4N/0hXkSyPNEydN9TkZ/4NImoi7oJEwiwzycdYU38+eaoZW7imc/YPNLy8LJ5eXUNYg==" saltValue="lgbm4z4d61FsgqL8xVUdI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17</v>
      </c>
      <c r="C1" s="54" t="s">
        <v>18</v>
      </c>
      <c r="D1" s="54" t="s">
        <v>19</v>
      </c>
      <c r="E1" s="54" t="s">
        <v>20</v>
      </c>
      <c r="F1" s="54" t="s">
        <v>21</v>
      </c>
      <c r="G1" s="54" t="s">
        <v>22</v>
      </c>
      <c r="H1" s="54" t="s">
        <v>23</v>
      </c>
      <c r="I1" s="54" t="s">
        <v>24</v>
      </c>
      <c r="J1" s="54" t="s">
        <v>25</v>
      </c>
      <c r="K1" s="54" t="s">
        <v>26</v>
      </c>
    </row>
    <row r="2" spans="1:11" ht="15.75" customHeight="1">
      <c r="A2" s="55">
        <v>46235</v>
      </c>
      <c r="B2" s="56" t="s">
        <v>27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28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2" t="s">
        <v>29</v>
      </c>
      <c r="B4" s="172"/>
      <c r="C4" s="172"/>
      <c r="D4" s="172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27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28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2" t="s">
        <v>29</v>
      </c>
      <c r="B7" s="172"/>
      <c r="C7" s="172"/>
      <c r="D7" s="172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27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28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2" t="s">
        <v>29</v>
      </c>
      <c r="B10" s="172"/>
      <c r="C10" s="172"/>
      <c r="D10" s="172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27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28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2" t="s">
        <v>29</v>
      </c>
      <c r="B13" s="172"/>
      <c r="C13" s="172"/>
      <c r="D13" s="172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27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28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2" t="s">
        <v>29</v>
      </c>
      <c r="B16" s="172"/>
      <c r="C16" s="172"/>
      <c r="D16" s="172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27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28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2" t="s">
        <v>29</v>
      </c>
      <c r="B19" s="172"/>
      <c r="C19" s="172"/>
      <c r="D19" s="172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27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28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2" t="s">
        <v>29</v>
      </c>
      <c r="B22" s="172"/>
      <c r="C22" s="172"/>
      <c r="D22" s="172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27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28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2" t="s">
        <v>29</v>
      </c>
      <c r="B25" s="172"/>
      <c r="C25" s="172"/>
      <c r="D25" s="172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27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28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2" t="s">
        <v>29</v>
      </c>
      <c r="B28" s="172"/>
      <c r="C28" s="172"/>
      <c r="D28" s="172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27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28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2" t="s">
        <v>29</v>
      </c>
      <c r="B31" s="172"/>
      <c r="C31" s="172"/>
      <c r="D31" s="172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27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28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2" t="s">
        <v>29</v>
      </c>
      <c r="B34" s="172"/>
      <c r="C34" s="172"/>
      <c r="D34" s="172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27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28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2" t="s">
        <v>29</v>
      </c>
      <c r="B37" s="172"/>
      <c r="C37" s="172"/>
      <c r="D37" s="172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27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28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2" t="s">
        <v>29</v>
      </c>
      <c r="B40" s="172"/>
      <c r="C40" s="172"/>
      <c r="D40" s="172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27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28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2" t="s">
        <v>29</v>
      </c>
      <c r="B43" s="172"/>
      <c r="C43" s="172"/>
      <c r="D43" s="172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27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28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2" t="s">
        <v>29</v>
      </c>
      <c r="B46" s="172"/>
      <c r="C46" s="172"/>
      <c r="D46" s="172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27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28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2" t="s">
        <v>29</v>
      </c>
      <c r="B49" s="172"/>
      <c r="C49" s="172"/>
      <c r="D49" s="172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27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28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2" t="s">
        <v>29</v>
      </c>
      <c r="B52" s="172"/>
      <c r="C52" s="172"/>
      <c r="D52" s="172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27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28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2" t="s">
        <v>29</v>
      </c>
      <c r="B55" s="172"/>
      <c r="C55" s="172"/>
      <c r="D55" s="172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27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28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2" t="s">
        <v>29</v>
      </c>
      <c r="B58" s="172"/>
      <c r="C58" s="172"/>
      <c r="D58" s="172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27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28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2" t="s">
        <v>29</v>
      </c>
      <c r="B61" s="172"/>
      <c r="C61" s="172"/>
      <c r="D61" s="172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27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28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2" t="s">
        <v>29</v>
      </c>
      <c r="B64" s="172"/>
      <c r="C64" s="172"/>
      <c r="D64" s="172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27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28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2" t="s">
        <v>29</v>
      </c>
      <c r="B67" s="172"/>
      <c r="C67" s="172"/>
      <c r="D67" s="172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27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28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2" t="s">
        <v>29</v>
      </c>
      <c r="B70" s="172"/>
      <c r="C70" s="172"/>
      <c r="D70" s="172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27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28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2" t="s">
        <v>29</v>
      </c>
      <c r="B73" s="172"/>
      <c r="C73" s="172"/>
      <c r="D73" s="172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27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28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2" t="s">
        <v>29</v>
      </c>
      <c r="B76" s="172"/>
      <c r="C76" s="172"/>
      <c r="D76" s="172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27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28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2" t="s">
        <v>29</v>
      </c>
      <c r="B79" s="172"/>
      <c r="C79" s="172"/>
      <c r="D79" s="172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27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28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2" t="s">
        <v>29</v>
      </c>
      <c r="B82" s="172"/>
      <c r="C82" s="172"/>
      <c r="D82" s="172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27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28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2" t="s">
        <v>29</v>
      </c>
      <c r="B85" s="172"/>
      <c r="C85" s="172"/>
      <c r="D85" s="172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27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28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2" t="s">
        <v>29</v>
      </c>
      <c r="B88" s="172"/>
      <c r="C88" s="172"/>
      <c r="D88" s="172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27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28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2" t="s">
        <v>29</v>
      </c>
      <c r="B91" s="172"/>
      <c r="C91" s="172"/>
      <c r="D91" s="172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27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28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2" t="s">
        <v>29</v>
      </c>
      <c r="B94" s="172"/>
      <c r="C94" s="172"/>
      <c r="D94" s="172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21" activePane="bottomLeft" state="frozen"/>
      <selection pane="bottomLeft" activeCell="N34" sqref="N34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30</v>
      </c>
      <c r="C1" s="72" t="s">
        <v>19</v>
      </c>
      <c r="D1" s="71" t="s">
        <v>31</v>
      </c>
      <c r="E1" s="71" t="s">
        <v>32</v>
      </c>
      <c r="F1" s="72" t="s">
        <v>33</v>
      </c>
      <c r="G1" s="72" t="s">
        <v>34</v>
      </c>
      <c r="H1" s="72" t="s">
        <v>35</v>
      </c>
      <c r="I1" s="72" t="s">
        <v>36</v>
      </c>
      <c r="J1" s="72" t="s">
        <v>37</v>
      </c>
      <c r="K1" s="72" t="s">
        <v>38</v>
      </c>
      <c r="L1" s="72" t="s">
        <v>39</v>
      </c>
      <c r="M1" s="73" t="s">
        <v>40</v>
      </c>
      <c r="N1" s="72" t="s">
        <v>26</v>
      </c>
      <c r="O1" s="72" t="s">
        <v>41</v>
      </c>
    </row>
    <row r="2" spans="1:15" ht="15" customHeight="1">
      <c r="A2" s="74">
        <v>46266</v>
      </c>
      <c r="B2" s="75">
        <v>0.33333333333333298</v>
      </c>
      <c r="C2" s="76" t="s">
        <v>42</v>
      </c>
      <c r="D2" s="69" t="s">
        <v>43</v>
      </c>
      <c r="E2" s="77" t="s">
        <v>44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45</v>
      </c>
      <c r="I2" s="76" t="s">
        <v>46</v>
      </c>
      <c r="J2" s="76" t="s">
        <v>47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48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42</v>
      </c>
      <c r="D3" s="77" t="s">
        <v>43</v>
      </c>
      <c r="E3" s="77" t="s">
        <v>44</v>
      </c>
      <c r="F3" s="78">
        <v>20</v>
      </c>
      <c r="G3" s="84">
        <f t="shared" si="0"/>
        <v>100</v>
      </c>
      <c r="H3" s="85" t="s">
        <v>49</v>
      </c>
      <c r="I3" s="85"/>
      <c r="J3" s="85" t="s">
        <v>50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51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42</v>
      </c>
      <c r="D4" s="77" t="s">
        <v>43</v>
      </c>
      <c r="E4" s="77" t="s">
        <v>44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42</v>
      </c>
      <c r="D5" s="77" t="s">
        <v>43</v>
      </c>
      <c r="E5" s="77" t="s">
        <v>44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42</v>
      </c>
      <c r="D6" s="77" t="s">
        <v>43</v>
      </c>
      <c r="E6" s="77" t="s">
        <v>44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42</v>
      </c>
      <c r="D7" s="77" t="s">
        <v>43</v>
      </c>
      <c r="E7" s="77" t="s">
        <v>44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42</v>
      </c>
      <c r="D8" s="77" t="s">
        <v>43</v>
      </c>
      <c r="E8" s="77" t="s">
        <v>44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42</v>
      </c>
      <c r="D9" s="77" t="s">
        <v>43</v>
      </c>
      <c r="E9" s="77" t="s">
        <v>44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42</v>
      </c>
      <c r="D10" s="77" t="s">
        <v>43</v>
      </c>
      <c r="E10" s="77" t="s">
        <v>44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42</v>
      </c>
      <c r="D11" s="77" t="s">
        <v>43</v>
      </c>
      <c r="E11" s="77" t="s">
        <v>44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42</v>
      </c>
      <c r="D12" s="77" t="s">
        <v>43</v>
      </c>
      <c r="E12" s="77" t="s">
        <v>44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42</v>
      </c>
      <c r="D13" s="77" t="s">
        <v>43</v>
      </c>
      <c r="E13" s="77" t="s">
        <v>44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3" t="s">
        <v>52</v>
      </c>
      <c r="B14" s="173"/>
      <c r="C14" s="173"/>
      <c r="D14" s="173"/>
      <c r="E14" s="173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53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54</v>
      </c>
      <c r="D15" s="90" t="s">
        <v>43</v>
      </c>
      <c r="E15" s="90" t="s">
        <v>44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49</v>
      </c>
      <c r="I15" s="85" t="s">
        <v>46</v>
      </c>
      <c r="J15" s="85" t="s">
        <v>55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56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54</v>
      </c>
      <c r="D16" s="90" t="s">
        <v>43</v>
      </c>
      <c r="E16" s="90" t="s">
        <v>44</v>
      </c>
      <c r="F16" s="78">
        <v>0</v>
      </c>
      <c r="G16" s="84">
        <f t="shared" si="3"/>
        <v>0</v>
      </c>
      <c r="H16" s="76" t="s">
        <v>45</v>
      </c>
      <c r="I16" s="76" t="s">
        <v>46</v>
      </c>
      <c r="J16" s="76" t="s">
        <v>57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54</v>
      </c>
      <c r="D17" s="90" t="s">
        <v>43</v>
      </c>
      <c r="E17" s="90" t="s">
        <v>44</v>
      </c>
      <c r="F17" s="78">
        <v>0</v>
      </c>
      <c r="G17" s="84">
        <f t="shared" si="3"/>
        <v>0</v>
      </c>
      <c r="H17" s="85" t="s">
        <v>45</v>
      </c>
      <c r="I17" s="85" t="s">
        <v>46</v>
      </c>
      <c r="J17" s="85" t="s">
        <v>58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54</v>
      </c>
      <c r="D18" s="90" t="s">
        <v>43</v>
      </c>
      <c r="E18" s="90" t="s">
        <v>44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54</v>
      </c>
      <c r="D19" s="90" t="s">
        <v>43</v>
      </c>
      <c r="E19" s="90" t="s">
        <v>44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54</v>
      </c>
      <c r="D20" s="90" t="s">
        <v>43</v>
      </c>
      <c r="E20" s="90" t="s">
        <v>44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54</v>
      </c>
      <c r="D21" s="90" t="s">
        <v>43</v>
      </c>
      <c r="E21" s="90" t="s">
        <v>44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54</v>
      </c>
      <c r="D22" s="90" t="s">
        <v>43</v>
      </c>
      <c r="E22" s="90" t="s">
        <v>44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54</v>
      </c>
      <c r="D23" s="90" t="s">
        <v>43</v>
      </c>
      <c r="E23" s="90" t="s">
        <v>44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54</v>
      </c>
      <c r="D24" s="90" t="s">
        <v>43</v>
      </c>
      <c r="E24" s="90" t="s">
        <v>44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54</v>
      </c>
      <c r="D25" s="90" t="s">
        <v>43</v>
      </c>
      <c r="E25" s="90" t="s">
        <v>44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54</v>
      </c>
      <c r="D26" s="90" t="s">
        <v>43</v>
      </c>
      <c r="E26" s="90" t="s">
        <v>44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3" t="s">
        <v>59</v>
      </c>
      <c r="B27" s="173"/>
      <c r="C27" s="173"/>
      <c r="D27" s="173"/>
      <c r="E27" s="173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53</v>
      </c>
      <c r="O27" s="89">
        <v>1010460</v>
      </c>
    </row>
    <row r="28" spans="1:15" ht="18" customHeight="1">
      <c r="A28" s="174" t="s">
        <v>29</v>
      </c>
      <c r="B28" s="174"/>
      <c r="C28" s="174"/>
      <c r="D28" s="174"/>
      <c r="E28" s="174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60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42</v>
      </c>
      <c r="D29" s="77" t="s">
        <v>43</v>
      </c>
      <c r="E29" s="77" t="s">
        <v>44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45</v>
      </c>
      <c r="I29" s="85" t="s">
        <v>46</v>
      </c>
      <c r="J29" s="85" t="s">
        <v>58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42</v>
      </c>
      <c r="D30" s="77" t="s">
        <v>43</v>
      </c>
      <c r="E30" s="77" t="s">
        <v>44</v>
      </c>
      <c r="F30" s="78">
        <v>40</v>
      </c>
      <c r="G30" s="84">
        <f t="shared" si="6"/>
        <v>200</v>
      </c>
      <c r="H30" s="76" t="s">
        <v>45</v>
      </c>
      <c r="I30" s="76" t="s">
        <v>46</v>
      </c>
      <c r="J30" s="76" t="s">
        <v>47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42</v>
      </c>
      <c r="D31" s="77" t="s">
        <v>43</v>
      </c>
      <c r="E31" s="77" t="s">
        <v>44</v>
      </c>
      <c r="F31" s="78">
        <v>40</v>
      </c>
      <c r="G31" s="79">
        <f t="shared" si="6"/>
        <v>200</v>
      </c>
      <c r="H31" s="85" t="s">
        <v>61</v>
      </c>
      <c r="I31" s="85"/>
      <c r="J31" s="85" t="s">
        <v>62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42</v>
      </c>
      <c r="D32" s="77" t="s">
        <v>43</v>
      </c>
      <c r="E32" s="77" t="s">
        <v>44</v>
      </c>
      <c r="F32" s="78">
        <v>34</v>
      </c>
      <c r="G32" s="84">
        <f t="shared" si="6"/>
        <v>170</v>
      </c>
      <c r="H32" s="76" t="s">
        <v>61</v>
      </c>
      <c r="I32" s="76" t="s">
        <v>46</v>
      </c>
      <c r="J32" s="76"/>
      <c r="K32" s="80">
        <v>0.76180555555555551</v>
      </c>
      <c r="L32" s="80"/>
      <c r="M32" s="81">
        <f t="shared" ca="1" si="7"/>
        <v>2.0853935180639382E-2</v>
      </c>
      <c r="N32" s="78" t="s">
        <v>63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42</v>
      </c>
      <c r="D33" s="77" t="s">
        <v>43</v>
      </c>
      <c r="E33" s="77" t="s">
        <v>44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42</v>
      </c>
      <c r="D34" s="77" t="s">
        <v>43</v>
      </c>
      <c r="E34" s="77" t="s">
        <v>44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42</v>
      </c>
      <c r="D35" s="77" t="s">
        <v>43</v>
      </c>
      <c r="E35" s="77" t="s">
        <v>44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42</v>
      </c>
      <c r="D36" s="77" t="s">
        <v>43</v>
      </c>
      <c r="E36" s="77" t="s">
        <v>44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42</v>
      </c>
      <c r="D37" s="77" t="s">
        <v>43</v>
      </c>
      <c r="E37" s="77" t="s">
        <v>44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42</v>
      </c>
      <c r="D38" s="77" t="s">
        <v>43</v>
      </c>
      <c r="E38" s="77" t="s">
        <v>44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42</v>
      </c>
      <c r="D39" s="77" t="s">
        <v>43</v>
      </c>
      <c r="E39" s="77" t="s">
        <v>44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42</v>
      </c>
      <c r="D40" s="77" t="s">
        <v>43</v>
      </c>
      <c r="E40" s="77" t="s">
        <v>44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3" t="s">
        <v>52</v>
      </c>
      <c r="B41" s="173"/>
      <c r="C41" s="173"/>
      <c r="D41" s="173"/>
      <c r="E41" s="173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0.2777983796250838</v>
      </c>
      <c r="N41" s="2" t="s">
        <v>53</v>
      </c>
      <c r="O41" s="89"/>
    </row>
    <row r="42" spans="1:15" ht="15" customHeight="1">
      <c r="A42" s="18">
        <v>46267</v>
      </c>
      <c r="B42" s="83">
        <v>0.83333333333333304</v>
      </c>
      <c r="D42" s="90"/>
      <c r="E42" s="90"/>
      <c r="F42" s="78"/>
      <c r="G42" s="84" t="str">
        <f t="shared" ref="G42:G53" si="9">IF(F42="","",IF(E42="PC 17",F42*4.2,IF(E42="PC 19",F42*5,IF(E42="CB",F42*35,""))))</f>
        <v/>
      </c>
      <c r="H42" s="76"/>
      <c r="I42" s="76"/>
      <c r="J42" s="76"/>
      <c r="K42" s="80"/>
      <c r="L42" s="80"/>
      <c r="M42" s="81" t="str">
        <f t="shared" ref="M42:M53" ca="1" si="10">IFERROR(IF(K42="","",IF(L42="",MOD(NOW()-K42,1),IF(L42&gt;=K42,L42-K42,L42+1-K42))),"")</f>
        <v/>
      </c>
      <c r="N42" s="78"/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/>
      <c r="D43" s="90"/>
      <c r="E43" s="90"/>
      <c r="F43" s="78"/>
      <c r="G43" s="79" t="str">
        <f t="shared" si="9"/>
        <v/>
      </c>
      <c r="H43" s="85"/>
      <c r="I43" s="85"/>
      <c r="J43" s="85"/>
      <c r="K43" s="80"/>
      <c r="L43" s="80"/>
      <c r="M43" s="86" t="str">
        <f t="shared" ca="1" si="10"/>
        <v/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/>
      <c r="D44" s="90"/>
      <c r="E44" s="90"/>
      <c r="F44" s="78"/>
      <c r="G44" s="84" t="str">
        <f t="shared" si="9"/>
        <v/>
      </c>
      <c r="H44" s="76"/>
      <c r="I44" s="76"/>
      <c r="J44" s="76"/>
      <c r="K44" s="80"/>
      <c r="L44" s="80"/>
      <c r="M44" s="81" t="str">
        <f t="shared" ca="1" si="10"/>
        <v/>
      </c>
      <c r="N44" s="78"/>
      <c r="O44" s="82"/>
    </row>
    <row r="45" spans="1:15" ht="15" customHeight="1">
      <c r="A45" s="74">
        <v>46267</v>
      </c>
      <c r="B45" s="75">
        <f t="shared" si="11"/>
        <v>0.95833333333333293</v>
      </c>
      <c r="C45" s="85"/>
      <c r="D45" s="90"/>
      <c r="E45" s="90"/>
      <c r="F45" s="78"/>
      <c r="G45" s="79" t="str">
        <f t="shared" si="9"/>
        <v/>
      </c>
      <c r="H45" s="85"/>
      <c r="I45" s="85"/>
      <c r="J45" s="85"/>
      <c r="K45" s="80"/>
      <c r="L45" s="80"/>
      <c r="M45" s="86" t="str">
        <f t="shared" ca="1" si="10"/>
        <v/>
      </c>
      <c r="N45" s="78"/>
      <c r="O45" s="82"/>
    </row>
    <row r="46" spans="1:15" ht="15" customHeight="1">
      <c r="A46" s="18">
        <v>46267</v>
      </c>
      <c r="B46" s="83">
        <f t="shared" si="11"/>
        <v>0.99999999999999956</v>
      </c>
      <c r="C46" s="85"/>
      <c r="D46" s="90"/>
      <c r="E46" s="90"/>
      <c r="F46" s="78"/>
      <c r="G46" s="84" t="str">
        <f t="shared" si="9"/>
        <v/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/>
      <c r="D47" s="90"/>
      <c r="E47" s="90"/>
      <c r="F47" s="78"/>
      <c r="G47" s="79" t="str">
        <f t="shared" si="9"/>
        <v/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/>
      <c r="D48" s="90"/>
      <c r="E48" s="90"/>
      <c r="F48" s="78"/>
      <c r="G48" s="84" t="str">
        <f t="shared" si="9"/>
        <v/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/>
      <c r="D49" s="90"/>
      <c r="E49" s="90"/>
      <c r="F49" s="78"/>
      <c r="G49" s="79" t="str">
        <f t="shared" si="9"/>
        <v/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/>
      <c r="D50" s="90"/>
      <c r="E50" s="90"/>
      <c r="F50" s="78"/>
      <c r="G50" s="84" t="str">
        <f t="shared" si="9"/>
        <v/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/>
      <c r="D51" s="90"/>
      <c r="E51" s="90"/>
      <c r="F51" s="78"/>
      <c r="G51" s="79" t="str">
        <f t="shared" si="9"/>
        <v/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/>
      <c r="D52" s="90"/>
      <c r="E52" s="90"/>
      <c r="F52" s="78"/>
      <c r="G52" s="84" t="str">
        <f t="shared" si="9"/>
        <v/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/>
      <c r="D53" s="90"/>
      <c r="E53" s="90"/>
      <c r="F53" s="78"/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3" t="s">
        <v>59</v>
      </c>
      <c r="B54" s="173"/>
      <c r="C54" s="173"/>
      <c r="D54" s="173"/>
      <c r="E54" s="173"/>
      <c r="F54" s="2">
        <f>SUM(F42:F53)</f>
        <v>0</v>
      </c>
      <c r="G54" s="2">
        <f>SUM(G42:G53)</f>
        <v>0</v>
      </c>
      <c r="H54" s="87"/>
      <c r="I54" s="87"/>
      <c r="J54" s="87"/>
      <c r="K54" s="87"/>
      <c r="L54" s="87"/>
      <c r="M54" s="88">
        <f ca="1">IFERROR(SUM(M42:M53),"")</f>
        <v>0</v>
      </c>
      <c r="N54" s="2" t="s">
        <v>53</v>
      </c>
      <c r="O54" s="89"/>
    </row>
    <row r="55" spans="1:15" ht="18" customHeight="1">
      <c r="A55" s="174" t="s">
        <v>29</v>
      </c>
      <c r="B55" s="174"/>
      <c r="C55" s="174"/>
      <c r="D55" s="174"/>
      <c r="E55" s="174"/>
      <c r="F55" s="1">
        <f>F41+F54</f>
        <v>173</v>
      </c>
      <c r="G55" s="1">
        <f>G41+G54</f>
        <v>865</v>
      </c>
      <c r="H55" s="91"/>
      <c r="I55" s="91"/>
      <c r="J55" s="91"/>
      <c r="K55" s="91"/>
      <c r="L55" s="91"/>
      <c r="M55" s="92">
        <f ca="1">IFERROR(M41+M54,"")</f>
        <v>0.2777983796250838</v>
      </c>
      <c r="N55" s="1" t="s">
        <v>60</v>
      </c>
      <c r="O55" s="31">
        <f>IFERROR(O41+O54,"")</f>
        <v>0</v>
      </c>
    </row>
    <row r="56" spans="1:15" ht="15" customHeight="1">
      <c r="A56" s="74">
        <v>46268</v>
      </c>
      <c r="B56" s="75">
        <v>0.33333333333333298</v>
      </c>
      <c r="C56" s="76"/>
      <c r="E56" s="77"/>
      <c r="F56" s="78"/>
      <c r="G56" s="79" t="str">
        <f t="shared" ref="G56:G67" si="12">IF(F56="","",IF(E56="PC 17",F56*4.2,IF(E56="PC 19",F56*5,IF(E56="CB",F56*35,""))))</f>
        <v/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/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/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/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/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/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/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/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/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/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/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/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3" t="s">
        <v>52</v>
      </c>
      <c r="B68" s="173"/>
      <c r="C68" s="173"/>
      <c r="D68" s="173"/>
      <c r="E68" s="173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53</v>
      </c>
      <c r="O68" s="89"/>
    </row>
    <row r="69" spans="1:15" ht="15" customHeight="1">
      <c r="A69" s="18">
        <v>46268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3" t="s">
        <v>59</v>
      </c>
      <c r="B81" s="173"/>
      <c r="C81" s="173"/>
      <c r="D81" s="173"/>
      <c r="E81" s="173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53</v>
      </c>
      <c r="O81" s="89"/>
    </row>
    <row r="82" spans="1:15" ht="18" customHeight="1">
      <c r="A82" s="174" t="s">
        <v>29</v>
      </c>
      <c r="B82" s="174"/>
      <c r="C82" s="174"/>
      <c r="D82" s="174"/>
      <c r="E82" s="174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60</v>
      </c>
      <c r="O82" s="31">
        <f>IFERROR(O68+O81,"")</f>
        <v>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3" t="s">
        <v>52</v>
      </c>
      <c r="B95" s="173"/>
      <c r="C95" s="173"/>
      <c r="D95" s="173"/>
      <c r="E95" s="173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53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3" t="s">
        <v>59</v>
      </c>
      <c r="B108" s="173"/>
      <c r="C108" s="173"/>
      <c r="D108" s="173"/>
      <c r="E108" s="173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53</v>
      </c>
      <c r="O108" s="89"/>
    </row>
    <row r="109" spans="1:15" ht="18" customHeight="1">
      <c r="A109" s="174" t="s">
        <v>29</v>
      </c>
      <c r="B109" s="174"/>
      <c r="C109" s="174"/>
      <c r="D109" s="174"/>
      <c r="E109" s="174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60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3" t="s">
        <v>52</v>
      </c>
      <c r="B122" s="173"/>
      <c r="C122" s="173"/>
      <c r="D122" s="173"/>
      <c r="E122" s="173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53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3" t="s">
        <v>59</v>
      </c>
      <c r="B135" s="173"/>
      <c r="C135" s="173"/>
      <c r="D135" s="173"/>
      <c r="E135" s="173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53</v>
      </c>
      <c r="O135" s="89"/>
    </row>
    <row r="136" spans="1:15" ht="18" customHeight="1">
      <c r="A136" s="174" t="s">
        <v>29</v>
      </c>
      <c r="B136" s="174"/>
      <c r="C136" s="174"/>
      <c r="D136" s="174"/>
      <c r="E136" s="174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60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3" t="s">
        <v>52</v>
      </c>
      <c r="B149" s="173"/>
      <c r="C149" s="173"/>
      <c r="D149" s="173"/>
      <c r="E149" s="173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53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3" t="s">
        <v>59</v>
      </c>
      <c r="B162" s="173"/>
      <c r="C162" s="173"/>
      <c r="D162" s="173"/>
      <c r="E162" s="173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53</v>
      </c>
      <c r="O162" s="94"/>
    </row>
    <row r="163" spans="1:15" ht="18" customHeight="1">
      <c r="A163" s="174" t="s">
        <v>29</v>
      </c>
      <c r="B163" s="174"/>
      <c r="C163" s="174"/>
      <c r="D163" s="174"/>
      <c r="E163" s="174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60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3" t="s">
        <v>52</v>
      </c>
      <c r="B176" s="173"/>
      <c r="C176" s="173"/>
      <c r="D176" s="173"/>
      <c r="E176" s="173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53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3" t="s">
        <v>59</v>
      </c>
      <c r="B189" s="173"/>
      <c r="C189" s="173"/>
      <c r="D189" s="173"/>
      <c r="E189" s="173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53</v>
      </c>
      <c r="O189" s="89"/>
    </row>
    <row r="190" spans="1:15" ht="18" customHeight="1">
      <c r="A190" s="174" t="s">
        <v>29</v>
      </c>
      <c r="B190" s="174"/>
      <c r="C190" s="174"/>
      <c r="D190" s="174"/>
      <c r="E190" s="174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60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3" t="s">
        <v>52</v>
      </c>
      <c r="B203" s="173"/>
      <c r="C203" s="173"/>
      <c r="D203" s="173"/>
      <c r="E203" s="173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53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3" t="s">
        <v>59</v>
      </c>
      <c r="B216" s="173"/>
      <c r="C216" s="173"/>
      <c r="D216" s="173"/>
      <c r="E216" s="173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53</v>
      </c>
      <c r="O216" s="89"/>
    </row>
    <row r="217" spans="1:15" ht="18" customHeight="1">
      <c r="A217" s="174" t="s">
        <v>29</v>
      </c>
      <c r="B217" s="174"/>
      <c r="C217" s="174"/>
      <c r="D217" s="174"/>
      <c r="E217" s="174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60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3" t="s">
        <v>52</v>
      </c>
      <c r="B230" s="173"/>
      <c r="C230" s="173"/>
      <c r="D230" s="173"/>
      <c r="E230" s="173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53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3" t="s">
        <v>59</v>
      </c>
      <c r="B243" s="173"/>
      <c r="C243" s="173"/>
      <c r="D243" s="173"/>
      <c r="E243" s="173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53</v>
      </c>
      <c r="O243" s="89"/>
    </row>
    <row r="244" spans="1:15" ht="18" customHeight="1">
      <c r="A244" s="174" t="s">
        <v>29</v>
      </c>
      <c r="B244" s="174"/>
      <c r="C244" s="174"/>
      <c r="D244" s="174"/>
      <c r="E244" s="174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60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3" t="s">
        <v>52</v>
      </c>
      <c r="B257" s="173"/>
      <c r="C257" s="173"/>
      <c r="D257" s="173"/>
      <c r="E257" s="173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53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3" t="s">
        <v>59</v>
      </c>
      <c r="B270" s="173"/>
      <c r="C270" s="173"/>
      <c r="D270" s="173"/>
      <c r="E270" s="173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53</v>
      </c>
      <c r="O270" s="89"/>
    </row>
    <row r="271" spans="1:15" ht="18" customHeight="1">
      <c r="A271" s="174" t="s">
        <v>29</v>
      </c>
      <c r="B271" s="174"/>
      <c r="C271" s="174"/>
      <c r="D271" s="174"/>
      <c r="E271" s="174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60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3" t="s">
        <v>52</v>
      </c>
      <c r="B284" s="173"/>
      <c r="C284" s="173"/>
      <c r="D284" s="173"/>
      <c r="E284" s="173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53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3" t="s">
        <v>59</v>
      </c>
      <c r="B297" s="173"/>
      <c r="C297" s="173"/>
      <c r="D297" s="173"/>
      <c r="E297" s="173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53</v>
      </c>
      <c r="O297" s="89"/>
    </row>
    <row r="298" spans="1:15" ht="18" customHeight="1">
      <c r="A298" s="174" t="s">
        <v>29</v>
      </c>
      <c r="B298" s="174"/>
      <c r="C298" s="174"/>
      <c r="D298" s="174"/>
      <c r="E298" s="174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60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3" t="s">
        <v>52</v>
      </c>
      <c r="B311" s="173"/>
      <c r="C311" s="173"/>
      <c r="D311" s="173"/>
      <c r="E311" s="173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53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3" t="s">
        <v>59</v>
      </c>
      <c r="B324" s="173"/>
      <c r="C324" s="173"/>
      <c r="D324" s="173"/>
      <c r="E324" s="173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53</v>
      </c>
      <c r="O324" s="89"/>
    </row>
    <row r="325" spans="1:15" ht="18" customHeight="1">
      <c r="A325" s="174" t="s">
        <v>29</v>
      </c>
      <c r="B325" s="174"/>
      <c r="C325" s="174"/>
      <c r="D325" s="174"/>
      <c r="E325" s="174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60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3" t="s">
        <v>52</v>
      </c>
      <c r="B338" s="173"/>
      <c r="C338" s="173"/>
      <c r="D338" s="173"/>
      <c r="E338" s="173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53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3" t="s">
        <v>59</v>
      </c>
      <c r="B351" s="173"/>
      <c r="C351" s="173"/>
      <c r="D351" s="173"/>
      <c r="E351" s="173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53</v>
      </c>
      <c r="O351" s="89"/>
    </row>
    <row r="352" spans="1:15" ht="18" customHeight="1">
      <c r="A352" s="174" t="s">
        <v>29</v>
      </c>
      <c r="B352" s="174"/>
      <c r="C352" s="174"/>
      <c r="D352" s="174"/>
      <c r="E352" s="174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60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3" t="s">
        <v>52</v>
      </c>
      <c r="B365" s="173"/>
      <c r="C365" s="173"/>
      <c r="D365" s="173"/>
      <c r="E365" s="173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53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3" t="s">
        <v>59</v>
      </c>
      <c r="B378" s="173"/>
      <c r="C378" s="173"/>
      <c r="D378" s="173"/>
      <c r="E378" s="173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53</v>
      </c>
      <c r="O378" s="89"/>
    </row>
    <row r="379" spans="1:15" ht="18" customHeight="1">
      <c r="A379" s="174" t="s">
        <v>29</v>
      </c>
      <c r="B379" s="174"/>
      <c r="C379" s="174"/>
      <c r="D379" s="174"/>
      <c r="E379" s="174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60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3" t="s">
        <v>52</v>
      </c>
      <c r="B392" s="173"/>
      <c r="C392" s="173"/>
      <c r="D392" s="173"/>
      <c r="E392" s="173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53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3" t="s">
        <v>59</v>
      </c>
      <c r="B405" s="173"/>
      <c r="C405" s="173"/>
      <c r="D405" s="173"/>
      <c r="E405" s="173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53</v>
      </c>
      <c r="O405" s="89"/>
    </row>
    <row r="406" spans="1:15" ht="18" customHeight="1">
      <c r="A406" s="174" t="s">
        <v>29</v>
      </c>
      <c r="B406" s="174"/>
      <c r="C406" s="174"/>
      <c r="D406" s="174"/>
      <c r="E406" s="174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60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3" t="s">
        <v>52</v>
      </c>
      <c r="B419" s="173"/>
      <c r="C419" s="173"/>
      <c r="D419" s="173"/>
      <c r="E419" s="173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53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3" t="s">
        <v>59</v>
      </c>
      <c r="B432" s="173"/>
      <c r="C432" s="173"/>
      <c r="D432" s="173"/>
      <c r="E432" s="173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53</v>
      </c>
      <c r="O432" s="89"/>
    </row>
    <row r="433" spans="1:15" ht="18" customHeight="1">
      <c r="A433" s="174" t="s">
        <v>29</v>
      </c>
      <c r="B433" s="174"/>
      <c r="C433" s="174"/>
      <c r="D433" s="174"/>
      <c r="E433" s="174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60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3" t="s">
        <v>52</v>
      </c>
      <c r="B446" s="173"/>
      <c r="C446" s="173"/>
      <c r="D446" s="173"/>
      <c r="E446" s="173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53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3" t="s">
        <v>59</v>
      </c>
      <c r="B459" s="173"/>
      <c r="C459" s="173"/>
      <c r="D459" s="173"/>
      <c r="E459" s="173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53</v>
      </c>
      <c r="O459" s="89"/>
    </row>
    <row r="460" spans="1:15" ht="18" customHeight="1">
      <c r="A460" s="174" t="s">
        <v>29</v>
      </c>
      <c r="B460" s="174"/>
      <c r="C460" s="174"/>
      <c r="D460" s="174"/>
      <c r="E460" s="174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60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3" t="s">
        <v>52</v>
      </c>
      <c r="B473" s="173"/>
      <c r="C473" s="173"/>
      <c r="D473" s="173"/>
      <c r="E473" s="173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53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3" t="s">
        <v>59</v>
      </c>
      <c r="B486" s="173"/>
      <c r="C486" s="173"/>
      <c r="D486" s="173"/>
      <c r="E486" s="173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53</v>
      </c>
      <c r="O486" s="89"/>
    </row>
    <row r="487" spans="1:15" ht="18" customHeight="1">
      <c r="A487" s="174" t="s">
        <v>29</v>
      </c>
      <c r="B487" s="174"/>
      <c r="C487" s="174"/>
      <c r="D487" s="174"/>
      <c r="E487" s="174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60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3" t="s">
        <v>52</v>
      </c>
      <c r="B500" s="173"/>
      <c r="C500" s="173"/>
      <c r="D500" s="173"/>
      <c r="E500" s="173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53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3" t="s">
        <v>59</v>
      </c>
      <c r="B513" s="173"/>
      <c r="C513" s="173"/>
      <c r="D513" s="173"/>
      <c r="E513" s="173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53</v>
      </c>
      <c r="O513" s="89"/>
    </row>
    <row r="514" spans="1:15" ht="18" customHeight="1">
      <c r="A514" s="174" t="s">
        <v>29</v>
      </c>
      <c r="B514" s="174"/>
      <c r="C514" s="174"/>
      <c r="D514" s="174"/>
      <c r="E514" s="174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60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3" t="s">
        <v>52</v>
      </c>
      <c r="B527" s="173"/>
      <c r="C527" s="173"/>
      <c r="D527" s="173"/>
      <c r="E527" s="173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53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3" t="s">
        <v>59</v>
      </c>
      <c r="B540" s="173"/>
      <c r="C540" s="173"/>
      <c r="D540" s="173"/>
      <c r="E540" s="173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53</v>
      </c>
      <c r="O540" s="89"/>
    </row>
    <row r="541" spans="1:15" ht="18" customHeight="1">
      <c r="A541" s="174" t="s">
        <v>29</v>
      </c>
      <c r="B541" s="174"/>
      <c r="C541" s="174"/>
      <c r="D541" s="174"/>
      <c r="E541" s="174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60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3" t="s">
        <v>52</v>
      </c>
      <c r="B554" s="173"/>
      <c r="C554" s="173"/>
      <c r="D554" s="173"/>
      <c r="E554" s="173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53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3" t="s">
        <v>59</v>
      </c>
      <c r="B567" s="173"/>
      <c r="C567" s="173"/>
      <c r="D567" s="173"/>
      <c r="E567" s="173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53</v>
      </c>
      <c r="O567" s="89"/>
    </row>
    <row r="568" spans="1:15" ht="18" customHeight="1">
      <c r="A568" s="174" t="s">
        <v>29</v>
      </c>
      <c r="B568" s="174"/>
      <c r="C568" s="174"/>
      <c r="D568" s="174"/>
      <c r="E568" s="174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60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3" t="s">
        <v>52</v>
      </c>
      <c r="B581" s="173"/>
      <c r="C581" s="173"/>
      <c r="D581" s="173"/>
      <c r="E581" s="173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53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3" t="s">
        <v>59</v>
      </c>
      <c r="B594" s="173"/>
      <c r="C594" s="173"/>
      <c r="D594" s="173"/>
      <c r="E594" s="173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53</v>
      </c>
      <c r="O594" s="89"/>
    </row>
    <row r="595" spans="1:15" ht="18" customHeight="1">
      <c r="A595" s="174" t="s">
        <v>29</v>
      </c>
      <c r="B595" s="174"/>
      <c r="C595" s="174"/>
      <c r="D595" s="174"/>
      <c r="E595" s="174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60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3" t="s">
        <v>52</v>
      </c>
      <c r="B608" s="173"/>
      <c r="C608" s="173"/>
      <c r="D608" s="173"/>
      <c r="E608" s="173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53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3" t="s">
        <v>59</v>
      </c>
      <c r="B621" s="173"/>
      <c r="C621" s="173"/>
      <c r="D621" s="173"/>
      <c r="E621" s="173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53</v>
      </c>
      <c r="O621" s="89"/>
    </row>
    <row r="622" spans="1:15" ht="18" customHeight="1">
      <c r="A622" s="174" t="s">
        <v>29</v>
      </c>
      <c r="B622" s="174"/>
      <c r="C622" s="174"/>
      <c r="D622" s="174"/>
      <c r="E622" s="174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60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3" t="s">
        <v>52</v>
      </c>
      <c r="B635" s="173"/>
      <c r="C635" s="173"/>
      <c r="D635" s="173"/>
      <c r="E635" s="173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53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3" t="s">
        <v>59</v>
      </c>
      <c r="B648" s="173"/>
      <c r="C648" s="173"/>
      <c r="D648" s="173"/>
      <c r="E648" s="173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53</v>
      </c>
      <c r="O648" s="89"/>
    </row>
    <row r="649" spans="1:15" ht="18" customHeight="1">
      <c r="A649" s="174" t="s">
        <v>29</v>
      </c>
      <c r="B649" s="174"/>
      <c r="C649" s="174"/>
      <c r="D649" s="174"/>
      <c r="E649" s="174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60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3" t="s">
        <v>52</v>
      </c>
      <c r="B662" s="173"/>
      <c r="C662" s="173"/>
      <c r="D662" s="173"/>
      <c r="E662" s="173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53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3" t="s">
        <v>59</v>
      </c>
      <c r="B675" s="173"/>
      <c r="C675" s="173"/>
      <c r="D675" s="173"/>
      <c r="E675" s="173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53</v>
      </c>
      <c r="O675" s="89"/>
    </row>
    <row r="676" spans="1:15" ht="18" customHeight="1">
      <c r="A676" s="174" t="s">
        <v>29</v>
      </c>
      <c r="B676" s="174"/>
      <c r="C676" s="174"/>
      <c r="D676" s="174"/>
      <c r="E676" s="174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60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3" t="s">
        <v>52</v>
      </c>
      <c r="B689" s="173"/>
      <c r="C689" s="173"/>
      <c r="D689" s="173"/>
      <c r="E689" s="173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53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3" t="s">
        <v>59</v>
      </c>
      <c r="B702" s="173"/>
      <c r="C702" s="173"/>
      <c r="D702" s="173"/>
      <c r="E702" s="173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53</v>
      </c>
      <c r="O702" s="89"/>
    </row>
    <row r="703" spans="1:15" ht="18" customHeight="1">
      <c r="A703" s="174" t="s">
        <v>29</v>
      </c>
      <c r="B703" s="174"/>
      <c r="C703" s="174"/>
      <c r="D703" s="174"/>
      <c r="E703" s="174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60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3" t="s">
        <v>52</v>
      </c>
      <c r="B716" s="173"/>
      <c r="C716" s="173"/>
      <c r="D716" s="173"/>
      <c r="E716" s="173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53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3" t="s">
        <v>59</v>
      </c>
      <c r="B729" s="173"/>
      <c r="C729" s="173"/>
      <c r="D729" s="173"/>
      <c r="E729" s="173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53</v>
      </c>
      <c r="O729" s="89"/>
    </row>
    <row r="730" spans="1:15" ht="18" customHeight="1">
      <c r="A730" s="174" t="s">
        <v>29</v>
      </c>
      <c r="B730" s="174"/>
      <c r="C730" s="174"/>
      <c r="D730" s="174"/>
      <c r="E730" s="174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60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3" t="s">
        <v>52</v>
      </c>
      <c r="B743" s="173"/>
      <c r="C743" s="173"/>
      <c r="D743" s="173"/>
      <c r="E743" s="173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53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3" t="s">
        <v>59</v>
      </c>
      <c r="B756" s="173"/>
      <c r="C756" s="173"/>
      <c r="D756" s="173"/>
      <c r="E756" s="173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53</v>
      </c>
      <c r="O756" s="89"/>
    </row>
    <row r="757" spans="1:15" ht="18" customHeight="1">
      <c r="A757" s="174" t="s">
        <v>29</v>
      </c>
      <c r="B757" s="174"/>
      <c r="C757" s="174"/>
      <c r="D757" s="174"/>
      <c r="E757" s="174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60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3" t="s">
        <v>52</v>
      </c>
      <c r="B770" s="173"/>
      <c r="C770" s="173"/>
      <c r="D770" s="173"/>
      <c r="E770" s="173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53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3" t="s">
        <v>59</v>
      </c>
      <c r="B783" s="173"/>
      <c r="C783" s="173"/>
      <c r="D783" s="173"/>
      <c r="E783" s="173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53</v>
      </c>
      <c r="O783" s="89"/>
    </row>
    <row r="784" spans="1:15" ht="18" customHeight="1">
      <c r="A784" s="174" t="s">
        <v>29</v>
      </c>
      <c r="B784" s="174"/>
      <c r="C784" s="174"/>
      <c r="D784" s="174"/>
      <c r="E784" s="174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60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73" t="s">
        <v>52</v>
      </c>
      <c r="B797" s="173"/>
      <c r="C797" s="173"/>
      <c r="D797" s="173"/>
      <c r="E797" s="173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53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73" t="s">
        <v>59</v>
      </c>
      <c r="B810" s="173"/>
      <c r="C810" s="173"/>
      <c r="D810" s="173"/>
      <c r="E810" s="173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53</v>
      </c>
      <c r="O810" s="89"/>
    </row>
    <row r="811" spans="1:15" ht="18" customHeight="1">
      <c r="A811" s="174" t="s">
        <v>29</v>
      </c>
      <c r="B811" s="174"/>
      <c r="C811" s="174"/>
      <c r="D811" s="174"/>
      <c r="E811" s="174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60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73" t="s">
        <v>52</v>
      </c>
      <c r="B824" s="173"/>
      <c r="C824" s="173"/>
      <c r="D824" s="173"/>
      <c r="E824" s="173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53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73" t="s">
        <v>59</v>
      </c>
      <c r="B837" s="173"/>
      <c r="C837" s="173"/>
      <c r="D837" s="173"/>
      <c r="E837" s="173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53</v>
      </c>
      <c r="O837" s="89"/>
    </row>
    <row r="838" spans="1:15" ht="18" customHeight="1">
      <c r="A838" s="174" t="s">
        <v>29</v>
      </c>
      <c r="B838" s="174"/>
      <c r="C838" s="174"/>
      <c r="D838" s="174"/>
      <c r="E838" s="174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60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29:E229 E231:E310 E312:E381 E383:E720 E15:E26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C43:C229 C231:C310 C706:D706 C312:C705 C29:C41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5" activePane="bottomLeft" state="frozen"/>
      <selection pane="bottomLeft" activeCell="G40" sqref="G40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30</v>
      </c>
      <c r="C1" s="72" t="s">
        <v>19</v>
      </c>
      <c r="D1" s="71" t="s">
        <v>31</v>
      </c>
      <c r="E1" s="71" t="s">
        <v>32</v>
      </c>
      <c r="F1" s="105" t="s">
        <v>64</v>
      </c>
      <c r="G1" s="72" t="s">
        <v>33</v>
      </c>
      <c r="H1" s="105" t="s">
        <v>65</v>
      </c>
      <c r="I1" s="105" t="s">
        <v>66</v>
      </c>
      <c r="J1" s="105" t="s">
        <v>67</v>
      </c>
      <c r="K1" s="72" t="s">
        <v>34</v>
      </c>
      <c r="L1" s="72" t="s">
        <v>35</v>
      </c>
      <c r="M1" s="72" t="s">
        <v>36</v>
      </c>
      <c r="N1" s="72" t="s">
        <v>37</v>
      </c>
      <c r="O1" s="72" t="s">
        <v>38</v>
      </c>
      <c r="P1" s="72" t="s">
        <v>39</v>
      </c>
      <c r="Q1" s="73" t="s">
        <v>40</v>
      </c>
      <c r="R1" s="72" t="s">
        <v>26</v>
      </c>
      <c r="S1" s="72" t="s">
        <v>41</v>
      </c>
      <c r="T1" s="72" t="s">
        <v>67</v>
      </c>
    </row>
    <row r="2" spans="1:20" ht="15" customHeight="1">
      <c r="A2" s="74">
        <v>46266</v>
      </c>
      <c r="B2" s="75">
        <v>0.33333333333333298</v>
      </c>
      <c r="C2" s="76" t="s">
        <v>42</v>
      </c>
      <c r="D2" s="77" t="s">
        <v>68</v>
      </c>
      <c r="E2" s="106" t="s">
        <v>69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70</v>
      </c>
      <c r="M2" s="76"/>
      <c r="N2" s="76" t="s">
        <v>71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42</v>
      </c>
      <c r="D3" s="77" t="s">
        <v>68</v>
      </c>
      <c r="E3" s="106" t="s">
        <v>69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49</v>
      </c>
      <c r="M3" s="85"/>
      <c r="N3" s="85" t="s">
        <v>50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42</v>
      </c>
      <c r="D4" s="77" t="s">
        <v>68</v>
      </c>
      <c r="E4" s="106" t="s">
        <v>69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42</v>
      </c>
      <c r="D5" s="77" t="s">
        <v>68</v>
      </c>
      <c r="E5" s="106" t="s">
        <v>69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42</v>
      </c>
      <c r="D6" s="77" t="s">
        <v>68</v>
      </c>
      <c r="E6" s="106" t="s">
        <v>69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42</v>
      </c>
      <c r="D7" s="77" t="s">
        <v>68</v>
      </c>
      <c r="E7" s="106" t="s">
        <v>69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42</v>
      </c>
      <c r="D8" s="77" t="s">
        <v>68</v>
      </c>
      <c r="E8" s="106" t="s">
        <v>69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42</v>
      </c>
      <c r="D9" s="77" t="s">
        <v>68</v>
      </c>
      <c r="E9" s="106" t="s">
        <v>69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42</v>
      </c>
      <c r="D10" s="77" t="s">
        <v>68</v>
      </c>
      <c r="E10" s="106" t="s">
        <v>69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42</v>
      </c>
      <c r="D11" s="77" t="s">
        <v>68</v>
      </c>
      <c r="E11" s="106" t="s">
        <v>69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42</v>
      </c>
      <c r="D12" s="77" t="s">
        <v>68</v>
      </c>
      <c r="E12" s="106" t="s">
        <v>69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42</v>
      </c>
      <c r="D13" s="77" t="s">
        <v>68</v>
      </c>
      <c r="E13" s="106" t="s">
        <v>69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67" t="s">
        <v>52</v>
      </c>
      <c r="B14" s="167"/>
      <c r="C14" s="167"/>
      <c r="D14" s="167"/>
      <c r="E14" s="167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53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54</v>
      </c>
      <c r="D15" s="90" t="s">
        <v>43</v>
      </c>
      <c r="E15" s="119" t="s">
        <v>69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45</v>
      </c>
      <c r="M15" s="85" t="s">
        <v>72</v>
      </c>
      <c r="N15" s="85" t="s">
        <v>73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74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54</v>
      </c>
      <c r="D16" s="90" t="s">
        <v>43</v>
      </c>
      <c r="E16" s="119" t="s">
        <v>69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75</v>
      </c>
      <c r="M16" s="76" t="s">
        <v>76</v>
      </c>
      <c r="N16" s="76" t="s">
        <v>77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54</v>
      </c>
      <c r="D17" s="90" t="s">
        <v>43</v>
      </c>
      <c r="E17" s="119" t="s">
        <v>69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61</v>
      </c>
      <c r="M17" s="85" t="s">
        <v>76</v>
      </c>
      <c r="N17" s="85" t="s">
        <v>78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79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54</v>
      </c>
      <c r="D18" s="90" t="s">
        <v>43</v>
      </c>
      <c r="E18" s="119" t="s">
        <v>69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61</v>
      </c>
      <c r="M18" s="76" t="s">
        <v>80</v>
      </c>
      <c r="N18" s="76" t="s">
        <v>81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54</v>
      </c>
      <c r="D19" s="90" t="s">
        <v>43</v>
      </c>
      <c r="E19" s="119" t="s">
        <v>69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61</v>
      </c>
      <c r="M19" s="85" t="s">
        <v>80</v>
      </c>
      <c r="N19" s="85" t="s">
        <v>78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54</v>
      </c>
      <c r="D20" s="90" t="s">
        <v>43</v>
      </c>
      <c r="E20" s="119" t="s">
        <v>69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45</v>
      </c>
      <c r="M20" s="76" t="s">
        <v>72</v>
      </c>
      <c r="N20" s="76" t="s">
        <v>58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54</v>
      </c>
      <c r="D21" s="90" t="s">
        <v>43</v>
      </c>
      <c r="E21" s="119" t="s">
        <v>69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49</v>
      </c>
      <c r="M21" s="85" t="s">
        <v>82</v>
      </c>
      <c r="N21" s="85" t="s">
        <v>83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54</v>
      </c>
      <c r="D22" s="90" t="s">
        <v>43</v>
      </c>
      <c r="E22" s="119" t="s">
        <v>69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45</v>
      </c>
      <c r="M22" s="76" t="s">
        <v>80</v>
      </c>
      <c r="N22" s="76" t="s">
        <v>47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54</v>
      </c>
      <c r="D23" s="90" t="s">
        <v>43</v>
      </c>
      <c r="E23" s="119" t="s">
        <v>69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61</v>
      </c>
      <c r="M23" s="85" t="s">
        <v>84</v>
      </c>
      <c r="N23" s="85" t="s">
        <v>85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54</v>
      </c>
      <c r="D24" s="90" t="s">
        <v>43</v>
      </c>
      <c r="E24" s="119" t="s">
        <v>69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54</v>
      </c>
      <c r="D25" s="90" t="s">
        <v>43</v>
      </c>
      <c r="E25" s="119" t="s">
        <v>69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54</v>
      </c>
      <c r="D26" s="90" t="s">
        <v>43</v>
      </c>
      <c r="E26" s="119" t="s">
        <v>69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67" t="s">
        <v>59</v>
      </c>
      <c r="B27" s="167"/>
      <c r="C27" s="167"/>
      <c r="D27" s="167"/>
      <c r="E27" s="167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53</v>
      </c>
      <c r="S27" s="89">
        <v>609580</v>
      </c>
      <c r="T27" s="118">
        <f>IFERROR(J27,"")</f>
        <v>256.02359999999999</v>
      </c>
    </row>
    <row r="28" spans="1:20" ht="18" customHeight="1">
      <c r="A28" s="168" t="s">
        <v>29</v>
      </c>
      <c r="B28" s="168"/>
      <c r="C28" s="168"/>
      <c r="D28" s="168"/>
      <c r="E28" s="16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60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86</v>
      </c>
      <c r="D29" s="77" t="s">
        <v>43</v>
      </c>
      <c r="E29" s="106" t="s">
        <v>69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0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0</v>
      </c>
      <c r="K29" s="79">
        <f>IF(G29="","",IF(E29="PC 17",G29*4.2,IF(E29="PC 19",G29*5,IF(E29="CB",G29*24,""))))</f>
        <v>46.2</v>
      </c>
      <c r="L29" s="85" t="s">
        <v>75</v>
      </c>
      <c r="M29" s="85" t="s">
        <v>72</v>
      </c>
      <c r="N29" s="85" t="s">
        <v>87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86</v>
      </c>
      <c r="D30" s="77" t="s">
        <v>43</v>
      </c>
      <c r="E30" s="106" t="s">
        <v>69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75</v>
      </c>
      <c r="M30" s="76" t="s">
        <v>84</v>
      </c>
      <c r="N30" s="76" t="s">
        <v>77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86</v>
      </c>
      <c r="D31" s="77" t="s">
        <v>43</v>
      </c>
      <c r="E31" s="106" t="s">
        <v>69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61</v>
      </c>
      <c r="M31" s="85" t="s">
        <v>76</v>
      </c>
      <c r="N31" s="85" t="s">
        <v>78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88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86</v>
      </c>
      <c r="D32" s="77" t="s">
        <v>43</v>
      </c>
      <c r="E32" s="106" t="s">
        <v>69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86</v>
      </c>
      <c r="D33" s="77" t="s">
        <v>43</v>
      </c>
      <c r="E33" s="106" t="s">
        <v>69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0</v>
      </c>
      <c r="I33" s="109">
        <f>IFERROR(IF($D33="","",VLOOKUP($D33,Cadastro!$C$4:$G$20,5,FALSE())),"")</f>
        <v>0.6</v>
      </c>
      <c r="J33" s="110">
        <f t="shared" si="8"/>
        <v>0</v>
      </c>
      <c r="K33" s="79">
        <f t="shared" si="10"/>
        <v>16.8</v>
      </c>
      <c r="L33" s="85" t="s">
        <v>70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89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86</v>
      </c>
      <c r="D34" s="77" t="s">
        <v>43</v>
      </c>
      <c r="E34" s="106" t="s">
        <v>69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0</v>
      </c>
      <c r="I34" s="109">
        <f>IFERROR(IF($D34="","",VLOOKUP($D34,Cadastro!$C$4:$G$20,5,FALSE())),"")</f>
        <v>0.6</v>
      </c>
      <c r="J34" s="110">
        <f t="shared" si="8"/>
        <v>0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86</v>
      </c>
      <c r="D35" s="77" t="s">
        <v>43</v>
      </c>
      <c r="E35" s="106" t="s">
        <v>69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86</v>
      </c>
      <c r="D36" s="77" t="s">
        <v>43</v>
      </c>
      <c r="E36" s="106" t="s">
        <v>69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86</v>
      </c>
      <c r="D37" s="77" t="s">
        <v>43</v>
      </c>
      <c r="E37" s="106" t="s">
        <v>69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86</v>
      </c>
      <c r="D38" s="77" t="s">
        <v>43</v>
      </c>
      <c r="E38" s="106" t="s">
        <v>69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86</v>
      </c>
      <c r="D39" s="77" t="s">
        <v>43</v>
      </c>
      <c r="E39" s="106" t="s">
        <v>69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86</v>
      </c>
      <c r="D40" s="77" t="s">
        <v>43</v>
      </c>
      <c r="E40" s="106" t="s">
        <v>69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10"/>
        <v>33.6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67" t="s">
        <v>52</v>
      </c>
      <c r="B41" s="167"/>
      <c r="C41" s="167"/>
      <c r="D41" s="167"/>
      <c r="E41" s="167"/>
      <c r="F41" s="114"/>
      <c r="G41" s="115">
        <f>SUM(G29:G40)</f>
        <v>28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117.6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53</v>
      </c>
      <c r="S41" s="131"/>
      <c r="T41" s="132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1" t="str">
        <f t="shared" ca="1" si="14"/>
        <v/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1" t="str">
        <f t="shared" ca="1" si="14"/>
        <v/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67" t="s">
        <v>59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53</v>
      </c>
      <c r="S54" s="131"/>
      <c r="T54" s="132">
        <f>IFERROR(J54,"")</f>
        <v>0</v>
      </c>
    </row>
    <row r="55" spans="1:20" ht="18" customHeight="1">
      <c r="A55" s="168" t="s">
        <v>29</v>
      </c>
      <c r="B55" s="168"/>
      <c r="C55" s="168"/>
      <c r="D55" s="168"/>
      <c r="E55" s="168"/>
      <c r="F55" s="127"/>
      <c r="G55" s="128">
        <f>G41+G54</f>
        <v>28</v>
      </c>
      <c r="H55" s="127">
        <f>IFERROR(H41+H54,"")</f>
        <v>0</v>
      </c>
      <c r="I55" s="129"/>
      <c r="J55" s="130">
        <f>IFERROR(J41+J54,"")</f>
        <v>0</v>
      </c>
      <c r="K55" s="1">
        <f>K41+K54</f>
        <v>117.6</v>
      </c>
      <c r="L55" s="91"/>
      <c r="M55" s="91"/>
      <c r="N55" s="91"/>
      <c r="O55" s="91"/>
      <c r="P55" s="91"/>
      <c r="Q55" s="92">
        <f ca="1">IFERROR(Q41+Q54,"")</f>
        <v>0.44375000000000009</v>
      </c>
      <c r="R55" s="1" t="s">
        <v>60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67" t="s">
        <v>52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53</v>
      </c>
      <c r="S68" s="133"/>
      <c r="T68" s="134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67" t="s">
        <v>59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53</v>
      </c>
      <c r="S81" s="133"/>
      <c r="T81" s="134">
        <f>IFERROR(J81,"")</f>
        <v>0</v>
      </c>
    </row>
    <row r="82" spans="1:20" ht="18" customHeight="1">
      <c r="A82" s="168" t="s">
        <v>29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60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67" t="s">
        <v>52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53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67" t="s">
        <v>59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53</v>
      </c>
      <c r="S108" s="133"/>
      <c r="T108" s="134">
        <f>IFERROR(J108,"")</f>
        <v>0</v>
      </c>
    </row>
    <row r="109" spans="1:20" ht="18" customHeight="1">
      <c r="A109" s="168" t="s">
        <v>29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60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67" t="s">
        <v>52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53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67" t="s">
        <v>59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53</v>
      </c>
      <c r="S135" s="133"/>
      <c r="T135" s="134">
        <f>IFERROR(J135,"")</f>
        <v>0</v>
      </c>
    </row>
    <row r="136" spans="1:20" ht="18" customHeight="1">
      <c r="A136" s="168" t="s">
        <v>29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60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67" t="s">
        <v>52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53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67" t="s">
        <v>59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53</v>
      </c>
      <c r="S162" s="133"/>
      <c r="T162" s="134">
        <f>IFERROR(J162,"")</f>
        <v>0</v>
      </c>
    </row>
    <row r="163" spans="1:20" ht="18" customHeight="1">
      <c r="A163" s="168" t="s">
        <v>29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60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67" t="s">
        <v>52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53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67" t="s">
        <v>59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53</v>
      </c>
      <c r="S189" s="89"/>
      <c r="T189" s="118">
        <f>IFERROR(J189,"")</f>
        <v>0</v>
      </c>
    </row>
    <row r="190" spans="1:20" ht="18" customHeight="1">
      <c r="A190" s="168" t="s">
        <v>29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60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67" t="s">
        <v>52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53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67" t="s">
        <v>59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53</v>
      </c>
      <c r="S216" s="89"/>
      <c r="T216" s="118">
        <f>IFERROR(J216,"")</f>
        <v>0</v>
      </c>
    </row>
    <row r="217" spans="1:20" ht="18" customHeight="1">
      <c r="A217" s="168" t="s">
        <v>29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60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67" t="s">
        <v>52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53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67" t="s">
        <v>59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53</v>
      </c>
      <c r="S243" s="89"/>
      <c r="T243" s="118">
        <f>IFERROR(J243,"")</f>
        <v>0</v>
      </c>
    </row>
    <row r="244" spans="1:20" ht="18" customHeight="1">
      <c r="A244" s="168" t="s">
        <v>29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60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67" t="s">
        <v>52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53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67" t="s">
        <v>59</v>
      </c>
      <c r="B270" s="167"/>
      <c r="C270" s="167"/>
      <c r="D270" s="167"/>
      <c r="E270" s="167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53</v>
      </c>
      <c r="S270" s="89"/>
      <c r="T270" s="118">
        <f>IFERROR(J270,"")</f>
        <v>0</v>
      </c>
    </row>
    <row r="271" spans="1:20" ht="18" customHeight="1">
      <c r="A271" s="168" t="s">
        <v>29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60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67" t="s">
        <v>52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53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67" t="s">
        <v>59</v>
      </c>
      <c r="B297" s="167"/>
      <c r="C297" s="167"/>
      <c r="D297" s="167"/>
      <c r="E297" s="167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53</v>
      </c>
      <c r="S297" s="89"/>
      <c r="T297" s="118">
        <f>IFERROR(J297,"")</f>
        <v>0</v>
      </c>
    </row>
    <row r="298" spans="1:20" ht="18" customHeight="1">
      <c r="A298" s="168" t="s">
        <v>29</v>
      </c>
      <c r="B298" s="168"/>
      <c r="C298" s="168"/>
      <c r="D298" s="168"/>
      <c r="E298" s="16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60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67" t="s">
        <v>52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53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67" t="s">
        <v>59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53</v>
      </c>
      <c r="S324" s="89"/>
      <c r="T324" s="118">
        <f>IFERROR(J324,"")</f>
        <v>0</v>
      </c>
    </row>
    <row r="325" spans="1:20" ht="18" customHeight="1">
      <c r="A325" s="168" t="s">
        <v>29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60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67" t="s">
        <v>52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53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67" t="s">
        <v>59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53</v>
      </c>
      <c r="S351" s="89"/>
      <c r="T351" s="118">
        <f>IFERROR(J351,"")</f>
        <v>0</v>
      </c>
    </row>
    <row r="352" spans="1:20" ht="18" customHeight="1">
      <c r="A352" s="168" t="s">
        <v>29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60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67" t="s">
        <v>52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53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67" t="s">
        <v>59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53</v>
      </c>
      <c r="S378" s="89"/>
      <c r="T378" s="118">
        <f>IFERROR(J378,"")</f>
        <v>0</v>
      </c>
    </row>
    <row r="379" spans="1:20" ht="18" customHeight="1">
      <c r="A379" s="168" t="s">
        <v>29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60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67" t="s">
        <v>52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53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67" t="s">
        <v>59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53</v>
      </c>
      <c r="S405" s="89"/>
      <c r="T405" s="118">
        <f>IFERROR(J405,"")</f>
        <v>0</v>
      </c>
    </row>
    <row r="406" spans="1:20" ht="18" customHeight="1">
      <c r="A406" s="168" t="s">
        <v>29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60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67" t="s">
        <v>52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53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59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53</v>
      </c>
      <c r="S432" s="89"/>
      <c r="T432" s="118">
        <f>IFERROR(J432,"")</f>
        <v>0</v>
      </c>
    </row>
    <row r="433" spans="1:20" ht="18" customHeight="1">
      <c r="A433" s="140" t="s">
        <v>29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60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67" t="s">
        <v>52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53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67" t="s">
        <v>59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53</v>
      </c>
      <c r="S459" s="89"/>
      <c r="T459" s="118">
        <f>IFERROR(J459,"")</f>
        <v>0</v>
      </c>
    </row>
    <row r="460" spans="1:20" ht="18" customHeight="1">
      <c r="A460" s="168" t="s">
        <v>29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60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67" t="s">
        <v>52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53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67" t="s">
        <v>59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53</v>
      </c>
      <c r="S486" s="89"/>
      <c r="T486" s="118">
        <f>IFERROR(J486,"")</f>
        <v>0</v>
      </c>
    </row>
    <row r="487" spans="1:20" ht="18" customHeight="1">
      <c r="A487" s="168" t="s">
        <v>29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60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67" t="s">
        <v>52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53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59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53</v>
      </c>
      <c r="S513" s="89"/>
      <c r="T513" s="118">
        <f>IFERROR(J513,"")</f>
        <v>0</v>
      </c>
    </row>
    <row r="514" spans="1:20" ht="18" customHeight="1">
      <c r="A514" s="140" t="s">
        <v>29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60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67" t="s">
        <v>52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53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67" t="s">
        <v>59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53</v>
      </c>
      <c r="S540" s="89"/>
      <c r="T540" s="118">
        <f>IFERROR(J540,"")</f>
        <v>0</v>
      </c>
    </row>
    <row r="541" spans="1:20" ht="18" customHeight="1">
      <c r="A541" s="168" t="s">
        <v>29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60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67" t="s">
        <v>52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53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67" t="s">
        <v>59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53</v>
      </c>
      <c r="S567" s="89"/>
      <c r="T567" s="118">
        <f>IFERROR(J567,"")</f>
        <v>0</v>
      </c>
    </row>
    <row r="568" spans="1:20" ht="18" customHeight="1">
      <c r="A568" s="168" t="s">
        <v>29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60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67" t="s">
        <v>52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53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67" t="s">
        <v>59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53</v>
      </c>
      <c r="S594" s="89"/>
      <c r="T594" s="118">
        <f>IFERROR(J594,"")</f>
        <v>0</v>
      </c>
    </row>
    <row r="595" spans="1:20" ht="18" customHeight="1">
      <c r="A595" s="168" t="s">
        <v>29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60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67" t="s">
        <v>52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53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67" t="s">
        <v>59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53</v>
      </c>
      <c r="S621" s="89"/>
      <c r="T621" s="118">
        <f>IFERROR(J621,"")</f>
        <v>0</v>
      </c>
    </row>
    <row r="622" spans="1:20" ht="18" customHeight="1">
      <c r="A622" s="168" t="s">
        <v>29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60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67" t="s">
        <v>52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53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67" t="s">
        <v>59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53</v>
      </c>
      <c r="S648" s="89"/>
      <c r="T648" s="118">
        <f>IFERROR(J648,"")</f>
        <v>0</v>
      </c>
    </row>
    <row r="649" spans="1:20" ht="18" customHeight="1">
      <c r="A649" s="168" t="s">
        <v>29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60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67" t="s">
        <v>52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53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67" t="s">
        <v>59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53</v>
      </c>
      <c r="S675" s="89"/>
      <c r="T675" s="118">
        <f>IFERROR(J675,"")</f>
        <v>0</v>
      </c>
    </row>
    <row r="676" spans="1:20" ht="18" customHeight="1">
      <c r="A676" s="168" t="s">
        <v>29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60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67" t="s">
        <v>52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53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67" t="s">
        <v>59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53</v>
      </c>
      <c r="S702" s="89"/>
      <c r="T702" s="118">
        <f>IFERROR(J702,"")</f>
        <v>0</v>
      </c>
    </row>
    <row r="703" spans="1:20" ht="18" customHeight="1">
      <c r="A703" s="168" t="s">
        <v>29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60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67" t="s">
        <v>52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53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67" t="s">
        <v>59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53</v>
      </c>
      <c r="S729" s="89"/>
      <c r="T729" s="118">
        <f>IFERROR(J729,"")</f>
        <v>0</v>
      </c>
    </row>
    <row r="730" spans="1:20" ht="18" customHeight="1">
      <c r="A730" s="168" t="s">
        <v>29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60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67" t="s">
        <v>52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53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67" t="s">
        <v>59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53</v>
      </c>
      <c r="S756" s="89"/>
      <c r="T756" s="118">
        <f>IFERROR(J756,"")</f>
        <v>0</v>
      </c>
    </row>
    <row r="757" spans="1:20" ht="18" customHeight="1">
      <c r="A757" s="168" t="s">
        <v>29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60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67" t="s">
        <v>52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53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67" t="s">
        <v>59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53</v>
      </c>
      <c r="S783" s="89"/>
      <c r="T783" s="118">
        <f>IFERROR(J783,"")</f>
        <v>0</v>
      </c>
    </row>
    <row r="784" spans="1:20" ht="18" customHeight="1">
      <c r="A784" s="168" t="s">
        <v>29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60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67" t="s">
        <v>52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53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67" t="s">
        <v>59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53</v>
      </c>
      <c r="S810" s="89"/>
      <c r="T810" s="118">
        <f>IFERROR(J810,"")</f>
        <v>0</v>
      </c>
    </row>
    <row r="811" spans="1:20" ht="18" customHeight="1">
      <c r="A811" s="168" t="s">
        <v>29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60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67" t="s">
        <v>52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53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67" t="s">
        <v>59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53</v>
      </c>
      <c r="S837" s="131"/>
      <c r="T837" s="132">
        <f>IFERROR(J837,"")</f>
        <v>0</v>
      </c>
    </row>
    <row r="838" spans="1:20" ht="18" customHeight="1">
      <c r="A838" s="168" t="s">
        <v>29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60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0" activePane="bottomLeft" state="frozen"/>
      <selection pane="bottomLeft" activeCell="G40" sqref="G40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30</v>
      </c>
      <c r="C1" s="72" t="s">
        <v>19</v>
      </c>
      <c r="D1" s="71" t="s">
        <v>31</v>
      </c>
      <c r="E1" s="71" t="s">
        <v>32</v>
      </c>
      <c r="F1" s="105" t="s">
        <v>64</v>
      </c>
      <c r="G1" s="72" t="s">
        <v>33</v>
      </c>
      <c r="H1" s="105" t="s">
        <v>65</v>
      </c>
      <c r="I1" s="105" t="s">
        <v>66</v>
      </c>
      <c r="J1" s="105" t="s">
        <v>67</v>
      </c>
      <c r="K1" s="72" t="s">
        <v>34</v>
      </c>
      <c r="L1" s="72" t="s">
        <v>35</v>
      </c>
      <c r="M1" s="72" t="s">
        <v>36</v>
      </c>
      <c r="N1" s="72" t="s">
        <v>37</v>
      </c>
      <c r="O1" s="72" t="s">
        <v>38</v>
      </c>
      <c r="P1" s="72" t="s">
        <v>39</v>
      </c>
      <c r="Q1" s="73" t="s">
        <v>40</v>
      </c>
      <c r="R1" s="72" t="s">
        <v>26</v>
      </c>
      <c r="S1" s="72" t="s">
        <v>41</v>
      </c>
      <c r="T1" s="72" t="s">
        <v>67</v>
      </c>
    </row>
    <row r="2" spans="1:20" ht="15" customHeight="1">
      <c r="A2" s="74">
        <v>46266</v>
      </c>
      <c r="B2" s="75">
        <v>0.33333333333333298</v>
      </c>
      <c r="C2" s="76" t="s">
        <v>42</v>
      </c>
      <c r="D2" s="77" t="s">
        <v>68</v>
      </c>
      <c r="E2" s="106" t="s">
        <v>69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70</v>
      </c>
      <c r="M2" s="76"/>
      <c r="N2" s="76" t="s">
        <v>71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42</v>
      </c>
      <c r="D3" s="77" t="s">
        <v>68</v>
      </c>
      <c r="E3" s="106" t="s">
        <v>69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61</v>
      </c>
      <c r="M3" s="85" t="s">
        <v>90</v>
      </c>
      <c r="N3" s="85" t="s">
        <v>78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42</v>
      </c>
      <c r="D4" s="77" t="s">
        <v>68</v>
      </c>
      <c r="E4" s="106" t="s">
        <v>69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61</v>
      </c>
      <c r="M4" s="76" t="s">
        <v>91</v>
      </c>
      <c r="N4" s="76" t="s">
        <v>92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42</v>
      </c>
      <c r="D5" s="77" t="s">
        <v>68</v>
      </c>
      <c r="E5" s="106" t="s">
        <v>69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61</v>
      </c>
      <c r="M5" s="85" t="s">
        <v>90</v>
      </c>
      <c r="N5" s="85" t="s">
        <v>93</v>
      </c>
      <c r="O5" s="80">
        <v>0.56527777777777777</v>
      </c>
      <c r="P5" s="80" t="s">
        <v>94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42</v>
      </c>
      <c r="D6" s="77" t="s">
        <v>68</v>
      </c>
      <c r="E6" s="106" t="s">
        <v>69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49</v>
      </c>
      <c r="M6" s="85" t="s">
        <v>82</v>
      </c>
      <c r="N6" s="85" t="s">
        <v>95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42</v>
      </c>
      <c r="D7" s="77" t="s">
        <v>68</v>
      </c>
      <c r="E7" s="106" t="s">
        <v>69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49</v>
      </c>
      <c r="M7" s="85"/>
      <c r="N7" s="85" t="s">
        <v>50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42</v>
      </c>
      <c r="D8" s="77" t="s">
        <v>68</v>
      </c>
      <c r="E8" s="106" t="s">
        <v>69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42</v>
      </c>
      <c r="D9" s="77" t="s">
        <v>68</v>
      </c>
      <c r="E9" s="106" t="s">
        <v>69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42</v>
      </c>
      <c r="D10" s="77" t="s">
        <v>68</v>
      </c>
      <c r="E10" s="106" t="s">
        <v>69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42</v>
      </c>
      <c r="D11" s="77" t="s">
        <v>68</v>
      </c>
      <c r="E11" s="106" t="s">
        <v>69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42</v>
      </c>
      <c r="D12" s="77" t="s">
        <v>68</v>
      </c>
      <c r="E12" s="106" t="s">
        <v>69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42</v>
      </c>
      <c r="D13" s="77" t="s">
        <v>68</v>
      </c>
      <c r="E13" s="106" t="s">
        <v>69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67" t="s">
        <v>52</v>
      </c>
      <c r="B14" s="167"/>
      <c r="C14" s="167"/>
      <c r="D14" s="167"/>
      <c r="E14" s="167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53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54</v>
      </c>
      <c r="D15" s="90" t="s">
        <v>43</v>
      </c>
      <c r="E15" s="119" t="s">
        <v>69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45</v>
      </c>
      <c r="M15" s="85" t="s">
        <v>82</v>
      </c>
      <c r="N15" s="85" t="s">
        <v>73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54</v>
      </c>
      <c r="D16" s="90" t="s">
        <v>43</v>
      </c>
      <c r="E16" s="119" t="s">
        <v>69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45</v>
      </c>
      <c r="M16" s="76" t="s">
        <v>72</v>
      </c>
      <c r="N16" s="76" t="s">
        <v>58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54</v>
      </c>
      <c r="D17" s="90" t="s">
        <v>43</v>
      </c>
      <c r="E17" s="119" t="s">
        <v>69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45</v>
      </c>
      <c r="M17" s="85" t="s">
        <v>76</v>
      </c>
      <c r="N17" s="85" t="s">
        <v>58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54</v>
      </c>
      <c r="D18" s="90" t="s">
        <v>43</v>
      </c>
      <c r="E18" s="119" t="s">
        <v>69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54</v>
      </c>
      <c r="D19" s="90" t="s">
        <v>43</v>
      </c>
      <c r="E19" s="119" t="s">
        <v>69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54</v>
      </c>
      <c r="D20" s="90" t="s">
        <v>43</v>
      </c>
      <c r="E20" s="119" t="s">
        <v>69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54</v>
      </c>
      <c r="D21" s="90" t="s">
        <v>43</v>
      </c>
      <c r="E21" s="119" t="s">
        <v>69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54</v>
      </c>
      <c r="D22" s="90" t="s">
        <v>43</v>
      </c>
      <c r="E22" s="119" t="s">
        <v>69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54</v>
      </c>
      <c r="D23" s="90" t="s">
        <v>43</v>
      </c>
      <c r="E23" s="119" t="s">
        <v>69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54</v>
      </c>
      <c r="D24" s="90" t="s">
        <v>43</v>
      </c>
      <c r="E24" s="119" t="s">
        <v>69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54</v>
      </c>
      <c r="D25" s="90" t="s">
        <v>43</v>
      </c>
      <c r="E25" s="119" t="s">
        <v>69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54</v>
      </c>
      <c r="D26" s="90" t="s">
        <v>43</v>
      </c>
      <c r="E26" s="119" t="s">
        <v>69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67" t="s">
        <v>59</v>
      </c>
      <c r="B27" s="167"/>
      <c r="C27" s="167"/>
      <c r="D27" s="167"/>
      <c r="E27" s="167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53</v>
      </c>
      <c r="S27" s="89">
        <v>163270</v>
      </c>
      <c r="T27" s="118">
        <f>IFERROR(J27,"")</f>
        <v>68.573399999999992</v>
      </c>
    </row>
    <row r="28" spans="1:20" ht="18" customHeight="1">
      <c r="A28" s="168" t="s">
        <v>29</v>
      </c>
      <c r="B28" s="168"/>
      <c r="C28" s="168"/>
      <c r="D28" s="168"/>
      <c r="E28" s="16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60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86</v>
      </c>
      <c r="D29" s="77" t="s">
        <v>43</v>
      </c>
      <c r="E29" s="106" t="s">
        <v>69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0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0</v>
      </c>
      <c r="K29" s="79">
        <f t="shared" ref="K29:K40" si="9">IF(G29="","",IF(E29="PC 17",G29*4.2,IF(E29="PC 19",G29*5,IF(E29="CB",G29*24,""))))</f>
        <v>25.200000000000003</v>
      </c>
      <c r="L29" s="85" t="s">
        <v>45</v>
      </c>
      <c r="M29" s="85" t="s">
        <v>76</v>
      </c>
      <c r="N29" s="85" t="s">
        <v>58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86</v>
      </c>
      <c r="D30" s="77" t="s">
        <v>43</v>
      </c>
      <c r="E30" s="106" t="s">
        <v>69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>
        <f t="shared" si="9"/>
        <v>21</v>
      </c>
      <c r="L30" s="85" t="s">
        <v>61</v>
      </c>
      <c r="M30" s="85" t="s">
        <v>90</v>
      </c>
      <c r="N30" s="85" t="s">
        <v>78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86</v>
      </c>
      <c r="D31" s="77" t="s">
        <v>43</v>
      </c>
      <c r="E31" s="106" t="s">
        <v>69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si="9"/>
        <v>50.400000000000006</v>
      </c>
      <c r="L31" s="85" t="s">
        <v>61</v>
      </c>
      <c r="M31" s="85"/>
      <c r="N31" s="85" t="s">
        <v>62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86</v>
      </c>
      <c r="D32" s="77" t="s">
        <v>43</v>
      </c>
      <c r="E32" s="106" t="s">
        <v>69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86</v>
      </c>
      <c r="D33" s="77" t="s">
        <v>43</v>
      </c>
      <c r="E33" s="106" t="s">
        <v>69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0</v>
      </c>
      <c r="I33" s="109">
        <f>IFERROR(IF($D33="","",VLOOKUP($D33,Cadastro!$C$4:$G$20,5,FALSE())),"")</f>
        <v>0.6</v>
      </c>
      <c r="J33" s="110">
        <f t="shared" si="8"/>
        <v>0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86</v>
      </c>
      <c r="D34" s="77" t="s">
        <v>43</v>
      </c>
      <c r="E34" s="106" t="s">
        <v>69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0</v>
      </c>
      <c r="I34" s="109">
        <f>IFERROR(IF($D34="","",VLOOKUP($D34,Cadastro!$C$4:$G$20,5,FALSE())),"")</f>
        <v>0.6</v>
      </c>
      <c r="J34" s="110">
        <f t="shared" si="8"/>
        <v>0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86</v>
      </c>
      <c r="D35" s="77" t="s">
        <v>43</v>
      </c>
      <c r="E35" s="106" t="s">
        <v>69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86</v>
      </c>
      <c r="D36" s="77" t="s">
        <v>43</v>
      </c>
      <c r="E36" s="106" t="s">
        <v>69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86</v>
      </c>
      <c r="D37" s="77" t="s">
        <v>43</v>
      </c>
      <c r="E37" s="106" t="s">
        <v>69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86</v>
      </c>
      <c r="D38" s="77" t="s">
        <v>43</v>
      </c>
      <c r="E38" s="106" t="s">
        <v>69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86</v>
      </c>
      <c r="D39" s="77" t="s">
        <v>43</v>
      </c>
      <c r="E39" s="106" t="s">
        <v>69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86</v>
      </c>
      <c r="D40" s="77" t="s">
        <v>43</v>
      </c>
      <c r="E40" s="106" t="s">
        <v>69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67" t="s">
        <v>52</v>
      </c>
      <c r="B41" s="167"/>
      <c r="C41" s="167"/>
      <c r="D41" s="167"/>
      <c r="E41" s="167"/>
      <c r="F41" s="114"/>
      <c r="G41" s="115">
        <f>SUM(G29:G40)</f>
        <v>62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53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67" t="s">
        <v>59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53</v>
      </c>
      <c r="S54" s="89"/>
      <c r="T54" s="118">
        <f>IFERROR(J54,"")</f>
        <v>0</v>
      </c>
    </row>
    <row r="55" spans="1:20" ht="18" customHeight="1">
      <c r="A55" s="168" t="s">
        <v>29</v>
      </c>
      <c r="B55" s="168"/>
      <c r="C55" s="168"/>
      <c r="D55" s="168"/>
      <c r="E55" s="168"/>
      <c r="F55" s="127"/>
      <c r="G55" s="128">
        <f>G41+G54</f>
        <v>62</v>
      </c>
      <c r="H55" s="127">
        <f>IFERROR(H41+H54,"")</f>
        <v>0</v>
      </c>
      <c r="I55" s="129"/>
      <c r="J55" s="130">
        <f>IFERROR(J41+J54,"")</f>
        <v>0</v>
      </c>
      <c r="K55" s="1">
        <f>K41+K54</f>
        <v>260.40000000000003</v>
      </c>
      <c r="L55" s="91"/>
      <c r="M55" s="91"/>
      <c r="N55" s="91"/>
      <c r="O55" s="91"/>
      <c r="P55" s="91"/>
      <c r="Q55" s="92">
        <f ca="1">IFERROR(Q41+Q54,"")</f>
        <v>0.25972222222222224</v>
      </c>
      <c r="R55" s="1" t="s">
        <v>60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67" t="s">
        <v>52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53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67" t="s">
        <v>59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53</v>
      </c>
      <c r="S81" s="89"/>
      <c r="T81" s="118">
        <f>IFERROR(J81,"")</f>
        <v>0</v>
      </c>
    </row>
    <row r="82" spans="1:20" ht="18" customHeight="1">
      <c r="A82" s="168" t="s">
        <v>29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60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67" t="s">
        <v>52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53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67" t="s">
        <v>59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53</v>
      </c>
      <c r="S108" s="89"/>
      <c r="T108" s="118">
        <f>IFERROR(J108,"")</f>
        <v>0</v>
      </c>
    </row>
    <row r="109" spans="1:20" ht="18" customHeight="1">
      <c r="A109" s="168" t="s">
        <v>29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60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67" t="s">
        <v>52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53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67" t="s">
        <v>59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53</v>
      </c>
      <c r="S135" s="89"/>
      <c r="T135" s="118">
        <f>IFERROR(J135,"")</f>
        <v>0</v>
      </c>
    </row>
    <row r="136" spans="1:20" ht="18" customHeight="1">
      <c r="A136" s="168" t="s">
        <v>29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60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67" t="s">
        <v>52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53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59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53</v>
      </c>
      <c r="S162" s="89"/>
      <c r="T162" s="118">
        <f>IFERROR(J162,"")</f>
        <v>0</v>
      </c>
    </row>
    <row r="163" spans="1:20" ht="18" customHeight="1">
      <c r="A163" s="168" t="s">
        <v>29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60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52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53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59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53</v>
      </c>
      <c r="S189" s="89"/>
      <c r="T189" s="118">
        <f>IFERROR(J189,"")</f>
        <v>0</v>
      </c>
    </row>
    <row r="190" spans="1:20" ht="18" customHeight="1">
      <c r="A190" s="168" t="s">
        <v>29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60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52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53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67" t="s">
        <v>59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53</v>
      </c>
      <c r="S216" s="89"/>
      <c r="T216" s="118">
        <f>IFERROR(J216,"")</f>
        <v>0</v>
      </c>
    </row>
    <row r="217" spans="1:20" ht="18" customHeight="1">
      <c r="A217" s="168" t="s">
        <v>29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60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67" t="s">
        <v>52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53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67" t="s">
        <v>59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53</v>
      </c>
      <c r="S243" s="89"/>
      <c r="T243" s="118">
        <f>IFERROR(J243,"")</f>
        <v>0</v>
      </c>
    </row>
    <row r="244" spans="1:20" ht="18" customHeight="1">
      <c r="A244" s="168" t="s">
        <v>29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60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67" t="s">
        <v>52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53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67" t="s">
        <v>59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53</v>
      </c>
      <c r="S270" s="89"/>
      <c r="T270" s="118">
        <f>IFERROR(J270,"")</f>
        <v>0</v>
      </c>
    </row>
    <row r="271" spans="1:20" ht="18" customHeight="1">
      <c r="A271" s="168" t="s">
        <v>29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60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67" t="s">
        <v>52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53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67" t="s">
        <v>59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53</v>
      </c>
      <c r="S297" s="89"/>
      <c r="T297" s="118">
        <f>IFERROR(J297,"")</f>
        <v>0</v>
      </c>
    </row>
    <row r="298" spans="1:20" ht="18" customHeight="1">
      <c r="A298" s="168" t="s">
        <v>29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60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67" t="s">
        <v>52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53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67" t="s">
        <v>59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53</v>
      </c>
      <c r="S324" s="89"/>
      <c r="T324" s="118">
        <f>IFERROR(J324,"")</f>
        <v>0</v>
      </c>
    </row>
    <row r="325" spans="1:20" ht="18" customHeight="1">
      <c r="A325" s="168" t="s">
        <v>29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60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67" t="s">
        <v>52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53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67" t="s">
        <v>59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53</v>
      </c>
      <c r="S351" s="89"/>
      <c r="T351" s="118">
        <f>IFERROR(J351,"")</f>
        <v>0</v>
      </c>
    </row>
    <row r="352" spans="1:20" ht="18" customHeight="1">
      <c r="A352" s="168" t="s">
        <v>29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60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67" t="s">
        <v>52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53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67" t="s">
        <v>59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53</v>
      </c>
      <c r="S378" s="89"/>
      <c r="T378" s="118">
        <f>IFERROR(J378,"")</f>
        <v>0</v>
      </c>
    </row>
    <row r="379" spans="1:20" ht="18" customHeight="1">
      <c r="A379" s="168" t="s">
        <v>29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60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67" t="s">
        <v>52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53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67" t="s">
        <v>59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53</v>
      </c>
      <c r="S405" s="89"/>
      <c r="T405" s="118">
        <f>IFERROR(J405,"")</f>
        <v>0</v>
      </c>
    </row>
    <row r="406" spans="1:20" ht="18" customHeight="1">
      <c r="A406" s="168" t="s">
        <v>29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60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67" t="s">
        <v>52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53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67" t="s">
        <v>59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53</v>
      </c>
      <c r="S432" s="89"/>
      <c r="T432" s="118">
        <f>IFERROR(J432,"")</f>
        <v>0</v>
      </c>
    </row>
    <row r="433" spans="1:20" ht="18" customHeight="1">
      <c r="A433" s="168" t="s">
        <v>29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60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67" t="s">
        <v>52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53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67" t="s">
        <v>59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53</v>
      </c>
      <c r="S459" s="89"/>
      <c r="T459" s="118">
        <f>IFERROR(J459,"")</f>
        <v>0</v>
      </c>
    </row>
    <row r="460" spans="1:20" ht="18" customHeight="1">
      <c r="A460" s="168" t="s">
        <v>29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60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67" t="s">
        <v>52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53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67" t="s">
        <v>59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53</v>
      </c>
      <c r="S486" s="89"/>
      <c r="T486" s="118">
        <f>IFERROR(J486,"")</f>
        <v>0</v>
      </c>
    </row>
    <row r="487" spans="1:20" ht="18" customHeight="1">
      <c r="A487" s="168" t="s">
        <v>29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60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67" t="s">
        <v>52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53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67" t="s">
        <v>59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53</v>
      </c>
      <c r="S513" s="89"/>
      <c r="T513" s="118">
        <f>IFERROR(J513,"")</f>
        <v>0</v>
      </c>
    </row>
    <row r="514" spans="1:20" ht="18" customHeight="1">
      <c r="A514" s="168" t="s">
        <v>29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60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67" t="s">
        <v>52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53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67" t="s">
        <v>59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53</v>
      </c>
      <c r="S540" s="89"/>
      <c r="T540" s="118">
        <f>IFERROR(J540,"")</f>
        <v>0</v>
      </c>
    </row>
    <row r="541" spans="1:20" ht="18" customHeight="1">
      <c r="A541" s="168" t="s">
        <v>29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60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67" t="s">
        <v>52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53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67" t="s">
        <v>59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53</v>
      </c>
      <c r="S567" s="89"/>
      <c r="T567" s="118">
        <f>IFERROR(J567,"")</f>
        <v>0</v>
      </c>
    </row>
    <row r="568" spans="1:20" ht="18" customHeight="1">
      <c r="A568" s="168" t="s">
        <v>29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60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67" t="s">
        <v>52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53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67" t="s">
        <v>59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53</v>
      </c>
      <c r="S594" s="89"/>
      <c r="T594" s="118">
        <f>IFERROR(J594,"")</f>
        <v>0</v>
      </c>
    </row>
    <row r="595" spans="1:20" ht="18" customHeight="1">
      <c r="A595" s="168" t="s">
        <v>29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60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67" t="s">
        <v>52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53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67" t="s">
        <v>59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53</v>
      </c>
      <c r="S621" s="89"/>
      <c r="T621" s="118">
        <f>IFERROR(J621,"")</f>
        <v>0</v>
      </c>
    </row>
    <row r="622" spans="1:20" ht="18" customHeight="1">
      <c r="A622" s="168" t="s">
        <v>29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60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67" t="s">
        <v>52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53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67" t="s">
        <v>59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53</v>
      </c>
      <c r="S648" s="89"/>
      <c r="T648" s="118">
        <f>IFERROR(J648,"")</f>
        <v>0</v>
      </c>
    </row>
    <row r="649" spans="1:20" ht="18" customHeight="1">
      <c r="A649" s="168" t="s">
        <v>29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60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67" t="s">
        <v>52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53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67" t="s">
        <v>59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53</v>
      </c>
      <c r="S675" s="89"/>
      <c r="T675" s="118">
        <f>IFERROR(J675,"")</f>
        <v>0</v>
      </c>
    </row>
    <row r="676" spans="1:20" ht="18" customHeight="1">
      <c r="A676" s="168" t="s">
        <v>29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60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67" t="s">
        <v>52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53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67" t="s">
        <v>59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53</v>
      </c>
      <c r="S702" s="89"/>
      <c r="T702" s="118">
        <f>IFERROR(J702,"")</f>
        <v>0</v>
      </c>
    </row>
    <row r="703" spans="1:20" ht="18" customHeight="1">
      <c r="A703" s="168" t="s">
        <v>29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60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67" t="s">
        <v>52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53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67" t="s">
        <v>59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53</v>
      </c>
      <c r="S729" s="89"/>
      <c r="T729" s="118">
        <f>IFERROR(J729,"")</f>
        <v>0</v>
      </c>
    </row>
    <row r="730" spans="1:20" ht="18" customHeight="1">
      <c r="A730" s="168" t="s">
        <v>29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60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67" t="s">
        <v>52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53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67" t="s">
        <v>59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53</v>
      </c>
      <c r="S756" s="89"/>
      <c r="T756" s="118">
        <f>IFERROR(J756,"")</f>
        <v>0</v>
      </c>
    </row>
    <row r="757" spans="1:20" ht="18" customHeight="1">
      <c r="A757" s="168" t="s">
        <v>29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60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67" t="s">
        <v>52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53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67" t="s">
        <v>59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53</v>
      </c>
      <c r="S783" s="89"/>
      <c r="T783" s="118">
        <f>IFERROR(J783,"")</f>
        <v>0</v>
      </c>
    </row>
    <row r="784" spans="1:20" ht="18" customHeight="1">
      <c r="A784" s="168" t="s">
        <v>29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60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67" t="s">
        <v>52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53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67" t="s">
        <v>59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53</v>
      </c>
      <c r="S810" s="89"/>
      <c r="T810" s="118">
        <f>IFERROR(J810,"")</f>
        <v>0</v>
      </c>
    </row>
    <row r="811" spans="1:20" ht="18" customHeight="1">
      <c r="A811" s="168" t="s">
        <v>29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60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67" t="s">
        <v>52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53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67" t="s">
        <v>59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53</v>
      </c>
      <c r="S837" s="89"/>
      <c r="T837" s="118">
        <f>IFERROR(J837,"")</f>
        <v>0</v>
      </c>
    </row>
    <row r="838" spans="1:20" ht="18" customHeight="1">
      <c r="A838" s="168" t="s">
        <v>29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60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29:F256 F259:F261 E260:E261 E263:F380 E382:F492 F493:F514 E494:E838 E15:F2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8" activePane="bottomLeft" state="frozen"/>
      <selection pane="bottomLeft" activeCell="G40" sqref="G40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30</v>
      </c>
      <c r="C1" s="72" t="s">
        <v>19</v>
      </c>
      <c r="D1" s="71" t="s">
        <v>31</v>
      </c>
      <c r="E1" s="71" t="s">
        <v>32</v>
      </c>
      <c r="F1" s="105" t="s">
        <v>64</v>
      </c>
      <c r="G1" s="72" t="s">
        <v>33</v>
      </c>
      <c r="H1" s="105" t="s">
        <v>65</v>
      </c>
      <c r="I1" s="105" t="s">
        <v>66</v>
      </c>
      <c r="J1" s="105" t="s">
        <v>67</v>
      </c>
      <c r="K1" s="72" t="s">
        <v>34</v>
      </c>
      <c r="L1" s="72" t="s">
        <v>35</v>
      </c>
      <c r="M1" s="72" t="s">
        <v>36</v>
      </c>
      <c r="N1" s="72" t="s">
        <v>37</v>
      </c>
      <c r="O1" s="72" t="s">
        <v>38</v>
      </c>
      <c r="P1" s="72" t="s">
        <v>39</v>
      </c>
      <c r="Q1" s="73" t="s">
        <v>40</v>
      </c>
      <c r="R1" s="72" t="s">
        <v>26</v>
      </c>
      <c r="S1" s="72" t="s">
        <v>41</v>
      </c>
      <c r="T1" s="72" t="s">
        <v>67</v>
      </c>
    </row>
    <row r="2" spans="1:20" ht="15" customHeight="1">
      <c r="A2" s="74">
        <v>46266</v>
      </c>
      <c r="B2" s="75">
        <v>0.33333333333333298</v>
      </c>
      <c r="C2" s="76" t="s">
        <v>42</v>
      </c>
      <c r="D2" s="77" t="s">
        <v>68</v>
      </c>
      <c r="E2" s="106" t="s">
        <v>69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49</v>
      </c>
      <c r="M2" s="76"/>
      <c r="N2" s="76" t="s">
        <v>50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96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42</v>
      </c>
      <c r="D3" s="77" t="s">
        <v>68</v>
      </c>
      <c r="E3" s="106" t="s">
        <v>69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61</v>
      </c>
      <c r="M3" s="85" t="s">
        <v>97</v>
      </c>
      <c r="N3" s="85" t="s">
        <v>78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98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42</v>
      </c>
      <c r="D4" s="77" t="s">
        <v>68</v>
      </c>
      <c r="E4" s="106" t="s">
        <v>69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75</v>
      </c>
      <c r="M4" s="76" t="s">
        <v>97</v>
      </c>
      <c r="N4" s="76" t="s">
        <v>99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42</v>
      </c>
      <c r="D5" s="77" t="s">
        <v>68</v>
      </c>
      <c r="E5" s="106" t="s">
        <v>69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49</v>
      </c>
      <c r="M5" s="85"/>
      <c r="N5" s="85" t="s">
        <v>50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42</v>
      </c>
      <c r="D6" s="77" t="s">
        <v>68</v>
      </c>
      <c r="E6" s="106" t="s">
        <v>69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45</v>
      </c>
      <c r="M6" s="76" t="s">
        <v>100</v>
      </c>
      <c r="N6" s="76" t="s">
        <v>101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102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42</v>
      </c>
      <c r="D7" s="77" t="s">
        <v>68</v>
      </c>
      <c r="E7" s="106" t="s">
        <v>69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61</v>
      </c>
      <c r="M7" s="85"/>
      <c r="N7" s="85" t="s">
        <v>92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103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42</v>
      </c>
      <c r="D8" s="77" t="s">
        <v>68</v>
      </c>
      <c r="E8" s="106" t="s">
        <v>69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49</v>
      </c>
      <c r="M8" s="76"/>
      <c r="N8" s="76" t="s">
        <v>50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42</v>
      </c>
      <c r="D9" s="77" t="s">
        <v>68</v>
      </c>
      <c r="E9" s="106" t="s">
        <v>69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42</v>
      </c>
      <c r="D10" s="77" t="s">
        <v>68</v>
      </c>
      <c r="E10" s="106" t="s">
        <v>69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42</v>
      </c>
      <c r="D11" s="77" t="s">
        <v>68</v>
      </c>
      <c r="E11" s="106" t="s">
        <v>69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42</v>
      </c>
      <c r="D12" s="77" t="s">
        <v>68</v>
      </c>
      <c r="E12" s="106" t="s">
        <v>69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42</v>
      </c>
      <c r="D13" s="77" t="s">
        <v>68</v>
      </c>
      <c r="E13" s="106" t="s">
        <v>69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67" t="s">
        <v>52</v>
      </c>
      <c r="B14" s="167"/>
      <c r="C14" s="167"/>
      <c r="D14" s="167"/>
      <c r="E14" s="167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53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54</v>
      </c>
      <c r="D15" s="90" t="s">
        <v>68</v>
      </c>
      <c r="E15" s="119" t="s">
        <v>44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75</v>
      </c>
      <c r="M15" s="85" t="s">
        <v>97</v>
      </c>
      <c r="N15" s="85" t="s">
        <v>104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54</v>
      </c>
      <c r="D16" s="90" t="s">
        <v>68</v>
      </c>
      <c r="E16" s="119" t="s">
        <v>69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61</v>
      </c>
      <c r="M16" s="76" t="s">
        <v>91</v>
      </c>
      <c r="N16" s="76" t="s">
        <v>92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54</v>
      </c>
      <c r="D17" s="90" t="s">
        <v>68</v>
      </c>
      <c r="E17" s="119" t="s">
        <v>69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75</v>
      </c>
      <c r="M17" s="85" t="s">
        <v>105</v>
      </c>
      <c r="N17" s="85" t="s">
        <v>77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54</v>
      </c>
      <c r="D18" s="90" t="s">
        <v>68</v>
      </c>
      <c r="E18" s="119" t="s">
        <v>69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54</v>
      </c>
      <c r="D19" s="90" t="s">
        <v>68</v>
      </c>
      <c r="E19" s="119" t="s">
        <v>69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54</v>
      </c>
      <c r="D20" s="90" t="s">
        <v>68</v>
      </c>
      <c r="E20" s="119" t="s">
        <v>69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54</v>
      </c>
      <c r="D21" s="90" t="s">
        <v>68</v>
      </c>
      <c r="E21" s="119" t="s">
        <v>69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54</v>
      </c>
      <c r="D22" s="90" t="s">
        <v>68</v>
      </c>
      <c r="E22" s="119" t="s">
        <v>69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54</v>
      </c>
      <c r="D23" s="90" t="s">
        <v>68</v>
      </c>
      <c r="E23" s="119" t="s">
        <v>69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54</v>
      </c>
      <c r="D24" s="90" t="s">
        <v>68</v>
      </c>
      <c r="E24" s="119" t="s">
        <v>69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54</v>
      </c>
      <c r="D25" s="90" t="s">
        <v>43</v>
      </c>
      <c r="E25" s="119" t="s">
        <v>69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54</v>
      </c>
      <c r="D26" s="90" t="s">
        <v>68</v>
      </c>
      <c r="E26" s="119" t="s">
        <v>69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67" t="s">
        <v>59</v>
      </c>
      <c r="B27" s="167"/>
      <c r="C27" s="167"/>
      <c r="D27" s="167"/>
      <c r="E27" s="167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53</v>
      </c>
      <c r="S27" s="89">
        <v>823200</v>
      </c>
      <c r="T27" s="118">
        <f>IFERROR(J27,"")</f>
        <v>193.75026086956518</v>
      </c>
    </row>
    <row r="28" spans="1:20" ht="18" customHeight="1">
      <c r="A28" s="168" t="s">
        <v>29</v>
      </c>
      <c r="B28" s="168"/>
      <c r="C28" s="168"/>
      <c r="D28" s="168"/>
      <c r="E28" s="16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60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42</v>
      </c>
      <c r="D29" s="77" t="s">
        <v>43</v>
      </c>
      <c r="E29" s="106" t="s">
        <v>69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0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0</v>
      </c>
      <c r="K29" s="79">
        <f t="shared" ref="K29:K38" si="9">IF(G29="","",IF(E29="PC 17",G29*4.2,IF(E29="PC 19",G29*5,IF(E29="CB",G29*24,""))))</f>
        <v>37.800000000000004</v>
      </c>
      <c r="L29" s="85" t="s">
        <v>45</v>
      </c>
      <c r="M29" s="85" t="s">
        <v>106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107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42</v>
      </c>
      <c r="D30" s="77" t="s">
        <v>43</v>
      </c>
      <c r="E30" s="106" t="s">
        <v>69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>
        <f t="shared" si="9"/>
        <v>42</v>
      </c>
      <c r="L30" s="76" t="s">
        <v>61</v>
      </c>
      <c r="M30" s="76" t="s">
        <v>91</v>
      </c>
      <c r="N30" s="76" t="s">
        <v>108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42</v>
      </c>
      <c r="D31" s="77" t="s">
        <v>43</v>
      </c>
      <c r="E31" s="106" t="s">
        <v>69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si="9"/>
        <v>71.400000000000006</v>
      </c>
      <c r="L31" s="85" t="s">
        <v>61</v>
      </c>
      <c r="M31" s="85" t="s">
        <v>91</v>
      </c>
      <c r="N31" s="85" t="s">
        <v>92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42</v>
      </c>
      <c r="D32" s="77" t="s">
        <v>43</v>
      </c>
      <c r="E32" s="106" t="s">
        <v>69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9"/>
        <v>58.800000000000004</v>
      </c>
      <c r="L32" s="76" t="s">
        <v>75</v>
      </c>
      <c r="M32" s="76" t="s">
        <v>105</v>
      </c>
      <c r="N32" s="76" t="s">
        <v>77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42</v>
      </c>
      <c r="D33" s="77" t="s">
        <v>43</v>
      </c>
      <c r="E33" s="106" t="s">
        <v>69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0</v>
      </c>
      <c r="I33" s="109">
        <f>IFERROR(IF($D33="","",VLOOKUP($D33,Cadastro!$C$4:$G$20,5,FALSE())),"")</f>
        <v>0.6</v>
      </c>
      <c r="J33" s="110">
        <f t="shared" si="8"/>
        <v>0</v>
      </c>
      <c r="K33" s="79">
        <f t="shared" si="9"/>
        <v>46.2</v>
      </c>
      <c r="L33" s="85" t="s">
        <v>61</v>
      </c>
      <c r="M33" s="85"/>
      <c r="N33" s="85" t="s">
        <v>62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42</v>
      </c>
      <c r="D34" s="77" t="s">
        <v>43</v>
      </c>
      <c r="E34" s="106" t="s">
        <v>69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0</v>
      </c>
      <c r="I34" s="109">
        <f>IFERROR(IF($D34="","",VLOOKUP($D34,Cadastro!$C$4:$G$20,5,FALSE())),"")</f>
        <v>0.6</v>
      </c>
      <c r="J34" s="110">
        <f t="shared" si="8"/>
        <v>0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42</v>
      </c>
      <c r="D35" s="77" t="s">
        <v>43</v>
      </c>
      <c r="E35" s="106" t="s">
        <v>69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42</v>
      </c>
      <c r="D36" s="77" t="s">
        <v>43</v>
      </c>
      <c r="E36" s="106" t="s">
        <v>69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42</v>
      </c>
      <c r="D37" s="77" t="s">
        <v>43</v>
      </c>
      <c r="E37" s="106" t="s">
        <v>69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42</v>
      </c>
      <c r="D38" s="77" t="s">
        <v>43</v>
      </c>
      <c r="E38" s="106" t="s">
        <v>69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42</v>
      </c>
      <c r="D39" s="77" t="s">
        <v>43</v>
      </c>
      <c r="E39" s="106" t="s">
        <v>69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 t="str">
        <f>IF(G50="","",IF(E39="PC 17",G50*4.2,IF(E39="PC 19",G50*5,IF(E39="CB",G50*24,""))))</f>
        <v/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42</v>
      </c>
      <c r="D40" s="77" t="s">
        <v>43</v>
      </c>
      <c r="E40" s="106" t="s">
        <v>69</v>
      </c>
      <c r="F40" s="111">
        <f>IFERROR(IF($D40="","",VLOOKUP($D40,Cadastro!$C$4:$E$20,3,FALSE())),"")</f>
        <v>0.7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67" t="s">
        <v>52</v>
      </c>
      <c r="B41" s="167"/>
      <c r="C41" s="167"/>
      <c r="D41" s="167"/>
      <c r="E41" s="167"/>
      <c r="F41" s="114"/>
      <c r="G41" s="115">
        <f>SUM(G29:G40)</f>
        <v>68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285.60000000000002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53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49" si="13">IF(G42="","",IF(E42="PC 17",G42*4.2,IF(E42="PC 19",G42*5,IF(E42="CB",G42*24,""))))</f>
        <v/>
      </c>
      <c r="L42" s="76"/>
      <c r="M42" s="76"/>
      <c r="N42" s="76"/>
      <c r="O42" s="80"/>
      <c r="P42" s="80"/>
      <c r="Q42" s="86" t="str">
        <f t="shared" ref="Q42:Q53" ca="1" si="14">IFERROR(IF(O42="","",IF(P42="",MOD(NOW()-O42,1),IF(P42&gt;=O42,P42-O42,P42+1-O42))),"")</f>
        <v/>
      </c>
      <c r="R42" s="78"/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6" t="str">
        <f t="shared" ca="1" si="14"/>
        <v/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>IF(G51="","",IF(E51="PC 17",G51*4.2,IF(E51="PC 19",G51*5,IF(E51="CB",G51*24,""))))</f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>IF(G52="","",IF(E52="PC 17",G52*4.2,IF(E52="PC 19",G52*5,IF(E52="CB",G52*24,""))))</f>
        <v/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67" t="s">
        <v>59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154"/>
      <c r="P54" s="154"/>
      <c r="Q54" s="88">
        <f ca="1">IFERROR(SUM(Q42:Q53),"")</f>
        <v>0</v>
      </c>
      <c r="R54" s="2" t="s">
        <v>53</v>
      </c>
      <c r="S54" s="89"/>
      <c r="T54" s="118">
        <f>IFERROR(J54,"")</f>
        <v>0</v>
      </c>
    </row>
    <row r="55" spans="1:20" ht="18" customHeight="1">
      <c r="A55" s="168" t="s">
        <v>29</v>
      </c>
      <c r="B55" s="168"/>
      <c r="C55" s="168"/>
      <c r="D55" s="168"/>
      <c r="E55" s="168"/>
      <c r="F55" s="127"/>
      <c r="G55" s="128">
        <f>G41+G54</f>
        <v>68</v>
      </c>
      <c r="H55" s="127">
        <f>IFERROR(H41+H54,"")</f>
        <v>0</v>
      </c>
      <c r="I55" s="129"/>
      <c r="J55" s="130">
        <f>IFERROR(J41+J54,"")</f>
        <v>0</v>
      </c>
      <c r="K55" s="1">
        <f>K41+K54</f>
        <v>285.60000000000002</v>
      </c>
      <c r="L55" s="91"/>
      <c r="M55" s="91"/>
      <c r="N55" s="91"/>
      <c r="O55" s="155"/>
      <c r="P55" s="155"/>
      <c r="Q55" s="92">
        <f ca="1">IFERROR(Q41+Q54,"")</f>
        <v>0.29722222222222233</v>
      </c>
      <c r="R55" s="1" t="s">
        <v>60</v>
      </c>
      <c r="S55" s="97">
        <f>IFERROR(S41+S54,"")</f>
        <v>0</v>
      </c>
      <c r="T55" s="136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67" t="s">
        <v>52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4"/>
      <c r="P68" s="154"/>
      <c r="Q68" s="88">
        <f ca="1">IFERROR(SUM(Q56:Q67),"")</f>
        <v>0</v>
      </c>
      <c r="R68" s="2" t="s">
        <v>53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67" t="s">
        <v>59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4"/>
      <c r="P81" s="154"/>
      <c r="Q81" s="88">
        <f ca="1">IFERROR(SUM(Q69:Q80),"")</f>
        <v>0</v>
      </c>
      <c r="R81" s="2" t="s">
        <v>53</v>
      </c>
      <c r="S81" s="89"/>
      <c r="T81" s="118">
        <f>IFERROR(J81,"")</f>
        <v>0</v>
      </c>
    </row>
    <row r="82" spans="1:20" ht="18" customHeight="1">
      <c r="A82" s="168" t="s">
        <v>29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5"/>
      <c r="P82" s="155"/>
      <c r="Q82" s="92">
        <f ca="1">IFERROR(Q68+Q81,"")</f>
        <v>0</v>
      </c>
      <c r="R82" s="1" t="s">
        <v>60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67" t="s">
        <v>52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53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67" t="s">
        <v>59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53</v>
      </c>
      <c r="S108" s="89"/>
      <c r="T108" s="118">
        <f>IFERROR(J108,"")</f>
        <v>0</v>
      </c>
    </row>
    <row r="109" spans="1:20" ht="18" customHeight="1">
      <c r="A109" s="168" t="s">
        <v>29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60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67" t="s">
        <v>52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53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67" t="s">
        <v>59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53</v>
      </c>
      <c r="S135" s="89"/>
      <c r="T135" s="118">
        <f>IFERROR(J135,"")</f>
        <v>0</v>
      </c>
    </row>
    <row r="136" spans="1:22" ht="18" customHeight="1">
      <c r="A136" s="168" t="s">
        <v>29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60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52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53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59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53</v>
      </c>
      <c r="S162" s="89"/>
      <c r="T162" s="118">
        <f>IFERROR(J162,"")</f>
        <v>0</v>
      </c>
    </row>
    <row r="163" spans="1:20" ht="18" customHeight="1">
      <c r="A163" s="168" t="s">
        <v>29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60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52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53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59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53</v>
      </c>
      <c r="S189" s="89"/>
      <c r="T189" s="118">
        <f>IFERROR(J189,"")</f>
        <v>0</v>
      </c>
    </row>
    <row r="190" spans="1:20" ht="18" customHeight="1">
      <c r="A190" s="168" t="s">
        <v>29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60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52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53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67" t="s">
        <v>59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53</v>
      </c>
      <c r="S216" s="89"/>
      <c r="T216" s="118">
        <f>IFERROR(J216,"")</f>
        <v>0</v>
      </c>
    </row>
    <row r="217" spans="1:20" ht="18" customHeight="1">
      <c r="A217" s="168" t="s">
        <v>29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60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67" t="s">
        <v>52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53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67" t="s">
        <v>59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53</v>
      </c>
      <c r="S243" s="89"/>
      <c r="T243" s="118">
        <f>IFERROR(J243,"")</f>
        <v>0</v>
      </c>
    </row>
    <row r="244" spans="1:20" ht="18" customHeight="1">
      <c r="A244" s="168" t="s">
        <v>29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60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67" t="s">
        <v>52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53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67" t="s">
        <v>59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53</v>
      </c>
      <c r="S270" s="89"/>
      <c r="T270" s="118">
        <f>IFERROR(J270,"")</f>
        <v>0</v>
      </c>
    </row>
    <row r="271" spans="1:20" ht="18" customHeight="1">
      <c r="A271" s="168" t="s">
        <v>29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60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67" t="s">
        <v>52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53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67" t="s">
        <v>59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53</v>
      </c>
      <c r="S297" s="89"/>
      <c r="T297" s="118">
        <f>IFERROR(J297,"")</f>
        <v>0</v>
      </c>
    </row>
    <row r="298" spans="1:20" ht="18" customHeight="1">
      <c r="A298" s="168" t="s">
        <v>29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60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67" t="s">
        <v>52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53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67" t="s">
        <v>59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53</v>
      </c>
      <c r="S324" s="89"/>
      <c r="T324" s="118">
        <f>IFERROR(J324,"")</f>
        <v>0</v>
      </c>
    </row>
    <row r="325" spans="1:20" ht="18" customHeight="1">
      <c r="A325" s="168" t="s">
        <v>29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60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67" t="s">
        <v>52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53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67" t="s">
        <v>59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53</v>
      </c>
      <c r="S351" s="89"/>
      <c r="T351" s="118">
        <f>IFERROR(J351,"")</f>
        <v>0</v>
      </c>
    </row>
    <row r="352" spans="1:20" ht="18" customHeight="1">
      <c r="A352" s="168" t="s">
        <v>29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60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52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53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67" t="s">
        <v>59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53</v>
      </c>
      <c r="S378" s="89"/>
      <c r="T378" s="118">
        <f>IFERROR(J378,"")</f>
        <v>0</v>
      </c>
    </row>
    <row r="379" spans="1:20" ht="18" customHeight="1">
      <c r="A379" s="168" t="s">
        <v>29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60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67" t="s">
        <v>52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53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67" t="s">
        <v>59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53</v>
      </c>
      <c r="S405" s="89"/>
      <c r="T405" s="118">
        <f>IFERROR(J405,"")</f>
        <v>0</v>
      </c>
    </row>
    <row r="406" spans="1:20" ht="18" customHeight="1">
      <c r="A406" s="168" t="s">
        <v>29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60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67" t="s">
        <v>52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53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67" t="s">
        <v>59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53</v>
      </c>
      <c r="S432" s="89"/>
      <c r="T432" s="118">
        <f>IFERROR(J432,"")</f>
        <v>0</v>
      </c>
    </row>
    <row r="433" spans="1:21" ht="18" customHeight="1">
      <c r="A433" s="168" t="s">
        <v>29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60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67" t="s">
        <v>52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53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67" t="s">
        <v>59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53</v>
      </c>
      <c r="S459" s="89"/>
      <c r="T459" s="118">
        <f>IFERROR(J459,"")</f>
        <v>0</v>
      </c>
    </row>
    <row r="460" spans="1:20" ht="18" customHeight="1">
      <c r="A460" s="168" t="s">
        <v>29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60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67" t="s">
        <v>52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53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67" t="s">
        <v>59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53</v>
      </c>
      <c r="S486" s="89"/>
      <c r="T486" s="118">
        <f>IFERROR(J486,"")</f>
        <v>0</v>
      </c>
    </row>
    <row r="487" spans="1:20" ht="18" customHeight="1">
      <c r="A487" s="168" t="s">
        <v>29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60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67" t="s">
        <v>52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53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67" t="s">
        <v>59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53</v>
      </c>
      <c r="S513" s="89"/>
      <c r="T513" s="118">
        <f>IFERROR(J513,"")</f>
        <v>0</v>
      </c>
    </row>
    <row r="514" spans="1:20" ht="18" customHeight="1">
      <c r="A514" s="168" t="s">
        <v>29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60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67" t="s">
        <v>52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53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67" t="s">
        <v>59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53</v>
      </c>
      <c r="S540" s="89"/>
      <c r="T540" s="118">
        <f>IFERROR(J540,"")</f>
        <v>0</v>
      </c>
    </row>
    <row r="541" spans="1:20" ht="18" customHeight="1">
      <c r="A541" s="168" t="s">
        <v>29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60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67" t="s">
        <v>52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53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67" t="s">
        <v>59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53</v>
      </c>
      <c r="S567" s="89"/>
      <c r="T567" s="118">
        <f>IFERROR(J567,"")</f>
        <v>0</v>
      </c>
    </row>
    <row r="568" spans="1:20" ht="18" customHeight="1">
      <c r="A568" s="168" t="s">
        <v>29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60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67" t="s">
        <v>52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53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67" t="s">
        <v>59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53</v>
      </c>
      <c r="S594" s="89"/>
      <c r="T594" s="118">
        <f>IFERROR(J594,"")</f>
        <v>0</v>
      </c>
    </row>
    <row r="595" spans="1:20" ht="18" customHeight="1">
      <c r="A595" s="168" t="s">
        <v>29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60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67" t="s">
        <v>52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53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67" t="s">
        <v>59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53</v>
      </c>
      <c r="S621" s="89"/>
      <c r="T621" s="118">
        <f>IFERROR(J621,"")</f>
        <v>0</v>
      </c>
    </row>
    <row r="622" spans="1:20" ht="18" customHeight="1">
      <c r="A622" s="168" t="s">
        <v>29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60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67" t="s">
        <v>52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53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67" t="s">
        <v>59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53</v>
      </c>
      <c r="S648" s="89"/>
      <c r="T648" s="118">
        <f>IFERROR(J648,"")</f>
        <v>0</v>
      </c>
    </row>
    <row r="649" spans="1:20" ht="18" customHeight="1">
      <c r="A649" s="168" t="s">
        <v>29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60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67" t="s">
        <v>52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53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67" t="s">
        <v>59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53</v>
      </c>
      <c r="S675" s="89"/>
      <c r="T675" s="118">
        <f>IFERROR(J675,"")</f>
        <v>0</v>
      </c>
    </row>
    <row r="676" spans="1:20" ht="18" customHeight="1">
      <c r="A676" s="168" t="s">
        <v>29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60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67" t="s">
        <v>52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53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67" t="s">
        <v>59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53</v>
      </c>
      <c r="S702" s="89"/>
      <c r="T702" s="118">
        <f>IFERROR(J702,"")</f>
        <v>0</v>
      </c>
    </row>
    <row r="703" spans="1:20" ht="18" customHeight="1">
      <c r="A703" s="168" t="s">
        <v>29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60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67" t="s">
        <v>52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53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67" t="s">
        <v>59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53</v>
      </c>
      <c r="S729" s="89"/>
      <c r="T729" s="118">
        <f>IFERROR(J729,"")</f>
        <v>0</v>
      </c>
    </row>
    <row r="730" spans="1:20" ht="18" customHeight="1">
      <c r="A730" s="168" t="s">
        <v>29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60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67" t="s">
        <v>52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53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67" t="s">
        <v>59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53</v>
      </c>
      <c r="S756" s="89"/>
      <c r="T756" s="118">
        <f>IFERROR(J756,"")</f>
        <v>0</v>
      </c>
    </row>
    <row r="757" spans="1:20" ht="18" customHeight="1">
      <c r="A757" s="168" t="s">
        <v>29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60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67" t="s">
        <v>52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53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67" t="s">
        <v>59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53</v>
      </c>
      <c r="S783" s="89"/>
      <c r="T783" s="118">
        <f>IFERROR(J783,"")</f>
        <v>0</v>
      </c>
    </row>
    <row r="784" spans="1:20" ht="18" customHeight="1">
      <c r="A784" s="168" t="s">
        <v>29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60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67" t="s">
        <v>52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53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67" t="s">
        <v>59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53</v>
      </c>
      <c r="S810" s="89"/>
      <c r="T810" s="118">
        <f>IFERROR(J810,"")</f>
        <v>0</v>
      </c>
    </row>
    <row r="811" spans="1:20" ht="18" customHeight="1">
      <c r="A811" s="168" t="s">
        <v>29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60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67" t="s">
        <v>52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53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67" t="s">
        <v>59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53</v>
      </c>
      <c r="S837" s="89"/>
      <c r="T837" s="118">
        <f>IFERROR(J837,"")</f>
        <v>0</v>
      </c>
    </row>
    <row r="838" spans="1:20" ht="18" customHeight="1">
      <c r="A838" s="168" t="s">
        <v>29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60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36</v>
      </c>
      <c r="B1" s="159" t="s">
        <v>109</v>
      </c>
      <c r="C1" s="159" t="s">
        <v>110</v>
      </c>
      <c r="D1" s="159" t="s">
        <v>111</v>
      </c>
      <c r="E1" s="159" t="s">
        <v>112</v>
      </c>
      <c r="F1" s="159" t="s">
        <v>113</v>
      </c>
      <c r="G1" s="159" t="s">
        <v>114</v>
      </c>
      <c r="H1" s="159" t="s">
        <v>115</v>
      </c>
      <c r="I1" s="159" t="s">
        <v>116</v>
      </c>
      <c r="J1" s="159" t="s">
        <v>117</v>
      </c>
      <c r="K1" s="159" t="s">
        <v>118</v>
      </c>
      <c r="L1" s="159" t="s">
        <v>119</v>
      </c>
      <c r="M1" s="159" t="s">
        <v>120</v>
      </c>
      <c r="N1" s="159" t="s">
        <v>121</v>
      </c>
      <c r="O1" s="159" t="s">
        <v>122</v>
      </c>
      <c r="P1" s="159" t="s">
        <v>123</v>
      </c>
      <c r="Q1" s="159" t="s">
        <v>124</v>
      </c>
      <c r="R1" s="159" t="s">
        <v>125</v>
      </c>
      <c r="S1" s="159" t="s">
        <v>126</v>
      </c>
    </row>
    <row r="2" spans="1:19">
      <c r="A2" s="151" t="s">
        <v>127</v>
      </c>
      <c r="B2" s="151" t="s">
        <v>128</v>
      </c>
      <c r="C2" s="164" t="s">
        <v>129</v>
      </c>
      <c r="D2" s="164" t="s">
        <v>130</v>
      </c>
      <c r="E2" s="165">
        <v>2.8472222222222223E-3</v>
      </c>
      <c r="F2" s="151" t="s">
        <v>131</v>
      </c>
      <c r="H2" s="151" t="s">
        <v>132</v>
      </c>
      <c r="I2" s="164" t="s">
        <v>133</v>
      </c>
      <c r="J2" s="164" t="s">
        <v>134</v>
      </c>
      <c r="K2" s="165">
        <v>4.9768518518518521E-4</v>
      </c>
      <c r="L2" s="151" t="s">
        <v>135</v>
      </c>
      <c r="N2" s="151" t="s">
        <v>136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127</v>
      </c>
      <c r="B3" s="151" t="s">
        <v>128</v>
      </c>
      <c r="C3" s="164" t="s">
        <v>137</v>
      </c>
      <c r="D3" s="164" t="s">
        <v>138</v>
      </c>
      <c r="E3" s="165">
        <v>1.724537037037037E-3</v>
      </c>
      <c r="F3" s="151" t="s">
        <v>131</v>
      </c>
      <c r="H3" s="151" t="s">
        <v>132</v>
      </c>
      <c r="I3" s="164" t="s">
        <v>139</v>
      </c>
      <c r="J3" s="164" t="s">
        <v>140</v>
      </c>
      <c r="K3" s="165">
        <v>6.2500000000000001E-4</v>
      </c>
      <c r="L3" s="151" t="s">
        <v>135</v>
      </c>
      <c r="N3" s="151" t="s">
        <v>136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127</v>
      </c>
      <c r="B4" s="151" t="s">
        <v>128</v>
      </c>
      <c r="C4" s="164" t="s">
        <v>141</v>
      </c>
      <c r="D4" s="164" t="s">
        <v>142</v>
      </c>
      <c r="E4" s="165">
        <v>1.9212962962962964E-3</v>
      </c>
      <c r="F4" s="151" t="s">
        <v>131</v>
      </c>
      <c r="H4" s="151" t="s">
        <v>132</v>
      </c>
      <c r="I4" s="164" t="s">
        <v>143</v>
      </c>
      <c r="J4" s="164" t="s">
        <v>144</v>
      </c>
      <c r="K4" s="165">
        <v>5.4398148148148144E-4</v>
      </c>
      <c r="L4" s="151" t="s">
        <v>135</v>
      </c>
      <c r="N4" s="151" t="s">
        <v>136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127</v>
      </c>
      <c r="B5" s="151" t="s">
        <v>128</v>
      </c>
      <c r="C5" s="164" t="s">
        <v>145</v>
      </c>
      <c r="D5" s="164" t="s">
        <v>146</v>
      </c>
      <c r="E5" s="165">
        <v>1.5046296296296296E-3</v>
      </c>
      <c r="F5" s="151" t="s">
        <v>131</v>
      </c>
      <c r="H5" s="151" t="s">
        <v>132</v>
      </c>
      <c r="I5" s="164" t="s">
        <v>147</v>
      </c>
      <c r="J5" s="164" t="s">
        <v>148</v>
      </c>
      <c r="K5" s="165">
        <v>6.018518518518519E-4</v>
      </c>
      <c r="L5" s="151" t="s">
        <v>135</v>
      </c>
      <c r="N5" s="151" t="s">
        <v>136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127</v>
      </c>
      <c r="B6" s="151" t="s">
        <v>128</v>
      </c>
      <c r="C6" s="164" t="s">
        <v>149</v>
      </c>
      <c r="D6" s="164" t="s">
        <v>150</v>
      </c>
      <c r="E6" s="165">
        <v>3.1481481481481482E-3</v>
      </c>
      <c r="F6" s="151" t="s">
        <v>131</v>
      </c>
      <c r="H6" s="151" t="s">
        <v>132</v>
      </c>
      <c r="I6" s="164" t="s">
        <v>151</v>
      </c>
      <c r="J6" s="164" t="s">
        <v>152</v>
      </c>
      <c r="K6" s="165">
        <v>8.1018518518518516E-4</v>
      </c>
      <c r="L6" s="151" t="s">
        <v>135</v>
      </c>
      <c r="N6" s="151" t="s">
        <v>136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127</v>
      </c>
      <c r="B7" s="151" t="s">
        <v>128</v>
      </c>
      <c r="C7" s="164" t="s">
        <v>153</v>
      </c>
      <c r="D7" s="164" t="s">
        <v>154</v>
      </c>
      <c r="E7" s="165">
        <v>2.1643518518518518E-3</v>
      </c>
      <c r="F7" s="151" t="s">
        <v>131</v>
      </c>
      <c r="H7" s="166" t="s">
        <v>132</v>
      </c>
      <c r="I7" s="164" t="s">
        <v>155</v>
      </c>
      <c r="J7" s="164" t="s">
        <v>156</v>
      </c>
      <c r="K7" s="165">
        <v>5.4398148148148144E-4</v>
      </c>
      <c r="L7" s="151" t="s">
        <v>135</v>
      </c>
      <c r="N7" s="151" t="s">
        <v>136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127</v>
      </c>
      <c r="B8" s="151" t="s">
        <v>128</v>
      </c>
      <c r="C8" s="164" t="s">
        <v>157</v>
      </c>
      <c r="D8" s="164" t="s">
        <v>158</v>
      </c>
      <c r="E8" s="165">
        <v>1.9675925925925924E-3</v>
      </c>
      <c r="F8" s="151" t="s">
        <v>131</v>
      </c>
      <c r="H8" s="151" t="s">
        <v>132</v>
      </c>
      <c r="I8" s="164" t="s">
        <v>159</v>
      </c>
      <c r="J8" s="164" t="s">
        <v>160</v>
      </c>
      <c r="K8" s="165">
        <v>5.6712962962962967E-4</v>
      </c>
      <c r="L8" s="151" t="s">
        <v>135</v>
      </c>
      <c r="N8" s="151" t="s">
        <v>136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127</v>
      </c>
      <c r="B9" s="151" t="s">
        <v>128</v>
      </c>
      <c r="C9" s="164" t="s">
        <v>161</v>
      </c>
      <c r="D9" s="164" t="s">
        <v>162</v>
      </c>
      <c r="E9" s="165">
        <v>2.0023148148148148E-3</v>
      </c>
      <c r="F9" s="151" t="s">
        <v>131</v>
      </c>
      <c r="H9" s="151" t="s">
        <v>132</v>
      </c>
      <c r="I9" s="164" t="s">
        <v>163</v>
      </c>
      <c r="J9" s="164" t="s">
        <v>164</v>
      </c>
      <c r="K9" s="165">
        <v>7.8703703703703705E-4</v>
      </c>
      <c r="L9" s="151" t="s">
        <v>135</v>
      </c>
      <c r="N9" s="151" t="s">
        <v>136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127</v>
      </c>
      <c r="B10" s="151" t="s">
        <v>128</v>
      </c>
      <c r="C10" s="164" t="s">
        <v>165</v>
      </c>
      <c r="D10" s="164" t="s">
        <v>166</v>
      </c>
      <c r="E10" s="165">
        <v>1.724537037037037E-3</v>
      </c>
      <c r="F10" s="151" t="s">
        <v>131</v>
      </c>
      <c r="H10" s="166" t="s">
        <v>132</v>
      </c>
      <c r="I10" s="164" t="s">
        <v>167</v>
      </c>
      <c r="J10" s="164" t="s">
        <v>168</v>
      </c>
      <c r="K10" s="165">
        <v>4.0509259259259258E-4</v>
      </c>
      <c r="L10" s="151" t="s">
        <v>135</v>
      </c>
      <c r="N10" s="151" t="s">
        <v>136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127</v>
      </c>
      <c r="B11" s="151" t="s">
        <v>128</v>
      </c>
      <c r="C11" s="164" t="s">
        <v>169</v>
      </c>
      <c r="D11" s="164" t="s">
        <v>170</v>
      </c>
      <c r="E11" s="165">
        <v>2.685185185185185E-3</v>
      </c>
      <c r="F11" s="151" t="s">
        <v>131</v>
      </c>
      <c r="H11" s="151" t="s">
        <v>132</v>
      </c>
      <c r="I11" s="164" t="s">
        <v>171</v>
      </c>
      <c r="J11" s="164" t="s">
        <v>172</v>
      </c>
      <c r="K11" s="165">
        <v>6.134259259259259E-4</v>
      </c>
      <c r="L11" s="151" t="s">
        <v>135</v>
      </c>
      <c r="N11" s="151" t="s">
        <v>136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127</v>
      </c>
      <c r="B12" s="151" t="s">
        <v>128</v>
      </c>
      <c r="C12" s="164" t="s">
        <v>173</v>
      </c>
      <c r="D12" s="164" t="s">
        <v>174</v>
      </c>
      <c r="E12" s="165">
        <v>2.2106481481481482E-3</v>
      </c>
      <c r="F12" s="151" t="s">
        <v>131</v>
      </c>
      <c r="H12" s="151" t="s">
        <v>132</v>
      </c>
      <c r="I12" s="164" t="s">
        <v>175</v>
      </c>
      <c r="J12" s="164" t="s">
        <v>176</v>
      </c>
      <c r="K12" s="165">
        <v>7.291666666666667E-4</v>
      </c>
      <c r="L12" s="151" t="s">
        <v>135</v>
      </c>
      <c r="N12" s="151" t="s">
        <v>136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127</v>
      </c>
      <c r="B13" s="151" t="s">
        <v>128</v>
      </c>
      <c r="C13" s="164" t="s">
        <v>177</v>
      </c>
      <c r="D13" s="164" t="s">
        <v>178</v>
      </c>
      <c r="E13" s="165">
        <v>2.6157407407407405E-3</v>
      </c>
      <c r="F13" s="151" t="s">
        <v>131</v>
      </c>
      <c r="H13" s="151" t="s">
        <v>132</v>
      </c>
      <c r="I13" s="164" t="s">
        <v>179</v>
      </c>
      <c r="J13" s="164" t="s">
        <v>180</v>
      </c>
      <c r="K13" s="165">
        <v>5.9027777777777778E-4</v>
      </c>
      <c r="L13" s="151" t="s">
        <v>135</v>
      </c>
      <c r="N13" s="151" t="s">
        <v>136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127</v>
      </c>
      <c r="B14" s="151" t="s">
        <v>128</v>
      </c>
      <c r="C14" s="164" t="s">
        <v>181</v>
      </c>
      <c r="D14" s="164" t="s">
        <v>182</v>
      </c>
      <c r="E14" s="165">
        <v>2.8124999999999999E-3</v>
      </c>
      <c r="F14" s="151" t="s">
        <v>131</v>
      </c>
      <c r="H14" s="151" t="s">
        <v>132</v>
      </c>
      <c r="I14" s="164" t="s">
        <v>183</v>
      </c>
      <c r="J14" s="164" t="s">
        <v>184</v>
      </c>
      <c r="K14" s="165">
        <v>6.5972222222222224E-4</v>
      </c>
      <c r="L14" s="151" t="s">
        <v>135</v>
      </c>
      <c r="N14" s="151" t="s">
        <v>136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127</v>
      </c>
      <c r="B15" s="151" t="s">
        <v>128</v>
      </c>
      <c r="C15" s="164" t="s">
        <v>185</v>
      </c>
      <c r="D15" s="164" t="s">
        <v>186</v>
      </c>
      <c r="E15" s="165">
        <v>2.0833333333333333E-3</v>
      </c>
      <c r="F15" s="151" t="s">
        <v>131</v>
      </c>
      <c r="H15" s="151" t="s">
        <v>132</v>
      </c>
      <c r="I15" s="164" t="s">
        <v>187</v>
      </c>
      <c r="J15" s="164" t="s">
        <v>188</v>
      </c>
      <c r="K15" s="165">
        <v>5.0925925925925921E-4</v>
      </c>
      <c r="L15" s="151" t="s">
        <v>135</v>
      </c>
      <c r="N15" s="151" t="s">
        <v>136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127</v>
      </c>
      <c r="B16" s="151" t="s">
        <v>128</v>
      </c>
      <c r="C16" s="164" t="s">
        <v>189</v>
      </c>
      <c r="D16" s="164" t="s">
        <v>190</v>
      </c>
      <c r="E16" s="165">
        <v>1.712962962962963E-3</v>
      </c>
      <c r="F16" s="151" t="s">
        <v>131</v>
      </c>
      <c r="H16" s="151" t="s">
        <v>132</v>
      </c>
      <c r="I16" s="164" t="s">
        <v>191</v>
      </c>
      <c r="J16" s="164" t="s">
        <v>192</v>
      </c>
      <c r="K16" s="165">
        <v>4.9768518518518521E-4</v>
      </c>
      <c r="L16" s="151" t="s">
        <v>135</v>
      </c>
      <c r="N16" s="151" t="s">
        <v>136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127</v>
      </c>
      <c r="B17" s="151" t="s">
        <v>128</v>
      </c>
      <c r="C17" s="164" t="s">
        <v>193</v>
      </c>
      <c r="D17" s="164" t="s">
        <v>194</v>
      </c>
      <c r="E17" s="165">
        <v>1.5393518518518519E-3</v>
      </c>
      <c r="F17" s="151" t="s">
        <v>131</v>
      </c>
      <c r="H17" s="151" t="s">
        <v>132</v>
      </c>
      <c r="I17" s="164" t="s">
        <v>195</v>
      </c>
      <c r="J17" s="164" t="s">
        <v>196</v>
      </c>
      <c r="K17" s="165">
        <v>7.291666666666667E-4</v>
      </c>
      <c r="L17" s="151" t="s">
        <v>135</v>
      </c>
      <c r="N17" s="151" t="s">
        <v>136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127</v>
      </c>
      <c r="B18" s="151" t="s">
        <v>128</v>
      </c>
      <c r="C18" s="164" t="s">
        <v>197</v>
      </c>
      <c r="D18" s="164" t="s">
        <v>198</v>
      </c>
      <c r="E18" s="165">
        <v>2.2337962962962962E-3</v>
      </c>
      <c r="F18" s="151" t="s">
        <v>131</v>
      </c>
      <c r="H18" s="151" t="s">
        <v>132</v>
      </c>
      <c r="I18" s="164" t="s">
        <v>199</v>
      </c>
      <c r="J18" s="164" t="s">
        <v>200</v>
      </c>
      <c r="K18" s="165">
        <v>3.8194444444444446E-4</v>
      </c>
      <c r="L18" s="151" t="s">
        <v>135</v>
      </c>
      <c r="N18" s="151" t="s">
        <v>136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127</v>
      </c>
      <c r="B19" s="151" t="s">
        <v>128</v>
      </c>
      <c r="C19" s="164" t="s">
        <v>201</v>
      </c>
      <c r="D19" s="164" t="s">
        <v>202</v>
      </c>
      <c r="E19" s="165">
        <v>2.0138888888888888E-3</v>
      </c>
      <c r="F19" s="151" t="s">
        <v>131</v>
      </c>
      <c r="H19" s="151" t="s">
        <v>132</v>
      </c>
      <c r="I19" s="164" t="s">
        <v>203</v>
      </c>
      <c r="J19" s="164" t="s">
        <v>204</v>
      </c>
      <c r="K19" s="165">
        <v>1.0879629629629629E-3</v>
      </c>
      <c r="L19" s="151" t="s">
        <v>135</v>
      </c>
      <c r="N19" s="151" t="s">
        <v>136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127</v>
      </c>
      <c r="B20" s="151" t="s">
        <v>128</v>
      </c>
      <c r="C20" s="164" t="s">
        <v>205</v>
      </c>
      <c r="D20" s="164" t="s">
        <v>206</v>
      </c>
      <c r="E20" s="165">
        <v>2.2222222222222222E-3</v>
      </c>
      <c r="F20" s="151" t="s">
        <v>131</v>
      </c>
      <c r="H20" s="151" t="s">
        <v>132</v>
      </c>
      <c r="I20" s="164" t="s">
        <v>207</v>
      </c>
      <c r="J20" s="164" t="s">
        <v>208</v>
      </c>
      <c r="K20" s="165">
        <v>4.9768518518518521E-4</v>
      </c>
      <c r="L20" s="151" t="s">
        <v>135</v>
      </c>
      <c r="N20" s="151" t="s">
        <v>136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127</v>
      </c>
      <c r="B21" s="151" t="s">
        <v>128</v>
      </c>
      <c r="C21" s="164" t="s">
        <v>209</v>
      </c>
      <c r="D21" s="164" t="s">
        <v>210</v>
      </c>
      <c r="E21" s="165">
        <v>3.7847222222222223E-3</v>
      </c>
      <c r="F21" s="151" t="s">
        <v>131</v>
      </c>
      <c r="H21" s="151" t="s">
        <v>132</v>
      </c>
      <c r="I21" s="164" t="s">
        <v>211</v>
      </c>
      <c r="J21" s="164" t="s">
        <v>212</v>
      </c>
      <c r="K21" s="165">
        <v>6.5972222222222224E-4</v>
      </c>
      <c r="L21" s="151" t="s">
        <v>135</v>
      </c>
      <c r="N21" s="151" t="s">
        <v>136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127</v>
      </c>
      <c r="B22" s="151" t="s">
        <v>128</v>
      </c>
      <c r="C22" s="164" t="s">
        <v>213</v>
      </c>
      <c r="D22" s="164" t="s">
        <v>214</v>
      </c>
      <c r="E22" s="165">
        <v>3.3680555555555556E-3</v>
      </c>
      <c r="F22" s="151" t="s">
        <v>131</v>
      </c>
      <c r="H22" s="151" t="s">
        <v>132</v>
      </c>
      <c r="I22" s="164" t="s">
        <v>215</v>
      </c>
      <c r="J22" s="164" t="s">
        <v>216</v>
      </c>
      <c r="K22" s="165">
        <v>3.1250000000000001E-4</v>
      </c>
      <c r="L22" s="151" t="s">
        <v>135</v>
      </c>
      <c r="N22" s="151" t="s">
        <v>136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127</v>
      </c>
      <c r="B23" s="151" t="s">
        <v>128</v>
      </c>
      <c r="C23" s="164" t="s">
        <v>217</v>
      </c>
      <c r="D23" s="164" t="s">
        <v>218</v>
      </c>
      <c r="E23" s="165">
        <v>8.4490740740740739E-4</v>
      </c>
      <c r="F23" s="151" t="s">
        <v>131</v>
      </c>
      <c r="H23" s="151" t="s">
        <v>132</v>
      </c>
      <c r="I23" s="164" t="s">
        <v>219</v>
      </c>
      <c r="J23" s="164" t="s">
        <v>220</v>
      </c>
      <c r="K23" s="165">
        <v>4.9768518518518521E-4</v>
      </c>
      <c r="L23" s="151" t="s">
        <v>135</v>
      </c>
      <c r="N23" s="151" t="s">
        <v>136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221</v>
      </c>
      <c r="B24" s="151" t="s">
        <v>222</v>
      </c>
      <c r="C24" s="164" t="s">
        <v>223</v>
      </c>
      <c r="D24" s="164" t="s">
        <v>224</v>
      </c>
      <c r="E24" s="165">
        <v>2.2337962962962962E-3</v>
      </c>
      <c r="F24" s="151" t="s">
        <v>131</v>
      </c>
      <c r="H24" s="151" t="s">
        <v>132</v>
      </c>
      <c r="I24" s="164" t="s">
        <v>225</v>
      </c>
      <c r="J24" s="164" t="s">
        <v>226</v>
      </c>
      <c r="K24" s="165">
        <v>5.0925925925925921E-4</v>
      </c>
      <c r="L24" s="151" t="s">
        <v>135</v>
      </c>
      <c r="N24" s="151" t="s">
        <v>136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221</v>
      </c>
      <c r="B25" s="151" t="s">
        <v>222</v>
      </c>
      <c r="C25" s="164" t="s">
        <v>227</v>
      </c>
      <c r="D25" s="164" t="s">
        <v>228</v>
      </c>
      <c r="E25" s="165">
        <v>1.6898148148148148E-3</v>
      </c>
      <c r="F25" s="151" t="s">
        <v>131</v>
      </c>
      <c r="H25" s="151" t="s">
        <v>229</v>
      </c>
      <c r="I25" s="164" t="s">
        <v>230</v>
      </c>
      <c r="J25" s="164" t="s">
        <v>231</v>
      </c>
      <c r="K25" s="165">
        <v>5.4398148148148144E-4</v>
      </c>
      <c r="L25" s="151" t="s">
        <v>232</v>
      </c>
      <c r="N25" s="151" t="s">
        <v>233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221</v>
      </c>
      <c r="B26" s="151" t="s">
        <v>222</v>
      </c>
      <c r="C26" s="164" t="s">
        <v>234</v>
      </c>
      <c r="D26" s="164" t="s">
        <v>235</v>
      </c>
      <c r="E26" s="165">
        <v>3.1944444444444446E-3</v>
      </c>
      <c r="F26" s="151" t="s">
        <v>131</v>
      </c>
      <c r="H26" s="151" t="s">
        <v>229</v>
      </c>
      <c r="I26" s="164" t="s">
        <v>236</v>
      </c>
      <c r="J26" s="164" t="s">
        <v>237</v>
      </c>
      <c r="K26" s="165">
        <v>5.9027777777777778E-4</v>
      </c>
      <c r="L26" s="151" t="s">
        <v>232</v>
      </c>
      <c r="N26" s="151" t="s">
        <v>233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221</v>
      </c>
      <c r="B27" s="151" t="s">
        <v>222</v>
      </c>
      <c r="C27" s="164" t="s">
        <v>238</v>
      </c>
      <c r="D27" s="164" t="s">
        <v>239</v>
      </c>
      <c r="E27" s="165">
        <v>3.7499999999999999E-3</v>
      </c>
      <c r="F27" s="151" t="s">
        <v>131</v>
      </c>
      <c r="H27" s="151" t="s">
        <v>43</v>
      </c>
      <c r="I27" s="164" t="s">
        <v>240</v>
      </c>
      <c r="J27" s="164" t="s">
        <v>241</v>
      </c>
      <c r="K27" s="165">
        <v>5.9027777777777778E-4</v>
      </c>
      <c r="L27" s="151" t="s">
        <v>242</v>
      </c>
      <c r="N27" s="151" t="s">
        <v>233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221</v>
      </c>
      <c r="B28" s="151" t="s">
        <v>222</v>
      </c>
      <c r="C28" s="164" t="s">
        <v>243</v>
      </c>
      <c r="D28" s="164" t="s">
        <v>244</v>
      </c>
      <c r="E28" s="165">
        <v>3.8078703703703703E-3</v>
      </c>
      <c r="F28" s="151" t="s">
        <v>131</v>
      </c>
      <c r="H28" s="151" t="s">
        <v>43</v>
      </c>
      <c r="I28" s="164" t="s">
        <v>245</v>
      </c>
      <c r="J28" s="164" t="s">
        <v>246</v>
      </c>
      <c r="K28" s="165">
        <v>5.7870370370370367E-4</v>
      </c>
      <c r="L28" s="151" t="s">
        <v>242</v>
      </c>
      <c r="N28" s="151" t="s">
        <v>233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221</v>
      </c>
      <c r="B29" s="151" t="s">
        <v>222</v>
      </c>
      <c r="C29" s="164" t="s">
        <v>247</v>
      </c>
      <c r="D29" s="164" t="s">
        <v>248</v>
      </c>
      <c r="E29" s="165">
        <v>1.3888888888888889E-3</v>
      </c>
      <c r="F29" s="151" t="s">
        <v>131</v>
      </c>
      <c r="H29" s="151" t="s">
        <v>132</v>
      </c>
      <c r="I29" s="164" t="s">
        <v>249</v>
      </c>
      <c r="J29" s="164" t="s">
        <v>250</v>
      </c>
      <c r="K29" s="165">
        <v>6.018518518518519E-4</v>
      </c>
      <c r="L29" s="151" t="s">
        <v>135</v>
      </c>
      <c r="N29" s="151" t="s">
        <v>136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221</v>
      </c>
      <c r="B30" s="151" t="s">
        <v>222</v>
      </c>
      <c r="C30" s="164" t="s">
        <v>251</v>
      </c>
      <c r="D30" s="164" t="s">
        <v>252</v>
      </c>
      <c r="E30" s="165">
        <v>1.1574074074074073E-3</v>
      </c>
      <c r="F30" s="151" t="s">
        <v>131</v>
      </c>
      <c r="H30" s="151" t="s">
        <v>132</v>
      </c>
      <c r="I30" s="164" t="s">
        <v>253</v>
      </c>
      <c r="J30" s="164" t="s">
        <v>254</v>
      </c>
      <c r="K30" s="165">
        <v>5.7870370370370367E-4</v>
      </c>
      <c r="L30" s="151" t="s">
        <v>135</v>
      </c>
      <c r="N30" s="151" t="s">
        <v>136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221</v>
      </c>
      <c r="B31" s="151" t="s">
        <v>222</v>
      </c>
      <c r="C31" s="164" t="s">
        <v>255</v>
      </c>
      <c r="D31" s="164" t="s">
        <v>256</v>
      </c>
      <c r="E31" s="165">
        <v>3.7152777777777778E-3</v>
      </c>
      <c r="F31" s="151" t="s">
        <v>131</v>
      </c>
      <c r="H31" s="151" t="s">
        <v>43</v>
      </c>
      <c r="I31" s="164" t="s">
        <v>257</v>
      </c>
      <c r="J31" s="164" t="s">
        <v>258</v>
      </c>
      <c r="K31" s="165">
        <v>6.134259259259259E-4</v>
      </c>
      <c r="L31" s="151" t="s">
        <v>242</v>
      </c>
      <c r="N31" s="151" t="s">
        <v>233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221</v>
      </c>
      <c r="B32" s="151" t="s">
        <v>222</v>
      </c>
      <c r="C32" s="164" t="s">
        <v>259</v>
      </c>
      <c r="D32" s="164" t="s">
        <v>260</v>
      </c>
      <c r="E32" s="165">
        <v>2.3032407407407407E-3</v>
      </c>
      <c r="F32" s="151" t="s">
        <v>131</v>
      </c>
      <c r="H32" s="151" t="s">
        <v>43</v>
      </c>
      <c r="I32" s="164" t="s">
        <v>261</v>
      </c>
      <c r="J32" s="164" t="s">
        <v>262</v>
      </c>
      <c r="K32" s="165">
        <v>5.7870370370370367E-4</v>
      </c>
      <c r="L32" s="151" t="s">
        <v>242</v>
      </c>
      <c r="N32" s="151" t="s">
        <v>233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221</v>
      </c>
      <c r="B33" s="151" t="s">
        <v>222</v>
      </c>
      <c r="C33" s="164" t="s">
        <v>263</v>
      </c>
      <c r="D33" s="164" t="s">
        <v>264</v>
      </c>
      <c r="E33" s="165">
        <v>2.0717592592592593E-3</v>
      </c>
      <c r="F33" s="151" t="s">
        <v>131</v>
      </c>
      <c r="H33" s="151" t="s">
        <v>43</v>
      </c>
      <c r="I33" s="164" t="s">
        <v>265</v>
      </c>
      <c r="J33" s="164" t="s">
        <v>266</v>
      </c>
      <c r="K33" s="165">
        <v>6.4814814814814813E-4</v>
      </c>
      <c r="L33" s="151" t="s">
        <v>242</v>
      </c>
      <c r="N33" s="151" t="s">
        <v>233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221</v>
      </c>
      <c r="B34" s="151" t="s">
        <v>222</v>
      </c>
      <c r="C34" s="164" t="s">
        <v>267</v>
      </c>
      <c r="D34" s="164" t="s">
        <v>268</v>
      </c>
      <c r="E34" s="165">
        <v>1.1805555555555556E-3</v>
      </c>
      <c r="F34" s="151" t="s">
        <v>131</v>
      </c>
      <c r="H34" s="151" t="s">
        <v>132</v>
      </c>
      <c r="I34" s="164" t="s">
        <v>269</v>
      </c>
      <c r="J34" s="164" t="s">
        <v>270</v>
      </c>
      <c r="K34" s="165">
        <v>7.8703703703703705E-4</v>
      </c>
      <c r="L34" s="151" t="s">
        <v>135</v>
      </c>
      <c r="N34" s="151" t="s">
        <v>136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221</v>
      </c>
      <c r="B35" s="151" t="s">
        <v>222</v>
      </c>
      <c r="C35" s="164" t="s">
        <v>271</v>
      </c>
      <c r="D35" s="164" t="s">
        <v>272</v>
      </c>
      <c r="E35" s="165">
        <v>1.5162037037037036E-3</v>
      </c>
      <c r="F35" s="151" t="s">
        <v>131</v>
      </c>
      <c r="H35" s="151" t="s">
        <v>132</v>
      </c>
      <c r="I35" s="164" t="s">
        <v>273</v>
      </c>
      <c r="J35" s="164" t="s">
        <v>274</v>
      </c>
      <c r="K35" s="165">
        <v>5.9027777777777778E-4</v>
      </c>
      <c r="L35" s="151" t="s">
        <v>135</v>
      </c>
      <c r="N35" s="151" t="s">
        <v>136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221</v>
      </c>
      <c r="B36" s="151" t="s">
        <v>222</v>
      </c>
      <c r="C36" s="164" t="s">
        <v>275</v>
      </c>
      <c r="D36" s="164" t="s">
        <v>276</v>
      </c>
      <c r="E36" s="165">
        <v>2.1412037037037038E-3</v>
      </c>
      <c r="F36" s="151" t="s">
        <v>131</v>
      </c>
      <c r="H36" s="151" t="s">
        <v>43</v>
      </c>
      <c r="I36" s="164" t="s">
        <v>277</v>
      </c>
      <c r="J36" s="164" t="s">
        <v>278</v>
      </c>
      <c r="K36" s="165">
        <v>6.2500000000000001E-4</v>
      </c>
      <c r="L36" s="151" t="s">
        <v>242</v>
      </c>
      <c r="N36" s="151" t="s">
        <v>233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221</v>
      </c>
      <c r="B37" s="151" t="s">
        <v>222</v>
      </c>
      <c r="C37" s="164" t="s">
        <v>279</v>
      </c>
      <c r="D37" s="164" t="s">
        <v>280</v>
      </c>
      <c r="E37" s="165">
        <v>1.4351851851851852E-3</v>
      </c>
      <c r="F37" s="151" t="s">
        <v>131</v>
      </c>
      <c r="H37" s="151" t="s">
        <v>132</v>
      </c>
      <c r="I37" s="164" t="s">
        <v>281</v>
      </c>
      <c r="J37" s="164" t="s">
        <v>282</v>
      </c>
      <c r="K37" s="165">
        <v>5.7870370370370367E-4</v>
      </c>
      <c r="L37" s="151" t="s">
        <v>135</v>
      </c>
      <c r="N37" s="151" t="s">
        <v>136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221</v>
      </c>
      <c r="B38" s="151" t="s">
        <v>222</v>
      </c>
      <c r="C38" s="164" t="s">
        <v>283</v>
      </c>
      <c r="D38" s="164" t="s">
        <v>284</v>
      </c>
      <c r="E38" s="165">
        <v>5.1736111111111115E-3</v>
      </c>
      <c r="F38" s="151" t="s">
        <v>131</v>
      </c>
      <c r="H38" s="151" t="s">
        <v>43</v>
      </c>
      <c r="I38" s="164" t="s">
        <v>285</v>
      </c>
      <c r="J38" s="164" t="s">
        <v>286</v>
      </c>
      <c r="K38" s="165">
        <v>6.2500000000000001E-4</v>
      </c>
      <c r="L38" s="151" t="s">
        <v>242</v>
      </c>
      <c r="N38" s="151" t="s">
        <v>233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221</v>
      </c>
      <c r="B39" s="151" t="s">
        <v>222</v>
      </c>
      <c r="C39" s="164" t="s">
        <v>287</v>
      </c>
      <c r="D39" s="164" t="s">
        <v>288</v>
      </c>
      <c r="E39" s="165">
        <v>1.25E-3</v>
      </c>
      <c r="F39" s="151" t="s">
        <v>131</v>
      </c>
      <c r="H39" s="151" t="s">
        <v>132</v>
      </c>
      <c r="I39" s="164" t="s">
        <v>289</v>
      </c>
      <c r="J39" s="164" t="s">
        <v>290</v>
      </c>
      <c r="K39" s="165">
        <v>7.8703703703703705E-4</v>
      </c>
      <c r="L39" s="151" t="s">
        <v>135</v>
      </c>
      <c r="N39" s="151" t="s">
        <v>136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221</v>
      </c>
      <c r="B40" s="151" t="s">
        <v>222</v>
      </c>
      <c r="C40" s="164" t="s">
        <v>291</v>
      </c>
      <c r="D40" s="164" t="s">
        <v>292</v>
      </c>
      <c r="E40" s="165">
        <v>1.4699074074074074E-3</v>
      </c>
      <c r="F40" s="151" t="s">
        <v>131</v>
      </c>
      <c r="H40" s="151" t="s">
        <v>132</v>
      </c>
      <c r="I40" s="164" t="s">
        <v>293</v>
      </c>
      <c r="J40" s="164" t="s">
        <v>294</v>
      </c>
      <c r="K40" s="165">
        <v>5.7870370370370367E-4</v>
      </c>
      <c r="L40" s="151" t="s">
        <v>135</v>
      </c>
      <c r="N40" s="151" t="s">
        <v>136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221</v>
      </c>
      <c r="B41" s="151" t="s">
        <v>222</v>
      </c>
      <c r="C41" s="164" t="s">
        <v>295</v>
      </c>
      <c r="D41" s="164" t="s">
        <v>296</v>
      </c>
      <c r="E41" s="165">
        <v>1.0879629629629629E-3</v>
      </c>
      <c r="F41" s="151" t="s">
        <v>131</v>
      </c>
      <c r="H41" s="151" t="s">
        <v>132</v>
      </c>
      <c r="I41" s="164" t="s">
        <v>297</v>
      </c>
      <c r="J41" s="164" t="s">
        <v>298</v>
      </c>
      <c r="K41" s="165">
        <v>8.4490740740740739E-4</v>
      </c>
      <c r="L41" s="151" t="s">
        <v>135</v>
      </c>
      <c r="N41" s="151" t="s">
        <v>136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221</v>
      </c>
      <c r="B42" s="151" t="s">
        <v>222</v>
      </c>
      <c r="C42" s="164" t="s">
        <v>299</v>
      </c>
      <c r="D42" s="164" t="s">
        <v>300</v>
      </c>
      <c r="E42" s="165">
        <v>1.1342592592592593E-3</v>
      </c>
      <c r="F42" s="151" t="s">
        <v>131</v>
      </c>
      <c r="H42" s="151" t="s">
        <v>132</v>
      </c>
      <c r="I42" s="164" t="s">
        <v>301</v>
      </c>
      <c r="J42" s="164" t="s">
        <v>302</v>
      </c>
      <c r="K42" s="165">
        <v>6.2500000000000001E-4</v>
      </c>
      <c r="L42" s="151" t="s">
        <v>135</v>
      </c>
      <c r="N42" s="151" t="s">
        <v>136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221</v>
      </c>
      <c r="B43" s="151" t="s">
        <v>222</v>
      </c>
      <c r="C43" s="164" t="s">
        <v>303</v>
      </c>
      <c r="D43" s="164" t="s">
        <v>304</v>
      </c>
      <c r="E43" s="165">
        <v>1.4004629629629629E-3</v>
      </c>
      <c r="F43" s="151" t="s">
        <v>131</v>
      </c>
      <c r="H43" s="151" t="s">
        <v>132</v>
      </c>
      <c r="I43" s="164" t="s">
        <v>197</v>
      </c>
      <c r="J43" s="164" t="s">
        <v>305</v>
      </c>
      <c r="K43" s="165">
        <v>5.6712962962962967E-4</v>
      </c>
      <c r="L43" s="151" t="s">
        <v>135</v>
      </c>
      <c r="N43" s="151" t="s">
        <v>136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221</v>
      </c>
      <c r="B44" s="151" t="s">
        <v>222</v>
      </c>
      <c r="C44" s="164" t="s">
        <v>306</v>
      </c>
      <c r="D44" s="164" t="s">
        <v>307</v>
      </c>
      <c r="E44" s="165">
        <v>2.7083333333333334E-3</v>
      </c>
      <c r="F44" s="151" t="s">
        <v>131</v>
      </c>
      <c r="H44" s="151" t="s">
        <v>43</v>
      </c>
      <c r="I44" s="164"/>
      <c r="J44" s="164" t="s">
        <v>308</v>
      </c>
      <c r="K44" s="165">
        <v>0</v>
      </c>
      <c r="L44" s="151" t="s">
        <v>242</v>
      </c>
      <c r="M44" s="151" t="s">
        <v>309</v>
      </c>
      <c r="N44" s="151" t="s">
        <v>233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221</v>
      </c>
      <c r="B45" s="151" t="s">
        <v>222</v>
      </c>
      <c r="C45" s="164" t="s">
        <v>310</v>
      </c>
      <c r="D45" s="164" t="s">
        <v>311</v>
      </c>
      <c r="E45" s="165">
        <v>1.0995370370370371E-3</v>
      </c>
      <c r="F45" s="151" t="s">
        <v>131</v>
      </c>
      <c r="H45" s="151" t="s">
        <v>132</v>
      </c>
      <c r="I45" s="164" t="s">
        <v>312</v>
      </c>
      <c r="J45" s="164" t="s">
        <v>313</v>
      </c>
      <c r="K45" s="165">
        <v>5.7870370370370367E-4</v>
      </c>
      <c r="L45" s="151" t="s">
        <v>135</v>
      </c>
      <c r="N45" s="151" t="s">
        <v>136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221</v>
      </c>
      <c r="B46" s="151" t="s">
        <v>222</v>
      </c>
      <c r="C46" s="164" t="s">
        <v>314</v>
      </c>
      <c r="D46" s="164" t="s">
        <v>315</v>
      </c>
      <c r="E46" s="165">
        <v>1.8287037037037037E-3</v>
      </c>
      <c r="F46" s="151" t="s">
        <v>131</v>
      </c>
      <c r="H46" s="151" t="s">
        <v>132</v>
      </c>
      <c r="I46" s="164" t="s">
        <v>316</v>
      </c>
      <c r="J46" s="164" t="s">
        <v>317</v>
      </c>
      <c r="K46" s="165">
        <v>5.7870370370370367E-4</v>
      </c>
      <c r="L46" s="151" t="s">
        <v>135</v>
      </c>
      <c r="N46" s="151" t="s">
        <v>136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221</v>
      </c>
      <c r="B47" s="151" t="s">
        <v>222</v>
      </c>
      <c r="C47" s="164" t="s">
        <v>318</v>
      </c>
      <c r="D47" s="164" t="s">
        <v>319</v>
      </c>
      <c r="E47" s="165">
        <v>2.3726851851851851E-3</v>
      </c>
      <c r="F47" s="151" t="s">
        <v>131</v>
      </c>
      <c r="H47" s="151" t="s">
        <v>132</v>
      </c>
      <c r="I47" s="164" t="s">
        <v>320</v>
      </c>
      <c r="J47" s="164" t="s">
        <v>321</v>
      </c>
      <c r="K47" s="165">
        <v>5.4398148148148144E-4</v>
      </c>
      <c r="L47" s="151" t="s">
        <v>135</v>
      </c>
      <c r="N47" s="151" t="s">
        <v>136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322</v>
      </c>
      <c r="B48" s="151" t="s">
        <v>323</v>
      </c>
      <c r="C48" s="164" t="s">
        <v>324</v>
      </c>
      <c r="D48" s="164" t="s">
        <v>325</v>
      </c>
      <c r="E48" s="165">
        <v>1.9675925925925924E-3</v>
      </c>
      <c r="F48" s="151" t="s">
        <v>326</v>
      </c>
      <c r="G48" s="151" t="s">
        <v>309</v>
      </c>
      <c r="H48" s="151" t="s">
        <v>327</v>
      </c>
      <c r="I48" s="164"/>
      <c r="J48" s="164" t="s">
        <v>328</v>
      </c>
      <c r="K48" s="165">
        <v>0</v>
      </c>
      <c r="L48" s="151" t="s">
        <v>326</v>
      </c>
      <c r="M48" s="151" t="s">
        <v>309</v>
      </c>
      <c r="N48" s="151" t="s">
        <v>329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322</v>
      </c>
      <c r="B49" s="151" t="s">
        <v>323</v>
      </c>
      <c r="C49" s="164" t="s">
        <v>330</v>
      </c>
      <c r="D49" s="164" t="s">
        <v>331</v>
      </c>
      <c r="E49" s="165">
        <v>2.3263888888888887E-3</v>
      </c>
      <c r="F49" s="151" t="s">
        <v>326</v>
      </c>
      <c r="G49" s="151" t="s">
        <v>309</v>
      </c>
      <c r="H49" s="151" t="s">
        <v>327</v>
      </c>
      <c r="I49" s="164" t="s">
        <v>332</v>
      </c>
      <c r="J49" s="164" t="s">
        <v>333</v>
      </c>
      <c r="K49" s="165">
        <v>8.3333333333333339E-4</v>
      </c>
      <c r="L49" s="151" t="s">
        <v>326</v>
      </c>
      <c r="M49" s="151" t="s">
        <v>309</v>
      </c>
      <c r="N49" s="151" t="s">
        <v>329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322</v>
      </c>
      <c r="B50" s="151" t="s">
        <v>323</v>
      </c>
      <c r="C50" s="164" t="s">
        <v>334</v>
      </c>
      <c r="D50" s="164" t="s">
        <v>335</v>
      </c>
      <c r="E50" s="165">
        <v>2.3379629629629631E-3</v>
      </c>
      <c r="F50" s="151" t="s">
        <v>326</v>
      </c>
      <c r="G50" s="151" t="s">
        <v>309</v>
      </c>
      <c r="H50" s="151" t="s">
        <v>327</v>
      </c>
      <c r="I50" s="164"/>
      <c r="J50" s="164" t="s">
        <v>336</v>
      </c>
      <c r="K50" s="165">
        <v>0</v>
      </c>
      <c r="L50" s="151" t="s">
        <v>326</v>
      </c>
      <c r="M50" s="151" t="s">
        <v>309</v>
      </c>
      <c r="N50" s="151" t="s">
        <v>329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322</v>
      </c>
      <c r="B51" s="151" t="s">
        <v>323</v>
      </c>
      <c r="C51" s="164" t="s">
        <v>337</v>
      </c>
      <c r="D51" s="164" t="s">
        <v>338</v>
      </c>
      <c r="E51" s="165">
        <v>1.9907407407407408E-3</v>
      </c>
      <c r="F51" s="151" t="s">
        <v>326</v>
      </c>
      <c r="G51" s="151" t="s">
        <v>309</v>
      </c>
      <c r="H51" s="151" t="s">
        <v>327</v>
      </c>
      <c r="I51" s="164" t="s">
        <v>339</v>
      </c>
      <c r="J51" s="164" t="s">
        <v>340</v>
      </c>
      <c r="K51" s="165">
        <v>1.4930555555555556E-3</v>
      </c>
      <c r="L51" s="151" t="s">
        <v>326</v>
      </c>
      <c r="M51" s="151" t="s">
        <v>309</v>
      </c>
      <c r="N51" s="151" t="s">
        <v>329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322</v>
      </c>
      <c r="B52" s="151" t="s">
        <v>323</v>
      </c>
      <c r="C52" s="164" t="s">
        <v>341</v>
      </c>
      <c r="D52" s="164" t="s">
        <v>342</v>
      </c>
      <c r="E52" s="165">
        <v>2.0949074074074073E-3</v>
      </c>
      <c r="F52" s="151" t="s">
        <v>326</v>
      </c>
      <c r="G52" s="151" t="s">
        <v>309</v>
      </c>
      <c r="H52" s="151" t="s">
        <v>327</v>
      </c>
      <c r="I52" s="164" t="s">
        <v>343</v>
      </c>
      <c r="J52" s="164" t="s">
        <v>344</v>
      </c>
      <c r="K52" s="165">
        <v>3.9351851851851852E-4</v>
      </c>
      <c r="L52" s="151" t="s">
        <v>326</v>
      </c>
      <c r="M52" s="151" t="s">
        <v>309</v>
      </c>
      <c r="N52" s="151" t="s">
        <v>329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322</v>
      </c>
      <c r="B53" s="151" t="s">
        <v>323</v>
      </c>
      <c r="C53" s="164" t="s">
        <v>345</v>
      </c>
      <c r="D53" s="164" t="s">
        <v>346</v>
      </c>
      <c r="E53" s="165">
        <v>2.1990740740740742E-3</v>
      </c>
      <c r="F53" s="151" t="s">
        <v>326</v>
      </c>
      <c r="G53" s="151" t="s">
        <v>309</v>
      </c>
      <c r="H53" s="151" t="s">
        <v>327</v>
      </c>
      <c r="I53" s="164" t="s">
        <v>347</v>
      </c>
      <c r="J53" s="164" t="s">
        <v>348</v>
      </c>
      <c r="K53" s="165">
        <v>3.8194444444444446E-4</v>
      </c>
      <c r="L53" s="151" t="s">
        <v>326</v>
      </c>
      <c r="M53" s="151" t="s">
        <v>309</v>
      </c>
      <c r="N53" s="151" t="s">
        <v>329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322</v>
      </c>
      <c r="B54" s="151" t="s">
        <v>323</v>
      </c>
      <c r="C54" s="164" t="s">
        <v>349</v>
      </c>
      <c r="D54" s="164" t="s">
        <v>350</v>
      </c>
      <c r="E54" s="165">
        <v>2.4189814814814816E-3</v>
      </c>
      <c r="F54" s="151" t="s">
        <v>326</v>
      </c>
      <c r="G54" s="151" t="s">
        <v>309</v>
      </c>
      <c r="H54" s="151" t="s">
        <v>327</v>
      </c>
      <c r="I54" s="164" t="s">
        <v>351</v>
      </c>
      <c r="J54" s="164" t="s">
        <v>352</v>
      </c>
      <c r="K54" s="165">
        <v>3.8194444444444446E-4</v>
      </c>
      <c r="L54" s="151" t="s">
        <v>326</v>
      </c>
      <c r="M54" s="151" t="s">
        <v>309</v>
      </c>
      <c r="N54" s="151" t="s">
        <v>329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322</v>
      </c>
      <c r="B55" s="151" t="s">
        <v>323</v>
      </c>
      <c r="C55" s="164" t="s">
        <v>353</v>
      </c>
      <c r="D55" s="164" t="s">
        <v>354</v>
      </c>
      <c r="E55" s="165">
        <v>1.9212962962962964E-3</v>
      </c>
      <c r="F55" s="151" t="s">
        <v>326</v>
      </c>
      <c r="G55" s="151" t="s">
        <v>309</v>
      </c>
      <c r="H55" s="151" t="s">
        <v>327</v>
      </c>
      <c r="I55" s="164" t="s">
        <v>355</v>
      </c>
      <c r="J55" s="164" t="s">
        <v>356</v>
      </c>
      <c r="K55" s="165">
        <v>4.0509259259259258E-4</v>
      </c>
      <c r="L55" s="151" t="s">
        <v>326</v>
      </c>
      <c r="M55" s="151" t="s">
        <v>309</v>
      </c>
      <c r="N55" s="151" t="s">
        <v>329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322</v>
      </c>
      <c r="B56" s="151" t="s">
        <v>323</v>
      </c>
      <c r="C56" s="164" t="s">
        <v>357</v>
      </c>
      <c r="D56" s="164" t="s">
        <v>358</v>
      </c>
      <c r="E56" s="165">
        <v>2.4652777777777776E-3</v>
      </c>
      <c r="F56" s="151" t="s">
        <v>326</v>
      </c>
      <c r="G56" s="151" t="s">
        <v>309</v>
      </c>
      <c r="H56" s="151" t="s">
        <v>327</v>
      </c>
      <c r="I56" s="164" t="s">
        <v>359</v>
      </c>
      <c r="J56" s="164" t="s">
        <v>360</v>
      </c>
      <c r="K56" s="165">
        <v>4.5138888888888887E-4</v>
      </c>
      <c r="L56" s="151" t="s">
        <v>326</v>
      </c>
      <c r="M56" s="151" t="s">
        <v>309</v>
      </c>
      <c r="N56" s="151" t="s">
        <v>329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322</v>
      </c>
      <c r="B57" s="151" t="s">
        <v>323</v>
      </c>
      <c r="C57" s="164" t="s">
        <v>361</v>
      </c>
      <c r="D57" s="164" t="s">
        <v>362</v>
      </c>
      <c r="E57" s="165">
        <v>1.7592592592592592E-3</v>
      </c>
      <c r="F57" s="151" t="s">
        <v>326</v>
      </c>
      <c r="G57" s="151" t="s">
        <v>309</v>
      </c>
      <c r="H57" s="151" t="s">
        <v>327</v>
      </c>
      <c r="I57" s="164" t="s">
        <v>363</v>
      </c>
      <c r="J57" s="164" t="s">
        <v>364</v>
      </c>
      <c r="K57" s="165">
        <v>4.3981481481481481E-4</v>
      </c>
      <c r="L57" s="151" t="s">
        <v>326</v>
      </c>
      <c r="M57" s="151" t="s">
        <v>309</v>
      </c>
      <c r="N57" s="151" t="s">
        <v>329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322</v>
      </c>
      <c r="B58" s="151" t="s">
        <v>323</v>
      </c>
      <c r="C58" s="164" t="s">
        <v>365</v>
      </c>
      <c r="D58" s="164" t="s">
        <v>366</v>
      </c>
      <c r="E58" s="165">
        <v>1.5625000000000001E-3</v>
      </c>
      <c r="F58" s="151" t="s">
        <v>326</v>
      </c>
      <c r="G58" s="151" t="s">
        <v>309</v>
      </c>
      <c r="H58" s="151" t="s">
        <v>327</v>
      </c>
      <c r="I58" s="164" t="s">
        <v>367</v>
      </c>
      <c r="J58" s="164" t="s">
        <v>368</v>
      </c>
      <c r="K58" s="165">
        <v>4.2824074074074075E-4</v>
      </c>
      <c r="L58" s="151" t="s">
        <v>326</v>
      </c>
      <c r="M58" s="151" t="s">
        <v>309</v>
      </c>
      <c r="N58" s="151" t="s">
        <v>329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322</v>
      </c>
      <c r="B59" s="151" t="s">
        <v>323</v>
      </c>
      <c r="C59" s="164" t="s">
        <v>369</v>
      </c>
      <c r="D59" s="164" t="s">
        <v>370</v>
      </c>
      <c r="E59" s="165">
        <v>1.8055555555555555E-3</v>
      </c>
      <c r="F59" s="151" t="s">
        <v>326</v>
      </c>
      <c r="G59" s="151" t="s">
        <v>309</v>
      </c>
      <c r="H59" s="151" t="s">
        <v>327</v>
      </c>
      <c r="I59" s="164" t="s">
        <v>371</v>
      </c>
      <c r="J59" s="164" t="s">
        <v>372</v>
      </c>
      <c r="K59" s="165">
        <v>4.0509259259259258E-4</v>
      </c>
      <c r="L59" s="151" t="s">
        <v>326</v>
      </c>
      <c r="M59" s="151" t="s">
        <v>309</v>
      </c>
      <c r="N59" s="151" t="s">
        <v>329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322</v>
      </c>
      <c r="B60" s="151" t="s">
        <v>323</v>
      </c>
      <c r="C60" s="164" t="s">
        <v>373</v>
      </c>
      <c r="D60" s="164" t="s">
        <v>374</v>
      </c>
      <c r="E60" s="165">
        <v>1.8865740740740742E-3</v>
      </c>
      <c r="F60" s="151" t="s">
        <v>326</v>
      </c>
      <c r="G60" s="151" t="s">
        <v>309</v>
      </c>
      <c r="H60" s="151" t="s">
        <v>327</v>
      </c>
      <c r="J60" s="164" t="s">
        <v>375</v>
      </c>
      <c r="K60" s="165">
        <v>0</v>
      </c>
      <c r="L60" s="151" t="s">
        <v>326</v>
      </c>
      <c r="M60" s="151" t="s">
        <v>309</v>
      </c>
      <c r="N60" s="151" t="s">
        <v>329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322</v>
      </c>
      <c r="B61" s="151" t="s">
        <v>323</v>
      </c>
      <c r="C61" s="164" t="s">
        <v>376</v>
      </c>
      <c r="D61" s="164" t="s">
        <v>377</v>
      </c>
      <c r="E61" s="165">
        <v>2.0949074074074073E-3</v>
      </c>
      <c r="F61" s="151" t="s">
        <v>326</v>
      </c>
      <c r="G61" s="151" t="s">
        <v>309</v>
      </c>
      <c r="H61" s="151" t="s">
        <v>327</v>
      </c>
      <c r="I61" s="164" t="s">
        <v>378</v>
      </c>
      <c r="J61" s="164" t="s">
        <v>379</v>
      </c>
      <c r="K61" s="165">
        <v>4.0509259259259258E-4</v>
      </c>
      <c r="L61" s="151" t="s">
        <v>326</v>
      </c>
      <c r="M61" s="151" t="s">
        <v>309</v>
      </c>
      <c r="N61" s="151" t="s">
        <v>329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322</v>
      </c>
      <c r="B62" s="151" t="s">
        <v>323</v>
      </c>
      <c r="C62" s="164" t="s">
        <v>380</v>
      </c>
      <c r="D62" s="164" t="s">
        <v>381</v>
      </c>
      <c r="E62" s="165">
        <v>2.1064814814814813E-3</v>
      </c>
      <c r="F62" s="151" t="s">
        <v>326</v>
      </c>
      <c r="G62" s="151" t="s">
        <v>309</v>
      </c>
      <c r="H62" s="151" t="s">
        <v>327</v>
      </c>
      <c r="I62" s="164" t="s">
        <v>382</v>
      </c>
      <c r="J62" s="164" t="s">
        <v>383</v>
      </c>
      <c r="K62" s="165">
        <v>4.2824074074074075E-4</v>
      </c>
      <c r="L62" s="151" t="s">
        <v>326</v>
      </c>
      <c r="M62" s="151" t="s">
        <v>309</v>
      </c>
      <c r="N62" s="151" t="s">
        <v>329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322</v>
      </c>
      <c r="B63" s="151" t="s">
        <v>323</v>
      </c>
      <c r="C63" s="164" t="s">
        <v>384</v>
      </c>
      <c r="D63" s="164" t="s">
        <v>385</v>
      </c>
      <c r="E63" s="165">
        <v>1.8865740740740742E-3</v>
      </c>
      <c r="F63" s="151" t="s">
        <v>326</v>
      </c>
      <c r="G63" s="151" t="s">
        <v>309</v>
      </c>
      <c r="H63" s="151" t="s">
        <v>327</v>
      </c>
      <c r="I63" s="164" t="s">
        <v>386</v>
      </c>
      <c r="J63" s="164" t="s">
        <v>387</v>
      </c>
      <c r="K63" s="165">
        <v>4.1666666666666669E-4</v>
      </c>
      <c r="L63" s="151" t="s">
        <v>326</v>
      </c>
      <c r="M63" s="151" t="s">
        <v>309</v>
      </c>
      <c r="N63" s="151" t="s">
        <v>329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322</v>
      </c>
      <c r="B64" s="151" t="s">
        <v>323</v>
      </c>
      <c r="C64" s="164" t="s">
        <v>388</v>
      </c>
      <c r="D64" s="164" t="s">
        <v>389</v>
      </c>
      <c r="E64" s="165">
        <v>1.8518518518518519E-3</v>
      </c>
      <c r="F64" s="151" t="s">
        <v>326</v>
      </c>
      <c r="G64" s="151" t="s">
        <v>309</v>
      </c>
      <c r="H64" s="151" t="s">
        <v>327</v>
      </c>
      <c r="I64" s="164" t="s">
        <v>390</v>
      </c>
      <c r="J64" s="164" t="s">
        <v>391</v>
      </c>
      <c r="K64" s="165">
        <v>4.0509259259259258E-4</v>
      </c>
      <c r="L64" s="151" t="s">
        <v>326</v>
      </c>
      <c r="M64" s="151" t="s">
        <v>309</v>
      </c>
      <c r="N64" s="151" t="s">
        <v>329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322</v>
      </c>
      <c r="B65" s="151" t="s">
        <v>323</v>
      </c>
      <c r="C65" s="164" t="s">
        <v>392</v>
      </c>
      <c r="D65" s="164" t="s">
        <v>393</v>
      </c>
      <c r="E65" s="165">
        <v>2.0023148148148148E-3</v>
      </c>
      <c r="F65" s="151" t="s">
        <v>326</v>
      </c>
      <c r="G65" s="151" t="s">
        <v>309</v>
      </c>
      <c r="H65" s="151" t="s">
        <v>327</v>
      </c>
      <c r="I65" s="164" t="s">
        <v>394</v>
      </c>
      <c r="J65" s="164" t="s">
        <v>395</v>
      </c>
      <c r="K65" s="165">
        <v>4.2824074074074075E-4</v>
      </c>
      <c r="L65" s="151" t="s">
        <v>326</v>
      </c>
      <c r="M65" s="151" t="s">
        <v>309</v>
      </c>
      <c r="N65" s="151" t="s">
        <v>329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322</v>
      </c>
      <c r="B66" s="151" t="s">
        <v>323</v>
      </c>
      <c r="C66" s="164" t="s">
        <v>396</v>
      </c>
      <c r="D66" s="164" t="s">
        <v>397</v>
      </c>
      <c r="E66" s="165">
        <v>2.4305555555555556E-3</v>
      </c>
      <c r="F66" s="151" t="s">
        <v>326</v>
      </c>
      <c r="G66" s="151" t="s">
        <v>309</v>
      </c>
      <c r="H66" s="151" t="s">
        <v>327</v>
      </c>
      <c r="I66" s="164" t="s">
        <v>398</v>
      </c>
      <c r="J66" s="164" t="s">
        <v>399</v>
      </c>
      <c r="K66" s="165">
        <v>4.3981481481481481E-4</v>
      </c>
      <c r="L66" s="151" t="s">
        <v>326</v>
      </c>
      <c r="M66" s="151" t="s">
        <v>309</v>
      </c>
      <c r="N66" s="151" t="s">
        <v>329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322</v>
      </c>
      <c r="B67" s="151" t="s">
        <v>323</v>
      </c>
      <c r="C67" s="164" t="s">
        <v>400</v>
      </c>
      <c r="D67" s="164" t="s">
        <v>401</v>
      </c>
      <c r="E67" s="165">
        <v>1.4699074074074074E-3</v>
      </c>
      <c r="F67" s="151" t="s">
        <v>326</v>
      </c>
      <c r="G67" s="151" t="s">
        <v>309</v>
      </c>
      <c r="H67" s="151" t="s">
        <v>327</v>
      </c>
      <c r="I67" s="164" t="s">
        <v>402</v>
      </c>
      <c r="J67" s="164" t="s">
        <v>403</v>
      </c>
      <c r="K67" s="165">
        <v>4.2824074074074075E-4</v>
      </c>
      <c r="L67" s="151" t="s">
        <v>326</v>
      </c>
      <c r="M67" s="151" t="s">
        <v>309</v>
      </c>
      <c r="N67" s="151" t="s">
        <v>329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322</v>
      </c>
      <c r="B68" s="151" t="s">
        <v>323</v>
      </c>
      <c r="C68" s="164" t="s">
        <v>404</v>
      </c>
      <c r="D68" s="164" t="s">
        <v>405</v>
      </c>
      <c r="E68" s="165">
        <v>1.736111111111111E-3</v>
      </c>
      <c r="F68" s="151" t="s">
        <v>326</v>
      </c>
      <c r="G68" s="151" t="s">
        <v>309</v>
      </c>
      <c r="H68" s="151" t="s">
        <v>327</v>
      </c>
      <c r="I68" s="164" t="s">
        <v>406</v>
      </c>
      <c r="J68" s="164" t="s">
        <v>407</v>
      </c>
      <c r="K68" s="165">
        <v>4.2824074074074075E-4</v>
      </c>
      <c r="L68" s="151" t="s">
        <v>326</v>
      </c>
      <c r="M68" s="151" t="s">
        <v>309</v>
      </c>
      <c r="N68" s="151" t="s">
        <v>329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322</v>
      </c>
      <c r="B69" s="151" t="s">
        <v>323</v>
      </c>
      <c r="C69" s="164" t="s">
        <v>408</v>
      </c>
      <c r="D69" s="164" t="s">
        <v>409</v>
      </c>
      <c r="E69" s="165">
        <v>1.4583333333333334E-3</v>
      </c>
      <c r="F69" s="151" t="s">
        <v>326</v>
      </c>
      <c r="G69" s="151" t="s">
        <v>309</v>
      </c>
      <c r="H69" s="151" t="s">
        <v>327</v>
      </c>
      <c r="I69" s="164" t="s">
        <v>410</v>
      </c>
      <c r="J69" s="164" t="s">
        <v>411</v>
      </c>
      <c r="K69" s="165">
        <v>4.2824074074074075E-4</v>
      </c>
      <c r="L69" s="151" t="s">
        <v>326</v>
      </c>
      <c r="M69" s="151" t="s">
        <v>309</v>
      </c>
      <c r="N69" s="151" t="s">
        <v>329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322</v>
      </c>
      <c r="B70" s="151" t="s">
        <v>323</v>
      </c>
      <c r="C70" s="164" t="s">
        <v>412</v>
      </c>
      <c r="D70" s="164" t="s">
        <v>413</v>
      </c>
      <c r="E70" s="165">
        <v>2.0486111111111113E-3</v>
      </c>
      <c r="F70" s="151" t="s">
        <v>326</v>
      </c>
      <c r="G70" s="151" t="s">
        <v>309</v>
      </c>
      <c r="H70" s="151" t="s">
        <v>327</v>
      </c>
      <c r="I70" s="164" t="s">
        <v>414</v>
      </c>
      <c r="J70" s="164" t="s">
        <v>415</v>
      </c>
      <c r="K70" s="165">
        <v>4.2824074074074075E-4</v>
      </c>
      <c r="L70" s="151" t="s">
        <v>326</v>
      </c>
      <c r="M70" s="151" t="s">
        <v>309</v>
      </c>
      <c r="N70" s="151" t="s">
        <v>329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322</v>
      </c>
      <c r="B71" s="151" t="s">
        <v>323</v>
      </c>
      <c r="C71" s="164" t="s">
        <v>416</v>
      </c>
      <c r="D71" s="164" t="s">
        <v>417</v>
      </c>
      <c r="E71" s="165">
        <v>2.0023148148148148E-3</v>
      </c>
      <c r="F71" s="151" t="s">
        <v>326</v>
      </c>
      <c r="G71" s="151" t="s">
        <v>309</v>
      </c>
      <c r="H71" s="151" t="s">
        <v>327</v>
      </c>
      <c r="I71" s="164" t="s">
        <v>418</v>
      </c>
      <c r="J71" s="164" t="s">
        <v>419</v>
      </c>
      <c r="K71" s="165">
        <v>4.0509259259259258E-4</v>
      </c>
      <c r="L71" s="151" t="s">
        <v>326</v>
      </c>
      <c r="M71" s="151" t="s">
        <v>309</v>
      </c>
      <c r="N71" s="151" t="s">
        <v>329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322</v>
      </c>
      <c r="B72" s="151" t="s">
        <v>323</v>
      </c>
      <c r="C72" s="164" t="s">
        <v>420</v>
      </c>
      <c r="D72" s="164" t="s">
        <v>421</v>
      </c>
      <c r="E72" s="165">
        <v>1.8749999999999999E-3</v>
      </c>
      <c r="F72" s="151" t="s">
        <v>326</v>
      </c>
      <c r="G72" s="151" t="s">
        <v>309</v>
      </c>
      <c r="H72" s="151" t="s">
        <v>327</v>
      </c>
      <c r="I72" s="164" t="s">
        <v>422</v>
      </c>
      <c r="J72" s="164" t="s">
        <v>423</v>
      </c>
      <c r="K72" s="165">
        <v>4.861111111111111E-4</v>
      </c>
      <c r="L72" s="151" t="s">
        <v>326</v>
      </c>
      <c r="M72" s="151" t="s">
        <v>309</v>
      </c>
      <c r="N72" s="151" t="s">
        <v>329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322</v>
      </c>
      <c r="B73" s="151" t="s">
        <v>323</v>
      </c>
      <c r="C73" s="164" t="s">
        <v>424</v>
      </c>
      <c r="D73" s="164" t="s">
        <v>425</v>
      </c>
      <c r="E73" s="165">
        <v>2.5115740740740741E-3</v>
      </c>
      <c r="F73" s="151" t="s">
        <v>326</v>
      </c>
      <c r="G73" s="151" t="s">
        <v>309</v>
      </c>
      <c r="H73" s="151" t="s">
        <v>327</v>
      </c>
      <c r="I73" s="164" t="s">
        <v>426</v>
      </c>
      <c r="J73" s="164" t="s">
        <v>427</v>
      </c>
      <c r="K73" s="165">
        <v>4.6296296296296294E-5</v>
      </c>
      <c r="L73" s="151" t="s">
        <v>326</v>
      </c>
      <c r="M73" s="151" t="s">
        <v>309</v>
      </c>
      <c r="N73" s="151" t="s">
        <v>329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322</v>
      </c>
      <c r="B74" s="151" t="s">
        <v>323</v>
      </c>
      <c r="C74" s="164" t="s">
        <v>428</v>
      </c>
      <c r="D74" s="164" t="s">
        <v>429</v>
      </c>
      <c r="E74" s="165">
        <v>5.2083333333333333E-4</v>
      </c>
      <c r="F74" s="151" t="s">
        <v>326</v>
      </c>
      <c r="G74" s="151" t="s">
        <v>309</v>
      </c>
      <c r="H74" s="151" t="s">
        <v>327</v>
      </c>
      <c r="I74" s="164" t="s">
        <v>430</v>
      </c>
      <c r="J74" s="164" t="s">
        <v>431</v>
      </c>
      <c r="K74" s="165">
        <v>4.5138888888888887E-4</v>
      </c>
      <c r="L74" s="151" t="s">
        <v>326</v>
      </c>
      <c r="M74" s="151" t="s">
        <v>309</v>
      </c>
      <c r="N74" s="151" t="s">
        <v>329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322</v>
      </c>
      <c r="B75" s="151" t="s">
        <v>323</v>
      </c>
      <c r="C75" s="164" t="s">
        <v>432</v>
      </c>
      <c r="D75" s="164" t="s">
        <v>433</v>
      </c>
      <c r="E75" s="165">
        <v>1.1458333333333333E-3</v>
      </c>
      <c r="F75" s="151" t="s">
        <v>326</v>
      </c>
      <c r="G75" s="151" t="s">
        <v>309</v>
      </c>
      <c r="H75" s="151" t="s">
        <v>327</v>
      </c>
      <c r="I75" s="164" t="s">
        <v>434</v>
      </c>
      <c r="J75" s="164" t="s">
        <v>435</v>
      </c>
      <c r="K75" s="165">
        <v>3.8194444444444446E-4</v>
      </c>
      <c r="L75" s="151" t="s">
        <v>326</v>
      </c>
      <c r="M75" s="151" t="s">
        <v>309</v>
      </c>
      <c r="N75" s="151" t="s">
        <v>329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322</v>
      </c>
      <c r="B76" s="151" t="s">
        <v>323</v>
      </c>
      <c r="C76" s="164" t="s">
        <v>436</v>
      </c>
      <c r="D76" s="164" t="s">
        <v>437</v>
      </c>
      <c r="E76" s="165">
        <v>2.1527777777777778E-3</v>
      </c>
      <c r="F76" s="151" t="s">
        <v>326</v>
      </c>
      <c r="G76" s="151" t="s">
        <v>309</v>
      </c>
      <c r="H76" s="151" t="s">
        <v>327</v>
      </c>
      <c r="I76" s="164" t="s">
        <v>438</v>
      </c>
      <c r="J76" s="164" t="s">
        <v>439</v>
      </c>
      <c r="K76" s="165">
        <v>4.0509259259259258E-4</v>
      </c>
      <c r="L76" s="151" t="s">
        <v>326</v>
      </c>
      <c r="M76" s="151" t="s">
        <v>309</v>
      </c>
      <c r="N76" s="151" t="s">
        <v>329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322</v>
      </c>
      <c r="B77" s="151" t="s">
        <v>323</v>
      </c>
      <c r="C77" s="164" t="s">
        <v>440</v>
      </c>
      <c r="D77" s="164" t="s">
        <v>441</v>
      </c>
      <c r="E77" s="165">
        <v>1.4814814814814814E-3</v>
      </c>
      <c r="F77" s="151" t="s">
        <v>326</v>
      </c>
      <c r="G77" s="151" t="s">
        <v>309</v>
      </c>
      <c r="H77" s="151" t="s">
        <v>327</v>
      </c>
      <c r="I77" s="164" t="s">
        <v>442</v>
      </c>
      <c r="J77" s="164" t="s">
        <v>443</v>
      </c>
      <c r="K77" s="165">
        <v>3.8194444444444446E-4</v>
      </c>
      <c r="L77" s="151" t="s">
        <v>326</v>
      </c>
      <c r="M77" s="151" t="s">
        <v>309</v>
      </c>
      <c r="N77" s="151" t="s">
        <v>329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322</v>
      </c>
      <c r="B78" s="151" t="s">
        <v>323</v>
      </c>
      <c r="C78" s="164" t="s">
        <v>444</v>
      </c>
      <c r="D78" s="164" t="s">
        <v>445</v>
      </c>
      <c r="E78" s="165">
        <v>1.4699074074074074E-3</v>
      </c>
      <c r="F78" s="151" t="s">
        <v>326</v>
      </c>
      <c r="G78" s="151" t="s">
        <v>309</v>
      </c>
      <c r="H78" s="151" t="s">
        <v>327</v>
      </c>
      <c r="I78" s="164" t="s">
        <v>446</v>
      </c>
      <c r="J78" s="164" t="s">
        <v>447</v>
      </c>
      <c r="K78" s="165">
        <v>1.5046296296296297E-4</v>
      </c>
      <c r="L78" s="151" t="s">
        <v>326</v>
      </c>
      <c r="M78" s="151" t="s">
        <v>309</v>
      </c>
      <c r="N78" s="151" t="s">
        <v>329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322</v>
      </c>
      <c r="B79" s="151" t="s">
        <v>323</v>
      </c>
      <c r="C79" s="164" t="s">
        <v>448</v>
      </c>
      <c r="D79" s="164" t="s">
        <v>449</v>
      </c>
      <c r="E79" s="165">
        <v>1.8981481481481482E-3</v>
      </c>
      <c r="F79" s="151" t="s">
        <v>326</v>
      </c>
      <c r="G79" s="151" t="s">
        <v>309</v>
      </c>
      <c r="H79" s="151" t="s">
        <v>327</v>
      </c>
      <c r="I79" s="164" t="s">
        <v>450</v>
      </c>
      <c r="J79" s="164" t="s">
        <v>451</v>
      </c>
      <c r="K79" s="165">
        <v>3.7037037037037035E-4</v>
      </c>
      <c r="L79" s="151" t="s">
        <v>326</v>
      </c>
      <c r="M79" s="151" t="s">
        <v>309</v>
      </c>
      <c r="N79" s="151" t="s">
        <v>329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322</v>
      </c>
      <c r="B80" s="151" t="s">
        <v>323</v>
      </c>
      <c r="C80" s="164" t="s">
        <v>452</v>
      </c>
      <c r="D80" s="164" t="s">
        <v>453</v>
      </c>
      <c r="E80" s="165">
        <v>1.8171296296296297E-3</v>
      </c>
      <c r="F80" s="151" t="s">
        <v>326</v>
      </c>
      <c r="G80" s="151" t="s">
        <v>309</v>
      </c>
      <c r="H80" s="151" t="s">
        <v>327</v>
      </c>
      <c r="I80" s="164" t="s">
        <v>454</v>
      </c>
      <c r="J80" s="164" t="s">
        <v>455</v>
      </c>
      <c r="K80" s="165">
        <v>3.8194444444444446E-4</v>
      </c>
      <c r="L80" s="151" t="s">
        <v>326</v>
      </c>
      <c r="M80" s="151" t="s">
        <v>309</v>
      </c>
      <c r="N80" s="151" t="s">
        <v>329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322</v>
      </c>
      <c r="B81" s="151" t="s">
        <v>323</v>
      </c>
      <c r="C81" s="164" t="s">
        <v>456</v>
      </c>
      <c r="D81" s="164" t="s">
        <v>457</v>
      </c>
      <c r="E81" s="165">
        <v>1.9675925925925924E-3</v>
      </c>
      <c r="F81" s="151" t="s">
        <v>326</v>
      </c>
      <c r="G81" s="151" t="s">
        <v>309</v>
      </c>
      <c r="H81" s="151" t="s">
        <v>327</v>
      </c>
      <c r="I81" s="164" t="s">
        <v>458</v>
      </c>
      <c r="J81" s="164" t="s">
        <v>459</v>
      </c>
      <c r="K81" s="165">
        <v>4.1666666666666669E-4</v>
      </c>
      <c r="L81" s="151" t="s">
        <v>326</v>
      </c>
      <c r="M81" s="151" t="s">
        <v>309</v>
      </c>
      <c r="N81" s="151" t="s">
        <v>329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322</v>
      </c>
      <c r="B82" s="151" t="s">
        <v>323</v>
      </c>
      <c r="C82" s="164" t="s">
        <v>460</v>
      </c>
      <c r="D82" s="164" t="s">
        <v>461</v>
      </c>
      <c r="E82" s="165">
        <v>1.6898148148148148E-3</v>
      </c>
      <c r="F82" s="151" t="s">
        <v>326</v>
      </c>
      <c r="G82" s="151" t="s">
        <v>309</v>
      </c>
      <c r="H82" s="151" t="s">
        <v>327</v>
      </c>
      <c r="I82" s="164" t="s">
        <v>462</v>
      </c>
      <c r="J82" s="164" t="s">
        <v>463</v>
      </c>
      <c r="K82" s="165">
        <v>4.1666666666666669E-4</v>
      </c>
      <c r="L82" s="151" t="s">
        <v>326</v>
      </c>
      <c r="M82" s="151" t="s">
        <v>309</v>
      </c>
      <c r="N82" s="151" t="s">
        <v>329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322</v>
      </c>
      <c r="B83" s="151" t="s">
        <v>323</v>
      </c>
      <c r="C83" s="164" t="s">
        <v>464</v>
      </c>
      <c r="D83" s="164" t="s">
        <v>465</v>
      </c>
      <c r="E83" s="165">
        <v>2.476851851851852E-3</v>
      </c>
      <c r="F83" s="151" t="s">
        <v>326</v>
      </c>
      <c r="G83" s="151" t="s">
        <v>309</v>
      </c>
      <c r="H83" s="151" t="s">
        <v>327</v>
      </c>
      <c r="I83" s="164" t="s">
        <v>466</v>
      </c>
      <c r="J83" s="164" t="s">
        <v>467</v>
      </c>
      <c r="K83" s="165">
        <v>3.9351851851851852E-4</v>
      </c>
      <c r="L83" s="151" t="s">
        <v>326</v>
      </c>
      <c r="M83" s="151" t="s">
        <v>309</v>
      </c>
      <c r="N83" s="151" t="s">
        <v>329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322</v>
      </c>
      <c r="B84" s="151" t="s">
        <v>323</v>
      </c>
      <c r="C84" s="164" t="s">
        <v>468</v>
      </c>
      <c r="D84" s="164" t="s">
        <v>469</v>
      </c>
      <c r="E84" s="165">
        <v>1.8981481481481482E-3</v>
      </c>
      <c r="F84" s="151" t="s">
        <v>326</v>
      </c>
      <c r="G84" s="151" t="s">
        <v>309</v>
      </c>
      <c r="H84" s="151" t="s">
        <v>327</v>
      </c>
      <c r="I84" s="164" t="s">
        <v>470</v>
      </c>
      <c r="J84" s="164" t="s">
        <v>471</v>
      </c>
      <c r="K84" s="165">
        <v>3.8194444444444446E-4</v>
      </c>
      <c r="L84" s="151" t="s">
        <v>326</v>
      </c>
      <c r="M84" s="151" t="s">
        <v>309</v>
      </c>
      <c r="N84" s="151" t="s">
        <v>329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322</v>
      </c>
      <c r="B85" s="151" t="s">
        <v>323</v>
      </c>
      <c r="C85" s="164" t="s">
        <v>472</v>
      </c>
      <c r="D85" s="164" t="s">
        <v>473</v>
      </c>
      <c r="E85" s="165">
        <v>1.9560185185185184E-3</v>
      </c>
      <c r="F85" s="151" t="s">
        <v>326</v>
      </c>
      <c r="G85" s="151" t="s">
        <v>309</v>
      </c>
      <c r="H85" s="151" t="s">
        <v>327</v>
      </c>
      <c r="I85" s="164" t="s">
        <v>474</v>
      </c>
      <c r="J85" s="164" t="s">
        <v>475</v>
      </c>
      <c r="K85" s="165">
        <v>4.0509259259259258E-4</v>
      </c>
      <c r="L85" s="151" t="s">
        <v>326</v>
      </c>
      <c r="M85" s="151" t="s">
        <v>309</v>
      </c>
      <c r="N85" s="151" t="s">
        <v>329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322</v>
      </c>
      <c r="B86" s="151" t="s">
        <v>323</v>
      </c>
      <c r="C86" s="164" t="s">
        <v>476</v>
      </c>
      <c r="D86" s="164" t="s">
        <v>477</v>
      </c>
      <c r="E86" s="165">
        <v>1.6203703703703703E-3</v>
      </c>
      <c r="F86" s="151" t="s">
        <v>326</v>
      </c>
      <c r="G86" s="151" t="s">
        <v>309</v>
      </c>
      <c r="H86" s="151" t="s">
        <v>327</v>
      </c>
      <c r="I86" s="164" t="s">
        <v>478</v>
      </c>
      <c r="J86" s="164" t="s">
        <v>479</v>
      </c>
      <c r="K86" s="165">
        <v>3.9351851851851852E-4</v>
      </c>
      <c r="L86" s="151" t="s">
        <v>326</v>
      </c>
      <c r="M86" s="151" t="s">
        <v>309</v>
      </c>
      <c r="N86" s="151" t="s">
        <v>329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322</v>
      </c>
      <c r="B87" s="151" t="s">
        <v>323</v>
      </c>
      <c r="C87" s="164" t="s">
        <v>480</v>
      </c>
      <c r="D87" s="164" t="s">
        <v>481</v>
      </c>
      <c r="E87" s="165">
        <v>1.8518518518518519E-3</v>
      </c>
      <c r="F87" s="151" t="s">
        <v>326</v>
      </c>
      <c r="G87" s="151" t="s">
        <v>309</v>
      </c>
      <c r="H87" s="151" t="s">
        <v>327</v>
      </c>
      <c r="I87" s="164" t="s">
        <v>482</v>
      </c>
      <c r="J87" s="164" t="s">
        <v>483</v>
      </c>
      <c r="K87" s="165">
        <v>1.1574074074074073E-3</v>
      </c>
      <c r="L87" s="151" t="s">
        <v>326</v>
      </c>
      <c r="M87" s="151" t="s">
        <v>309</v>
      </c>
      <c r="N87" s="151" t="s">
        <v>329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322</v>
      </c>
      <c r="B88" s="151" t="s">
        <v>323</v>
      </c>
      <c r="C88" s="164" t="s">
        <v>484</v>
      </c>
      <c r="D88" s="164" t="s">
        <v>485</v>
      </c>
      <c r="E88" s="165">
        <v>1.5046296296296296E-3</v>
      </c>
      <c r="F88" s="151" t="s">
        <v>326</v>
      </c>
      <c r="G88" s="151" t="s">
        <v>309</v>
      </c>
      <c r="H88" s="151" t="s">
        <v>327</v>
      </c>
      <c r="I88" s="164" t="s">
        <v>486</v>
      </c>
      <c r="J88" s="164" t="s">
        <v>487</v>
      </c>
      <c r="K88" s="165">
        <v>3.9351851851851852E-4</v>
      </c>
      <c r="L88" s="151" t="s">
        <v>326</v>
      </c>
      <c r="M88" s="151" t="s">
        <v>309</v>
      </c>
      <c r="N88" s="151" t="s">
        <v>329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322</v>
      </c>
      <c r="B89" s="151" t="s">
        <v>323</v>
      </c>
      <c r="C89" s="164" t="s">
        <v>488</v>
      </c>
      <c r="D89" s="164" t="s">
        <v>489</v>
      </c>
      <c r="E89" s="165">
        <v>1.5046296296296296E-3</v>
      </c>
      <c r="F89" s="151" t="s">
        <v>326</v>
      </c>
      <c r="G89" s="151" t="s">
        <v>309</v>
      </c>
      <c r="H89" s="151" t="s">
        <v>327</v>
      </c>
      <c r="I89" s="164" t="s">
        <v>490</v>
      </c>
      <c r="J89" s="164" t="s">
        <v>491</v>
      </c>
      <c r="K89" s="165">
        <v>5.3240740740740744E-4</v>
      </c>
      <c r="L89" s="151" t="s">
        <v>326</v>
      </c>
      <c r="M89" s="151" t="s">
        <v>309</v>
      </c>
      <c r="N89" s="151" t="s">
        <v>329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322</v>
      </c>
      <c r="B90" s="151" t="s">
        <v>323</v>
      </c>
      <c r="C90" s="164" t="s">
        <v>492</v>
      </c>
      <c r="D90" s="164" t="s">
        <v>493</v>
      </c>
      <c r="E90" s="165">
        <v>9.3749999999999997E-4</v>
      </c>
      <c r="F90" s="151" t="s">
        <v>326</v>
      </c>
      <c r="G90" s="151" t="s">
        <v>309</v>
      </c>
      <c r="H90" s="151" t="s">
        <v>327</v>
      </c>
      <c r="I90" s="164" t="s">
        <v>494</v>
      </c>
      <c r="J90" s="164" t="s">
        <v>495</v>
      </c>
      <c r="K90" s="165">
        <v>5.4398148148148144E-4</v>
      </c>
      <c r="L90" s="151" t="s">
        <v>326</v>
      </c>
      <c r="M90" s="151" t="s">
        <v>309</v>
      </c>
      <c r="N90" s="151" t="s">
        <v>329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322</v>
      </c>
      <c r="B91" s="151" t="s">
        <v>323</v>
      </c>
      <c r="C91" s="164" t="s">
        <v>496</v>
      </c>
      <c r="D91" s="164" t="s">
        <v>497</v>
      </c>
      <c r="E91" s="165">
        <v>1.1226851851851851E-3</v>
      </c>
      <c r="F91" s="151" t="s">
        <v>326</v>
      </c>
      <c r="G91" s="151" t="s">
        <v>309</v>
      </c>
      <c r="H91" s="151" t="s">
        <v>327</v>
      </c>
      <c r="I91" s="164" t="s">
        <v>498</v>
      </c>
      <c r="J91" s="164" t="s">
        <v>499</v>
      </c>
      <c r="K91" s="165">
        <v>3.9351851851851852E-4</v>
      </c>
      <c r="L91" s="151" t="s">
        <v>326</v>
      </c>
      <c r="M91" s="151" t="s">
        <v>309</v>
      </c>
      <c r="N91" s="151" t="s">
        <v>329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500</v>
      </c>
      <c r="B92" s="151" t="s">
        <v>501</v>
      </c>
      <c r="C92" s="164" t="s">
        <v>502</v>
      </c>
      <c r="D92" s="164" t="s">
        <v>503</v>
      </c>
      <c r="E92" s="165">
        <v>1.1111111111111111E-3</v>
      </c>
      <c r="F92" s="151" t="s">
        <v>131</v>
      </c>
      <c r="H92" s="151" t="s">
        <v>132</v>
      </c>
      <c r="I92" s="164" t="s">
        <v>504</v>
      </c>
      <c r="J92" s="164" t="s">
        <v>505</v>
      </c>
      <c r="K92" s="165">
        <v>4.0509259259259258E-4</v>
      </c>
      <c r="L92" s="151" t="s">
        <v>135</v>
      </c>
      <c r="N92" s="151" t="s">
        <v>136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500</v>
      </c>
      <c r="B93" s="151" t="s">
        <v>501</v>
      </c>
      <c r="C93" s="164" t="s">
        <v>506</v>
      </c>
      <c r="D93" s="164" t="s">
        <v>507</v>
      </c>
      <c r="E93" s="165">
        <v>1.8171296296296297E-3</v>
      </c>
      <c r="F93" s="151" t="s">
        <v>131</v>
      </c>
      <c r="H93" s="151" t="s">
        <v>132</v>
      </c>
      <c r="I93" s="164" t="s">
        <v>508</v>
      </c>
      <c r="J93" s="164" t="s">
        <v>509</v>
      </c>
      <c r="K93" s="165">
        <v>3.4722222222222224E-4</v>
      </c>
      <c r="L93" s="151" t="s">
        <v>135</v>
      </c>
      <c r="N93" s="151" t="s">
        <v>136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500</v>
      </c>
      <c r="B94" s="151" t="s">
        <v>501</v>
      </c>
      <c r="C94" s="164" t="s">
        <v>510</v>
      </c>
      <c r="D94" s="164" t="s">
        <v>511</v>
      </c>
      <c r="E94" s="165">
        <v>1.5509259259259259E-3</v>
      </c>
      <c r="F94" s="151" t="s">
        <v>131</v>
      </c>
      <c r="H94" s="151" t="s">
        <v>132</v>
      </c>
      <c r="I94" s="164" t="s">
        <v>512</v>
      </c>
      <c r="J94" s="164" t="s">
        <v>513</v>
      </c>
      <c r="K94" s="165">
        <v>3.9351851851851852E-4</v>
      </c>
      <c r="L94" s="151" t="s">
        <v>135</v>
      </c>
      <c r="N94" s="151" t="s">
        <v>136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500</v>
      </c>
      <c r="B95" s="151" t="s">
        <v>501</v>
      </c>
      <c r="C95" s="164" t="s">
        <v>514</v>
      </c>
      <c r="D95" s="164" t="s">
        <v>515</v>
      </c>
      <c r="E95" s="165">
        <v>3.8773148148148148E-3</v>
      </c>
      <c r="F95" s="151" t="s">
        <v>131</v>
      </c>
      <c r="H95" s="151" t="s">
        <v>43</v>
      </c>
      <c r="I95" s="164" t="s">
        <v>516</v>
      </c>
      <c r="J95" s="164" t="s">
        <v>517</v>
      </c>
      <c r="K95" s="165">
        <v>3.3564814814814812E-4</v>
      </c>
      <c r="L95" s="151" t="s">
        <v>242</v>
      </c>
      <c r="N95" s="151" t="s">
        <v>233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500</v>
      </c>
      <c r="B96" s="151" t="s">
        <v>501</v>
      </c>
      <c r="C96" s="164" t="s">
        <v>518</v>
      </c>
      <c r="D96" s="164" t="s">
        <v>519</v>
      </c>
      <c r="E96" s="165">
        <v>6.6319444444444446E-3</v>
      </c>
      <c r="F96" s="151" t="s">
        <v>131</v>
      </c>
      <c r="H96" s="151" t="s">
        <v>43</v>
      </c>
      <c r="I96" s="164" t="s">
        <v>520</v>
      </c>
      <c r="J96" s="164" t="s">
        <v>521</v>
      </c>
      <c r="K96" s="165">
        <v>4.0509259259259258E-4</v>
      </c>
      <c r="L96" s="151" t="s">
        <v>242</v>
      </c>
      <c r="N96" s="151" t="s">
        <v>233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500</v>
      </c>
      <c r="B97" s="151" t="s">
        <v>501</v>
      </c>
      <c r="C97" s="164" t="s">
        <v>522</v>
      </c>
      <c r="D97" s="164" t="s">
        <v>523</v>
      </c>
      <c r="E97" s="165">
        <v>1.4930555555555556E-3</v>
      </c>
      <c r="F97" s="151" t="s">
        <v>131</v>
      </c>
      <c r="H97" s="151" t="s">
        <v>132</v>
      </c>
      <c r="I97" s="164" t="s">
        <v>524</v>
      </c>
      <c r="J97" s="164" t="s">
        <v>525</v>
      </c>
      <c r="K97" s="165">
        <v>3.9351851851851852E-4</v>
      </c>
      <c r="L97" s="151" t="s">
        <v>135</v>
      </c>
      <c r="N97" s="151" t="s">
        <v>136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500</v>
      </c>
      <c r="B98" s="151" t="s">
        <v>501</v>
      </c>
      <c r="C98" s="164" t="s">
        <v>526</v>
      </c>
      <c r="D98" s="164" t="s">
        <v>527</v>
      </c>
      <c r="E98" s="165">
        <v>1.2847222222222223E-3</v>
      </c>
      <c r="F98" s="151" t="s">
        <v>131</v>
      </c>
      <c r="H98" s="151" t="s">
        <v>132</v>
      </c>
      <c r="I98" s="164" t="s">
        <v>528</v>
      </c>
      <c r="J98" s="164" t="s">
        <v>529</v>
      </c>
      <c r="K98" s="165">
        <v>5.2083333333333333E-4</v>
      </c>
      <c r="L98" s="151" t="s">
        <v>135</v>
      </c>
      <c r="N98" s="151" t="s">
        <v>136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500</v>
      </c>
      <c r="B99" s="151" t="s">
        <v>501</v>
      </c>
      <c r="C99" s="164" t="s">
        <v>530</v>
      </c>
      <c r="D99" s="164" t="s">
        <v>531</v>
      </c>
      <c r="E99" s="165">
        <v>1.0995370370370371E-3</v>
      </c>
      <c r="F99" s="151" t="s">
        <v>131</v>
      </c>
      <c r="H99" s="151" t="s">
        <v>132</v>
      </c>
      <c r="I99" s="164" t="s">
        <v>532</v>
      </c>
      <c r="J99" s="164" t="s">
        <v>533</v>
      </c>
      <c r="K99" s="165">
        <v>4.6296296296296298E-4</v>
      </c>
      <c r="L99" s="151" t="s">
        <v>135</v>
      </c>
      <c r="N99" s="151" t="s">
        <v>136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500</v>
      </c>
      <c r="B100" s="151" t="s">
        <v>501</v>
      </c>
      <c r="C100" s="164" t="s">
        <v>534</v>
      </c>
      <c r="D100" s="164" t="s">
        <v>535</v>
      </c>
      <c r="E100" s="165">
        <v>1.2268518518518518E-3</v>
      </c>
      <c r="F100" s="151" t="s">
        <v>131</v>
      </c>
      <c r="H100" s="151" t="s">
        <v>132</v>
      </c>
      <c r="I100" s="164" t="s">
        <v>536</v>
      </c>
      <c r="J100" s="164" t="s">
        <v>537</v>
      </c>
      <c r="K100" s="165">
        <v>4.7453703703703704E-4</v>
      </c>
      <c r="L100" s="151" t="s">
        <v>135</v>
      </c>
      <c r="N100" s="151" t="s">
        <v>136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500</v>
      </c>
      <c r="B101" s="151" t="s">
        <v>501</v>
      </c>
      <c r="C101" s="164" t="s">
        <v>538</v>
      </c>
      <c r="D101" s="164" t="s">
        <v>539</v>
      </c>
      <c r="E101" s="165">
        <v>1.261574074074074E-3</v>
      </c>
      <c r="F101" s="151" t="s">
        <v>131</v>
      </c>
      <c r="H101" s="151" t="s">
        <v>132</v>
      </c>
      <c r="I101" s="164" t="s">
        <v>540</v>
      </c>
      <c r="J101" s="164" t="s">
        <v>541</v>
      </c>
      <c r="K101" s="165">
        <v>4.2824074074074075E-4</v>
      </c>
      <c r="L101" s="151" t="s">
        <v>135</v>
      </c>
      <c r="N101" s="151" t="s">
        <v>136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500</v>
      </c>
      <c r="B102" s="151" t="s">
        <v>501</v>
      </c>
      <c r="C102" s="164" t="s">
        <v>542</v>
      </c>
      <c r="D102" s="164" t="s">
        <v>543</v>
      </c>
      <c r="E102" s="165">
        <v>2.4537037037037036E-3</v>
      </c>
      <c r="F102" s="151" t="s">
        <v>131</v>
      </c>
      <c r="H102" s="151" t="s">
        <v>43</v>
      </c>
      <c r="I102" s="164" t="s">
        <v>544</v>
      </c>
      <c r="J102" s="164" t="s">
        <v>545</v>
      </c>
      <c r="K102" s="165">
        <v>4.0509259259259258E-4</v>
      </c>
      <c r="L102" s="151" t="s">
        <v>242</v>
      </c>
      <c r="N102" s="151" t="s">
        <v>233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500</v>
      </c>
      <c r="B103" s="151" t="s">
        <v>501</v>
      </c>
      <c r="C103" s="164" t="s">
        <v>546</v>
      </c>
      <c r="D103" s="164" t="s">
        <v>547</v>
      </c>
      <c r="E103" s="165">
        <v>7.6851851851851855E-3</v>
      </c>
      <c r="F103" s="151" t="s">
        <v>131</v>
      </c>
      <c r="H103" s="151" t="s">
        <v>43</v>
      </c>
      <c r="I103" s="164" t="s">
        <v>548</v>
      </c>
      <c r="J103" s="164" t="s">
        <v>549</v>
      </c>
      <c r="K103" s="165">
        <v>3.4722222222222224E-4</v>
      </c>
      <c r="L103" s="151" t="s">
        <v>242</v>
      </c>
      <c r="N103" s="151" t="s">
        <v>233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550</v>
      </c>
      <c r="B104" s="151" t="s">
        <v>551</v>
      </c>
      <c r="C104" s="164" t="s">
        <v>552</v>
      </c>
      <c r="D104" s="164" t="s">
        <v>553</v>
      </c>
      <c r="E104" s="165">
        <v>1.8171296296296297E-3</v>
      </c>
      <c r="F104" s="151" t="s">
        <v>131</v>
      </c>
      <c r="H104" s="151" t="s">
        <v>132</v>
      </c>
      <c r="I104" s="164" t="s">
        <v>554</v>
      </c>
      <c r="J104" s="164" t="s">
        <v>555</v>
      </c>
      <c r="K104" s="165">
        <v>1.2037037037037038E-3</v>
      </c>
      <c r="L104" s="151" t="s">
        <v>135</v>
      </c>
      <c r="N104" s="151" t="s">
        <v>136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550</v>
      </c>
      <c r="B105" s="151" t="s">
        <v>551</v>
      </c>
      <c r="C105" s="164" t="s">
        <v>556</v>
      </c>
      <c r="D105" s="164" t="s">
        <v>557</v>
      </c>
      <c r="E105" s="165">
        <v>1.9791666666666668E-3</v>
      </c>
      <c r="F105" s="151" t="s">
        <v>131</v>
      </c>
      <c r="H105" s="151" t="s">
        <v>558</v>
      </c>
      <c r="I105" s="164" t="s">
        <v>559</v>
      </c>
      <c r="J105" s="164" t="s">
        <v>560</v>
      </c>
      <c r="K105" s="165">
        <v>7.1759259259259259E-4</v>
      </c>
      <c r="L105" s="151" t="s">
        <v>232</v>
      </c>
      <c r="N105" s="151" t="s">
        <v>233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550</v>
      </c>
      <c r="B106" s="151" t="s">
        <v>551</v>
      </c>
      <c r="C106" s="164" t="s">
        <v>561</v>
      </c>
      <c r="D106" s="164" t="s">
        <v>562</v>
      </c>
      <c r="E106" s="165">
        <v>1.2037037037037038E-3</v>
      </c>
      <c r="F106" s="151" t="s">
        <v>131</v>
      </c>
      <c r="H106" s="151" t="s">
        <v>132</v>
      </c>
      <c r="I106" s="164" t="s">
        <v>563</v>
      </c>
      <c r="J106" s="164" t="s">
        <v>564</v>
      </c>
      <c r="K106" s="165">
        <v>8.9120370370370373E-4</v>
      </c>
      <c r="L106" s="151" t="s">
        <v>135</v>
      </c>
      <c r="N106" s="151" t="s">
        <v>136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550</v>
      </c>
      <c r="B107" s="151" t="s">
        <v>551</v>
      </c>
      <c r="C107" s="164" t="s">
        <v>565</v>
      </c>
      <c r="D107" s="164" t="s">
        <v>566</v>
      </c>
      <c r="E107" s="165">
        <v>1.1458333333333333E-3</v>
      </c>
      <c r="F107" s="151" t="s">
        <v>131</v>
      </c>
      <c r="H107" s="151" t="s">
        <v>132</v>
      </c>
      <c r="I107" s="164" t="s">
        <v>567</v>
      </c>
      <c r="J107" s="164" t="s">
        <v>568</v>
      </c>
      <c r="K107" s="165">
        <v>7.1759259259259259E-4</v>
      </c>
      <c r="L107" s="151" t="s">
        <v>135</v>
      </c>
      <c r="N107" s="151" t="s">
        <v>136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550</v>
      </c>
      <c r="B108" s="151" t="s">
        <v>551</v>
      </c>
      <c r="C108" s="164" t="s">
        <v>569</v>
      </c>
      <c r="D108" s="164" t="s">
        <v>570</v>
      </c>
      <c r="E108" s="165">
        <v>1.2847222222222223E-3</v>
      </c>
      <c r="F108" s="151" t="s">
        <v>131</v>
      </c>
      <c r="H108" s="151" t="s">
        <v>132</v>
      </c>
      <c r="I108" s="164" t="s">
        <v>571</v>
      </c>
      <c r="J108" s="164" t="s">
        <v>572</v>
      </c>
      <c r="K108" s="165">
        <v>6.018518518518519E-4</v>
      </c>
      <c r="L108" s="151" t="s">
        <v>135</v>
      </c>
      <c r="N108" s="151" t="s">
        <v>136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550</v>
      </c>
      <c r="B109" s="151" t="s">
        <v>551</v>
      </c>
      <c r="C109" s="164" t="s">
        <v>573</v>
      </c>
      <c r="D109" s="164" t="s">
        <v>574</v>
      </c>
      <c r="E109" s="165">
        <v>1.5162037037037036E-3</v>
      </c>
      <c r="F109" s="151" t="s">
        <v>131</v>
      </c>
      <c r="H109" s="151" t="s">
        <v>132</v>
      </c>
      <c r="I109" s="164" t="s">
        <v>575</v>
      </c>
      <c r="J109" s="164" t="s">
        <v>576</v>
      </c>
      <c r="K109" s="165">
        <v>9.3749999999999997E-4</v>
      </c>
      <c r="L109" s="151" t="s">
        <v>135</v>
      </c>
      <c r="N109" s="151" t="s">
        <v>136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550</v>
      </c>
      <c r="B110" s="151" t="s">
        <v>551</v>
      </c>
      <c r="C110" s="164" t="s">
        <v>577</v>
      </c>
      <c r="D110" s="164" t="s">
        <v>578</v>
      </c>
      <c r="E110" s="165">
        <v>1.3194444444444445E-3</v>
      </c>
      <c r="F110" s="151" t="s">
        <v>131</v>
      </c>
      <c r="H110" s="151" t="s">
        <v>132</v>
      </c>
      <c r="I110" s="164" t="s">
        <v>579</v>
      </c>
      <c r="J110" s="164" t="s">
        <v>580</v>
      </c>
      <c r="K110" s="165">
        <v>1.0185185185185184E-3</v>
      </c>
      <c r="L110" s="151" t="s">
        <v>135</v>
      </c>
      <c r="N110" s="151" t="s">
        <v>136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550</v>
      </c>
      <c r="B111" s="151" t="s">
        <v>551</v>
      </c>
      <c r="C111" s="164" t="s">
        <v>581</v>
      </c>
      <c r="D111" s="164" t="s">
        <v>582</v>
      </c>
      <c r="E111" s="165">
        <v>1.5856481481481481E-3</v>
      </c>
      <c r="F111" s="151" t="s">
        <v>131</v>
      </c>
      <c r="H111" s="151" t="s">
        <v>132</v>
      </c>
      <c r="I111" s="164" t="s">
        <v>583</v>
      </c>
      <c r="J111" s="164" t="s">
        <v>584</v>
      </c>
      <c r="K111" s="165">
        <v>7.291666666666667E-4</v>
      </c>
      <c r="L111" s="151" t="s">
        <v>135</v>
      </c>
      <c r="N111" s="151" t="s">
        <v>136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550</v>
      </c>
      <c r="B112" s="151" t="s">
        <v>551</v>
      </c>
      <c r="C112" s="164" t="s">
        <v>585</v>
      </c>
      <c r="D112" s="164" t="s">
        <v>586</v>
      </c>
      <c r="E112" s="165">
        <v>1.2962962962962963E-3</v>
      </c>
      <c r="F112" s="151" t="s">
        <v>131</v>
      </c>
      <c r="H112" s="151" t="s">
        <v>132</v>
      </c>
      <c r="I112" s="164" t="s">
        <v>587</v>
      </c>
      <c r="J112" s="164" t="s">
        <v>588</v>
      </c>
      <c r="K112" s="165">
        <v>8.1018518518518516E-4</v>
      </c>
      <c r="L112" s="166" t="s">
        <v>135</v>
      </c>
      <c r="N112" s="151" t="s">
        <v>136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589</v>
      </c>
      <c r="B113" s="151" t="s">
        <v>501</v>
      </c>
      <c r="C113" s="164" t="s">
        <v>590</v>
      </c>
      <c r="D113" s="164" t="s">
        <v>591</v>
      </c>
      <c r="E113" s="165">
        <v>1.4699074074074074E-3</v>
      </c>
      <c r="F113" s="151" t="s">
        <v>131</v>
      </c>
      <c r="H113" s="151" t="s">
        <v>43</v>
      </c>
      <c r="I113" s="164" t="s">
        <v>592</v>
      </c>
      <c r="J113" s="164" t="s">
        <v>593</v>
      </c>
      <c r="K113" s="165">
        <v>3.9351851851851852E-4</v>
      </c>
      <c r="L113" s="151" t="s">
        <v>242</v>
      </c>
      <c r="N113" s="151" t="s">
        <v>233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589</v>
      </c>
      <c r="B114" s="151" t="s">
        <v>501</v>
      </c>
      <c r="C114" s="164" t="s">
        <v>594</v>
      </c>
      <c r="D114" s="164" t="s">
        <v>595</v>
      </c>
      <c r="E114" s="165">
        <v>1.6435185185185185E-3</v>
      </c>
      <c r="F114" s="151" t="s">
        <v>131</v>
      </c>
      <c r="H114" s="151" t="s">
        <v>43</v>
      </c>
      <c r="I114" s="164" t="s">
        <v>596</v>
      </c>
      <c r="J114" s="164" t="s">
        <v>597</v>
      </c>
      <c r="K114" s="165">
        <v>4.5138888888888887E-4</v>
      </c>
      <c r="L114" s="151" t="s">
        <v>242</v>
      </c>
      <c r="N114" s="151" t="s">
        <v>233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589</v>
      </c>
      <c r="B115" s="151" t="s">
        <v>128</v>
      </c>
      <c r="C115" s="164" t="s">
        <v>598</v>
      </c>
      <c r="D115" s="164" t="s">
        <v>599</v>
      </c>
      <c r="E115" s="165">
        <v>1.4930555555555556E-3</v>
      </c>
      <c r="F115" s="151" t="s">
        <v>131</v>
      </c>
      <c r="H115" s="151" t="s">
        <v>132</v>
      </c>
      <c r="I115" s="164" t="s">
        <v>600</v>
      </c>
      <c r="J115" s="164" t="s">
        <v>601</v>
      </c>
      <c r="K115" s="165">
        <v>3.3564814814814812E-4</v>
      </c>
      <c r="L115" s="151" t="s">
        <v>135</v>
      </c>
      <c r="N115" s="151" t="s">
        <v>136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589</v>
      </c>
      <c r="B116" s="151" t="s">
        <v>128</v>
      </c>
      <c r="C116" s="164" t="s">
        <v>602</v>
      </c>
      <c r="D116" s="164" t="s">
        <v>603</v>
      </c>
      <c r="E116" s="165">
        <v>2.1527777777777778E-3</v>
      </c>
      <c r="F116" s="151" t="s">
        <v>131</v>
      </c>
      <c r="H116" s="151" t="s">
        <v>132</v>
      </c>
      <c r="I116" s="164" t="s">
        <v>604</v>
      </c>
      <c r="J116" s="164" t="s">
        <v>605</v>
      </c>
      <c r="K116" s="165">
        <v>3.0092592592592595E-4</v>
      </c>
      <c r="L116" s="151" t="s">
        <v>135</v>
      </c>
      <c r="N116" s="151" t="s">
        <v>136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589</v>
      </c>
      <c r="B117" s="151" t="s">
        <v>128</v>
      </c>
      <c r="C117" s="164" t="s">
        <v>606</v>
      </c>
      <c r="D117" s="164" t="s">
        <v>607</v>
      </c>
      <c r="E117" s="165">
        <v>1.4120370370370369E-3</v>
      </c>
      <c r="F117" s="151" t="s">
        <v>131</v>
      </c>
      <c r="H117" s="151" t="s">
        <v>132</v>
      </c>
      <c r="I117" s="164" t="s">
        <v>608</v>
      </c>
      <c r="J117" s="164" t="s">
        <v>609</v>
      </c>
      <c r="K117" s="165">
        <v>8.2175925925925927E-4</v>
      </c>
      <c r="L117" s="151" t="s">
        <v>135</v>
      </c>
      <c r="N117" s="151" t="s">
        <v>136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610</v>
      </c>
      <c r="B118" s="151" t="s">
        <v>611</v>
      </c>
      <c r="C118" s="164" t="s">
        <v>612</v>
      </c>
      <c r="D118" s="164" t="s">
        <v>613</v>
      </c>
      <c r="E118" s="165">
        <v>2.1990740740740742E-3</v>
      </c>
      <c r="F118" s="151" t="s">
        <v>326</v>
      </c>
      <c r="G118" s="151" t="s">
        <v>614</v>
      </c>
      <c r="H118" s="151" t="s">
        <v>327</v>
      </c>
      <c r="I118" s="164" t="s">
        <v>615</v>
      </c>
      <c r="J118" s="164" t="s">
        <v>616</v>
      </c>
      <c r="K118" s="165">
        <v>4.1666666666666669E-4</v>
      </c>
      <c r="L118" s="151" t="s">
        <v>326</v>
      </c>
      <c r="M118" s="151" t="s">
        <v>614</v>
      </c>
      <c r="N118" s="151" t="s">
        <v>329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610</v>
      </c>
      <c r="B119" s="151" t="s">
        <v>611</v>
      </c>
      <c r="C119" s="164" t="s">
        <v>617</v>
      </c>
      <c r="D119" s="164" t="s">
        <v>618</v>
      </c>
      <c r="E119" s="165">
        <v>1.4814814814814814E-3</v>
      </c>
      <c r="F119" s="151" t="s">
        <v>326</v>
      </c>
      <c r="G119" s="151" t="s">
        <v>614</v>
      </c>
      <c r="H119" s="151" t="s">
        <v>327</v>
      </c>
      <c r="I119" s="164" t="s">
        <v>619</v>
      </c>
      <c r="J119" s="164" t="s">
        <v>620</v>
      </c>
      <c r="K119" s="165">
        <v>2.7777777777777778E-4</v>
      </c>
      <c r="L119" s="151" t="s">
        <v>326</v>
      </c>
      <c r="M119" s="151" t="s">
        <v>614</v>
      </c>
      <c r="N119" s="151" t="s">
        <v>329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610</v>
      </c>
      <c r="B120" s="151" t="s">
        <v>611</v>
      </c>
      <c r="C120" s="164" t="s">
        <v>621</v>
      </c>
      <c r="D120" s="164" t="s">
        <v>622</v>
      </c>
      <c r="E120" s="165">
        <v>2.0601851851851853E-3</v>
      </c>
      <c r="F120" s="151" t="s">
        <v>326</v>
      </c>
      <c r="G120" s="151" t="s">
        <v>614</v>
      </c>
      <c r="H120" s="151" t="s">
        <v>327</v>
      </c>
      <c r="I120" s="164" t="s">
        <v>623</v>
      </c>
      <c r="J120" s="164" t="s">
        <v>624</v>
      </c>
      <c r="K120" s="165">
        <v>2.7777777777777778E-4</v>
      </c>
      <c r="L120" s="151" t="s">
        <v>326</v>
      </c>
      <c r="M120" s="151" t="s">
        <v>614</v>
      </c>
      <c r="N120" s="151" t="s">
        <v>329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610</v>
      </c>
      <c r="B121" s="151" t="s">
        <v>611</v>
      </c>
      <c r="C121" s="164" t="s">
        <v>625</v>
      </c>
      <c r="D121" s="164" t="s">
        <v>626</v>
      </c>
      <c r="E121" s="165">
        <v>2.1527777777777778E-3</v>
      </c>
      <c r="F121" s="151" t="s">
        <v>326</v>
      </c>
      <c r="G121" s="151" t="s">
        <v>614</v>
      </c>
      <c r="H121" s="151" t="s">
        <v>327</v>
      </c>
      <c r="I121" s="164" t="s">
        <v>627</v>
      </c>
      <c r="J121" s="164" t="s">
        <v>628</v>
      </c>
      <c r="K121" s="165">
        <v>8.2175925925925927E-4</v>
      </c>
      <c r="L121" s="151" t="s">
        <v>326</v>
      </c>
      <c r="M121" s="151" t="s">
        <v>614</v>
      </c>
      <c r="N121" s="151" t="s">
        <v>329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610</v>
      </c>
      <c r="B122" s="151" t="s">
        <v>611</v>
      </c>
      <c r="C122" s="164" t="s">
        <v>629</v>
      </c>
      <c r="D122" s="164" t="s">
        <v>630</v>
      </c>
      <c r="E122" s="165">
        <v>2.1759259259259258E-3</v>
      </c>
      <c r="F122" s="151" t="s">
        <v>326</v>
      </c>
      <c r="G122" s="151" t="s">
        <v>614</v>
      </c>
      <c r="H122" s="151" t="s">
        <v>327</v>
      </c>
      <c r="I122" s="164" t="s">
        <v>631</v>
      </c>
      <c r="J122" s="164" t="s">
        <v>632</v>
      </c>
      <c r="K122" s="165">
        <v>3.1250000000000001E-4</v>
      </c>
      <c r="L122" s="151" t="s">
        <v>326</v>
      </c>
      <c r="M122" s="151" t="s">
        <v>614</v>
      </c>
      <c r="N122" s="151" t="s">
        <v>329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610</v>
      </c>
      <c r="B123" s="151" t="s">
        <v>611</v>
      </c>
      <c r="C123" s="164" t="s">
        <v>633</v>
      </c>
      <c r="D123" s="164" t="s">
        <v>634</v>
      </c>
      <c r="E123" s="165">
        <v>2.5115740740740741E-3</v>
      </c>
      <c r="F123" s="151" t="s">
        <v>326</v>
      </c>
      <c r="G123" s="151" t="s">
        <v>614</v>
      </c>
      <c r="H123" s="151" t="s">
        <v>327</v>
      </c>
      <c r="I123" s="164" t="s">
        <v>635</v>
      </c>
      <c r="J123" s="164" t="s">
        <v>636</v>
      </c>
      <c r="K123" s="165">
        <v>3.4722222222222222E-5</v>
      </c>
      <c r="L123" s="151" t="s">
        <v>326</v>
      </c>
      <c r="M123" s="151" t="s">
        <v>614</v>
      </c>
      <c r="N123" s="151" t="s">
        <v>329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610</v>
      </c>
      <c r="B124" s="151" t="s">
        <v>611</v>
      </c>
      <c r="C124" s="164" t="s">
        <v>637</v>
      </c>
      <c r="D124" s="164" t="s">
        <v>638</v>
      </c>
      <c r="E124" s="165">
        <v>2.5347222222222221E-3</v>
      </c>
      <c r="F124" s="151" t="s">
        <v>326</v>
      </c>
      <c r="G124" s="151" t="s">
        <v>614</v>
      </c>
      <c r="H124" s="151" t="s">
        <v>327</v>
      </c>
      <c r="I124" s="164" t="s">
        <v>639</v>
      </c>
      <c r="J124" s="164" t="s">
        <v>640</v>
      </c>
      <c r="K124" s="165">
        <v>3.0092592592592595E-4</v>
      </c>
      <c r="L124" s="151" t="s">
        <v>326</v>
      </c>
      <c r="M124" s="151" t="s">
        <v>614</v>
      </c>
      <c r="N124" s="151" t="s">
        <v>329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610</v>
      </c>
      <c r="B125" s="151" t="s">
        <v>611</v>
      </c>
      <c r="C125" s="164" t="s">
        <v>641</v>
      </c>
      <c r="D125" s="164" t="s">
        <v>642</v>
      </c>
      <c r="E125" s="165">
        <v>2.5115740740740741E-3</v>
      </c>
      <c r="F125" s="151" t="s">
        <v>326</v>
      </c>
      <c r="G125" s="151" t="s">
        <v>614</v>
      </c>
      <c r="H125" s="151" t="s">
        <v>327</v>
      </c>
      <c r="I125" s="164" t="s">
        <v>643</v>
      </c>
      <c r="J125" s="164" t="s">
        <v>644</v>
      </c>
      <c r="K125" s="165">
        <v>4.2824074074074075E-4</v>
      </c>
      <c r="L125" s="151" t="s">
        <v>326</v>
      </c>
      <c r="M125" s="151" t="s">
        <v>614</v>
      </c>
      <c r="N125" s="151" t="s">
        <v>329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610</v>
      </c>
      <c r="B126" s="151" t="s">
        <v>611</v>
      </c>
      <c r="C126" s="164" t="s">
        <v>645</v>
      </c>
      <c r="D126" s="164" t="s">
        <v>245</v>
      </c>
      <c r="E126" s="165">
        <v>2.0138888888888888E-3</v>
      </c>
      <c r="F126" s="151" t="s">
        <v>326</v>
      </c>
      <c r="G126" s="151" t="s">
        <v>614</v>
      </c>
      <c r="H126" s="151" t="s">
        <v>327</v>
      </c>
      <c r="I126" s="164" t="s">
        <v>646</v>
      </c>
      <c r="J126" s="164" t="s">
        <v>647</v>
      </c>
      <c r="K126" s="165">
        <v>2.199074074074074E-4</v>
      </c>
      <c r="L126" s="151" t="s">
        <v>326</v>
      </c>
      <c r="M126" s="151" t="s">
        <v>614</v>
      </c>
      <c r="N126" s="151" t="s">
        <v>329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610</v>
      </c>
      <c r="B127" s="151" t="s">
        <v>611</v>
      </c>
      <c r="C127" s="164" t="s">
        <v>648</v>
      </c>
      <c r="D127" s="164" t="s">
        <v>649</v>
      </c>
      <c r="E127" s="165">
        <v>1.7824074074074075E-3</v>
      </c>
      <c r="F127" s="151" t="s">
        <v>326</v>
      </c>
      <c r="G127" s="151" t="s">
        <v>614</v>
      </c>
      <c r="H127" s="151" t="s">
        <v>327</v>
      </c>
      <c r="I127" s="164" t="s">
        <v>650</v>
      </c>
      <c r="J127" s="164" t="s">
        <v>651</v>
      </c>
      <c r="K127" s="165">
        <v>2.8935185185185184E-4</v>
      </c>
      <c r="L127" s="151" t="s">
        <v>326</v>
      </c>
      <c r="M127" s="151" t="s">
        <v>614</v>
      </c>
      <c r="N127" s="151" t="s">
        <v>329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610</v>
      </c>
      <c r="B128" s="151" t="s">
        <v>611</v>
      </c>
      <c r="C128" s="164" t="s">
        <v>652</v>
      </c>
      <c r="D128" s="164" t="s">
        <v>653</v>
      </c>
      <c r="E128" s="165">
        <v>2.1412037037037038E-3</v>
      </c>
      <c r="F128" s="151" t="s">
        <v>326</v>
      </c>
      <c r="G128" s="151" t="s">
        <v>614</v>
      </c>
      <c r="H128" s="151" t="s">
        <v>327</v>
      </c>
      <c r="I128" s="164" t="s">
        <v>654</v>
      </c>
      <c r="J128" s="164" t="s">
        <v>655</v>
      </c>
      <c r="K128" s="165">
        <v>3.4722222222222224E-4</v>
      </c>
      <c r="L128" s="151" t="s">
        <v>326</v>
      </c>
      <c r="M128" s="151" t="s">
        <v>614</v>
      </c>
      <c r="N128" s="151" t="s">
        <v>329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610</v>
      </c>
      <c r="B129" s="151" t="s">
        <v>611</v>
      </c>
      <c r="C129" s="164" t="s">
        <v>656</v>
      </c>
      <c r="D129" s="164" t="s">
        <v>519</v>
      </c>
      <c r="E129" s="165">
        <v>1.7592592592592592E-3</v>
      </c>
      <c r="F129" s="151" t="s">
        <v>326</v>
      </c>
      <c r="G129" s="151" t="s">
        <v>614</v>
      </c>
      <c r="H129" s="151" t="s">
        <v>327</v>
      </c>
      <c r="I129" s="164" t="s">
        <v>657</v>
      </c>
      <c r="J129" s="164" t="s">
        <v>658</v>
      </c>
      <c r="K129" s="165">
        <v>3.0092592592592595E-4</v>
      </c>
      <c r="L129" s="151" t="s">
        <v>326</v>
      </c>
      <c r="M129" s="151" t="s">
        <v>614</v>
      </c>
      <c r="N129" s="151" t="s">
        <v>329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610</v>
      </c>
      <c r="B130" s="151" t="s">
        <v>611</v>
      </c>
      <c r="C130" s="164" t="s">
        <v>659</v>
      </c>
      <c r="D130" s="164" t="s">
        <v>660</v>
      </c>
      <c r="E130" s="165">
        <v>1.7708333333333332E-3</v>
      </c>
      <c r="F130" s="151" t="s">
        <v>326</v>
      </c>
      <c r="G130" s="151" t="s">
        <v>614</v>
      </c>
      <c r="H130" s="151" t="s">
        <v>327</v>
      </c>
      <c r="I130" s="164" t="s">
        <v>661</v>
      </c>
      <c r="J130" s="164" t="s">
        <v>662</v>
      </c>
      <c r="K130" s="165">
        <v>3.0092592592592595E-4</v>
      </c>
      <c r="L130" s="151" t="s">
        <v>326</v>
      </c>
      <c r="M130" s="151" t="s">
        <v>614</v>
      </c>
      <c r="N130" s="151" t="s">
        <v>329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610</v>
      </c>
      <c r="B131" s="151" t="s">
        <v>611</v>
      </c>
      <c r="C131" s="164" t="s">
        <v>663</v>
      </c>
      <c r="D131" s="164" t="s">
        <v>664</v>
      </c>
      <c r="E131" s="165">
        <v>1.8402777777777777E-3</v>
      </c>
      <c r="F131" s="151" t="s">
        <v>326</v>
      </c>
      <c r="G131" s="151" t="s">
        <v>614</v>
      </c>
      <c r="H131" s="151" t="s">
        <v>327</v>
      </c>
      <c r="I131" s="164" t="s">
        <v>665</v>
      </c>
      <c r="J131" s="164" t="s">
        <v>666</v>
      </c>
      <c r="K131" s="165">
        <v>3.8194444444444446E-4</v>
      </c>
      <c r="L131" s="151" t="s">
        <v>326</v>
      </c>
      <c r="M131" s="151" t="s">
        <v>614</v>
      </c>
      <c r="N131" s="151" t="s">
        <v>329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610</v>
      </c>
      <c r="B132" s="151" t="s">
        <v>611</v>
      </c>
      <c r="C132" s="164" t="s">
        <v>667</v>
      </c>
      <c r="D132" s="164" t="s">
        <v>668</v>
      </c>
      <c r="E132" s="165">
        <v>2.0949074074074073E-3</v>
      </c>
      <c r="F132" s="151" t="s">
        <v>326</v>
      </c>
      <c r="G132" s="151" t="s">
        <v>614</v>
      </c>
      <c r="H132" s="151" t="s">
        <v>327</v>
      </c>
      <c r="I132" s="164" t="s">
        <v>669</v>
      </c>
      <c r="J132" s="164" t="s">
        <v>670</v>
      </c>
      <c r="K132" s="165">
        <v>3.2407407407407406E-4</v>
      </c>
      <c r="L132" s="151" t="s">
        <v>326</v>
      </c>
      <c r="M132" s="151" t="s">
        <v>614</v>
      </c>
      <c r="N132" s="151" t="s">
        <v>329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610</v>
      </c>
      <c r="B133" s="151" t="s">
        <v>611</v>
      </c>
      <c r="C133" s="164" t="s">
        <v>671</v>
      </c>
      <c r="D133" s="164" t="s">
        <v>672</v>
      </c>
      <c r="E133" s="165">
        <v>1.9212962962962964E-3</v>
      </c>
      <c r="F133" s="151" t="s">
        <v>326</v>
      </c>
      <c r="G133" s="151" t="s">
        <v>614</v>
      </c>
      <c r="H133" s="151" t="s">
        <v>327</v>
      </c>
      <c r="I133" s="164" t="s">
        <v>673</v>
      </c>
      <c r="J133" s="164" t="s">
        <v>674</v>
      </c>
      <c r="K133" s="165">
        <v>4.0509259259259258E-4</v>
      </c>
      <c r="L133" s="151" t="s">
        <v>326</v>
      </c>
      <c r="M133" s="151" t="s">
        <v>614</v>
      </c>
      <c r="N133" s="151" t="s">
        <v>329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610</v>
      </c>
      <c r="B134" s="151" t="s">
        <v>611</v>
      </c>
      <c r="C134" s="164" t="s">
        <v>675</v>
      </c>
      <c r="D134" s="164" t="s">
        <v>676</v>
      </c>
      <c r="E134" s="165">
        <v>1.8981481481481482E-3</v>
      </c>
      <c r="F134" s="151" t="s">
        <v>326</v>
      </c>
      <c r="G134" s="151" t="s">
        <v>614</v>
      </c>
      <c r="H134" s="151" t="s">
        <v>327</v>
      </c>
      <c r="I134" s="164" t="s">
        <v>677</v>
      </c>
      <c r="J134" s="164" t="s">
        <v>678</v>
      </c>
      <c r="K134" s="165">
        <v>3.5879629629629629E-4</v>
      </c>
      <c r="L134" s="151" t="s">
        <v>326</v>
      </c>
      <c r="M134" s="151" t="s">
        <v>614</v>
      </c>
      <c r="N134" s="151" t="s">
        <v>329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610</v>
      </c>
      <c r="B135" s="151" t="s">
        <v>611</v>
      </c>
      <c r="C135" s="164" t="s">
        <v>679</v>
      </c>
      <c r="D135" s="164" t="s">
        <v>680</v>
      </c>
      <c r="E135" s="165">
        <v>1.8287037037037037E-3</v>
      </c>
      <c r="F135" s="151" t="s">
        <v>326</v>
      </c>
      <c r="G135" s="151" t="s">
        <v>614</v>
      </c>
      <c r="H135" s="151" t="s">
        <v>327</v>
      </c>
      <c r="I135" s="164" t="s">
        <v>681</v>
      </c>
      <c r="J135" s="164" t="s">
        <v>682</v>
      </c>
      <c r="K135" s="165">
        <v>3.2407407407407406E-4</v>
      </c>
      <c r="L135" s="151" t="s">
        <v>326</v>
      </c>
      <c r="M135" s="151" t="s">
        <v>614</v>
      </c>
      <c r="N135" s="151" t="s">
        <v>329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610</v>
      </c>
      <c r="B136" s="151" t="s">
        <v>611</v>
      </c>
      <c r="C136" s="164" t="s">
        <v>683</v>
      </c>
      <c r="D136" s="164" t="s">
        <v>684</v>
      </c>
      <c r="E136" s="165">
        <v>1.9097222222222222E-3</v>
      </c>
      <c r="F136" s="151" t="s">
        <v>326</v>
      </c>
      <c r="G136" s="151" t="s">
        <v>614</v>
      </c>
      <c r="H136" s="151" t="s">
        <v>327</v>
      </c>
      <c r="I136" s="164" t="s">
        <v>685</v>
      </c>
      <c r="J136" s="164" t="s">
        <v>686</v>
      </c>
      <c r="K136" s="165">
        <v>4.0509259259259258E-4</v>
      </c>
      <c r="L136" s="151" t="s">
        <v>326</v>
      </c>
      <c r="M136" s="151" t="s">
        <v>614</v>
      </c>
      <c r="N136" s="151" t="s">
        <v>329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610</v>
      </c>
      <c r="B137" s="151" t="s">
        <v>611</v>
      </c>
      <c r="C137" s="164" t="s">
        <v>687</v>
      </c>
      <c r="D137" s="164" t="s">
        <v>688</v>
      </c>
      <c r="E137" s="165">
        <v>1.7824074074074075E-3</v>
      </c>
      <c r="F137" s="151" t="s">
        <v>326</v>
      </c>
      <c r="G137" s="151" t="s">
        <v>614</v>
      </c>
      <c r="H137" s="151" t="s">
        <v>327</v>
      </c>
      <c r="I137" s="164" t="s">
        <v>689</v>
      </c>
      <c r="J137" s="164" t="s">
        <v>690</v>
      </c>
      <c r="K137" s="165">
        <v>3.5879629629629629E-4</v>
      </c>
      <c r="L137" s="151" t="s">
        <v>326</v>
      </c>
      <c r="M137" s="151" t="s">
        <v>614</v>
      </c>
      <c r="N137" s="151" t="s">
        <v>329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610</v>
      </c>
      <c r="B138" s="151" t="s">
        <v>611</v>
      </c>
      <c r="C138" s="164" t="s">
        <v>691</v>
      </c>
      <c r="D138" s="164" t="s">
        <v>692</v>
      </c>
      <c r="E138" s="165">
        <v>1.5046296296296296E-3</v>
      </c>
      <c r="F138" s="151" t="s">
        <v>326</v>
      </c>
      <c r="G138" s="151" t="s">
        <v>614</v>
      </c>
      <c r="H138" s="151" t="s">
        <v>327</v>
      </c>
      <c r="I138" s="164" t="s">
        <v>404</v>
      </c>
      <c r="J138" s="164" t="s">
        <v>693</v>
      </c>
      <c r="K138" s="165">
        <v>4.2824074074074075E-4</v>
      </c>
      <c r="L138" s="151" t="s">
        <v>326</v>
      </c>
      <c r="M138" s="151" t="s">
        <v>614</v>
      </c>
      <c r="N138" s="151" t="s">
        <v>329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610</v>
      </c>
      <c r="B139" s="151" t="s">
        <v>611</v>
      </c>
      <c r="C139" s="164" t="s">
        <v>694</v>
      </c>
      <c r="D139" s="164" t="s">
        <v>695</v>
      </c>
      <c r="E139" s="165">
        <v>1.2731481481481483E-3</v>
      </c>
      <c r="F139" s="151" t="s">
        <v>326</v>
      </c>
      <c r="G139" s="151" t="s">
        <v>614</v>
      </c>
      <c r="H139" s="151" t="s">
        <v>327</v>
      </c>
      <c r="I139" s="164" t="s">
        <v>696</v>
      </c>
      <c r="J139" s="164" t="s">
        <v>697</v>
      </c>
      <c r="K139" s="165">
        <v>4.7453703703703704E-4</v>
      </c>
      <c r="L139" s="151" t="s">
        <v>326</v>
      </c>
      <c r="M139" s="151" t="s">
        <v>614</v>
      </c>
      <c r="N139" s="151" t="s">
        <v>329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610</v>
      </c>
      <c r="B140" s="151" t="s">
        <v>611</v>
      </c>
      <c r="C140" s="164" t="s">
        <v>698</v>
      </c>
      <c r="D140" s="164" t="s">
        <v>699</v>
      </c>
      <c r="E140" s="165">
        <v>2.0023148148148148E-3</v>
      </c>
      <c r="F140" s="151" t="s">
        <v>326</v>
      </c>
      <c r="G140" s="151" t="s">
        <v>614</v>
      </c>
      <c r="H140" s="151" t="s">
        <v>327</v>
      </c>
      <c r="I140" s="164" t="s">
        <v>412</v>
      </c>
      <c r="J140" s="164" t="s">
        <v>700</v>
      </c>
      <c r="K140" s="165">
        <v>6.4814814814814813E-4</v>
      </c>
      <c r="L140" s="151" t="s">
        <v>326</v>
      </c>
      <c r="M140" s="151" t="s">
        <v>614</v>
      </c>
      <c r="N140" s="151" t="s">
        <v>329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610</v>
      </c>
      <c r="B141" s="151" t="s">
        <v>611</v>
      </c>
      <c r="C141" s="164" t="s">
        <v>701</v>
      </c>
      <c r="D141" s="164" t="s">
        <v>702</v>
      </c>
      <c r="E141" s="165">
        <v>2.5810185185185185E-3</v>
      </c>
      <c r="F141" s="151" t="s">
        <v>326</v>
      </c>
      <c r="G141" s="151" t="s">
        <v>614</v>
      </c>
      <c r="H141" s="151" t="s">
        <v>327</v>
      </c>
      <c r="I141" s="164" t="s">
        <v>703</v>
      </c>
      <c r="J141" s="164" t="s">
        <v>704</v>
      </c>
      <c r="K141" s="165">
        <v>2.7777777777777778E-4</v>
      </c>
      <c r="L141" s="151" t="s">
        <v>326</v>
      </c>
      <c r="M141" s="151" t="s">
        <v>614</v>
      </c>
      <c r="N141" s="151" t="s">
        <v>329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610</v>
      </c>
      <c r="B142" s="151" t="s">
        <v>611</v>
      </c>
      <c r="C142" s="164" t="s">
        <v>705</v>
      </c>
      <c r="D142" s="164" t="s">
        <v>706</v>
      </c>
      <c r="E142" s="165">
        <v>2.2800925925925927E-3</v>
      </c>
      <c r="F142" s="151" t="s">
        <v>326</v>
      </c>
      <c r="G142" s="151" t="s">
        <v>614</v>
      </c>
      <c r="H142" s="151" t="s">
        <v>327</v>
      </c>
      <c r="I142" s="164" t="s">
        <v>707</v>
      </c>
      <c r="J142" s="164" t="s">
        <v>708</v>
      </c>
      <c r="K142" s="165">
        <v>2.8935185185185184E-4</v>
      </c>
      <c r="L142" s="151" t="s">
        <v>326</v>
      </c>
      <c r="M142" s="151" t="s">
        <v>614</v>
      </c>
      <c r="N142" s="151" t="s">
        <v>329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610</v>
      </c>
      <c r="B143" s="151" t="s">
        <v>611</v>
      </c>
      <c r="C143" s="164" t="s">
        <v>709</v>
      </c>
      <c r="D143" s="164" t="s">
        <v>710</v>
      </c>
      <c r="E143" s="165">
        <v>2.627314814814815E-3</v>
      </c>
      <c r="F143" s="151" t="s">
        <v>326</v>
      </c>
      <c r="G143" s="151" t="s">
        <v>614</v>
      </c>
      <c r="H143" s="151" t="s">
        <v>327</v>
      </c>
      <c r="I143" s="164" t="s">
        <v>711</v>
      </c>
      <c r="J143" s="164" t="s">
        <v>712</v>
      </c>
      <c r="K143" s="165">
        <v>4.6296296296296298E-4</v>
      </c>
      <c r="L143" s="151" t="s">
        <v>326</v>
      </c>
      <c r="M143" s="151" t="s">
        <v>614</v>
      </c>
      <c r="N143" s="151" t="s">
        <v>329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610</v>
      </c>
      <c r="B144" s="151" t="s">
        <v>611</v>
      </c>
      <c r="C144" s="164" t="s">
        <v>713</v>
      </c>
      <c r="D144" s="164" t="s">
        <v>714</v>
      </c>
      <c r="E144" s="165">
        <v>2.5115740740740741E-3</v>
      </c>
      <c r="F144" s="151" t="s">
        <v>326</v>
      </c>
      <c r="G144" s="151" t="s">
        <v>614</v>
      </c>
      <c r="H144" s="151" t="s">
        <v>327</v>
      </c>
      <c r="I144" s="164" t="s">
        <v>715</v>
      </c>
      <c r="J144" s="164" t="s">
        <v>716</v>
      </c>
      <c r="K144" s="165">
        <v>2.8935185185185184E-4</v>
      </c>
      <c r="L144" s="151" t="s">
        <v>326</v>
      </c>
      <c r="M144" s="151" t="s">
        <v>614</v>
      </c>
      <c r="N144" s="151" t="s">
        <v>329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610</v>
      </c>
      <c r="B145" s="151" t="s">
        <v>611</v>
      </c>
      <c r="C145" s="164" t="s">
        <v>717</v>
      </c>
      <c r="D145" s="164" t="s">
        <v>718</v>
      </c>
      <c r="E145" s="165">
        <v>1.9212962962962964E-3</v>
      </c>
      <c r="F145" s="151" t="s">
        <v>326</v>
      </c>
      <c r="G145" s="151" t="s">
        <v>614</v>
      </c>
      <c r="H145" s="151" t="s">
        <v>327</v>
      </c>
      <c r="I145" s="164" t="s">
        <v>719</v>
      </c>
      <c r="J145" s="164" t="s">
        <v>720</v>
      </c>
      <c r="K145" s="165">
        <v>2.6620370370370372E-4</v>
      </c>
      <c r="L145" s="151" t="s">
        <v>326</v>
      </c>
      <c r="M145" s="151" t="s">
        <v>614</v>
      </c>
      <c r="N145" s="151" t="s">
        <v>329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610</v>
      </c>
      <c r="B146" s="151" t="s">
        <v>611</v>
      </c>
      <c r="C146" s="164" t="s">
        <v>721</v>
      </c>
      <c r="D146" s="164" t="s">
        <v>722</v>
      </c>
      <c r="E146" s="165">
        <v>1.7939814814814815E-3</v>
      </c>
      <c r="F146" s="151" t="s">
        <v>326</v>
      </c>
      <c r="G146" s="151" t="s">
        <v>614</v>
      </c>
      <c r="H146" s="151" t="s">
        <v>327</v>
      </c>
      <c r="I146" s="164" t="s">
        <v>723</v>
      </c>
      <c r="J146" s="164" t="s">
        <v>724</v>
      </c>
      <c r="K146" s="165">
        <v>2.8935185185185184E-4</v>
      </c>
      <c r="L146" s="151" t="s">
        <v>326</v>
      </c>
      <c r="M146" s="151" t="s">
        <v>614</v>
      </c>
      <c r="N146" s="151" t="s">
        <v>329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610</v>
      </c>
      <c r="B147" s="151" t="s">
        <v>611</v>
      </c>
      <c r="C147" s="164" t="s">
        <v>725</v>
      </c>
      <c r="D147" s="164" t="s">
        <v>726</v>
      </c>
      <c r="E147" s="165">
        <v>2.1875000000000002E-3</v>
      </c>
      <c r="F147" s="151" t="s">
        <v>326</v>
      </c>
      <c r="G147" s="151" t="s">
        <v>614</v>
      </c>
      <c r="H147" s="151" t="s">
        <v>327</v>
      </c>
      <c r="I147" s="164" t="s">
        <v>727</v>
      </c>
      <c r="J147" s="164" t="s">
        <v>728</v>
      </c>
      <c r="K147" s="165">
        <v>2.6620370370370372E-4</v>
      </c>
      <c r="L147" s="151" t="s">
        <v>326</v>
      </c>
      <c r="M147" s="151" t="s">
        <v>614</v>
      </c>
      <c r="N147" s="151" t="s">
        <v>329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610</v>
      </c>
      <c r="B148" s="151" t="s">
        <v>611</v>
      </c>
      <c r="C148" s="164" t="s">
        <v>729</v>
      </c>
      <c r="D148" s="164" t="s">
        <v>730</v>
      </c>
      <c r="E148" s="165">
        <v>3.1018518518518517E-3</v>
      </c>
      <c r="F148" s="151" t="s">
        <v>326</v>
      </c>
      <c r="G148" s="151" t="s">
        <v>614</v>
      </c>
      <c r="H148" s="151" t="s">
        <v>327</v>
      </c>
      <c r="I148" s="164" t="s">
        <v>731</v>
      </c>
      <c r="J148" s="164" t="s">
        <v>732</v>
      </c>
      <c r="K148" s="165">
        <v>2.7777777777777778E-4</v>
      </c>
      <c r="L148" s="151" t="s">
        <v>326</v>
      </c>
      <c r="M148" s="151" t="s">
        <v>614</v>
      </c>
      <c r="N148" s="151" t="s">
        <v>329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610</v>
      </c>
      <c r="B149" s="151" t="s">
        <v>611</v>
      </c>
      <c r="C149" s="164" t="s">
        <v>733</v>
      </c>
      <c r="D149" s="164" t="s">
        <v>734</v>
      </c>
      <c r="E149" s="165">
        <v>2.0023148148148148E-3</v>
      </c>
      <c r="F149" s="151" t="s">
        <v>326</v>
      </c>
      <c r="G149" s="151" t="s">
        <v>614</v>
      </c>
      <c r="H149" s="151" t="s">
        <v>327</v>
      </c>
      <c r="I149" s="164" t="s">
        <v>735</v>
      </c>
      <c r="J149" s="164" t="s">
        <v>736</v>
      </c>
      <c r="K149" s="165">
        <v>2.6620370370370372E-4</v>
      </c>
      <c r="L149" s="151" t="s">
        <v>326</v>
      </c>
      <c r="M149" s="151" t="s">
        <v>614</v>
      </c>
      <c r="N149" s="151" t="s">
        <v>329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610</v>
      </c>
      <c r="B150" s="151" t="s">
        <v>611</v>
      </c>
      <c r="C150" s="164" t="s">
        <v>737</v>
      </c>
      <c r="D150" s="164" t="s">
        <v>738</v>
      </c>
      <c r="E150" s="165">
        <v>2.1064814814814813E-3</v>
      </c>
      <c r="F150" s="151" t="s">
        <v>326</v>
      </c>
      <c r="G150" s="151" t="s">
        <v>614</v>
      </c>
      <c r="H150" s="151" t="s">
        <v>327</v>
      </c>
      <c r="I150" s="164" t="s">
        <v>739</v>
      </c>
      <c r="J150" s="164" t="s">
        <v>740</v>
      </c>
      <c r="K150" s="165">
        <v>2.7777777777777778E-4</v>
      </c>
      <c r="L150" s="151" t="s">
        <v>326</v>
      </c>
      <c r="M150" s="151" t="s">
        <v>614</v>
      </c>
      <c r="N150" s="151" t="s">
        <v>329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610</v>
      </c>
      <c r="B151" s="151" t="s">
        <v>611</v>
      </c>
      <c r="C151" s="164" t="s">
        <v>741</v>
      </c>
      <c r="D151" s="164" t="s">
        <v>742</v>
      </c>
      <c r="E151" s="165">
        <v>1.7592592592592592E-3</v>
      </c>
      <c r="F151" s="151" t="s">
        <v>326</v>
      </c>
      <c r="G151" s="151" t="s">
        <v>614</v>
      </c>
      <c r="H151" s="151" t="s">
        <v>327</v>
      </c>
      <c r="I151" s="164" t="s">
        <v>743</v>
      </c>
      <c r="J151" s="164" t="s">
        <v>744</v>
      </c>
      <c r="K151" s="165">
        <v>3.0092592592592595E-4</v>
      </c>
      <c r="L151" s="151" t="s">
        <v>326</v>
      </c>
      <c r="M151" s="151" t="s">
        <v>614</v>
      </c>
      <c r="N151" s="151" t="s">
        <v>329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610</v>
      </c>
      <c r="B152" s="151" t="s">
        <v>611</v>
      </c>
      <c r="C152" s="164" t="s">
        <v>745</v>
      </c>
      <c r="D152" s="164" t="s">
        <v>746</v>
      </c>
      <c r="E152" s="165">
        <v>2.5810185185185185E-3</v>
      </c>
      <c r="F152" s="151" t="s">
        <v>326</v>
      </c>
      <c r="G152" s="151" t="s">
        <v>614</v>
      </c>
      <c r="H152" s="151" t="s">
        <v>327</v>
      </c>
      <c r="I152" s="164" t="s">
        <v>747</v>
      </c>
      <c r="J152" s="164" t="s">
        <v>748</v>
      </c>
      <c r="K152" s="165">
        <v>2.8935185185185184E-4</v>
      </c>
      <c r="L152" s="151" t="s">
        <v>326</v>
      </c>
      <c r="M152" s="151" t="s">
        <v>614</v>
      </c>
      <c r="N152" s="151" t="s">
        <v>329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610</v>
      </c>
      <c r="B153" s="151" t="s">
        <v>611</v>
      </c>
      <c r="C153" s="164" t="s">
        <v>749</v>
      </c>
      <c r="D153" s="164" t="s">
        <v>750</v>
      </c>
      <c r="E153" s="165">
        <v>2.3379629629629631E-3</v>
      </c>
      <c r="F153" s="151" t="s">
        <v>326</v>
      </c>
      <c r="G153" s="151" t="s">
        <v>614</v>
      </c>
      <c r="H153" s="151" t="s">
        <v>327</v>
      </c>
      <c r="I153" s="164" t="s">
        <v>751</v>
      </c>
      <c r="J153" s="164" t="s">
        <v>752</v>
      </c>
      <c r="K153" s="165">
        <v>2.8935185185185184E-4</v>
      </c>
      <c r="L153" s="151" t="s">
        <v>326</v>
      </c>
      <c r="M153" s="151" t="s">
        <v>614</v>
      </c>
      <c r="N153" s="151" t="s">
        <v>329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610</v>
      </c>
      <c r="B154" s="151" t="s">
        <v>611</v>
      </c>
      <c r="C154" s="164" t="s">
        <v>753</v>
      </c>
      <c r="D154" s="164" t="s">
        <v>754</v>
      </c>
      <c r="E154" s="165">
        <v>1.1342592592592593E-3</v>
      </c>
      <c r="F154" s="151" t="s">
        <v>326</v>
      </c>
      <c r="G154" s="151" t="s">
        <v>614</v>
      </c>
      <c r="H154" s="151" t="s">
        <v>327</v>
      </c>
      <c r="I154" s="164" t="s">
        <v>755</v>
      </c>
      <c r="J154" s="164" t="s">
        <v>756</v>
      </c>
      <c r="K154" s="165">
        <v>2.7777777777777778E-4</v>
      </c>
      <c r="L154" s="151" t="s">
        <v>326</v>
      </c>
      <c r="M154" s="151" t="s">
        <v>614</v>
      </c>
      <c r="N154" s="151" t="s">
        <v>329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610</v>
      </c>
      <c r="B155" s="151" t="s">
        <v>611</v>
      </c>
      <c r="C155" s="164" t="s">
        <v>757</v>
      </c>
      <c r="D155" s="164" t="s">
        <v>758</v>
      </c>
      <c r="E155" s="165">
        <v>2.1412037037037038E-3</v>
      </c>
      <c r="F155" s="151" t="s">
        <v>326</v>
      </c>
      <c r="G155" s="151" t="s">
        <v>614</v>
      </c>
      <c r="H155" s="151" t="s">
        <v>327</v>
      </c>
      <c r="I155" s="164" t="s">
        <v>759</v>
      </c>
      <c r="J155" s="164" t="s">
        <v>760</v>
      </c>
      <c r="K155" s="165">
        <v>3.0092592592592595E-4</v>
      </c>
      <c r="L155" s="151" t="s">
        <v>326</v>
      </c>
      <c r="M155" s="151" t="s">
        <v>614</v>
      </c>
      <c r="N155" s="151" t="s">
        <v>329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610</v>
      </c>
      <c r="B156" s="151" t="s">
        <v>611</v>
      </c>
      <c r="C156" s="164" t="s">
        <v>761</v>
      </c>
      <c r="D156" s="164" t="s">
        <v>762</v>
      </c>
      <c r="E156" s="165">
        <v>1.9560185185185184E-3</v>
      </c>
      <c r="F156" s="151" t="s">
        <v>326</v>
      </c>
      <c r="G156" s="151" t="s">
        <v>614</v>
      </c>
      <c r="H156" s="151" t="s">
        <v>327</v>
      </c>
      <c r="I156" s="164" t="s">
        <v>763</v>
      </c>
      <c r="J156" s="164" t="s">
        <v>764</v>
      </c>
      <c r="K156" s="165">
        <v>2.8935185185185184E-4</v>
      </c>
      <c r="L156" s="151" t="s">
        <v>326</v>
      </c>
      <c r="M156" s="151" t="s">
        <v>614</v>
      </c>
      <c r="N156" s="151" t="s">
        <v>329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610</v>
      </c>
      <c r="B157" s="151" t="s">
        <v>611</v>
      </c>
      <c r="C157" s="164" t="s">
        <v>765</v>
      </c>
      <c r="D157" s="164" t="s">
        <v>766</v>
      </c>
      <c r="E157" s="165">
        <v>2.0138888888888888E-3</v>
      </c>
      <c r="F157" s="151" t="s">
        <v>326</v>
      </c>
      <c r="G157" s="151" t="s">
        <v>614</v>
      </c>
      <c r="H157" s="151" t="s">
        <v>327</v>
      </c>
      <c r="I157" s="164" t="s">
        <v>767</v>
      </c>
      <c r="J157" s="164" t="s">
        <v>768</v>
      </c>
      <c r="K157" s="165">
        <v>4.0509259259259258E-4</v>
      </c>
      <c r="L157" s="151" t="s">
        <v>326</v>
      </c>
      <c r="M157" s="151" t="s">
        <v>614</v>
      </c>
      <c r="N157" s="151" t="s">
        <v>329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610</v>
      </c>
      <c r="B158" s="151" t="s">
        <v>611</v>
      </c>
      <c r="C158" s="164" t="s">
        <v>769</v>
      </c>
      <c r="D158" s="164" t="s">
        <v>770</v>
      </c>
      <c r="E158" s="165">
        <v>2.1064814814814813E-3</v>
      </c>
      <c r="F158" s="151" t="s">
        <v>326</v>
      </c>
      <c r="G158" s="151" t="s">
        <v>614</v>
      </c>
      <c r="H158" s="151" t="s">
        <v>327</v>
      </c>
      <c r="I158" s="164" t="s">
        <v>771</v>
      </c>
      <c r="J158" s="164" t="s">
        <v>772</v>
      </c>
      <c r="K158" s="165">
        <v>3.0092592592592595E-4</v>
      </c>
      <c r="L158" s="151" t="s">
        <v>326</v>
      </c>
      <c r="M158" s="151" t="s">
        <v>614</v>
      </c>
      <c r="N158" s="151" t="s">
        <v>329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610</v>
      </c>
      <c r="B159" s="151" t="s">
        <v>611</v>
      </c>
      <c r="C159" s="164" t="s">
        <v>773</v>
      </c>
      <c r="D159" s="164" t="s">
        <v>774</v>
      </c>
      <c r="E159" s="165">
        <v>2.627314814814815E-3</v>
      </c>
      <c r="F159" s="151" t="s">
        <v>326</v>
      </c>
      <c r="G159" s="151" t="s">
        <v>614</v>
      </c>
      <c r="H159" s="151" t="s">
        <v>327</v>
      </c>
      <c r="I159" s="164" t="s">
        <v>775</v>
      </c>
      <c r="J159" s="164" t="s">
        <v>776</v>
      </c>
      <c r="K159" s="165">
        <v>2.6620370370370372E-4</v>
      </c>
      <c r="L159" s="151" t="s">
        <v>326</v>
      </c>
      <c r="M159" s="151" t="s">
        <v>614</v>
      </c>
      <c r="N159" s="151" t="s">
        <v>329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610</v>
      </c>
      <c r="B160" s="151" t="s">
        <v>611</v>
      </c>
      <c r="C160" s="164" t="s">
        <v>777</v>
      </c>
      <c r="D160" s="164" t="s">
        <v>778</v>
      </c>
      <c r="E160" s="165">
        <v>2.0949074074074073E-3</v>
      </c>
      <c r="F160" s="151" t="s">
        <v>326</v>
      </c>
      <c r="G160" s="151" t="s">
        <v>614</v>
      </c>
      <c r="H160" s="151" t="s">
        <v>327</v>
      </c>
      <c r="I160" s="164" t="s">
        <v>779</v>
      </c>
      <c r="J160" s="164" t="s">
        <v>780</v>
      </c>
      <c r="K160" s="165">
        <v>3.5879629629629629E-4</v>
      </c>
      <c r="L160" s="151" t="s">
        <v>326</v>
      </c>
      <c r="M160" s="151" t="s">
        <v>614</v>
      </c>
      <c r="N160" s="151" t="s">
        <v>329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610</v>
      </c>
      <c r="B161" s="151" t="s">
        <v>611</v>
      </c>
      <c r="C161" s="164" t="s">
        <v>781</v>
      </c>
      <c r="D161" s="164" t="s">
        <v>782</v>
      </c>
      <c r="E161" s="165">
        <v>2.5231481481481481E-3</v>
      </c>
      <c r="F161" s="151" t="s">
        <v>326</v>
      </c>
      <c r="G161" s="151" t="s">
        <v>614</v>
      </c>
      <c r="H161" s="151" t="s">
        <v>327</v>
      </c>
      <c r="I161" s="164" t="s">
        <v>783</v>
      </c>
      <c r="J161" s="164" t="s">
        <v>784</v>
      </c>
      <c r="K161" s="165">
        <v>2.6620370370370372E-4</v>
      </c>
      <c r="L161" s="151" t="s">
        <v>326</v>
      </c>
      <c r="M161" s="151" t="s">
        <v>614</v>
      </c>
      <c r="N161" s="151" t="s">
        <v>329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610</v>
      </c>
      <c r="B162" s="151" t="s">
        <v>611</v>
      </c>
      <c r="C162" s="164" t="s">
        <v>785</v>
      </c>
      <c r="D162" s="164" t="s">
        <v>786</v>
      </c>
      <c r="E162" s="165">
        <v>2.0486111111111113E-3</v>
      </c>
      <c r="F162" s="151" t="s">
        <v>326</v>
      </c>
      <c r="G162" s="151" t="s">
        <v>614</v>
      </c>
      <c r="H162" s="151" t="s">
        <v>327</v>
      </c>
      <c r="I162" s="164" t="s">
        <v>787</v>
      </c>
      <c r="J162" s="164" t="s">
        <v>788</v>
      </c>
      <c r="K162" s="165">
        <v>3.1250000000000001E-4</v>
      </c>
      <c r="L162" s="151" t="s">
        <v>326</v>
      </c>
      <c r="M162" s="151" t="s">
        <v>614</v>
      </c>
      <c r="N162" s="151" t="s">
        <v>329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610</v>
      </c>
      <c r="B163" s="151" t="s">
        <v>611</v>
      </c>
      <c r="C163" s="164" t="s">
        <v>789</v>
      </c>
      <c r="D163" s="164" t="s">
        <v>790</v>
      </c>
      <c r="E163" s="165">
        <v>1.6203703703703703E-3</v>
      </c>
      <c r="F163" s="151" t="s">
        <v>326</v>
      </c>
      <c r="G163" s="151" t="s">
        <v>614</v>
      </c>
      <c r="H163" s="151" t="s">
        <v>327</v>
      </c>
      <c r="I163" s="164" t="s">
        <v>791</v>
      </c>
      <c r="J163" s="164" t="s">
        <v>792</v>
      </c>
      <c r="K163" s="165">
        <v>2.7777777777777778E-4</v>
      </c>
      <c r="L163" s="151" t="s">
        <v>326</v>
      </c>
      <c r="M163" s="151" t="s">
        <v>614</v>
      </c>
      <c r="N163" s="151" t="s">
        <v>329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610</v>
      </c>
      <c r="B164" s="151" t="s">
        <v>611</v>
      </c>
      <c r="C164" s="164" t="s">
        <v>793</v>
      </c>
      <c r="D164" s="164" t="s">
        <v>794</v>
      </c>
      <c r="E164" s="165">
        <v>2.0138888888888888E-3</v>
      </c>
      <c r="F164" s="151" t="s">
        <v>326</v>
      </c>
      <c r="G164" s="151" t="s">
        <v>614</v>
      </c>
      <c r="H164" s="151" t="s">
        <v>327</v>
      </c>
      <c r="I164" s="164" t="s">
        <v>795</v>
      </c>
      <c r="J164" s="164" t="s">
        <v>796</v>
      </c>
      <c r="K164" s="165">
        <v>5.9027777777777778E-4</v>
      </c>
      <c r="L164" s="151" t="s">
        <v>326</v>
      </c>
      <c r="M164" s="151" t="s">
        <v>614</v>
      </c>
      <c r="N164" s="151" t="s">
        <v>329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610</v>
      </c>
      <c r="B165" s="151" t="s">
        <v>611</v>
      </c>
      <c r="C165" s="164" t="s">
        <v>797</v>
      </c>
      <c r="D165" s="164" t="s">
        <v>798</v>
      </c>
      <c r="E165" s="165">
        <v>1.8634259259259259E-3</v>
      </c>
      <c r="F165" s="151" t="s">
        <v>326</v>
      </c>
      <c r="G165" s="151" t="s">
        <v>614</v>
      </c>
      <c r="H165" s="151" t="s">
        <v>327</v>
      </c>
      <c r="I165" s="164" t="s">
        <v>799</v>
      </c>
      <c r="J165" s="164" t="s">
        <v>800</v>
      </c>
      <c r="K165" s="165">
        <v>3.0092592592592595E-4</v>
      </c>
      <c r="L165" s="151" t="s">
        <v>326</v>
      </c>
      <c r="M165" s="151" t="s">
        <v>614</v>
      </c>
      <c r="N165" s="151" t="s">
        <v>329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610</v>
      </c>
      <c r="B166" s="151" t="s">
        <v>611</v>
      </c>
      <c r="C166" s="164" t="s">
        <v>801</v>
      </c>
      <c r="D166" s="164" t="s">
        <v>802</v>
      </c>
      <c r="E166" s="165">
        <v>2.0254629629629629E-3</v>
      </c>
      <c r="F166" s="151" t="s">
        <v>326</v>
      </c>
      <c r="G166" s="151" t="s">
        <v>614</v>
      </c>
      <c r="H166" s="151" t="s">
        <v>327</v>
      </c>
      <c r="I166" s="164" t="s">
        <v>803</v>
      </c>
      <c r="J166" s="164" t="s">
        <v>804</v>
      </c>
      <c r="K166" s="165">
        <v>3.2407407407407406E-4</v>
      </c>
      <c r="L166" s="151" t="s">
        <v>326</v>
      </c>
      <c r="M166" s="151" t="s">
        <v>614</v>
      </c>
      <c r="N166" s="151" t="s">
        <v>329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610</v>
      </c>
      <c r="B167" s="151" t="s">
        <v>611</v>
      </c>
      <c r="C167" s="164" t="s">
        <v>805</v>
      </c>
      <c r="D167" s="164" t="s">
        <v>806</v>
      </c>
      <c r="E167" s="165">
        <v>1.8865740740740742E-3</v>
      </c>
      <c r="F167" s="151" t="s">
        <v>326</v>
      </c>
      <c r="G167" s="151" t="s">
        <v>614</v>
      </c>
      <c r="H167" s="151" t="s">
        <v>327</v>
      </c>
      <c r="I167" s="164" t="s">
        <v>807</v>
      </c>
      <c r="J167" s="164" t="s">
        <v>808</v>
      </c>
      <c r="K167" s="165">
        <v>2.8935185185185184E-4</v>
      </c>
      <c r="L167" s="151" t="s">
        <v>326</v>
      </c>
      <c r="M167" s="151" t="s">
        <v>614</v>
      </c>
      <c r="N167" s="151" t="s">
        <v>329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809</v>
      </c>
      <c r="B168" s="151" t="s">
        <v>810</v>
      </c>
      <c r="C168" s="164" t="s">
        <v>811</v>
      </c>
      <c r="D168" s="164" t="s">
        <v>812</v>
      </c>
      <c r="E168" s="165">
        <v>2.5231481481481481E-3</v>
      </c>
      <c r="F168" s="151" t="s">
        <v>131</v>
      </c>
      <c r="H168" s="151" t="s">
        <v>558</v>
      </c>
      <c r="I168" s="164" t="s">
        <v>813</v>
      </c>
      <c r="J168" s="164" t="s">
        <v>814</v>
      </c>
      <c r="K168" s="165">
        <v>3.7037037037037035E-4</v>
      </c>
      <c r="L168" s="151" t="s">
        <v>815</v>
      </c>
      <c r="N168" s="151" t="s">
        <v>233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809</v>
      </c>
      <c r="B169" s="151" t="s">
        <v>810</v>
      </c>
      <c r="C169" s="164" t="s">
        <v>816</v>
      </c>
      <c r="D169" s="164" t="s">
        <v>817</v>
      </c>
      <c r="E169" s="165">
        <v>1.8749999999999999E-3</v>
      </c>
      <c r="F169" s="151" t="s">
        <v>131</v>
      </c>
      <c r="H169" s="151" t="s">
        <v>229</v>
      </c>
      <c r="I169" s="164" t="s">
        <v>818</v>
      </c>
      <c r="J169" s="164" t="s">
        <v>819</v>
      </c>
      <c r="K169" s="165">
        <v>4.6296296296296298E-4</v>
      </c>
      <c r="L169" s="151" t="s">
        <v>232</v>
      </c>
      <c r="N169" s="151" t="s">
        <v>233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809</v>
      </c>
      <c r="B170" s="151" t="s">
        <v>810</v>
      </c>
      <c r="C170" s="164" t="s">
        <v>820</v>
      </c>
      <c r="D170" s="164" t="s">
        <v>821</v>
      </c>
      <c r="E170" s="165">
        <v>3.4837962962962965E-3</v>
      </c>
      <c r="F170" s="151" t="s">
        <v>131</v>
      </c>
      <c r="H170" s="166" t="s">
        <v>43</v>
      </c>
      <c r="I170" s="164" t="s">
        <v>822</v>
      </c>
      <c r="J170" s="164" t="s">
        <v>823</v>
      </c>
      <c r="K170" s="165">
        <v>6.4814814814814813E-4</v>
      </c>
      <c r="L170" s="151" t="s">
        <v>242</v>
      </c>
      <c r="N170" s="151" t="s">
        <v>233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809</v>
      </c>
      <c r="B171" s="151" t="s">
        <v>810</v>
      </c>
      <c r="C171" s="164" t="s">
        <v>824</v>
      </c>
      <c r="D171" s="164" t="s">
        <v>825</v>
      </c>
      <c r="E171" s="165">
        <v>4.1435185185185186E-3</v>
      </c>
      <c r="F171" s="151" t="s">
        <v>131</v>
      </c>
      <c r="H171" s="166" t="s">
        <v>43</v>
      </c>
      <c r="I171" s="164" t="s">
        <v>826</v>
      </c>
      <c r="J171" s="164" t="s">
        <v>827</v>
      </c>
      <c r="K171" s="165">
        <v>5.2083333333333333E-4</v>
      </c>
      <c r="L171" s="151" t="s">
        <v>242</v>
      </c>
      <c r="N171" s="151" t="s">
        <v>233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809</v>
      </c>
      <c r="B172" s="151" t="s">
        <v>810</v>
      </c>
      <c r="C172" s="164" t="s">
        <v>828</v>
      </c>
      <c r="D172" s="164" t="s">
        <v>829</v>
      </c>
      <c r="E172" s="165">
        <v>6.4120370370370373E-3</v>
      </c>
      <c r="F172" s="151" t="s">
        <v>131</v>
      </c>
      <c r="H172" s="166" t="s">
        <v>43</v>
      </c>
      <c r="I172" s="164" t="s">
        <v>830</v>
      </c>
      <c r="J172" s="164" t="s">
        <v>831</v>
      </c>
      <c r="K172" s="165">
        <v>5.4398148148148144E-4</v>
      </c>
      <c r="L172" s="151" t="s">
        <v>242</v>
      </c>
      <c r="N172" s="151" t="s">
        <v>233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809</v>
      </c>
      <c r="B173" s="151" t="s">
        <v>810</v>
      </c>
      <c r="C173" s="164" t="s">
        <v>582</v>
      </c>
      <c r="D173" s="164" t="s">
        <v>832</v>
      </c>
      <c r="E173" s="165">
        <v>3.3796296296296296E-3</v>
      </c>
      <c r="F173" s="151" t="s">
        <v>131</v>
      </c>
      <c r="H173" s="166" t="s">
        <v>43</v>
      </c>
      <c r="I173" s="164" t="s">
        <v>833</v>
      </c>
      <c r="J173" s="164" t="s">
        <v>834</v>
      </c>
      <c r="K173" s="165">
        <v>5.7870370370370367E-4</v>
      </c>
      <c r="L173" s="151" t="s">
        <v>242</v>
      </c>
      <c r="N173" s="151" t="s">
        <v>233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809</v>
      </c>
      <c r="B174" s="151" t="s">
        <v>810</v>
      </c>
      <c r="C174" s="164" t="s">
        <v>835</v>
      </c>
      <c r="D174" s="164" t="s">
        <v>836</v>
      </c>
      <c r="E174" s="165">
        <v>2.9629629629629628E-3</v>
      </c>
      <c r="F174" s="151" t="s">
        <v>131</v>
      </c>
      <c r="H174" s="166" t="s">
        <v>43</v>
      </c>
      <c r="I174" s="164" t="s">
        <v>837</v>
      </c>
      <c r="J174" s="164" t="s">
        <v>838</v>
      </c>
      <c r="K174" s="165">
        <v>6.3657407407407413E-4</v>
      </c>
      <c r="L174" s="151" t="s">
        <v>242</v>
      </c>
      <c r="N174" s="151" t="s">
        <v>233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809</v>
      </c>
      <c r="B175" s="151" t="s">
        <v>810</v>
      </c>
      <c r="C175" s="164" t="s">
        <v>839</v>
      </c>
      <c r="D175" s="164" t="s">
        <v>840</v>
      </c>
      <c r="E175" s="165">
        <v>1.9791666666666668E-3</v>
      </c>
      <c r="F175" s="151" t="s">
        <v>131</v>
      </c>
      <c r="H175" s="166" t="s">
        <v>43</v>
      </c>
      <c r="I175" s="164" t="s">
        <v>841</v>
      </c>
      <c r="J175" s="164" t="s">
        <v>842</v>
      </c>
      <c r="K175" s="165">
        <v>5.3240740740740744E-4</v>
      </c>
      <c r="L175" s="151" t="s">
        <v>242</v>
      </c>
      <c r="N175" s="151" t="s">
        <v>233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809</v>
      </c>
      <c r="B176" s="151" t="s">
        <v>810</v>
      </c>
      <c r="C176" s="164" t="s">
        <v>843</v>
      </c>
      <c r="D176" s="164" t="s">
        <v>408</v>
      </c>
      <c r="E176" s="165">
        <v>5.4976851851851853E-3</v>
      </c>
      <c r="F176" s="151" t="s">
        <v>131</v>
      </c>
      <c r="H176" s="166" t="s">
        <v>43</v>
      </c>
      <c r="I176" s="164" t="s">
        <v>844</v>
      </c>
      <c r="J176" s="164" t="s">
        <v>845</v>
      </c>
      <c r="K176" s="165">
        <v>5.0925925925925921E-4</v>
      </c>
      <c r="L176" s="151" t="s">
        <v>242</v>
      </c>
      <c r="N176" s="151" t="s">
        <v>233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809</v>
      </c>
      <c r="B177" s="151" t="s">
        <v>810</v>
      </c>
      <c r="C177" s="164" t="s">
        <v>846</v>
      </c>
      <c r="D177" s="164" t="s">
        <v>847</v>
      </c>
      <c r="E177" s="165">
        <v>3.7268518518518519E-3</v>
      </c>
      <c r="F177" s="151" t="s">
        <v>131</v>
      </c>
      <c r="H177" s="166" t="s">
        <v>43</v>
      </c>
      <c r="I177" s="164" t="s">
        <v>848</v>
      </c>
      <c r="J177" s="164" t="s">
        <v>849</v>
      </c>
      <c r="K177" s="165">
        <v>5.4398148148148144E-4</v>
      </c>
      <c r="L177" s="151" t="s">
        <v>242</v>
      </c>
      <c r="N177" s="151" t="s">
        <v>233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809</v>
      </c>
      <c r="B178" s="151" t="s">
        <v>810</v>
      </c>
      <c r="C178" s="164" t="s">
        <v>850</v>
      </c>
      <c r="D178" s="164" t="s">
        <v>851</v>
      </c>
      <c r="E178" s="165">
        <v>3.8310185185185183E-3</v>
      </c>
      <c r="F178" s="151" t="s">
        <v>131</v>
      </c>
      <c r="H178" s="166" t="s">
        <v>43</v>
      </c>
      <c r="I178" s="164" t="s">
        <v>852</v>
      </c>
      <c r="J178" s="164" t="s">
        <v>853</v>
      </c>
      <c r="K178" s="165">
        <v>5.2083333333333333E-4</v>
      </c>
      <c r="L178" s="151" t="s">
        <v>242</v>
      </c>
      <c r="N178" s="151" t="s">
        <v>233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809</v>
      </c>
      <c r="B179" s="151" t="s">
        <v>810</v>
      </c>
      <c r="C179" s="164" t="s">
        <v>854</v>
      </c>
      <c r="D179" s="164" t="s">
        <v>855</v>
      </c>
      <c r="E179" s="165">
        <v>2.8819444444444444E-3</v>
      </c>
      <c r="F179" s="151" t="s">
        <v>131</v>
      </c>
      <c r="H179" s="151" t="s">
        <v>132</v>
      </c>
      <c r="I179" s="164" t="s">
        <v>856</v>
      </c>
      <c r="J179" s="164" t="s">
        <v>857</v>
      </c>
      <c r="K179" s="165">
        <v>5.3240740740740744E-4</v>
      </c>
      <c r="L179" s="151" t="s">
        <v>135</v>
      </c>
      <c r="N179" s="151" t="s">
        <v>136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809</v>
      </c>
      <c r="B180" s="151" t="s">
        <v>810</v>
      </c>
      <c r="C180" s="164" t="s">
        <v>858</v>
      </c>
      <c r="D180" s="164" t="s">
        <v>859</v>
      </c>
      <c r="E180" s="165">
        <v>1.1458333333333333E-3</v>
      </c>
      <c r="F180" s="151" t="s">
        <v>131</v>
      </c>
      <c r="H180" s="151" t="s">
        <v>132</v>
      </c>
      <c r="I180" s="164" t="s">
        <v>860</v>
      </c>
      <c r="J180" s="164" t="s">
        <v>861</v>
      </c>
      <c r="K180" s="165">
        <v>5.2083333333333333E-4</v>
      </c>
      <c r="L180" s="151" t="s">
        <v>135</v>
      </c>
      <c r="N180" s="151" t="s">
        <v>136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809</v>
      </c>
      <c r="B181" s="151" t="s">
        <v>810</v>
      </c>
      <c r="C181" s="164" t="s">
        <v>862</v>
      </c>
      <c r="D181" s="164" t="s">
        <v>863</v>
      </c>
      <c r="E181" s="165">
        <v>1.4004629629629629E-3</v>
      </c>
      <c r="F181" s="151" t="s">
        <v>131</v>
      </c>
      <c r="H181" s="151" t="s">
        <v>132</v>
      </c>
      <c r="I181" s="164" t="s">
        <v>864</v>
      </c>
      <c r="J181" s="164" t="s">
        <v>865</v>
      </c>
      <c r="K181" s="165">
        <v>5.6712962962962967E-4</v>
      </c>
      <c r="L181" s="151" t="s">
        <v>135</v>
      </c>
      <c r="N181" s="151" t="s">
        <v>136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809</v>
      </c>
      <c r="B182" s="151" t="s">
        <v>810</v>
      </c>
      <c r="C182" s="164" t="s">
        <v>866</v>
      </c>
      <c r="D182" s="164" t="s">
        <v>867</v>
      </c>
      <c r="E182" s="165">
        <v>1.6435185185185185E-3</v>
      </c>
      <c r="F182" s="151" t="s">
        <v>131</v>
      </c>
      <c r="H182" s="151" t="s">
        <v>132</v>
      </c>
      <c r="I182" s="164" t="s">
        <v>868</v>
      </c>
      <c r="J182" s="164" t="s">
        <v>869</v>
      </c>
      <c r="K182" s="165">
        <v>2.0833333333333335E-4</v>
      </c>
      <c r="L182" s="151" t="s">
        <v>135</v>
      </c>
      <c r="N182" s="151" t="s">
        <v>136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809</v>
      </c>
      <c r="B183" s="151" t="s">
        <v>810</v>
      </c>
      <c r="C183" s="164" t="s">
        <v>870</v>
      </c>
      <c r="D183" s="164" t="s">
        <v>871</v>
      </c>
      <c r="E183" s="165">
        <v>1.2037037037037038E-3</v>
      </c>
      <c r="F183" s="151" t="s">
        <v>131</v>
      </c>
      <c r="H183" s="151" t="s">
        <v>132</v>
      </c>
      <c r="I183" s="164" t="s">
        <v>872</v>
      </c>
      <c r="J183" s="164" t="s">
        <v>873</v>
      </c>
      <c r="K183" s="165">
        <v>4.7453703703703704E-4</v>
      </c>
      <c r="L183" s="151" t="s">
        <v>135</v>
      </c>
      <c r="N183" s="151" t="s">
        <v>136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809</v>
      </c>
      <c r="B184" s="151" t="s">
        <v>810</v>
      </c>
      <c r="C184" s="164" t="s">
        <v>874</v>
      </c>
      <c r="D184" s="164" t="s">
        <v>875</v>
      </c>
      <c r="E184" s="165">
        <v>1.0879629629629629E-3</v>
      </c>
      <c r="F184" s="151" t="s">
        <v>131</v>
      </c>
      <c r="H184" s="166" t="s">
        <v>132</v>
      </c>
      <c r="I184" s="164" t="s">
        <v>876</v>
      </c>
      <c r="J184" s="164" t="s">
        <v>877</v>
      </c>
      <c r="K184" s="165">
        <v>4.1666666666666669E-4</v>
      </c>
      <c r="L184" s="151" t="s">
        <v>135</v>
      </c>
      <c r="N184" s="151" t="s">
        <v>136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809</v>
      </c>
      <c r="B185" s="151" t="s">
        <v>810</v>
      </c>
      <c r="C185" s="164" t="s">
        <v>878</v>
      </c>
      <c r="D185" s="164" t="s">
        <v>879</v>
      </c>
      <c r="E185" s="165">
        <v>1.3425925925925925E-3</v>
      </c>
      <c r="F185" s="151" t="s">
        <v>131</v>
      </c>
      <c r="H185" s="151" t="s">
        <v>132</v>
      </c>
      <c r="I185" s="164" t="s">
        <v>880</v>
      </c>
      <c r="J185" s="164" t="s">
        <v>881</v>
      </c>
      <c r="K185" s="165">
        <v>1.3773148148148147E-3</v>
      </c>
      <c r="L185" s="151" t="s">
        <v>135</v>
      </c>
      <c r="N185" s="151" t="s">
        <v>136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809</v>
      </c>
      <c r="B186" s="151" t="s">
        <v>810</v>
      </c>
      <c r="C186" s="164" t="s">
        <v>882</v>
      </c>
      <c r="D186" s="164" t="s">
        <v>883</v>
      </c>
      <c r="E186" s="165">
        <v>1.2037037037037038E-3</v>
      </c>
      <c r="F186" s="151" t="s">
        <v>131</v>
      </c>
      <c r="H186" s="151" t="s">
        <v>132</v>
      </c>
      <c r="I186" s="164" t="s">
        <v>884</v>
      </c>
      <c r="J186" s="164" t="s">
        <v>885</v>
      </c>
      <c r="K186" s="165">
        <v>4.5138888888888887E-4</v>
      </c>
      <c r="L186" s="151" t="s">
        <v>135</v>
      </c>
      <c r="N186" s="151" t="s">
        <v>136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809</v>
      </c>
      <c r="B187" s="151" t="s">
        <v>810</v>
      </c>
      <c r="C187" s="164" t="s">
        <v>886</v>
      </c>
      <c r="D187" s="164" t="s">
        <v>887</v>
      </c>
      <c r="E187" s="165">
        <v>1.4814814814814814E-3</v>
      </c>
      <c r="F187" s="151" t="s">
        <v>131</v>
      </c>
      <c r="H187" s="151" t="s">
        <v>132</v>
      </c>
      <c r="I187" s="164" t="s">
        <v>888</v>
      </c>
      <c r="J187" s="164" t="s">
        <v>889</v>
      </c>
      <c r="K187" s="165">
        <v>5.0925925925925921E-4</v>
      </c>
      <c r="L187" s="151" t="s">
        <v>135</v>
      </c>
      <c r="N187" s="151" t="s">
        <v>136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809</v>
      </c>
      <c r="B188" s="151" t="s">
        <v>810</v>
      </c>
      <c r="C188" s="164" t="s">
        <v>890</v>
      </c>
      <c r="D188" s="164" t="s">
        <v>891</v>
      </c>
      <c r="E188" s="165">
        <v>1.1226851851851851E-3</v>
      </c>
      <c r="F188" s="151" t="s">
        <v>131</v>
      </c>
      <c r="H188" s="151" t="s">
        <v>132</v>
      </c>
      <c r="I188" s="164" t="s">
        <v>892</v>
      </c>
      <c r="J188" s="164" t="s">
        <v>893</v>
      </c>
      <c r="K188" s="165">
        <v>4.9768518518518521E-4</v>
      </c>
      <c r="L188" s="151" t="s">
        <v>135</v>
      </c>
      <c r="N188" s="151" t="s">
        <v>136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809</v>
      </c>
      <c r="B189" s="151" t="s">
        <v>810</v>
      </c>
      <c r="C189" s="164" t="s">
        <v>894</v>
      </c>
      <c r="D189" s="164" t="s">
        <v>895</v>
      </c>
      <c r="E189" s="165">
        <v>1.9907407407407408E-3</v>
      </c>
      <c r="F189" s="151" t="s">
        <v>131</v>
      </c>
      <c r="H189" s="151" t="s">
        <v>132</v>
      </c>
      <c r="I189" s="164" t="s">
        <v>896</v>
      </c>
      <c r="J189" s="164" t="s">
        <v>897</v>
      </c>
      <c r="K189" s="165">
        <v>5.7870370370370367E-4</v>
      </c>
      <c r="L189" s="151" t="s">
        <v>135</v>
      </c>
      <c r="N189" s="151" t="s">
        <v>136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898</v>
      </c>
      <c r="B190" s="151" t="s">
        <v>899</v>
      </c>
      <c r="C190" s="164" t="s">
        <v>900</v>
      </c>
      <c r="D190" s="164" t="s">
        <v>901</v>
      </c>
      <c r="E190" s="165">
        <v>3.1944444444444446E-3</v>
      </c>
      <c r="F190" s="151" t="s">
        <v>131</v>
      </c>
      <c r="H190" s="151" t="s">
        <v>43</v>
      </c>
      <c r="I190" s="164" t="s">
        <v>902</v>
      </c>
      <c r="J190" s="164" t="s">
        <v>903</v>
      </c>
      <c r="K190" s="165">
        <v>2.8935185185185184E-4</v>
      </c>
      <c r="L190" s="151" t="s">
        <v>242</v>
      </c>
      <c r="N190" s="151" t="s">
        <v>233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898</v>
      </c>
      <c r="B191" s="151" t="s">
        <v>899</v>
      </c>
      <c r="C191" s="164" t="s">
        <v>904</v>
      </c>
      <c r="D191" s="164" t="s">
        <v>905</v>
      </c>
      <c r="E191" s="165">
        <v>1.9560185185185184E-3</v>
      </c>
      <c r="F191" s="151" t="s">
        <v>131</v>
      </c>
      <c r="H191" s="151" t="s">
        <v>558</v>
      </c>
      <c r="I191" s="164" t="s">
        <v>906</v>
      </c>
      <c r="J191" s="164" t="s">
        <v>907</v>
      </c>
      <c r="K191" s="165">
        <v>3.8194444444444446E-4</v>
      </c>
      <c r="L191" s="151" t="s">
        <v>815</v>
      </c>
      <c r="N191" s="151" t="s">
        <v>233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898</v>
      </c>
      <c r="B192" s="151" t="s">
        <v>899</v>
      </c>
      <c r="C192" s="164" t="s">
        <v>908</v>
      </c>
      <c r="D192" s="164" t="s">
        <v>560</v>
      </c>
      <c r="E192" s="165">
        <v>1.9907407407407408E-3</v>
      </c>
      <c r="F192" s="151" t="s">
        <v>131</v>
      </c>
      <c r="H192" s="151" t="s">
        <v>229</v>
      </c>
      <c r="I192" s="164" t="s">
        <v>909</v>
      </c>
      <c r="J192" s="164" t="s">
        <v>910</v>
      </c>
      <c r="K192" s="165">
        <v>1.8518518518518518E-4</v>
      </c>
      <c r="L192" s="151" t="s">
        <v>232</v>
      </c>
      <c r="N192" s="151" t="s">
        <v>233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898</v>
      </c>
      <c r="B193" s="151" t="s">
        <v>899</v>
      </c>
      <c r="C193" s="164" t="s">
        <v>911</v>
      </c>
      <c r="D193" s="164" t="s">
        <v>912</v>
      </c>
      <c r="E193" s="165">
        <v>2.9513888888888888E-3</v>
      </c>
      <c r="F193" s="151" t="s">
        <v>131</v>
      </c>
      <c r="H193" s="151" t="s">
        <v>43</v>
      </c>
      <c r="I193" s="164" t="s">
        <v>913</v>
      </c>
      <c r="J193" s="164"/>
      <c r="K193" s="165">
        <v>0</v>
      </c>
      <c r="L193" s="151" t="s">
        <v>242</v>
      </c>
      <c r="N193" s="151" t="s">
        <v>233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898</v>
      </c>
      <c r="B194" s="151" t="s">
        <v>899</v>
      </c>
      <c r="C194" s="164" t="s">
        <v>914</v>
      </c>
      <c r="D194" s="164" t="s">
        <v>915</v>
      </c>
      <c r="E194" s="165">
        <v>5.8217592592592592E-3</v>
      </c>
      <c r="F194" s="151" t="s">
        <v>131</v>
      </c>
      <c r="H194" s="151" t="s">
        <v>43</v>
      </c>
      <c r="I194" s="164" t="s">
        <v>916</v>
      </c>
      <c r="J194" s="164" t="s">
        <v>917</v>
      </c>
      <c r="K194" s="165">
        <v>2.7777777777777778E-4</v>
      </c>
      <c r="L194" s="151" t="s">
        <v>242</v>
      </c>
      <c r="N194" s="151" t="s">
        <v>233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898</v>
      </c>
      <c r="B195" s="151" t="s">
        <v>899</v>
      </c>
      <c r="C195" s="164" t="s">
        <v>918</v>
      </c>
      <c r="D195" s="164" t="s">
        <v>919</v>
      </c>
      <c r="E195" s="165">
        <v>2.1990740740740742E-3</v>
      </c>
      <c r="F195" s="151" t="s">
        <v>131</v>
      </c>
      <c r="H195" s="151" t="s">
        <v>132</v>
      </c>
      <c r="I195" s="164" t="s">
        <v>920</v>
      </c>
      <c r="J195" s="164" t="s">
        <v>921</v>
      </c>
      <c r="K195" s="165">
        <v>2.0833333333333335E-4</v>
      </c>
      <c r="L195" s="151" t="s">
        <v>135</v>
      </c>
      <c r="N195" s="151" t="s">
        <v>136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898</v>
      </c>
      <c r="B196" s="151" t="s">
        <v>899</v>
      </c>
      <c r="C196" s="164" t="s">
        <v>922</v>
      </c>
      <c r="D196" s="164" t="s">
        <v>923</v>
      </c>
      <c r="E196" s="165">
        <v>3.6805555555555554E-3</v>
      </c>
      <c r="F196" s="151" t="s">
        <v>131</v>
      </c>
      <c r="H196" s="151" t="s">
        <v>43</v>
      </c>
      <c r="I196" s="164" t="s">
        <v>924</v>
      </c>
      <c r="J196" s="164" t="s">
        <v>925</v>
      </c>
      <c r="K196" s="165">
        <v>2.8935185185185184E-4</v>
      </c>
      <c r="L196" s="151" t="s">
        <v>242</v>
      </c>
      <c r="N196" s="151" t="s">
        <v>233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898</v>
      </c>
      <c r="B197" s="151" t="s">
        <v>899</v>
      </c>
      <c r="C197" s="164" t="s">
        <v>926</v>
      </c>
      <c r="D197" s="164" t="s">
        <v>927</v>
      </c>
      <c r="E197" s="165">
        <v>1.238425925925926E-3</v>
      </c>
      <c r="F197" s="151" t="s">
        <v>131</v>
      </c>
      <c r="H197" s="151" t="s">
        <v>132</v>
      </c>
      <c r="I197" s="164" t="s">
        <v>928</v>
      </c>
      <c r="J197" s="164" t="s">
        <v>929</v>
      </c>
      <c r="K197" s="165">
        <v>6.5972222222222224E-4</v>
      </c>
      <c r="L197" s="151" t="s">
        <v>135</v>
      </c>
      <c r="N197" s="151" t="s">
        <v>136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898</v>
      </c>
      <c r="B198" s="151" t="s">
        <v>899</v>
      </c>
      <c r="C198" s="164" t="s">
        <v>930</v>
      </c>
      <c r="D198" s="164" t="s">
        <v>931</v>
      </c>
      <c r="E198" s="165">
        <v>2.0254629629629629E-3</v>
      </c>
      <c r="F198" s="151" t="s">
        <v>131</v>
      </c>
      <c r="H198" s="151" t="s">
        <v>43</v>
      </c>
      <c r="I198" s="164"/>
      <c r="J198" s="164" t="s">
        <v>932</v>
      </c>
      <c r="K198" s="165">
        <v>0</v>
      </c>
      <c r="L198" s="151" t="s">
        <v>242</v>
      </c>
      <c r="M198" s="151" t="s">
        <v>933</v>
      </c>
      <c r="N198" s="151" t="s">
        <v>233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898</v>
      </c>
      <c r="B199" s="151" t="s">
        <v>899</v>
      </c>
      <c r="C199" s="164" t="s">
        <v>934</v>
      </c>
      <c r="D199" s="164" t="s">
        <v>935</v>
      </c>
      <c r="E199" s="165">
        <v>1.5856481481481481E-3</v>
      </c>
      <c r="F199" s="151" t="s">
        <v>131</v>
      </c>
      <c r="H199" s="151" t="s">
        <v>132</v>
      </c>
      <c r="I199" s="164" t="s">
        <v>393</v>
      </c>
      <c r="J199" s="164" t="s">
        <v>936</v>
      </c>
      <c r="K199" s="165">
        <v>8.2175925925925927E-4</v>
      </c>
      <c r="L199" s="151" t="s">
        <v>135</v>
      </c>
      <c r="N199" s="151" t="s">
        <v>136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898</v>
      </c>
      <c r="B200" s="151" t="s">
        <v>899</v>
      </c>
      <c r="C200" s="164" t="s">
        <v>937</v>
      </c>
      <c r="D200" s="164" t="s">
        <v>938</v>
      </c>
      <c r="E200" s="165">
        <v>5.2893518518518515E-3</v>
      </c>
      <c r="F200" s="151" t="s">
        <v>131</v>
      </c>
      <c r="H200" s="151" t="s">
        <v>43</v>
      </c>
      <c r="I200" s="164" t="s">
        <v>269</v>
      </c>
      <c r="J200" s="164" t="s">
        <v>939</v>
      </c>
      <c r="K200" s="165">
        <v>2.8935185185185184E-4</v>
      </c>
      <c r="L200" s="151" t="s">
        <v>242</v>
      </c>
      <c r="N200" s="151" t="s">
        <v>233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898</v>
      </c>
      <c r="B201" s="151" t="s">
        <v>899</v>
      </c>
      <c r="C201" s="164" t="s">
        <v>940</v>
      </c>
      <c r="D201" s="164" t="s">
        <v>941</v>
      </c>
      <c r="E201" s="165">
        <v>3.425925925925926E-3</v>
      </c>
      <c r="F201" s="151" t="s">
        <v>131</v>
      </c>
      <c r="H201" s="151" t="s">
        <v>43</v>
      </c>
      <c r="I201" s="164" t="s">
        <v>942</v>
      </c>
      <c r="J201" s="164" t="s">
        <v>943</v>
      </c>
      <c r="K201" s="165">
        <v>3.0092592592592595E-4</v>
      </c>
      <c r="L201" s="151" t="s">
        <v>242</v>
      </c>
      <c r="N201" s="151" t="s">
        <v>233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898</v>
      </c>
      <c r="B202" s="151" t="s">
        <v>899</v>
      </c>
      <c r="C202" s="164" t="s">
        <v>944</v>
      </c>
      <c r="D202" s="164" t="s">
        <v>945</v>
      </c>
      <c r="E202" s="165">
        <v>1.8634259259259259E-3</v>
      </c>
      <c r="F202" s="151" t="s">
        <v>131</v>
      </c>
      <c r="H202" s="151" t="s">
        <v>132</v>
      </c>
      <c r="I202" s="164" t="s">
        <v>946</v>
      </c>
      <c r="J202" s="164" t="s">
        <v>947</v>
      </c>
      <c r="K202" s="165">
        <v>4.3981481481481481E-4</v>
      </c>
      <c r="L202" s="151" t="s">
        <v>135</v>
      </c>
      <c r="N202" s="151" t="s">
        <v>136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898</v>
      </c>
      <c r="B203" s="151" t="s">
        <v>899</v>
      </c>
      <c r="C203" s="164" t="s">
        <v>948</v>
      </c>
      <c r="D203" s="164" t="s">
        <v>949</v>
      </c>
      <c r="E203" s="165">
        <v>1.0995370370370371E-3</v>
      </c>
      <c r="F203" s="151" t="s">
        <v>131</v>
      </c>
      <c r="H203" s="151" t="s">
        <v>132</v>
      </c>
      <c r="I203" s="164" t="s">
        <v>950</v>
      </c>
      <c r="J203" s="164" t="s">
        <v>951</v>
      </c>
      <c r="K203" s="165">
        <v>2.5462962962962961E-4</v>
      </c>
      <c r="L203" s="151" t="s">
        <v>135</v>
      </c>
      <c r="N203" s="151" t="s">
        <v>136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898</v>
      </c>
      <c r="B204" s="151" t="s">
        <v>899</v>
      </c>
      <c r="C204" s="164" t="s">
        <v>952</v>
      </c>
      <c r="D204" s="164" t="s">
        <v>953</v>
      </c>
      <c r="E204" s="165">
        <v>4.31712962962963E-3</v>
      </c>
      <c r="F204" s="151" t="s">
        <v>131</v>
      </c>
      <c r="H204" s="151" t="s">
        <v>43</v>
      </c>
      <c r="I204" s="164" t="s">
        <v>954</v>
      </c>
      <c r="J204" s="164" t="s">
        <v>955</v>
      </c>
      <c r="K204" s="165">
        <v>2.7777777777777778E-4</v>
      </c>
      <c r="L204" s="151" t="s">
        <v>242</v>
      </c>
      <c r="N204" s="151" t="s">
        <v>233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898</v>
      </c>
      <c r="B205" s="151" t="s">
        <v>899</v>
      </c>
      <c r="C205" s="164" t="s">
        <v>956</v>
      </c>
      <c r="D205" s="164" t="s">
        <v>957</v>
      </c>
      <c r="E205" s="165">
        <v>1.0416666666666667E-4</v>
      </c>
      <c r="F205" s="151" t="s">
        <v>131</v>
      </c>
      <c r="H205" s="151" t="s">
        <v>43</v>
      </c>
      <c r="I205" s="164" t="s">
        <v>958</v>
      </c>
      <c r="J205" s="164" t="s">
        <v>959</v>
      </c>
      <c r="K205" s="165">
        <v>3.1250000000000001E-4</v>
      </c>
      <c r="L205" s="151" t="s">
        <v>242</v>
      </c>
      <c r="N205" s="151" t="s">
        <v>233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898</v>
      </c>
      <c r="B206" s="151" t="s">
        <v>899</v>
      </c>
      <c r="C206" s="164" t="s">
        <v>960</v>
      </c>
      <c r="D206" s="164" t="s">
        <v>961</v>
      </c>
      <c r="E206" s="165">
        <v>6.0648148148148145E-3</v>
      </c>
      <c r="F206" s="151" t="s">
        <v>131</v>
      </c>
      <c r="H206" s="151" t="s">
        <v>43</v>
      </c>
      <c r="I206" s="164" t="s">
        <v>962</v>
      </c>
      <c r="J206" s="164" t="s">
        <v>963</v>
      </c>
      <c r="K206" s="165">
        <v>3.0092592592592595E-4</v>
      </c>
      <c r="L206" s="151" t="s">
        <v>242</v>
      </c>
      <c r="N206" s="151" t="s">
        <v>233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898</v>
      </c>
      <c r="B207" s="151" t="s">
        <v>899</v>
      </c>
      <c r="C207" s="164" t="s">
        <v>964</v>
      </c>
      <c r="D207" s="164" t="s">
        <v>965</v>
      </c>
      <c r="E207" s="165">
        <v>5.4282407407407404E-3</v>
      </c>
      <c r="F207" s="151" t="s">
        <v>131</v>
      </c>
      <c r="H207" s="151" t="s">
        <v>43</v>
      </c>
      <c r="I207" s="164" t="s">
        <v>966</v>
      </c>
      <c r="J207" s="164" t="s">
        <v>967</v>
      </c>
      <c r="K207" s="165">
        <v>6.8287037037037036E-4</v>
      </c>
      <c r="L207" s="151" t="s">
        <v>242</v>
      </c>
      <c r="N207" s="151" t="s">
        <v>233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898</v>
      </c>
      <c r="B208" s="151" t="s">
        <v>899</v>
      </c>
      <c r="C208" s="164" t="s">
        <v>968</v>
      </c>
      <c r="D208" s="164" t="s">
        <v>969</v>
      </c>
      <c r="E208" s="165">
        <v>3.7731481481481483E-3</v>
      </c>
      <c r="F208" s="151" t="s">
        <v>131</v>
      </c>
      <c r="H208" s="151" t="s">
        <v>43</v>
      </c>
      <c r="I208" s="164" t="s">
        <v>773</v>
      </c>
      <c r="J208" s="164" t="s">
        <v>970</v>
      </c>
      <c r="K208" s="165">
        <v>3.2407407407407406E-4</v>
      </c>
      <c r="L208" s="151" t="s">
        <v>242</v>
      </c>
      <c r="N208" s="151" t="s">
        <v>233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971</v>
      </c>
      <c r="B209" s="151" t="s">
        <v>551</v>
      </c>
      <c r="C209" s="164" t="s">
        <v>972</v>
      </c>
      <c r="D209" s="164" t="s">
        <v>973</v>
      </c>
      <c r="E209" s="165">
        <v>1.2037037037037038E-3</v>
      </c>
      <c r="F209" s="151" t="s">
        <v>131</v>
      </c>
      <c r="H209" s="151" t="s">
        <v>132</v>
      </c>
      <c r="I209" s="164" t="s">
        <v>974</v>
      </c>
      <c r="J209" s="164" t="s">
        <v>975</v>
      </c>
      <c r="K209" s="165">
        <v>6.134259259259259E-4</v>
      </c>
      <c r="L209" s="151" t="s">
        <v>135</v>
      </c>
      <c r="N209" s="151" t="s">
        <v>136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971</v>
      </c>
      <c r="B210" s="151" t="s">
        <v>551</v>
      </c>
      <c r="C210" s="164" t="s">
        <v>976</v>
      </c>
      <c r="D210" s="164" t="s">
        <v>977</v>
      </c>
      <c r="E210" s="165">
        <v>1.3541666666666667E-3</v>
      </c>
      <c r="F210" s="151" t="s">
        <v>131</v>
      </c>
      <c r="H210" s="151" t="s">
        <v>132</v>
      </c>
      <c r="I210" s="164" t="s">
        <v>978</v>
      </c>
      <c r="J210" s="164" t="s">
        <v>979</v>
      </c>
      <c r="K210" s="165">
        <v>6.7129629629629625E-4</v>
      </c>
      <c r="L210" s="151" t="s">
        <v>135</v>
      </c>
      <c r="N210" s="151" t="s">
        <v>136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971</v>
      </c>
      <c r="B211" s="151" t="s">
        <v>551</v>
      </c>
      <c r="C211" s="164" t="s">
        <v>980</v>
      </c>
      <c r="D211" s="164" t="s">
        <v>981</v>
      </c>
      <c r="E211" s="165">
        <v>3.1250000000000002E-3</v>
      </c>
      <c r="F211" s="151" t="s">
        <v>131</v>
      </c>
      <c r="H211" s="151" t="s">
        <v>43</v>
      </c>
      <c r="I211" s="164" t="s">
        <v>982</v>
      </c>
      <c r="J211" s="164" t="s">
        <v>983</v>
      </c>
      <c r="K211" s="165">
        <v>8.3333333333333339E-4</v>
      </c>
      <c r="L211" s="151" t="s">
        <v>242</v>
      </c>
      <c r="N211" s="151" t="s">
        <v>233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971</v>
      </c>
      <c r="B212" s="151" t="s">
        <v>551</v>
      </c>
      <c r="C212" s="164" t="s">
        <v>984</v>
      </c>
      <c r="D212" s="164" t="s">
        <v>985</v>
      </c>
      <c r="E212" s="165">
        <v>9.7222222222222219E-4</v>
      </c>
      <c r="F212" s="151" t="s">
        <v>131</v>
      </c>
      <c r="H212" s="151" t="s">
        <v>132</v>
      </c>
      <c r="I212" s="164" t="s">
        <v>986</v>
      </c>
      <c r="J212" s="164" t="s">
        <v>987</v>
      </c>
      <c r="K212" s="165">
        <v>7.1759259259259259E-4</v>
      </c>
      <c r="L212" s="151" t="s">
        <v>135</v>
      </c>
      <c r="N212" s="151" t="s">
        <v>136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971</v>
      </c>
      <c r="B213" s="151" t="s">
        <v>551</v>
      </c>
      <c r="C213" s="164" t="s">
        <v>988</v>
      </c>
      <c r="D213" s="164" t="s">
        <v>989</v>
      </c>
      <c r="E213" s="165">
        <v>1.3310185185185185E-3</v>
      </c>
      <c r="F213" s="151" t="s">
        <v>131</v>
      </c>
      <c r="H213" s="151" t="s">
        <v>132</v>
      </c>
      <c r="I213" s="164" t="s">
        <v>990</v>
      </c>
      <c r="J213" s="164" t="s">
        <v>991</v>
      </c>
      <c r="K213" s="165">
        <v>7.9861111111111116E-4</v>
      </c>
      <c r="L213" s="151" t="s">
        <v>135</v>
      </c>
      <c r="N213" s="151" t="s">
        <v>136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971</v>
      </c>
      <c r="B214" s="151" t="s">
        <v>551</v>
      </c>
      <c r="C214" s="164" t="s">
        <v>992</v>
      </c>
      <c r="D214" s="164" t="s">
        <v>993</v>
      </c>
      <c r="E214" s="165">
        <v>4.3518518518518515E-3</v>
      </c>
      <c r="F214" s="151" t="s">
        <v>131</v>
      </c>
      <c r="H214" s="151" t="s">
        <v>43</v>
      </c>
      <c r="I214" s="164" t="s">
        <v>994</v>
      </c>
      <c r="J214" s="164" t="s">
        <v>995</v>
      </c>
      <c r="K214" s="165">
        <v>5.7870370370370367E-4</v>
      </c>
      <c r="L214" s="151" t="s">
        <v>242</v>
      </c>
      <c r="N214" s="151" t="s">
        <v>233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971</v>
      </c>
      <c r="B215" s="151" t="s">
        <v>551</v>
      </c>
      <c r="C215" s="164" t="s">
        <v>996</v>
      </c>
      <c r="D215" s="164" t="s">
        <v>997</v>
      </c>
      <c r="E215" s="165">
        <v>7.0601851851851847E-4</v>
      </c>
      <c r="F215" s="151" t="s">
        <v>131</v>
      </c>
      <c r="H215" s="151" t="s">
        <v>132</v>
      </c>
      <c r="I215" s="164" t="s">
        <v>998</v>
      </c>
      <c r="J215" s="164" t="s">
        <v>999</v>
      </c>
      <c r="K215" s="165">
        <v>5.6712962962962967E-4</v>
      </c>
      <c r="L215" s="151" t="s">
        <v>135</v>
      </c>
      <c r="N215" s="151" t="s">
        <v>136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971</v>
      </c>
      <c r="B216" s="151" t="s">
        <v>551</v>
      </c>
      <c r="C216" s="164" t="s">
        <v>1000</v>
      </c>
      <c r="D216" s="164" t="s">
        <v>1001</v>
      </c>
      <c r="E216" s="165">
        <v>8.7962962962962962E-4</v>
      </c>
      <c r="F216" s="151" t="s">
        <v>131</v>
      </c>
      <c r="H216" s="151" t="s">
        <v>132</v>
      </c>
      <c r="I216" s="164" t="s">
        <v>1002</v>
      </c>
      <c r="J216" s="164" t="s">
        <v>1003</v>
      </c>
      <c r="K216" s="165">
        <v>6.134259259259259E-4</v>
      </c>
      <c r="L216" s="151" t="s">
        <v>135</v>
      </c>
      <c r="N216" s="151" t="s">
        <v>136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971</v>
      </c>
      <c r="B217" s="151" t="s">
        <v>551</v>
      </c>
      <c r="C217" s="164" t="s">
        <v>1004</v>
      </c>
      <c r="D217" s="164" t="s">
        <v>1005</v>
      </c>
      <c r="E217" s="165">
        <v>1.25E-3</v>
      </c>
      <c r="F217" s="151" t="s">
        <v>131</v>
      </c>
      <c r="H217" s="151" t="s">
        <v>132</v>
      </c>
      <c r="I217" s="164" t="s">
        <v>1006</v>
      </c>
      <c r="J217" s="164" t="s">
        <v>1007</v>
      </c>
      <c r="K217" s="165">
        <v>5.9027777777777778E-4</v>
      </c>
      <c r="L217" s="151" t="s">
        <v>135</v>
      </c>
      <c r="N217" s="151" t="s">
        <v>136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971</v>
      </c>
      <c r="B218" s="151" t="s">
        <v>551</v>
      </c>
      <c r="C218" s="164" t="s">
        <v>970</v>
      </c>
      <c r="D218" s="164" t="s">
        <v>1008</v>
      </c>
      <c r="E218" s="165">
        <v>1.6087962962962963E-3</v>
      </c>
      <c r="F218" s="151" t="s">
        <v>131</v>
      </c>
      <c r="H218" s="151" t="s">
        <v>132</v>
      </c>
      <c r="I218" s="164" t="s">
        <v>1009</v>
      </c>
      <c r="J218" s="164" t="s">
        <v>1010</v>
      </c>
      <c r="K218" s="165">
        <v>5.5555555555555556E-4</v>
      </c>
      <c r="L218" s="151" t="s">
        <v>135</v>
      </c>
      <c r="N218" s="151" t="s">
        <v>136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971</v>
      </c>
      <c r="B219" s="151" t="s">
        <v>551</v>
      </c>
      <c r="C219" s="164" t="s">
        <v>1011</v>
      </c>
      <c r="D219" s="164" t="s">
        <v>1012</v>
      </c>
      <c r="E219" s="165">
        <v>1.0532407407407407E-3</v>
      </c>
      <c r="F219" s="151" t="s">
        <v>131</v>
      </c>
      <c r="H219" s="151" t="s">
        <v>132</v>
      </c>
      <c r="I219" s="164" t="s">
        <v>1013</v>
      </c>
      <c r="J219" s="164" t="s">
        <v>1014</v>
      </c>
      <c r="K219" s="165">
        <v>6.7129629629629625E-4</v>
      </c>
      <c r="L219" s="151" t="s">
        <v>135</v>
      </c>
      <c r="N219" s="151" t="s">
        <v>136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971</v>
      </c>
      <c r="B220" s="151" t="s">
        <v>551</v>
      </c>
      <c r="C220" s="164" t="s">
        <v>1015</v>
      </c>
      <c r="D220" s="164" t="s">
        <v>1016</v>
      </c>
      <c r="E220" s="165">
        <v>1.4120370370370369E-3</v>
      </c>
      <c r="F220" s="151" t="s">
        <v>131</v>
      </c>
      <c r="H220" s="151" t="s">
        <v>132</v>
      </c>
      <c r="I220" s="164" t="s">
        <v>1017</v>
      </c>
      <c r="J220" s="164" t="s">
        <v>1018</v>
      </c>
      <c r="K220" s="165">
        <v>6.9444444444444447E-4</v>
      </c>
      <c r="L220" s="151" t="s">
        <v>135</v>
      </c>
      <c r="N220" s="151" t="s">
        <v>136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971</v>
      </c>
      <c r="B221" s="151" t="s">
        <v>551</v>
      </c>
      <c r="C221" s="164" t="s">
        <v>1019</v>
      </c>
      <c r="D221" s="164" t="s">
        <v>1020</v>
      </c>
      <c r="E221" s="165">
        <v>3.4953703703703705E-3</v>
      </c>
      <c r="F221" s="151" t="s">
        <v>131</v>
      </c>
      <c r="H221" s="151" t="s">
        <v>43</v>
      </c>
      <c r="I221" s="164" t="s">
        <v>1021</v>
      </c>
      <c r="J221" s="164" t="s">
        <v>1022</v>
      </c>
      <c r="K221" s="165">
        <v>4.6296296296296298E-4</v>
      </c>
      <c r="L221" s="151" t="s">
        <v>242</v>
      </c>
      <c r="N221" s="151" t="s">
        <v>233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971</v>
      </c>
      <c r="B222" s="151" t="s">
        <v>551</v>
      </c>
      <c r="C222" s="164" t="s">
        <v>1023</v>
      </c>
      <c r="D222" s="164" t="s">
        <v>1024</v>
      </c>
      <c r="E222" s="165">
        <v>1.6203703703703703E-3</v>
      </c>
      <c r="F222" s="151" t="s">
        <v>131</v>
      </c>
      <c r="H222" s="151" t="s">
        <v>43</v>
      </c>
      <c r="I222" s="164" t="s">
        <v>1025</v>
      </c>
      <c r="J222" s="164" t="s">
        <v>1026</v>
      </c>
      <c r="K222" s="165">
        <v>6.5972222222222224E-4</v>
      </c>
      <c r="L222" s="151" t="s">
        <v>242</v>
      </c>
      <c r="N222" s="151" t="s">
        <v>233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1027</v>
      </c>
      <c r="B223" s="151" t="s">
        <v>1028</v>
      </c>
      <c r="C223" s="164" t="s">
        <v>1029</v>
      </c>
      <c r="D223" s="164" t="s">
        <v>1030</v>
      </c>
      <c r="E223" s="165">
        <v>1.8865740740740742E-3</v>
      </c>
      <c r="F223" s="151" t="s">
        <v>131</v>
      </c>
      <c r="H223" s="151" t="s">
        <v>132</v>
      </c>
      <c r="I223" s="164" t="s">
        <v>1031</v>
      </c>
      <c r="J223" s="164" t="s">
        <v>1032</v>
      </c>
      <c r="K223" s="165">
        <v>5.6712962962962967E-4</v>
      </c>
      <c r="L223" s="151" t="s">
        <v>135</v>
      </c>
      <c r="N223" s="151" t="s">
        <v>136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1027</v>
      </c>
      <c r="B224" s="151" t="s">
        <v>1028</v>
      </c>
      <c r="C224" s="164" t="s">
        <v>1033</v>
      </c>
      <c r="D224" s="164" t="s">
        <v>1034</v>
      </c>
      <c r="E224" s="165">
        <v>1.4236111111111112E-3</v>
      </c>
      <c r="F224" s="151" t="s">
        <v>131</v>
      </c>
      <c r="H224" s="151" t="s">
        <v>132</v>
      </c>
      <c r="I224" s="164" t="s">
        <v>1035</v>
      </c>
      <c r="J224" s="164" t="s">
        <v>1036</v>
      </c>
      <c r="K224" s="165">
        <v>8.564814814814815E-4</v>
      </c>
      <c r="L224" s="151" t="s">
        <v>135</v>
      </c>
      <c r="N224" s="151" t="s">
        <v>136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1027</v>
      </c>
      <c r="B225" s="151" t="s">
        <v>1028</v>
      </c>
      <c r="C225" s="164" t="s">
        <v>1037</v>
      </c>
      <c r="D225" s="164" t="s">
        <v>1038</v>
      </c>
      <c r="E225" s="165">
        <v>1.8287037037037037E-3</v>
      </c>
      <c r="F225" s="151" t="s">
        <v>131</v>
      </c>
      <c r="H225" s="151" t="s">
        <v>132</v>
      </c>
      <c r="I225" s="164" t="s">
        <v>1039</v>
      </c>
      <c r="J225" s="164" t="s">
        <v>1040</v>
      </c>
      <c r="K225" s="165">
        <v>6.3657407407407413E-4</v>
      </c>
      <c r="L225" s="151" t="s">
        <v>135</v>
      </c>
      <c r="N225" s="151" t="s">
        <v>136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1027</v>
      </c>
      <c r="B226" s="151" t="s">
        <v>1028</v>
      </c>
      <c r="C226" s="164" t="s">
        <v>1041</v>
      </c>
      <c r="D226" s="164" t="s">
        <v>1042</v>
      </c>
      <c r="E226" s="165">
        <v>1.1805555555555556E-3</v>
      </c>
      <c r="F226" s="151" t="s">
        <v>131</v>
      </c>
      <c r="H226" s="151" t="s">
        <v>132</v>
      </c>
      <c r="I226" s="164" t="s">
        <v>1043</v>
      </c>
      <c r="J226" s="164" t="s">
        <v>1044</v>
      </c>
      <c r="K226" s="165">
        <v>6.7129629629629625E-4</v>
      </c>
      <c r="L226" s="151" t="s">
        <v>135</v>
      </c>
      <c r="N226" s="151" t="s">
        <v>136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1027</v>
      </c>
      <c r="B227" s="151" t="s">
        <v>1028</v>
      </c>
      <c r="C227" s="164" t="s">
        <v>1045</v>
      </c>
      <c r="D227" s="164" t="s">
        <v>1046</v>
      </c>
      <c r="E227" s="165">
        <v>2.476851851851852E-3</v>
      </c>
      <c r="F227" s="151" t="s">
        <v>131</v>
      </c>
      <c r="H227" s="151" t="s">
        <v>132</v>
      </c>
      <c r="I227" s="164" t="s">
        <v>1047</v>
      </c>
      <c r="J227" s="164" t="s">
        <v>1048</v>
      </c>
      <c r="K227" s="165">
        <v>7.1759259259259259E-4</v>
      </c>
      <c r="L227" s="151" t="s">
        <v>135</v>
      </c>
      <c r="N227" s="151" t="s">
        <v>136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1027</v>
      </c>
      <c r="B228" s="151" t="s">
        <v>1028</v>
      </c>
      <c r="C228" s="164" t="s">
        <v>1049</v>
      </c>
      <c r="D228" s="164" t="s">
        <v>1050</v>
      </c>
      <c r="E228" s="165">
        <v>1.3425925925925925E-3</v>
      </c>
      <c r="F228" s="151" t="s">
        <v>131</v>
      </c>
      <c r="H228" s="151" t="s">
        <v>132</v>
      </c>
      <c r="I228" s="164" t="s">
        <v>1051</v>
      </c>
      <c r="J228" s="164" t="s">
        <v>1052</v>
      </c>
      <c r="K228" s="165">
        <v>7.291666666666667E-4</v>
      </c>
      <c r="L228" s="151" t="s">
        <v>135</v>
      </c>
      <c r="N228" s="151" t="s">
        <v>136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1027</v>
      </c>
      <c r="B229" s="151" t="s">
        <v>1028</v>
      </c>
      <c r="C229" s="164" t="s">
        <v>1053</v>
      </c>
      <c r="D229" s="164" t="s">
        <v>1054</v>
      </c>
      <c r="E229" s="165">
        <v>1.5856481481481481E-3</v>
      </c>
      <c r="F229" s="151" t="s">
        <v>131</v>
      </c>
      <c r="H229" s="151" t="s">
        <v>132</v>
      </c>
      <c r="I229" s="164" t="s">
        <v>1055</v>
      </c>
      <c r="J229" s="164" t="s">
        <v>1056</v>
      </c>
      <c r="K229" s="165">
        <v>5.4398148148148144E-4</v>
      </c>
      <c r="L229" s="151" t="s">
        <v>135</v>
      </c>
      <c r="N229" s="151" t="s">
        <v>136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1027</v>
      </c>
      <c r="B230" s="151" t="s">
        <v>1028</v>
      </c>
      <c r="C230" s="164" t="s">
        <v>1057</v>
      </c>
      <c r="D230" s="164" t="s">
        <v>1058</v>
      </c>
      <c r="E230" s="165">
        <v>2.0833333333333335E-4</v>
      </c>
      <c r="F230" s="151" t="s">
        <v>131</v>
      </c>
      <c r="H230" s="151" t="s">
        <v>132</v>
      </c>
      <c r="I230" s="164" t="s">
        <v>1059</v>
      </c>
      <c r="J230" s="164" t="s">
        <v>1060</v>
      </c>
      <c r="K230" s="165">
        <v>8.9120370370370373E-4</v>
      </c>
      <c r="L230" s="151" t="s">
        <v>135</v>
      </c>
      <c r="N230" s="151" t="s">
        <v>136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1027</v>
      </c>
      <c r="B231" s="151" t="s">
        <v>1028</v>
      </c>
      <c r="C231" s="164" t="s">
        <v>1061</v>
      </c>
      <c r="D231" s="164" t="s">
        <v>1062</v>
      </c>
      <c r="E231" s="165">
        <v>1.3194444444444445E-3</v>
      </c>
      <c r="F231" s="151" t="s">
        <v>131</v>
      </c>
      <c r="H231" s="151" t="s">
        <v>132</v>
      </c>
      <c r="I231" s="164" t="s">
        <v>1063</v>
      </c>
      <c r="J231" s="164" t="s">
        <v>1064</v>
      </c>
      <c r="K231" s="165">
        <v>6.3657407407407413E-4</v>
      </c>
      <c r="L231" s="151" t="s">
        <v>135</v>
      </c>
      <c r="N231" s="151" t="s">
        <v>136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1027</v>
      </c>
      <c r="B232" s="151" t="s">
        <v>1028</v>
      </c>
      <c r="C232" s="164" t="s">
        <v>1065</v>
      </c>
      <c r="D232" s="164" t="s">
        <v>1066</v>
      </c>
      <c r="E232" s="165">
        <v>1.7592592592592592E-3</v>
      </c>
      <c r="F232" s="151" t="s">
        <v>131</v>
      </c>
      <c r="H232" s="151" t="s">
        <v>132</v>
      </c>
      <c r="I232" s="164" t="s">
        <v>1067</v>
      </c>
      <c r="J232" s="164" t="s">
        <v>1068</v>
      </c>
      <c r="K232" s="165">
        <v>6.5972222222222224E-4</v>
      </c>
      <c r="L232" s="151" t="s">
        <v>135</v>
      </c>
      <c r="N232" s="151" t="s">
        <v>136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1027</v>
      </c>
      <c r="B233" s="151" t="s">
        <v>1028</v>
      </c>
      <c r="C233" s="164" t="s">
        <v>1069</v>
      </c>
      <c r="D233" s="164" t="s">
        <v>1070</v>
      </c>
      <c r="E233" s="165">
        <v>1.5046296296296296E-3</v>
      </c>
      <c r="F233" s="151" t="s">
        <v>131</v>
      </c>
      <c r="H233" s="151" t="s">
        <v>132</v>
      </c>
      <c r="I233" s="164" t="s">
        <v>1071</v>
      </c>
      <c r="J233" s="164" t="s">
        <v>1072</v>
      </c>
      <c r="K233" s="165">
        <v>6.8287037037037036E-4</v>
      </c>
      <c r="L233" s="151" t="s">
        <v>135</v>
      </c>
      <c r="N233" s="151" t="s">
        <v>136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1027</v>
      </c>
      <c r="B234" s="151" t="s">
        <v>1028</v>
      </c>
      <c r="C234" s="164" t="s">
        <v>1073</v>
      </c>
      <c r="D234" s="164" t="s">
        <v>1074</v>
      </c>
      <c r="E234" s="165">
        <v>1.261574074074074E-3</v>
      </c>
      <c r="F234" s="151" t="s">
        <v>131</v>
      </c>
      <c r="H234" s="151" t="s">
        <v>132</v>
      </c>
      <c r="I234" s="164" t="s">
        <v>1075</v>
      </c>
      <c r="J234" s="164" t="s">
        <v>1076</v>
      </c>
      <c r="K234" s="165">
        <v>8.3333333333333339E-4</v>
      </c>
      <c r="L234" s="151" t="s">
        <v>135</v>
      </c>
      <c r="N234" s="151" t="s">
        <v>136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1027</v>
      </c>
      <c r="B235" s="151" t="s">
        <v>1028</v>
      </c>
      <c r="C235" s="164" t="s">
        <v>1077</v>
      </c>
      <c r="D235" s="164" t="s">
        <v>1078</v>
      </c>
      <c r="E235" s="165">
        <v>9.6064814814814819E-4</v>
      </c>
      <c r="F235" s="151" t="s">
        <v>131</v>
      </c>
      <c r="H235" s="151" t="s">
        <v>132</v>
      </c>
      <c r="I235" s="164" t="s">
        <v>1079</v>
      </c>
      <c r="J235" s="164" t="s">
        <v>1080</v>
      </c>
      <c r="K235" s="165">
        <v>7.6388888888888893E-4</v>
      </c>
      <c r="L235" s="151" t="s">
        <v>135</v>
      </c>
      <c r="N235" s="151" t="s">
        <v>136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1027</v>
      </c>
      <c r="B236" s="151" t="s">
        <v>1028</v>
      </c>
      <c r="C236" s="164" t="s">
        <v>1081</v>
      </c>
      <c r="D236" s="164" t="s">
        <v>1082</v>
      </c>
      <c r="E236" s="165">
        <v>1.3541666666666667E-3</v>
      </c>
      <c r="F236" s="151" t="s">
        <v>131</v>
      </c>
      <c r="H236" s="151" t="s">
        <v>132</v>
      </c>
      <c r="I236" s="164" t="s">
        <v>1083</v>
      </c>
      <c r="J236" s="164" t="s">
        <v>1084</v>
      </c>
      <c r="K236" s="165">
        <v>7.407407407407407E-4</v>
      </c>
      <c r="L236" s="151" t="s">
        <v>135</v>
      </c>
      <c r="N236" s="151" t="s">
        <v>136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1027</v>
      </c>
      <c r="B237" s="151" t="s">
        <v>1028</v>
      </c>
      <c r="C237" s="164" t="s">
        <v>1085</v>
      </c>
      <c r="D237" s="164" t="s">
        <v>1086</v>
      </c>
      <c r="E237" s="165">
        <v>1.0416666666666667E-3</v>
      </c>
      <c r="F237" s="151" t="s">
        <v>131</v>
      </c>
      <c r="H237" s="151" t="s">
        <v>132</v>
      </c>
      <c r="I237" s="164" t="s">
        <v>1087</v>
      </c>
      <c r="J237" s="164" t="s">
        <v>1088</v>
      </c>
      <c r="K237" s="165">
        <v>5.9027777777777778E-4</v>
      </c>
      <c r="L237" s="151" t="s">
        <v>135</v>
      </c>
      <c r="N237" s="151" t="s">
        <v>136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1027</v>
      </c>
      <c r="B238" s="151" t="s">
        <v>1028</v>
      </c>
      <c r="C238" s="164" t="s">
        <v>1089</v>
      </c>
      <c r="D238" s="164" t="s">
        <v>1090</v>
      </c>
      <c r="E238" s="165">
        <v>1.736111111111111E-3</v>
      </c>
      <c r="F238" s="151" t="s">
        <v>131</v>
      </c>
      <c r="H238" s="151" t="s">
        <v>132</v>
      </c>
      <c r="I238" s="164" t="s">
        <v>1091</v>
      </c>
      <c r="J238" s="164" t="s">
        <v>1092</v>
      </c>
      <c r="K238" s="165">
        <v>6.9444444444444447E-4</v>
      </c>
      <c r="L238" s="151" t="s">
        <v>135</v>
      </c>
      <c r="N238" s="151" t="s">
        <v>136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1027</v>
      </c>
      <c r="B239" s="151" t="s">
        <v>1028</v>
      </c>
      <c r="C239" s="164" t="s">
        <v>1093</v>
      </c>
      <c r="D239" s="164" t="s">
        <v>1094</v>
      </c>
      <c r="E239" s="165">
        <v>1.4583333333333334E-3</v>
      </c>
      <c r="F239" s="151" t="s">
        <v>131</v>
      </c>
      <c r="H239" s="151" t="s">
        <v>132</v>
      </c>
      <c r="I239" s="164" t="s">
        <v>1095</v>
      </c>
      <c r="J239" s="164" t="s">
        <v>1096</v>
      </c>
      <c r="K239" s="165">
        <v>6.3657407407407413E-4</v>
      </c>
      <c r="L239" s="151" t="s">
        <v>135</v>
      </c>
      <c r="N239" s="151" t="s">
        <v>136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1027</v>
      </c>
      <c r="B240" s="151" t="s">
        <v>1028</v>
      </c>
      <c r="C240" s="164" t="s">
        <v>1097</v>
      </c>
      <c r="D240" s="164" t="s">
        <v>1098</v>
      </c>
      <c r="E240" s="165">
        <v>2.0601851851851853E-3</v>
      </c>
      <c r="F240" s="151" t="s">
        <v>131</v>
      </c>
      <c r="H240" s="151" t="s">
        <v>132</v>
      </c>
      <c r="I240" s="164" t="s">
        <v>1099</v>
      </c>
      <c r="J240" s="164" t="s">
        <v>1100</v>
      </c>
      <c r="K240" s="165">
        <v>7.1759259259259259E-4</v>
      </c>
      <c r="L240" s="151" t="s">
        <v>135</v>
      </c>
      <c r="N240" s="151" t="s">
        <v>136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1027</v>
      </c>
      <c r="B241" s="151" t="s">
        <v>1028</v>
      </c>
      <c r="C241" s="164" t="s">
        <v>1101</v>
      </c>
      <c r="D241" s="164" t="s">
        <v>1102</v>
      </c>
      <c r="E241" s="165">
        <v>2.3148148148148147E-5</v>
      </c>
      <c r="F241" s="151" t="s">
        <v>131</v>
      </c>
      <c r="H241" s="151" t="s">
        <v>132</v>
      </c>
      <c r="I241" s="164" t="s">
        <v>1103</v>
      </c>
      <c r="J241" s="164" t="s">
        <v>1104</v>
      </c>
      <c r="K241" s="165">
        <v>1.1574074074074073E-5</v>
      </c>
      <c r="L241" s="151" t="s">
        <v>135</v>
      </c>
      <c r="N241" s="151" t="s">
        <v>136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1027</v>
      </c>
      <c r="B242" s="151" t="s">
        <v>1028</v>
      </c>
      <c r="C242" s="164" t="s">
        <v>1105</v>
      </c>
      <c r="D242" s="164" t="s">
        <v>1106</v>
      </c>
      <c r="E242" s="165">
        <v>8.6805555555555551E-4</v>
      </c>
      <c r="F242" s="151" t="s">
        <v>131</v>
      </c>
      <c r="H242" s="151" t="s">
        <v>132</v>
      </c>
      <c r="I242" s="164" t="s">
        <v>1107</v>
      </c>
      <c r="J242" s="164" t="s">
        <v>1108</v>
      </c>
      <c r="K242" s="165">
        <v>6.018518518518519E-4</v>
      </c>
      <c r="L242" s="151" t="s">
        <v>135</v>
      </c>
      <c r="N242" s="151" t="s">
        <v>136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1027</v>
      </c>
      <c r="B243" s="151" t="s">
        <v>1028</v>
      </c>
      <c r="C243" s="164" t="s">
        <v>1109</v>
      </c>
      <c r="D243" s="164" t="s">
        <v>1110</v>
      </c>
      <c r="E243" s="165">
        <v>1.3425925925925925E-3</v>
      </c>
      <c r="F243" s="151" t="s">
        <v>131</v>
      </c>
      <c r="H243" s="151" t="s">
        <v>132</v>
      </c>
      <c r="I243" s="164" t="s">
        <v>1111</v>
      </c>
      <c r="J243" s="164" t="s">
        <v>1112</v>
      </c>
      <c r="K243" s="165">
        <v>7.6388888888888893E-4</v>
      </c>
      <c r="L243" s="151" t="s">
        <v>135</v>
      </c>
      <c r="N243" s="151" t="s">
        <v>136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1027</v>
      </c>
      <c r="B244" s="151" t="s">
        <v>1028</v>
      </c>
      <c r="C244" s="164" t="s">
        <v>1113</v>
      </c>
      <c r="D244" s="164" t="s">
        <v>1114</v>
      </c>
      <c r="E244" s="165">
        <v>2.3148148148148147E-5</v>
      </c>
      <c r="F244" s="151" t="s">
        <v>131</v>
      </c>
      <c r="H244" s="151" t="s">
        <v>132</v>
      </c>
      <c r="I244" s="164" t="s">
        <v>1115</v>
      </c>
      <c r="J244" s="164" t="s">
        <v>1116</v>
      </c>
      <c r="K244" s="165">
        <v>6.8287037037037036E-4</v>
      </c>
      <c r="L244" s="151" t="s">
        <v>135</v>
      </c>
      <c r="N244" s="151" t="s">
        <v>136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1027</v>
      </c>
      <c r="B245" s="151" t="s">
        <v>1028</v>
      </c>
      <c r="C245" s="164" t="s">
        <v>1117</v>
      </c>
      <c r="D245" s="164" t="s">
        <v>1118</v>
      </c>
      <c r="E245" s="165">
        <v>1.3194444444444445E-3</v>
      </c>
      <c r="F245" s="151" t="s">
        <v>131</v>
      </c>
      <c r="H245" s="151" t="s">
        <v>132</v>
      </c>
      <c r="I245" s="164" t="s">
        <v>1119</v>
      </c>
      <c r="J245" s="164" t="s">
        <v>1120</v>
      </c>
      <c r="K245" s="165">
        <v>3.4722222222222222E-5</v>
      </c>
      <c r="L245" s="151" t="s">
        <v>135</v>
      </c>
      <c r="N245" s="151" t="s">
        <v>136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1027</v>
      </c>
      <c r="B246" s="151" t="s">
        <v>1028</v>
      </c>
      <c r="C246" s="164" t="s">
        <v>1121</v>
      </c>
      <c r="D246" s="164" t="s">
        <v>1122</v>
      </c>
      <c r="E246" s="165">
        <v>1.5509259259259259E-3</v>
      </c>
      <c r="F246" s="151" t="s">
        <v>131</v>
      </c>
      <c r="H246" s="151" t="s">
        <v>132</v>
      </c>
      <c r="I246" s="164" t="s">
        <v>1123</v>
      </c>
      <c r="J246" s="164" t="s">
        <v>1124</v>
      </c>
      <c r="K246" s="165">
        <v>5.5555555555555556E-4</v>
      </c>
      <c r="L246" s="151" t="s">
        <v>135</v>
      </c>
      <c r="N246" s="151" t="s">
        <v>136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1027</v>
      </c>
      <c r="B247" s="151" t="s">
        <v>1028</v>
      </c>
      <c r="C247" s="164" t="s">
        <v>1125</v>
      </c>
      <c r="D247" s="164" t="s">
        <v>1126</v>
      </c>
      <c r="E247" s="165">
        <v>1.9791666666666668E-3</v>
      </c>
      <c r="F247" s="151" t="s">
        <v>131</v>
      </c>
      <c r="H247" s="151" t="s">
        <v>132</v>
      </c>
      <c r="I247" s="164" t="s">
        <v>1127</v>
      </c>
      <c r="J247" s="164" t="s">
        <v>1128</v>
      </c>
      <c r="K247" s="165">
        <v>5.3240740740740744E-4</v>
      </c>
      <c r="L247" s="151" t="s">
        <v>135</v>
      </c>
      <c r="N247" s="151" t="s">
        <v>136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C248" s="164"/>
      <c r="D248" s="164"/>
      <c r="E248" s="165"/>
      <c r="I248" s="164"/>
      <c r="J248" s="164"/>
      <c r="K248" s="165"/>
      <c r="Q248" s="165"/>
      <c r="R248" s="165"/>
      <c r="S248" s="165"/>
    </row>
    <row r="249" spans="1:19">
      <c r="C249" s="164"/>
      <c r="D249" s="164"/>
      <c r="E249" s="165"/>
      <c r="J249" s="164"/>
      <c r="K249" s="165"/>
      <c r="Q249" s="165"/>
      <c r="R249" s="165"/>
      <c r="S249" s="165"/>
    </row>
    <row r="250" spans="1:19">
      <c r="C250" s="164"/>
      <c r="D250" s="164"/>
      <c r="E250" s="165"/>
      <c r="I250" s="164"/>
      <c r="J250" s="164"/>
      <c r="K250" s="165"/>
      <c r="Q250" s="165"/>
      <c r="R250" s="165"/>
      <c r="S250" s="165"/>
    </row>
    <row r="251" spans="1:19">
      <c r="C251" s="164"/>
      <c r="D251" s="164"/>
      <c r="E251" s="165"/>
      <c r="I251" s="164"/>
      <c r="J251" s="164"/>
      <c r="K251" s="165"/>
      <c r="Q251" s="165"/>
      <c r="R251" s="165"/>
      <c r="S251" s="165"/>
    </row>
    <row r="252" spans="1:19">
      <c r="C252" s="164"/>
      <c r="D252" s="164"/>
      <c r="E252" s="165"/>
      <c r="I252" s="164"/>
      <c r="J252" s="164"/>
      <c r="K252" s="165"/>
      <c r="Q252" s="165"/>
      <c r="R252" s="165"/>
      <c r="S252" s="165"/>
    </row>
    <row r="253" spans="1:19">
      <c r="C253" s="164"/>
      <c r="D253" s="164"/>
      <c r="E253" s="165"/>
      <c r="I253" s="164"/>
      <c r="J253" s="164"/>
      <c r="K253" s="165"/>
      <c r="Q253" s="165"/>
      <c r="R253" s="165"/>
      <c r="S253" s="165"/>
    </row>
    <row r="254" spans="1:19">
      <c r="C254" s="164"/>
      <c r="D254" s="164"/>
      <c r="E254" s="165"/>
      <c r="I254" s="164"/>
      <c r="J254" s="164"/>
      <c r="K254" s="165"/>
      <c r="Q254" s="165"/>
      <c r="R254" s="165"/>
      <c r="S254" s="165"/>
    </row>
    <row r="255" spans="1:19">
      <c r="C255" s="164"/>
      <c r="D255" s="164"/>
      <c r="E255" s="165"/>
      <c r="I255" s="164"/>
      <c r="J255" s="164"/>
      <c r="K255" s="165"/>
      <c r="Q255" s="165"/>
      <c r="R255" s="165"/>
      <c r="S255" s="165"/>
    </row>
    <row r="256" spans="1:19">
      <c r="C256" s="164"/>
      <c r="D256" s="164"/>
      <c r="E256" s="165"/>
      <c r="I256" s="164"/>
      <c r="J256" s="164"/>
      <c r="K256" s="165"/>
      <c r="Q256" s="165"/>
      <c r="R256" s="165"/>
      <c r="S256" s="165"/>
    </row>
    <row r="257" spans="3:19">
      <c r="C257" s="164"/>
      <c r="D257" s="164"/>
      <c r="E257" s="165"/>
      <c r="I257" s="164"/>
      <c r="J257" s="164"/>
      <c r="K257" s="165"/>
      <c r="Q257" s="165"/>
      <c r="R257" s="165"/>
      <c r="S257" s="165"/>
    </row>
    <row r="258" spans="3:19">
      <c r="C258" s="164"/>
      <c r="D258" s="164"/>
      <c r="E258" s="165"/>
      <c r="I258" s="164"/>
      <c r="J258" s="164"/>
      <c r="K258" s="165"/>
      <c r="Q258" s="165"/>
      <c r="R258" s="165"/>
      <c r="S258" s="165"/>
    </row>
    <row r="259" spans="3:19">
      <c r="C259" s="164"/>
      <c r="D259" s="164"/>
      <c r="E259" s="165"/>
      <c r="I259" s="164"/>
      <c r="J259" s="164"/>
      <c r="K259" s="165"/>
      <c r="Q259" s="165"/>
      <c r="R259" s="165"/>
      <c r="S259" s="165"/>
    </row>
    <row r="260" spans="3:19">
      <c r="C260" s="164"/>
      <c r="D260" s="164"/>
      <c r="E260" s="165"/>
      <c r="I260" s="164"/>
      <c r="J260" s="164"/>
      <c r="K260" s="165"/>
      <c r="Q260" s="165"/>
      <c r="R260" s="165"/>
      <c r="S260" s="165"/>
    </row>
    <row r="261" spans="3:19">
      <c r="C261" s="164"/>
      <c r="D261" s="164"/>
      <c r="E261" s="165"/>
      <c r="I261" s="164"/>
      <c r="J261" s="164"/>
      <c r="K261" s="165"/>
      <c r="Q261" s="165"/>
      <c r="R261" s="165"/>
      <c r="S261" s="165"/>
    </row>
    <row r="262" spans="3:19">
      <c r="C262" s="164"/>
      <c r="D262" s="164"/>
      <c r="E262" s="165"/>
      <c r="I262" s="164"/>
      <c r="J262" s="164"/>
      <c r="K262" s="165"/>
      <c r="Q262" s="165"/>
      <c r="R262" s="165"/>
      <c r="S262" s="165"/>
    </row>
    <row r="263" spans="3:19">
      <c r="C263" s="164"/>
      <c r="D263" s="164"/>
      <c r="E263" s="165"/>
      <c r="I263" s="164"/>
      <c r="J263" s="164"/>
      <c r="K263" s="165"/>
      <c r="Q263" s="165"/>
      <c r="R263" s="165"/>
      <c r="S263" s="165"/>
    </row>
    <row r="264" spans="3:19">
      <c r="C264" s="164"/>
      <c r="D264" s="164"/>
      <c r="E264" s="165"/>
      <c r="H264" s="166"/>
      <c r="I264" s="164"/>
      <c r="J264" s="164"/>
      <c r="K264" s="165"/>
      <c r="Q264" s="165"/>
      <c r="R264" s="165"/>
      <c r="S264" s="165"/>
    </row>
    <row r="265" spans="3:19">
      <c r="C265" s="164"/>
      <c r="D265" s="164"/>
      <c r="E265" s="165"/>
      <c r="I265" s="164"/>
      <c r="J265" s="164"/>
      <c r="K265" s="165"/>
      <c r="Q265" s="165"/>
      <c r="R265" s="165"/>
      <c r="S265" s="165"/>
    </row>
    <row r="266" spans="3:19">
      <c r="C266" s="164"/>
      <c r="D266" s="164"/>
      <c r="E266" s="165"/>
      <c r="I266" s="164"/>
      <c r="J266" s="164"/>
      <c r="K266" s="165"/>
      <c r="Q266" s="165"/>
      <c r="R266" s="165"/>
      <c r="S266" s="165"/>
    </row>
    <row r="267" spans="3:19">
      <c r="C267" s="164"/>
      <c r="D267" s="164"/>
      <c r="E267" s="165"/>
      <c r="I267" s="164"/>
      <c r="J267" s="164"/>
      <c r="K267" s="165"/>
      <c r="Q267" s="165"/>
      <c r="R267" s="165"/>
      <c r="S267" s="165"/>
    </row>
    <row r="268" spans="3:19">
      <c r="C268" s="164"/>
      <c r="D268" s="164"/>
      <c r="E268" s="165"/>
      <c r="I268" s="164"/>
      <c r="J268" s="164"/>
      <c r="K268" s="165"/>
      <c r="Q268" s="165"/>
      <c r="R268" s="165"/>
      <c r="S268" s="165"/>
    </row>
    <row r="269" spans="3:19">
      <c r="C269" s="164"/>
      <c r="D269" s="164"/>
      <c r="E269" s="165"/>
      <c r="I269" s="164"/>
      <c r="J269" s="164"/>
      <c r="K269" s="165"/>
      <c r="Q269" s="165"/>
      <c r="R269" s="165"/>
      <c r="S269" s="165"/>
    </row>
    <row r="270" spans="3:19">
      <c r="C270" s="164"/>
      <c r="D270" s="164"/>
      <c r="E270" s="165"/>
      <c r="I270" s="164"/>
      <c r="J270" s="164"/>
      <c r="K270" s="165"/>
      <c r="Q270" s="165"/>
      <c r="R270" s="165"/>
      <c r="S270" s="165"/>
    </row>
    <row r="271" spans="3:19">
      <c r="C271" s="164"/>
      <c r="D271" s="164"/>
      <c r="E271" s="165"/>
      <c r="I271" s="164"/>
      <c r="J271" s="164"/>
      <c r="K271" s="165"/>
      <c r="Q271" s="165"/>
      <c r="R271" s="165"/>
      <c r="S271" s="165"/>
    </row>
    <row r="272" spans="3:19">
      <c r="C272" s="164"/>
      <c r="D272" s="164"/>
      <c r="E272" s="165"/>
      <c r="I272" s="164"/>
      <c r="J272" s="164"/>
      <c r="K272" s="165"/>
      <c r="Q272" s="165"/>
      <c r="R272" s="165"/>
      <c r="S272" s="165"/>
    </row>
    <row r="273" spans="3:19">
      <c r="C273" s="164"/>
      <c r="D273" s="164"/>
      <c r="E273" s="165"/>
      <c r="I273" s="164"/>
      <c r="J273" s="164"/>
      <c r="K273" s="165"/>
      <c r="Q273" s="165"/>
      <c r="R273" s="165"/>
      <c r="S273" s="165"/>
    </row>
    <row r="274" spans="3:19">
      <c r="C274" s="164"/>
      <c r="D274" s="164"/>
      <c r="E274" s="165"/>
      <c r="I274" s="164"/>
      <c r="J274" s="164"/>
      <c r="K274" s="165"/>
      <c r="Q274" s="165"/>
      <c r="R274" s="165"/>
      <c r="S274" s="165"/>
    </row>
    <row r="275" spans="3:19">
      <c r="C275" s="164"/>
      <c r="D275" s="164"/>
      <c r="E275" s="165"/>
      <c r="I275" s="164"/>
      <c r="J275" s="164"/>
      <c r="K275" s="165"/>
      <c r="Q275" s="165"/>
      <c r="R275" s="165"/>
      <c r="S275" s="165"/>
    </row>
    <row r="276" spans="3:19">
      <c r="C276" s="164"/>
      <c r="D276" s="164"/>
      <c r="E276" s="165"/>
      <c r="I276" s="164"/>
      <c r="J276" s="164"/>
      <c r="K276" s="165"/>
      <c r="Q276" s="165"/>
      <c r="R276" s="165"/>
      <c r="S276" s="165"/>
    </row>
    <row r="277" spans="3:19">
      <c r="C277" s="164"/>
      <c r="D277" s="164"/>
      <c r="E277" s="165"/>
      <c r="I277" s="164"/>
      <c r="J277" s="164"/>
      <c r="K277" s="165"/>
      <c r="Q277" s="165"/>
      <c r="R277" s="165"/>
      <c r="S277" s="165"/>
    </row>
    <row r="278" spans="3:19">
      <c r="C278" s="164"/>
      <c r="D278" s="164"/>
      <c r="E278" s="165"/>
      <c r="I278" s="164"/>
      <c r="J278" s="164"/>
      <c r="K278" s="165"/>
      <c r="Q278" s="165"/>
      <c r="R278" s="165"/>
      <c r="S278" s="165"/>
    </row>
    <row r="279" spans="3:19">
      <c r="C279" s="164"/>
      <c r="D279" s="164"/>
      <c r="E279" s="165"/>
      <c r="I279" s="164"/>
      <c r="J279" s="164"/>
      <c r="K279" s="165"/>
      <c r="Q279" s="165"/>
      <c r="R279" s="165"/>
      <c r="S279" s="165"/>
    </row>
    <row r="280" spans="3:19">
      <c r="C280" s="164"/>
      <c r="D280" s="164"/>
      <c r="E280" s="165"/>
      <c r="I280" s="164"/>
      <c r="J280" s="164"/>
      <c r="K280" s="165"/>
      <c r="Q280" s="165"/>
      <c r="R280" s="165"/>
      <c r="S280" s="165"/>
    </row>
    <row r="281" spans="3:19">
      <c r="C281" s="164"/>
      <c r="D281" s="164"/>
      <c r="E281" s="165"/>
      <c r="I281" s="164"/>
      <c r="J281" s="164"/>
      <c r="K281" s="165"/>
      <c r="Q281" s="165"/>
      <c r="R281" s="165"/>
      <c r="S281" s="165"/>
    </row>
    <row r="282" spans="3:19">
      <c r="C282" s="164"/>
      <c r="D282" s="164"/>
      <c r="E282" s="165"/>
      <c r="I282" s="164"/>
      <c r="J282" s="164"/>
      <c r="K282" s="165"/>
      <c r="Q282" s="165"/>
      <c r="R282" s="165"/>
      <c r="S282" s="165"/>
    </row>
    <row r="283" spans="3:19">
      <c r="C283" s="164"/>
      <c r="D283" s="164"/>
      <c r="E283" s="165"/>
      <c r="I283" s="164"/>
      <c r="J283" s="164"/>
      <c r="K283" s="165"/>
      <c r="Q283" s="165"/>
      <c r="R283" s="165"/>
      <c r="S283" s="165"/>
    </row>
    <row r="284" spans="3:19">
      <c r="C284" s="164"/>
      <c r="D284" s="164"/>
      <c r="E284" s="165"/>
      <c r="I284" s="164"/>
      <c r="J284" s="164"/>
      <c r="K284" s="165"/>
      <c r="Q284" s="165"/>
      <c r="R284" s="165"/>
      <c r="S284" s="165"/>
    </row>
    <row r="285" spans="3:19">
      <c r="C285" s="164"/>
      <c r="D285" s="164"/>
      <c r="E285" s="165"/>
      <c r="I285" s="164"/>
      <c r="J285" s="164"/>
      <c r="K285" s="165"/>
      <c r="Q285" s="165"/>
      <c r="R285" s="165"/>
      <c r="S285" s="165"/>
    </row>
    <row r="286" spans="3:19">
      <c r="C286" s="164"/>
      <c r="D286" s="164"/>
      <c r="E286" s="165"/>
      <c r="I286" s="164"/>
      <c r="J286" s="164"/>
      <c r="K286" s="165"/>
      <c r="Q286" s="165"/>
      <c r="R286" s="165"/>
      <c r="S286" s="165"/>
    </row>
    <row r="287" spans="3:19">
      <c r="C287" s="164"/>
      <c r="D287" s="164"/>
      <c r="E287" s="165"/>
      <c r="I287" s="164"/>
      <c r="J287" s="164"/>
      <c r="K287" s="165"/>
      <c r="Q287" s="165"/>
      <c r="R287" s="165"/>
      <c r="S287" s="165"/>
    </row>
    <row r="288" spans="3:19">
      <c r="C288" s="164"/>
      <c r="D288" s="164"/>
      <c r="E288" s="165"/>
      <c r="I288" s="164"/>
      <c r="J288" s="164"/>
      <c r="K288" s="165"/>
      <c r="Q288" s="165"/>
      <c r="R288" s="165"/>
      <c r="S288" s="165"/>
    </row>
    <row r="289" spans="3:19">
      <c r="C289" s="164"/>
      <c r="D289" s="164"/>
      <c r="E289" s="165"/>
      <c r="I289" s="164"/>
      <c r="J289" s="164"/>
      <c r="K289" s="165"/>
      <c r="Q289" s="165"/>
      <c r="R289" s="165"/>
      <c r="S289" s="165"/>
    </row>
    <row r="290" spans="3:19">
      <c r="C290" s="164"/>
      <c r="D290" s="164"/>
      <c r="E290" s="165"/>
      <c r="I290" s="164"/>
      <c r="J290" s="164"/>
      <c r="K290" s="165"/>
      <c r="Q290" s="165"/>
      <c r="R290" s="165"/>
      <c r="S290" s="165"/>
    </row>
    <row r="291" spans="3:19">
      <c r="C291" s="164"/>
      <c r="D291" s="164"/>
      <c r="E291" s="165"/>
      <c r="I291" s="164"/>
      <c r="J291" s="164"/>
      <c r="K291" s="165"/>
      <c r="Q291" s="165"/>
      <c r="R291" s="165"/>
      <c r="S291" s="165"/>
    </row>
    <row r="292" spans="3:19">
      <c r="C292" s="164"/>
      <c r="D292" s="164"/>
      <c r="E292" s="165"/>
      <c r="I292" s="164"/>
      <c r="J292" s="164"/>
      <c r="K292" s="165"/>
      <c r="Q292" s="165"/>
      <c r="R292" s="165"/>
      <c r="S292" s="165"/>
    </row>
    <row r="293" spans="3:19">
      <c r="C293" s="164"/>
      <c r="D293" s="164"/>
      <c r="E293" s="165"/>
      <c r="I293" s="164"/>
      <c r="J293" s="164"/>
      <c r="K293" s="165"/>
      <c r="Q293" s="165"/>
      <c r="R293" s="165"/>
      <c r="S293" s="165"/>
    </row>
    <row r="294" spans="3:19">
      <c r="C294" s="164"/>
      <c r="D294" s="164"/>
      <c r="E294" s="165"/>
      <c r="I294" s="164"/>
      <c r="J294" s="164"/>
      <c r="K294" s="165"/>
      <c r="Q294" s="165"/>
      <c r="R294" s="165"/>
      <c r="S294" s="165"/>
    </row>
    <row r="295" spans="3:19">
      <c r="C295" s="164"/>
      <c r="D295" s="164"/>
      <c r="E295" s="165"/>
      <c r="I295" s="164"/>
      <c r="J295" s="164"/>
      <c r="K295" s="165"/>
      <c r="Q295" s="165"/>
      <c r="R295" s="165"/>
      <c r="S295" s="165"/>
    </row>
    <row r="296" spans="3:19">
      <c r="C296" s="164"/>
      <c r="D296" s="164"/>
      <c r="E296" s="165"/>
      <c r="I296" s="164"/>
      <c r="J296" s="164"/>
      <c r="K296" s="165"/>
      <c r="Q296" s="165"/>
      <c r="R296" s="165"/>
      <c r="S296" s="165"/>
    </row>
    <row r="297" spans="3:19">
      <c r="C297" s="164"/>
      <c r="D297" s="164"/>
      <c r="E297" s="165"/>
      <c r="I297" s="164"/>
      <c r="J297" s="164"/>
      <c r="K297" s="165"/>
      <c r="Q297" s="165"/>
      <c r="R297" s="165"/>
      <c r="S297" s="165"/>
    </row>
    <row r="298" spans="3:19">
      <c r="C298" s="164"/>
      <c r="D298" s="164"/>
      <c r="E298" s="165"/>
      <c r="I298" s="164"/>
      <c r="J298" s="164"/>
      <c r="K298" s="165"/>
      <c r="Q298" s="165"/>
      <c r="R298" s="165"/>
      <c r="S298" s="165"/>
    </row>
    <row r="299" spans="3:19">
      <c r="C299" s="164"/>
      <c r="D299" s="164"/>
      <c r="E299" s="165"/>
      <c r="I299" s="164"/>
      <c r="J299" s="164"/>
      <c r="K299" s="165"/>
      <c r="Q299" s="165"/>
      <c r="R299" s="165"/>
      <c r="S299" s="165"/>
    </row>
    <row r="300" spans="3:19">
      <c r="C300" s="164"/>
      <c r="D300" s="164"/>
      <c r="E300" s="165"/>
      <c r="I300" s="164"/>
      <c r="J300" s="164"/>
      <c r="K300" s="165"/>
      <c r="Q300" s="165"/>
      <c r="R300" s="165"/>
      <c r="S300" s="165"/>
    </row>
    <row r="301" spans="3:19">
      <c r="C301" s="164"/>
      <c r="D301" s="164"/>
      <c r="E301" s="165"/>
      <c r="I301" s="164"/>
      <c r="J301" s="164"/>
      <c r="K301" s="165"/>
      <c r="Q301" s="165"/>
      <c r="R301" s="165"/>
      <c r="S301" s="165"/>
    </row>
    <row r="302" spans="3:19">
      <c r="C302" s="164"/>
      <c r="D302" s="164"/>
      <c r="E302" s="165"/>
      <c r="I302" s="164"/>
      <c r="J302" s="164"/>
      <c r="K302" s="165"/>
      <c r="Q302" s="165"/>
      <c r="R302" s="165"/>
      <c r="S302" s="165"/>
    </row>
    <row r="303" spans="3:19">
      <c r="C303" s="164"/>
      <c r="D303" s="164"/>
      <c r="E303" s="165"/>
      <c r="I303" s="164"/>
      <c r="J303" s="164"/>
      <c r="K303" s="165"/>
      <c r="Q303" s="165"/>
      <c r="R303" s="165"/>
      <c r="S303" s="165"/>
    </row>
    <row r="304" spans="3:19">
      <c r="C304" s="164"/>
      <c r="D304" s="164"/>
      <c r="E304" s="165"/>
      <c r="I304" s="164"/>
      <c r="J304" s="164"/>
      <c r="K304" s="165"/>
      <c r="Q304" s="165"/>
      <c r="R304" s="165"/>
      <c r="S304" s="165"/>
    </row>
    <row r="305" spans="3:19">
      <c r="C305" s="164"/>
      <c r="D305" s="164"/>
      <c r="E305" s="165"/>
      <c r="I305" s="164"/>
      <c r="J305" s="164"/>
      <c r="K305" s="165"/>
      <c r="Q305" s="165"/>
      <c r="R305" s="165"/>
      <c r="S305" s="165"/>
    </row>
    <row r="306" spans="3:19">
      <c r="C306" s="164"/>
      <c r="D306" s="164"/>
      <c r="E306" s="165"/>
      <c r="I306" s="164"/>
      <c r="J306" s="164"/>
      <c r="K306" s="165"/>
      <c r="Q306" s="165"/>
      <c r="R306" s="165"/>
      <c r="S306" s="165"/>
    </row>
    <row r="307" spans="3:19">
      <c r="C307" s="164"/>
      <c r="D307" s="164"/>
      <c r="E307" s="165"/>
      <c r="I307" s="164"/>
      <c r="J307" s="164"/>
      <c r="K307" s="165"/>
      <c r="Q307" s="165"/>
      <c r="R307" s="165"/>
      <c r="S307" s="165"/>
    </row>
    <row r="308" spans="3:19">
      <c r="C308" s="164"/>
      <c r="D308" s="164"/>
      <c r="E308" s="165"/>
      <c r="I308" s="164"/>
      <c r="J308" s="164"/>
      <c r="K308" s="165"/>
      <c r="Q308" s="165"/>
      <c r="R308" s="165"/>
      <c r="S308" s="165"/>
    </row>
    <row r="309" spans="3:19">
      <c r="C309" s="164"/>
      <c r="D309" s="164"/>
      <c r="E309" s="165"/>
      <c r="I309" s="164"/>
      <c r="J309" s="164"/>
      <c r="K309" s="165"/>
      <c r="Q309" s="165"/>
      <c r="R309" s="165"/>
      <c r="S309" s="165"/>
    </row>
    <row r="310" spans="3:19">
      <c r="C310" s="164"/>
      <c r="D310" s="164"/>
      <c r="E310" s="165"/>
      <c r="I310" s="164"/>
      <c r="J310" s="164"/>
      <c r="K310" s="165"/>
      <c r="Q310" s="165"/>
      <c r="R310" s="165"/>
      <c r="S310" s="165"/>
    </row>
    <row r="311" spans="3:19">
      <c r="C311" s="164"/>
      <c r="D311" s="164"/>
      <c r="E311" s="165"/>
      <c r="I311" s="164"/>
      <c r="J311" s="164"/>
      <c r="K311" s="165"/>
      <c r="Q311" s="165"/>
      <c r="R311" s="165"/>
      <c r="S311" s="165"/>
    </row>
    <row r="312" spans="3:19">
      <c r="C312" s="164"/>
      <c r="D312" s="164"/>
      <c r="E312" s="165"/>
      <c r="I312" s="164"/>
      <c r="J312" s="164"/>
      <c r="K312" s="165"/>
      <c r="Q312" s="165"/>
      <c r="R312" s="165"/>
      <c r="S312" s="165"/>
    </row>
    <row r="313" spans="3:19">
      <c r="C313" s="164"/>
      <c r="D313" s="164"/>
      <c r="E313" s="165"/>
      <c r="I313" s="164"/>
      <c r="J313" s="164"/>
      <c r="K313" s="165"/>
      <c r="Q313" s="165"/>
      <c r="R313" s="165"/>
      <c r="S313" s="165"/>
    </row>
    <row r="314" spans="3:19">
      <c r="C314" s="164"/>
      <c r="D314" s="164"/>
      <c r="E314" s="165"/>
      <c r="I314" s="164"/>
      <c r="J314" s="164"/>
      <c r="K314" s="165"/>
      <c r="Q314" s="165"/>
      <c r="R314" s="165"/>
      <c r="S314" s="165"/>
    </row>
    <row r="315" spans="3:19">
      <c r="C315" s="164"/>
      <c r="D315" s="164"/>
      <c r="E315" s="165"/>
      <c r="I315" s="164"/>
      <c r="J315" s="164"/>
      <c r="K315" s="165"/>
      <c r="Q315" s="165"/>
      <c r="R315" s="165"/>
      <c r="S315" s="165"/>
    </row>
    <row r="316" spans="3:19">
      <c r="C316" s="164"/>
      <c r="D316" s="164"/>
      <c r="E316" s="165"/>
      <c r="I316" s="164"/>
      <c r="J316" s="164"/>
      <c r="K316" s="165"/>
      <c r="Q316" s="165"/>
      <c r="R316" s="165"/>
      <c r="S316" s="165"/>
    </row>
    <row r="317" spans="3:19">
      <c r="C317" s="164"/>
      <c r="D317" s="164"/>
      <c r="E317" s="165"/>
      <c r="I317" s="164"/>
      <c r="J317" s="164"/>
      <c r="K317" s="165"/>
      <c r="Q317" s="165"/>
      <c r="R317" s="165"/>
      <c r="S317" s="165"/>
    </row>
    <row r="318" spans="3:19">
      <c r="C318" s="164"/>
      <c r="D318" s="164"/>
      <c r="E318" s="165"/>
      <c r="I318" s="164"/>
      <c r="J318" s="164"/>
      <c r="K318" s="165"/>
      <c r="Q318" s="165"/>
      <c r="R318" s="165"/>
      <c r="S318" s="165"/>
    </row>
    <row r="319" spans="3:19">
      <c r="C319" s="164"/>
      <c r="D319" s="164"/>
      <c r="E319" s="165"/>
      <c r="I319" s="164"/>
      <c r="J319" s="164"/>
      <c r="K319" s="165"/>
      <c r="Q319" s="165"/>
      <c r="R319" s="165"/>
      <c r="S319" s="165"/>
    </row>
    <row r="320" spans="3:19">
      <c r="C320" s="164"/>
      <c r="D320" s="164"/>
      <c r="E320" s="165"/>
      <c r="I320" s="164"/>
      <c r="J320" s="164"/>
      <c r="K320" s="165"/>
      <c r="Q320" s="165"/>
      <c r="R320" s="165"/>
      <c r="S320" s="165"/>
    </row>
    <row r="321" spans="3:19">
      <c r="C321" s="164"/>
      <c r="D321" s="164"/>
      <c r="E321" s="165"/>
      <c r="I321" s="164"/>
      <c r="J321" s="164"/>
      <c r="K321" s="165"/>
      <c r="Q321" s="165"/>
      <c r="R321" s="165"/>
      <c r="S321" s="165"/>
    </row>
    <row r="322" spans="3:19">
      <c r="C322" s="164"/>
      <c r="D322" s="164"/>
      <c r="E322" s="165"/>
      <c r="I322" s="164"/>
      <c r="J322" s="164"/>
      <c r="K322" s="165"/>
      <c r="Q322" s="165"/>
      <c r="R322" s="165"/>
      <c r="S322" s="165"/>
    </row>
    <row r="323" spans="3:19">
      <c r="C323" s="164"/>
      <c r="D323" s="164"/>
      <c r="E323" s="165"/>
      <c r="I323" s="164"/>
      <c r="J323" s="164"/>
      <c r="K323" s="165"/>
      <c r="Q323" s="165"/>
      <c r="R323" s="165"/>
      <c r="S323" s="165"/>
    </row>
    <row r="324" spans="3:19">
      <c r="C324" s="164"/>
      <c r="D324" s="164"/>
      <c r="E324" s="165"/>
      <c r="I324" s="164"/>
      <c r="J324" s="164"/>
      <c r="K324" s="165"/>
      <c r="Q324" s="165"/>
      <c r="R324" s="165"/>
      <c r="S324" s="165"/>
    </row>
    <row r="325" spans="3:19">
      <c r="C325" s="164"/>
      <c r="D325" s="164"/>
      <c r="E325" s="165"/>
      <c r="I325" s="164"/>
      <c r="J325" s="164"/>
      <c r="K325" s="165"/>
      <c r="Q325" s="165"/>
      <c r="R325" s="165"/>
      <c r="S325" s="165"/>
    </row>
    <row r="326" spans="3:19">
      <c r="C326" s="164"/>
      <c r="D326" s="164"/>
      <c r="E326" s="165"/>
      <c r="I326" s="164"/>
      <c r="J326" s="164"/>
      <c r="K326" s="165"/>
      <c r="Q326" s="165"/>
      <c r="R326" s="165"/>
      <c r="S326" s="165"/>
    </row>
    <row r="327" spans="3:19">
      <c r="C327" s="164"/>
      <c r="D327" s="164"/>
      <c r="E327" s="165"/>
      <c r="I327" s="164"/>
      <c r="J327" s="164"/>
      <c r="K327" s="165"/>
      <c r="Q327" s="165"/>
      <c r="R327" s="165"/>
      <c r="S327" s="165"/>
    </row>
    <row r="328" spans="3:19">
      <c r="C328" s="164"/>
      <c r="D328" s="164"/>
      <c r="E328" s="165"/>
      <c r="I328" s="164"/>
      <c r="J328" s="164"/>
      <c r="K328" s="165"/>
      <c r="Q328" s="165"/>
      <c r="R328" s="165"/>
      <c r="S328" s="165"/>
    </row>
    <row r="329" spans="3:19">
      <c r="C329" s="164"/>
      <c r="D329" s="164"/>
      <c r="E329" s="165"/>
      <c r="I329" s="164"/>
      <c r="J329" s="164"/>
      <c r="K329" s="165"/>
      <c r="Q329" s="165"/>
      <c r="R329" s="165"/>
      <c r="S329" s="165"/>
    </row>
    <row r="330" spans="3:19">
      <c r="C330" s="164"/>
      <c r="D330" s="164"/>
      <c r="E330" s="165"/>
      <c r="I330" s="164"/>
      <c r="J330" s="164"/>
      <c r="K330" s="165"/>
      <c r="Q330" s="165"/>
      <c r="R330" s="165"/>
      <c r="S330" s="165"/>
    </row>
    <row r="331" spans="3:19">
      <c r="C331" s="164"/>
      <c r="D331" s="164"/>
      <c r="E331" s="165"/>
      <c r="I331" s="164"/>
      <c r="J331" s="164"/>
      <c r="K331" s="165"/>
      <c r="Q331" s="165"/>
      <c r="R331" s="165"/>
      <c r="S331" s="165"/>
    </row>
    <row r="332" spans="3:19">
      <c r="C332" s="164"/>
      <c r="D332" s="164"/>
      <c r="E332" s="165"/>
      <c r="I332" s="164"/>
      <c r="J332" s="164"/>
      <c r="K332" s="165"/>
      <c r="Q332" s="165"/>
      <c r="R332" s="165"/>
      <c r="S332" s="165"/>
    </row>
    <row r="333" spans="3:19">
      <c r="C333" s="164"/>
      <c r="D333" s="164"/>
      <c r="E333" s="165"/>
      <c r="I333" s="164"/>
      <c r="J333" s="164"/>
      <c r="K333" s="165"/>
      <c r="Q333" s="165"/>
      <c r="R333" s="165"/>
      <c r="S333" s="165"/>
    </row>
    <row r="334" spans="3:19">
      <c r="C334" s="164"/>
      <c r="D334" s="164"/>
      <c r="E334" s="165"/>
      <c r="I334" s="164"/>
      <c r="J334" s="164"/>
      <c r="K334" s="165"/>
      <c r="Q334" s="165"/>
      <c r="R334" s="165"/>
      <c r="S334" s="165"/>
    </row>
    <row r="335" spans="3:19">
      <c r="C335" s="164"/>
      <c r="D335" s="164"/>
      <c r="E335" s="165"/>
      <c r="I335" s="164"/>
      <c r="J335" s="164"/>
      <c r="K335" s="165"/>
      <c r="Q335" s="165"/>
      <c r="R335" s="165"/>
      <c r="S335" s="165"/>
    </row>
    <row r="336" spans="3:19">
      <c r="C336" s="164"/>
      <c r="D336" s="164"/>
      <c r="E336" s="165"/>
      <c r="I336" s="164"/>
      <c r="J336" s="164"/>
      <c r="K336" s="165"/>
      <c r="Q336" s="165"/>
      <c r="R336" s="165"/>
      <c r="S336" s="165"/>
    </row>
    <row r="337" spans="3:19">
      <c r="C337" s="164"/>
      <c r="D337" s="164"/>
      <c r="E337" s="165"/>
      <c r="I337" s="164"/>
      <c r="J337" s="164"/>
      <c r="K337" s="165"/>
      <c r="Q337" s="165"/>
      <c r="R337" s="165"/>
      <c r="S337" s="165"/>
    </row>
    <row r="338" spans="3:19">
      <c r="C338" s="164"/>
      <c r="D338" s="164"/>
      <c r="E338" s="165"/>
      <c r="I338" s="164"/>
      <c r="J338" s="164"/>
      <c r="K338" s="165"/>
      <c r="Q338" s="165"/>
      <c r="R338" s="165"/>
      <c r="S338" s="165"/>
    </row>
    <row r="339" spans="3:19">
      <c r="C339" s="164"/>
      <c r="D339" s="164"/>
      <c r="E339" s="165"/>
      <c r="I339" s="164"/>
      <c r="J339" s="164"/>
      <c r="K339" s="165"/>
      <c r="Q339" s="165"/>
      <c r="R339" s="165"/>
      <c r="S339" s="165"/>
    </row>
    <row r="340" spans="3:19">
      <c r="C340" s="164"/>
      <c r="D340" s="164"/>
      <c r="E340" s="165"/>
      <c r="I340" s="164"/>
      <c r="J340" s="164"/>
      <c r="K340" s="165"/>
      <c r="Q340" s="165"/>
      <c r="R340" s="165"/>
      <c r="S340" s="165"/>
    </row>
    <row r="341" spans="3:19">
      <c r="C341" s="164"/>
      <c r="D341" s="164"/>
      <c r="E341" s="165"/>
      <c r="I341" s="164"/>
      <c r="J341" s="164"/>
      <c r="K341" s="165"/>
      <c r="Q341" s="165"/>
      <c r="R341" s="165"/>
      <c r="S341" s="165"/>
    </row>
    <row r="342" spans="3:19">
      <c r="C342" s="164"/>
      <c r="D342" s="164"/>
      <c r="E342" s="165"/>
      <c r="I342" s="164"/>
      <c r="J342" s="164"/>
      <c r="K342" s="165"/>
      <c r="Q342" s="165"/>
      <c r="R342" s="165"/>
      <c r="S342" s="165"/>
    </row>
    <row r="343" spans="3:19">
      <c r="C343" s="164"/>
      <c r="D343" s="164"/>
      <c r="E343" s="165"/>
      <c r="I343" s="164"/>
      <c r="J343" s="164"/>
      <c r="K343" s="165"/>
      <c r="Q343" s="165"/>
      <c r="R343" s="165"/>
      <c r="S343" s="165"/>
    </row>
    <row r="344" spans="3:19">
      <c r="C344" s="164"/>
      <c r="D344" s="164"/>
      <c r="E344" s="165"/>
      <c r="I344" s="164"/>
      <c r="J344" s="164"/>
      <c r="K344" s="165"/>
      <c r="Q344" s="165"/>
      <c r="R344" s="165"/>
      <c r="S344" s="165"/>
    </row>
    <row r="345" spans="3:19">
      <c r="C345" s="164"/>
      <c r="D345" s="164"/>
      <c r="E345" s="165"/>
      <c r="I345" s="164"/>
      <c r="J345" s="164"/>
      <c r="K345" s="165"/>
      <c r="Q345" s="165"/>
      <c r="R345" s="165"/>
      <c r="S345" s="165"/>
    </row>
    <row r="346" spans="3:19">
      <c r="C346" s="164"/>
      <c r="D346" s="164"/>
      <c r="E346" s="165"/>
      <c r="I346" s="164"/>
      <c r="J346" s="164"/>
      <c r="K346" s="165"/>
      <c r="Q346" s="165"/>
      <c r="R346" s="165"/>
      <c r="S346" s="165"/>
    </row>
    <row r="347" spans="3:19">
      <c r="C347" s="164"/>
      <c r="D347" s="164"/>
      <c r="E347" s="165"/>
      <c r="I347" s="164"/>
      <c r="J347" s="164"/>
      <c r="K347" s="165"/>
      <c r="Q347" s="165"/>
      <c r="R347" s="165"/>
      <c r="S347" s="165"/>
    </row>
    <row r="348" spans="3:19">
      <c r="C348" s="164"/>
      <c r="D348" s="164"/>
      <c r="E348" s="165"/>
      <c r="I348" s="164"/>
      <c r="J348" s="164"/>
      <c r="K348" s="165"/>
      <c r="Q348" s="165"/>
      <c r="R348" s="165"/>
      <c r="S348" s="165"/>
    </row>
    <row r="349" spans="3:19">
      <c r="C349" s="164"/>
      <c r="D349" s="164"/>
      <c r="E349" s="165"/>
      <c r="I349" s="164"/>
      <c r="J349" s="164"/>
      <c r="K349" s="165"/>
      <c r="Q349" s="165"/>
      <c r="R349" s="165"/>
      <c r="S349" s="165"/>
    </row>
    <row r="350" spans="3:19">
      <c r="C350" s="164"/>
      <c r="D350" s="164"/>
      <c r="E350" s="165"/>
      <c r="I350" s="164"/>
      <c r="J350" s="164"/>
      <c r="K350" s="165"/>
      <c r="Q350" s="165"/>
      <c r="R350" s="165"/>
      <c r="S350" s="165"/>
    </row>
    <row r="351" spans="3:19">
      <c r="C351" s="164"/>
      <c r="D351" s="164"/>
      <c r="E351" s="165"/>
      <c r="I351" s="164"/>
      <c r="J351" s="164"/>
      <c r="K351" s="165"/>
      <c r="Q351" s="165"/>
      <c r="R351" s="165"/>
      <c r="S351" s="165"/>
    </row>
    <row r="352" spans="3:19">
      <c r="C352" s="164"/>
      <c r="D352" s="164"/>
      <c r="E352" s="165"/>
      <c r="I352" s="164"/>
      <c r="J352" s="164"/>
      <c r="K352" s="165"/>
      <c r="Q352" s="165"/>
      <c r="R352" s="165"/>
      <c r="S352" s="165"/>
    </row>
    <row r="353" spans="3:19">
      <c r="C353" s="164"/>
      <c r="D353" s="164"/>
      <c r="E353" s="165"/>
      <c r="I353" s="164"/>
      <c r="J353" s="164"/>
      <c r="K353" s="165"/>
      <c r="Q353" s="165"/>
      <c r="R353" s="165"/>
      <c r="S353" s="165"/>
    </row>
    <row r="354" spans="3:19">
      <c r="C354" s="164"/>
      <c r="D354" s="164"/>
      <c r="E354" s="165"/>
      <c r="I354" s="164"/>
      <c r="J354" s="164"/>
      <c r="K354" s="165"/>
      <c r="Q354" s="165"/>
      <c r="R354" s="165"/>
      <c r="S354" s="165"/>
    </row>
    <row r="355" spans="3:19">
      <c r="C355" s="164"/>
      <c r="D355" s="164"/>
      <c r="E355" s="165"/>
      <c r="I355" s="164"/>
      <c r="J355" s="164"/>
      <c r="K355" s="165"/>
      <c r="Q355" s="165"/>
      <c r="R355" s="165"/>
      <c r="S355" s="165"/>
    </row>
    <row r="356" spans="3:19">
      <c r="C356" s="164"/>
      <c r="D356" s="164"/>
      <c r="E356" s="165"/>
      <c r="I356" s="164"/>
      <c r="J356" s="164"/>
      <c r="K356" s="165"/>
      <c r="Q356" s="165"/>
      <c r="R356" s="165"/>
      <c r="S356" s="165"/>
    </row>
    <row r="357" spans="3:19">
      <c r="C357" s="164"/>
      <c r="D357" s="164"/>
      <c r="E357" s="165"/>
      <c r="I357" s="164"/>
      <c r="J357" s="164"/>
      <c r="K357" s="165"/>
      <c r="Q357" s="165"/>
      <c r="R357" s="165"/>
      <c r="S357" s="165"/>
    </row>
    <row r="358" spans="3:19">
      <c r="C358" s="164"/>
      <c r="D358" s="164"/>
      <c r="E358" s="165"/>
      <c r="I358" s="164"/>
      <c r="J358" s="164"/>
      <c r="K358" s="165"/>
      <c r="Q358" s="165"/>
      <c r="R358" s="165"/>
      <c r="S358" s="165"/>
    </row>
    <row r="359" spans="3:19">
      <c r="C359" s="164"/>
      <c r="D359" s="164"/>
      <c r="E359" s="165"/>
      <c r="I359" s="164"/>
      <c r="J359" s="164"/>
      <c r="K359" s="165"/>
      <c r="Q359" s="165"/>
      <c r="R359" s="165"/>
      <c r="S359" s="165"/>
    </row>
    <row r="360" spans="3:19">
      <c r="C360" s="164"/>
      <c r="D360" s="164"/>
      <c r="E360" s="165"/>
      <c r="I360" s="164"/>
      <c r="J360" s="164"/>
      <c r="K360" s="165"/>
      <c r="Q360" s="165"/>
      <c r="R360" s="165"/>
      <c r="S360" s="165"/>
    </row>
    <row r="361" spans="3:19">
      <c r="C361" s="164"/>
      <c r="D361" s="164"/>
      <c r="E361" s="165"/>
      <c r="I361" s="164"/>
      <c r="J361" s="164"/>
      <c r="K361" s="165"/>
      <c r="Q361" s="165"/>
      <c r="R361" s="165"/>
      <c r="S361" s="165"/>
    </row>
    <row r="362" spans="3:19">
      <c r="C362" s="164"/>
      <c r="D362" s="164"/>
      <c r="E362" s="165"/>
      <c r="I362" s="164"/>
      <c r="J362" s="164"/>
      <c r="K362" s="165"/>
      <c r="Q362" s="165"/>
      <c r="R362" s="165"/>
      <c r="S362" s="165"/>
    </row>
    <row r="363" spans="3:19">
      <c r="C363" s="164"/>
      <c r="D363" s="164"/>
      <c r="E363" s="165"/>
      <c r="I363" s="164"/>
      <c r="J363" s="164"/>
      <c r="K363" s="165"/>
      <c r="Q363" s="165"/>
      <c r="R363" s="165"/>
      <c r="S363" s="165"/>
    </row>
    <row r="364" spans="3:19">
      <c r="C364" s="164"/>
      <c r="D364" s="164"/>
      <c r="E364" s="165"/>
      <c r="I364" s="164"/>
      <c r="J364" s="164"/>
      <c r="K364" s="165"/>
      <c r="Q364" s="165"/>
      <c r="R364" s="165"/>
      <c r="S364" s="165"/>
    </row>
    <row r="365" spans="3:19">
      <c r="C365" s="164"/>
      <c r="D365" s="164"/>
      <c r="E365" s="165"/>
      <c r="I365" s="164"/>
      <c r="J365" s="164"/>
      <c r="K365" s="165"/>
      <c r="Q365" s="165"/>
      <c r="R365" s="165"/>
      <c r="S365" s="165"/>
    </row>
    <row r="366" spans="3:19">
      <c r="C366" s="164"/>
      <c r="D366" s="164"/>
      <c r="E366" s="165"/>
      <c r="I366" s="164"/>
      <c r="J366" s="164"/>
      <c r="K366" s="165"/>
      <c r="Q366" s="165"/>
      <c r="R366" s="165"/>
      <c r="S366" s="165"/>
    </row>
    <row r="367" spans="3:19">
      <c r="C367" s="164"/>
      <c r="D367" s="164"/>
      <c r="E367" s="165"/>
      <c r="I367" s="164"/>
      <c r="J367" s="164"/>
      <c r="K367" s="165"/>
      <c r="Q367" s="165"/>
      <c r="R367" s="165"/>
      <c r="S367" s="165"/>
    </row>
    <row r="368" spans="3:19">
      <c r="C368" s="164"/>
      <c r="D368" s="164"/>
      <c r="E368" s="165"/>
      <c r="I368" s="164"/>
      <c r="J368" s="164"/>
      <c r="K368" s="165"/>
      <c r="Q368" s="165"/>
      <c r="R368" s="165"/>
      <c r="S368" s="165"/>
    </row>
    <row r="369" spans="3:19">
      <c r="C369" s="164"/>
      <c r="D369" s="164"/>
      <c r="E369" s="165"/>
      <c r="I369" s="164"/>
      <c r="J369" s="164"/>
      <c r="K369" s="165"/>
      <c r="Q369" s="165"/>
      <c r="R369" s="165"/>
      <c r="S369" s="165"/>
    </row>
    <row r="370" spans="3:19">
      <c r="C370" s="164"/>
      <c r="D370" s="164"/>
      <c r="E370" s="165"/>
      <c r="I370" s="164"/>
      <c r="J370" s="164"/>
      <c r="K370" s="165"/>
      <c r="Q370" s="165"/>
      <c r="R370" s="165"/>
      <c r="S370" s="165"/>
    </row>
    <row r="371" spans="3:19">
      <c r="C371" s="164"/>
      <c r="D371" s="164"/>
      <c r="E371" s="165"/>
      <c r="I371" s="164"/>
      <c r="J371" s="164"/>
      <c r="K371" s="165"/>
      <c r="Q371" s="165"/>
      <c r="R371" s="165"/>
      <c r="S371" s="165"/>
    </row>
    <row r="372" spans="3:19">
      <c r="C372" s="164"/>
      <c r="D372" s="164"/>
      <c r="E372" s="165"/>
      <c r="I372" s="164"/>
      <c r="J372" s="164"/>
      <c r="K372" s="165"/>
      <c r="Q372" s="165"/>
      <c r="R372" s="165"/>
      <c r="S372" s="165"/>
    </row>
    <row r="373" spans="3:19">
      <c r="C373" s="164"/>
      <c r="D373" s="164"/>
      <c r="E373" s="165"/>
      <c r="I373" s="164"/>
      <c r="J373" s="164"/>
      <c r="K373" s="165"/>
      <c r="Q373" s="165"/>
      <c r="R373" s="165"/>
      <c r="S373" s="165"/>
    </row>
    <row r="374" spans="3:19">
      <c r="C374" s="164"/>
      <c r="D374" s="164"/>
      <c r="E374" s="165"/>
      <c r="I374" s="164"/>
      <c r="J374" s="164"/>
      <c r="K374" s="165"/>
      <c r="Q374" s="165"/>
      <c r="R374" s="165"/>
      <c r="S374" s="165"/>
    </row>
    <row r="375" spans="3:19">
      <c r="C375" s="164"/>
      <c r="D375" s="164"/>
      <c r="E375" s="165"/>
      <c r="I375" s="164"/>
      <c r="J375" s="164"/>
      <c r="K375" s="165"/>
      <c r="Q375" s="165"/>
      <c r="R375" s="165"/>
      <c r="S375" s="165"/>
    </row>
    <row r="376" spans="3:19">
      <c r="C376" s="164"/>
      <c r="D376" s="164"/>
      <c r="E376" s="165"/>
      <c r="I376" s="164"/>
      <c r="J376" s="164"/>
      <c r="K376" s="165"/>
      <c r="Q376" s="165"/>
      <c r="R376" s="165"/>
      <c r="S376" s="165"/>
    </row>
    <row r="377" spans="3:19">
      <c r="C377" s="164"/>
      <c r="D377" s="164"/>
      <c r="E377" s="165"/>
      <c r="I377" s="164"/>
      <c r="J377" s="164"/>
      <c r="K377" s="165"/>
      <c r="Q377" s="165"/>
      <c r="R377" s="165"/>
      <c r="S377" s="165"/>
    </row>
    <row r="378" spans="3:19">
      <c r="C378" s="164"/>
      <c r="D378" s="164"/>
      <c r="E378" s="165"/>
      <c r="I378" s="164"/>
      <c r="J378" s="164"/>
      <c r="K378" s="165"/>
      <c r="Q378" s="165"/>
      <c r="R378" s="165"/>
      <c r="S378" s="165"/>
    </row>
    <row r="379" spans="3:19">
      <c r="C379" s="164"/>
      <c r="D379" s="164"/>
      <c r="E379" s="165"/>
      <c r="I379" s="164"/>
      <c r="J379" s="164"/>
      <c r="K379" s="165"/>
      <c r="Q379" s="165"/>
      <c r="R379" s="165"/>
      <c r="S379" s="165"/>
    </row>
    <row r="380" spans="3:19">
      <c r="C380" s="164"/>
      <c r="D380" s="164"/>
      <c r="E380" s="165"/>
      <c r="I380" s="164"/>
      <c r="J380" s="164"/>
      <c r="K380" s="165"/>
      <c r="Q380" s="165"/>
      <c r="R380" s="165"/>
      <c r="S380" s="165"/>
    </row>
    <row r="381" spans="3:19">
      <c r="C381" s="164"/>
      <c r="D381" s="164"/>
      <c r="E381" s="165"/>
      <c r="I381" s="164"/>
      <c r="J381" s="164"/>
      <c r="K381" s="165"/>
      <c r="Q381" s="165"/>
      <c r="R381" s="165"/>
      <c r="S381" s="165"/>
    </row>
    <row r="382" spans="3:19">
      <c r="C382" s="164"/>
      <c r="D382" s="164"/>
      <c r="E382" s="165"/>
      <c r="I382" s="164"/>
      <c r="J382" s="164"/>
      <c r="K382" s="165"/>
      <c r="Q382" s="165"/>
      <c r="R382" s="165"/>
      <c r="S382" s="165"/>
    </row>
    <row r="383" spans="3:19">
      <c r="C383" s="164"/>
      <c r="D383" s="164"/>
      <c r="E383" s="165"/>
      <c r="I383" s="164"/>
      <c r="J383" s="164"/>
      <c r="K383" s="165"/>
      <c r="Q383" s="165"/>
      <c r="R383" s="165"/>
      <c r="S383" s="165"/>
    </row>
    <row r="384" spans="3:19">
      <c r="C384" s="164"/>
      <c r="D384" s="164"/>
      <c r="E384" s="165"/>
      <c r="I384" s="164"/>
      <c r="J384" s="164"/>
      <c r="K384" s="165"/>
      <c r="Q384" s="165"/>
      <c r="R384" s="165"/>
      <c r="S384" s="165"/>
    </row>
    <row r="385" spans="3:19">
      <c r="C385" s="164"/>
      <c r="D385" s="164"/>
      <c r="E385" s="165"/>
      <c r="I385" s="164"/>
      <c r="J385" s="164"/>
      <c r="K385" s="165"/>
      <c r="Q385" s="165"/>
      <c r="R385" s="165"/>
      <c r="S385" s="165"/>
    </row>
    <row r="386" spans="3:19">
      <c r="C386" s="164"/>
      <c r="D386" s="164"/>
      <c r="E386" s="165"/>
      <c r="I386" s="164"/>
      <c r="J386" s="164"/>
      <c r="K386" s="165"/>
      <c r="Q386" s="165"/>
      <c r="R386" s="165"/>
      <c r="S386" s="165"/>
    </row>
    <row r="387" spans="3:19">
      <c r="C387" s="164"/>
      <c r="D387" s="164"/>
      <c r="E387" s="165"/>
      <c r="I387" s="164"/>
      <c r="J387" s="164"/>
      <c r="K387" s="165"/>
      <c r="Q387" s="165"/>
      <c r="R387" s="165"/>
      <c r="S387" s="165"/>
    </row>
    <row r="388" spans="3:19">
      <c r="C388" s="164"/>
      <c r="D388" s="164"/>
      <c r="E388" s="165"/>
      <c r="I388" s="164"/>
      <c r="J388" s="164"/>
      <c r="K388" s="165"/>
      <c r="Q388" s="165"/>
      <c r="R388" s="165"/>
      <c r="S388" s="165"/>
    </row>
    <row r="389" spans="3:19">
      <c r="C389" s="164"/>
      <c r="D389" s="164"/>
      <c r="E389" s="165"/>
      <c r="I389" s="164"/>
      <c r="J389" s="164"/>
      <c r="K389" s="165"/>
      <c r="Q389" s="165"/>
      <c r="R389" s="165"/>
      <c r="S389" s="165"/>
    </row>
    <row r="390" spans="3:19">
      <c r="C390" s="164"/>
      <c r="D390" s="164"/>
      <c r="E390" s="165"/>
      <c r="I390" s="164"/>
      <c r="J390" s="164"/>
      <c r="K390" s="165"/>
      <c r="Q390" s="165"/>
      <c r="R390" s="165"/>
      <c r="S390" s="165"/>
    </row>
    <row r="391" spans="3:19">
      <c r="C391" s="164"/>
      <c r="D391" s="164"/>
      <c r="E391" s="165"/>
      <c r="I391" s="164"/>
      <c r="J391" s="164"/>
      <c r="K391" s="165"/>
      <c r="Q391" s="165"/>
      <c r="R391" s="165"/>
      <c r="S391" s="165"/>
    </row>
    <row r="392" spans="3:19">
      <c r="C392" s="164"/>
      <c r="D392" s="164"/>
      <c r="E392" s="165"/>
      <c r="I392" s="164"/>
      <c r="J392" s="164"/>
      <c r="K392" s="165"/>
      <c r="Q392" s="165"/>
      <c r="R392" s="165"/>
      <c r="S392" s="165"/>
    </row>
    <row r="393" spans="3:19">
      <c r="C393" s="164"/>
      <c r="D393" s="164"/>
      <c r="E393" s="165"/>
      <c r="I393" s="164"/>
      <c r="J393" s="164"/>
      <c r="K393" s="165"/>
      <c r="Q393" s="165"/>
      <c r="R393" s="165"/>
      <c r="S393" s="165"/>
    </row>
    <row r="394" spans="3:19">
      <c r="C394" s="164"/>
      <c r="D394" s="164"/>
      <c r="E394" s="165"/>
      <c r="I394" s="164"/>
      <c r="J394" s="164"/>
      <c r="K394" s="165"/>
      <c r="Q394" s="165"/>
      <c r="R394" s="165"/>
      <c r="S394" s="165"/>
    </row>
    <row r="395" spans="3:19">
      <c r="C395" s="164"/>
      <c r="D395" s="164"/>
      <c r="E395" s="165"/>
      <c r="I395" s="164"/>
      <c r="J395" s="164"/>
      <c r="K395" s="165"/>
      <c r="Q395" s="165"/>
      <c r="R395" s="165"/>
      <c r="S395" s="165"/>
    </row>
    <row r="396" spans="3:19">
      <c r="C396" s="164"/>
      <c r="D396" s="164"/>
      <c r="E396" s="165"/>
      <c r="I396" s="164"/>
      <c r="J396" s="164"/>
      <c r="K396" s="165"/>
      <c r="Q396" s="165"/>
      <c r="R396" s="165"/>
      <c r="S396" s="165"/>
    </row>
    <row r="397" spans="3:19">
      <c r="C397" s="164"/>
      <c r="D397" s="164"/>
      <c r="E397" s="165"/>
      <c r="I397" s="164"/>
      <c r="J397" s="164"/>
      <c r="K397" s="165"/>
      <c r="Q397" s="165"/>
      <c r="R397" s="165"/>
      <c r="S397" s="165"/>
    </row>
    <row r="398" spans="3:19">
      <c r="C398" s="164"/>
      <c r="D398" s="164"/>
      <c r="E398" s="165"/>
      <c r="I398" s="164"/>
      <c r="J398" s="164"/>
      <c r="K398" s="165"/>
      <c r="Q398" s="165"/>
      <c r="R398" s="165"/>
      <c r="S398" s="165"/>
    </row>
    <row r="399" spans="3:19">
      <c r="C399" s="164"/>
      <c r="D399" s="164"/>
      <c r="E399" s="165"/>
      <c r="I399" s="164"/>
      <c r="J399" s="164"/>
      <c r="K399" s="165"/>
      <c r="Q399" s="165"/>
      <c r="R399" s="165"/>
      <c r="S399" s="165"/>
    </row>
    <row r="400" spans="3:19">
      <c r="C400" s="164"/>
      <c r="D400" s="164"/>
      <c r="E400" s="165"/>
      <c r="I400" s="164"/>
      <c r="J400" s="164"/>
      <c r="K400" s="165"/>
      <c r="N400" s="166"/>
      <c r="Q400" s="165"/>
      <c r="R400" s="165"/>
      <c r="S400" s="165"/>
    </row>
    <row r="401" spans="3:19">
      <c r="C401" s="164"/>
      <c r="D401" s="164"/>
      <c r="E401" s="165"/>
      <c r="I401" s="164"/>
      <c r="J401" s="164"/>
      <c r="K401" s="165"/>
      <c r="Q401" s="165"/>
      <c r="R401" s="165"/>
      <c r="S401" s="165"/>
    </row>
    <row r="402" spans="3:19">
      <c r="C402" s="164"/>
      <c r="D402" s="164"/>
      <c r="E402" s="165"/>
      <c r="I402" s="164"/>
      <c r="J402" s="164"/>
      <c r="K402" s="165"/>
      <c r="Q402" s="165"/>
      <c r="R402" s="165"/>
      <c r="S402" s="165"/>
    </row>
    <row r="403" spans="3:19">
      <c r="C403" s="164"/>
      <c r="D403" s="164"/>
      <c r="E403" s="165"/>
      <c r="I403" s="164"/>
      <c r="J403" s="164"/>
      <c r="K403" s="165"/>
      <c r="Q403" s="165"/>
      <c r="R403" s="165"/>
      <c r="S403" s="165"/>
    </row>
    <row r="404" spans="3:19">
      <c r="C404" s="164"/>
      <c r="D404" s="164"/>
      <c r="E404" s="165"/>
      <c r="I404" s="164"/>
      <c r="J404" s="164"/>
      <c r="K404" s="165"/>
      <c r="Q404" s="165"/>
      <c r="R404" s="165"/>
      <c r="S404" s="165"/>
    </row>
    <row r="405" spans="3:19">
      <c r="C405" s="164"/>
      <c r="D405" s="164"/>
      <c r="E405" s="165"/>
      <c r="I405" s="164"/>
      <c r="J405" s="164"/>
      <c r="K405" s="165"/>
      <c r="Q405" s="165"/>
      <c r="R405" s="165"/>
      <c r="S405" s="165"/>
    </row>
    <row r="406" spans="3:19">
      <c r="C406" s="164"/>
      <c r="D406" s="164"/>
      <c r="E406" s="165"/>
      <c r="I406" s="164"/>
      <c r="J406" s="164"/>
      <c r="K406" s="165"/>
      <c r="Q406" s="165"/>
      <c r="R406" s="165"/>
      <c r="S406" s="165"/>
    </row>
    <row r="407" spans="3:19">
      <c r="C407" s="164"/>
      <c r="D407" s="164"/>
      <c r="E407" s="165"/>
      <c r="I407" s="164"/>
      <c r="J407" s="164"/>
      <c r="K407" s="165"/>
      <c r="Q407" s="165"/>
      <c r="R407" s="165"/>
      <c r="S407" s="165"/>
    </row>
    <row r="408" spans="3:19">
      <c r="C408" s="164"/>
      <c r="D408" s="164"/>
      <c r="E408" s="165"/>
      <c r="I408" s="164"/>
      <c r="J408" s="164"/>
      <c r="K408" s="165"/>
      <c r="Q408" s="165"/>
      <c r="R408" s="165"/>
      <c r="S408" s="165"/>
    </row>
    <row r="409" spans="3:19">
      <c r="C409" s="164"/>
      <c r="D409" s="164"/>
      <c r="E409" s="165"/>
      <c r="I409" s="164"/>
      <c r="J409" s="164"/>
      <c r="K409" s="165"/>
      <c r="Q409" s="165"/>
      <c r="R409" s="165"/>
      <c r="S409" s="165"/>
    </row>
    <row r="410" spans="3:19">
      <c r="C410" s="164"/>
      <c r="D410" s="164"/>
      <c r="E410" s="165"/>
      <c r="I410" s="164"/>
      <c r="J410" s="164"/>
      <c r="K410" s="165"/>
      <c r="Q410" s="165"/>
      <c r="R410" s="165"/>
      <c r="S410" s="165"/>
    </row>
    <row r="411" spans="3:19">
      <c r="C411" s="164"/>
      <c r="D411" s="164"/>
      <c r="E411" s="165"/>
      <c r="I411" s="164"/>
      <c r="J411" s="164"/>
      <c r="K411" s="165"/>
      <c r="Q411" s="165"/>
      <c r="R411" s="165"/>
      <c r="S411" s="165"/>
    </row>
    <row r="412" spans="3:19">
      <c r="C412" s="164"/>
      <c r="D412" s="164"/>
      <c r="E412" s="165"/>
      <c r="I412" s="164"/>
      <c r="J412" s="164"/>
      <c r="K412" s="165"/>
      <c r="Q412" s="165"/>
      <c r="R412" s="165"/>
      <c r="S412" s="165"/>
    </row>
    <row r="413" spans="3:19">
      <c r="C413" s="164"/>
      <c r="D413" s="164"/>
      <c r="E413" s="165"/>
      <c r="I413" s="164"/>
      <c r="J413" s="164"/>
      <c r="K413" s="165"/>
      <c r="Q413" s="165"/>
      <c r="R413" s="165"/>
      <c r="S413" s="165"/>
    </row>
    <row r="414" spans="3:19">
      <c r="C414" s="164"/>
      <c r="D414" s="164"/>
      <c r="E414" s="165"/>
      <c r="I414" s="164"/>
      <c r="J414" s="164"/>
      <c r="K414" s="165"/>
      <c r="Q414" s="165"/>
      <c r="R414" s="165"/>
      <c r="S414" s="165"/>
    </row>
    <row r="415" spans="3:19">
      <c r="C415" s="164"/>
      <c r="D415" s="164"/>
      <c r="E415" s="165"/>
      <c r="I415" s="164"/>
      <c r="J415" s="164"/>
      <c r="K415" s="165"/>
      <c r="Q415" s="165"/>
      <c r="R415" s="165"/>
      <c r="S415" s="165"/>
    </row>
    <row r="416" spans="3:19">
      <c r="C416" s="164"/>
      <c r="D416" s="164"/>
      <c r="E416" s="165"/>
      <c r="I416" s="164"/>
      <c r="J416" s="164"/>
      <c r="K416" s="165"/>
      <c r="Q416" s="165"/>
      <c r="R416" s="165"/>
      <c r="S416" s="165"/>
    </row>
    <row r="417" spans="3:19">
      <c r="C417" s="164"/>
      <c r="D417" s="164"/>
      <c r="E417" s="165"/>
      <c r="I417" s="164"/>
      <c r="J417" s="164"/>
      <c r="K417" s="165"/>
      <c r="Q417" s="165"/>
      <c r="R417" s="165"/>
      <c r="S417" s="165"/>
    </row>
    <row r="418" spans="3:19">
      <c r="C418" s="164"/>
      <c r="D418" s="164"/>
      <c r="E418" s="165"/>
      <c r="I418" s="164"/>
      <c r="J418" s="164"/>
      <c r="K418" s="165"/>
      <c r="Q418" s="165"/>
      <c r="R418" s="165"/>
      <c r="S418" s="165"/>
    </row>
    <row r="419" spans="3:19">
      <c r="C419" s="164"/>
      <c r="D419" s="164"/>
      <c r="E419" s="165"/>
      <c r="I419" s="164"/>
      <c r="J419" s="164"/>
      <c r="K419" s="165"/>
      <c r="Q419" s="165"/>
      <c r="R419" s="165"/>
      <c r="S419" s="165"/>
    </row>
    <row r="420" spans="3:19">
      <c r="C420" s="164"/>
      <c r="D420" s="164"/>
      <c r="E420" s="165"/>
      <c r="I420" s="164"/>
      <c r="J420" s="164"/>
      <c r="K420" s="165"/>
      <c r="Q420" s="165"/>
      <c r="R420" s="165"/>
      <c r="S420" s="165"/>
    </row>
    <row r="421" spans="3:19">
      <c r="C421" s="164"/>
      <c r="D421" s="164"/>
      <c r="E421" s="165"/>
      <c r="I421" s="164"/>
      <c r="J421" s="164"/>
      <c r="K421" s="165"/>
      <c r="Q421" s="165"/>
      <c r="R421" s="165"/>
      <c r="S421" s="165"/>
    </row>
    <row r="422" spans="3:19">
      <c r="C422" s="164"/>
      <c r="D422" s="164"/>
      <c r="E422" s="165"/>
      <c r="I422" s="164"/>
      <c r="J422" s="164"/>
      <c r="K422" s="165"/>
      <c r="Q422" s="165"/>
      <c r="R422" s="165"/>
      <c r="S422" s="165"/>
    </row>
    <row r="423" spans="3:19">
      <c r="C423" s="164"/>
      <c r="D423" s="164"/>
      <c r="E423" s="165"/>
      <c r="I423" s="164"/>
      <c r="J423" s="164"/>
      <c r="K423" s="165"/>
      <c r="Q423" s="165"/>
      <c r="R423" s="165"/>
      <c r="S423" s="165"/>
    </row>
    <row r="424" spans="3:19">
      <c r="C424" s="164"/>
      <c r="D424" s="164"/>
      <c r="E424" s="165"/>
      <c r="I424" s="164"/>
      <c r="J424" s="164"/>
      <c r="K424" s="165"/>
      <c r="Q424" s="165"/>
      <c r="R424" s="165"/>
      <c r="S424" s="165"/>
    </row>
    <row r="425" spans="3:19">
      <c r="C425" s="164"/>
      <c r="D425" s="164"/>
      <c r="E425" s="165"/>
      <c r="I425" s="164"/>
      <c r="J425" s="164"/>
      <c r="K425" s="165"/>
      <c r="Q425" s="165"/>
      <c r="R425" s="165"/>
      <c r="S425" s="165"/>
    </row>
    <row r="426" spans="3:19">
      <c r="C426" s="164"/>
      <c r="D426" s="164"/>
      <c r="E426" s="165"/>
      <c r="I426" s="164"/>
      <c r="J426" s="164"/>
      <c r="K426" s="165"/>
      <c r="Q426" s="165"/>
      <c r="R426" s="165"/>
      <c r="S426" s="165"/>
    </row>
    <row r="427" spans="3:19">
      <c r="C427" s="164"/>
      <c r="D427" s="164"/>
      <c r="E427" s="165"/>
      <c r="I427" s="164"/>
      <c r="J427" s="164"/>
      <c r="K427" s="165"/>
      <c r="Q427" s="165"/>
      <c r="R427" s="165"/>
      <c r="S427" s="165"/>
    </row>
    <row r="428" spans="3:19">
      <c r="C428" s="164"/>
      <c r="D428" s="164"/>
      <c r="E428" s="165"/>
      <c r="I428" s="164"/>
      <c r="J428" s="164"/>
      <c r="K428" s="165"/>
      <c r="Q428" s="165"/>
      <c r="R428" s="165"/>
      <c r="S428" s="165"/>
    </row>
    <row r="429" spans="3:19">
      <c r="C429" s="164"/>
      <c r="D429" s="164"/>
      <c r="E429" s="165"/>
      <c r="I429" s="164"/>
      <c r="J429" s="164"/>
      <c r="K429" s="165"/>
      <c r="Q429" s="165"/>
      <c r="R429" s="165"/>
      <c r="S429" s="165"/>
    </row>
    <row r="430" spans="3:19">
      <c r="C430" s="164"/>
      <c r="D430" s="164"/>
      <c r="E430" s="165"/>
      <c r="I430" s="164"/>
      <c r="J430" s="164"/>
      <c r="K430" s="165"/>
      <c r="Q430" s="165"/>
      <c r="R430" s="165"/>
      <c r="S430" s="165"/>
    </row>
    <row r="431" spans="3:19">
      <c r="C431" s="164"/>
      <c r="D431" s="164"/>
      <c r="E431" s="165"/>
      <c r="I431" s="164"/>
      <c r="J431" s="164"/>
      <c r="K431" s="165"/>
      <c r="Q431" s="165"/>
      <c r="R431" s="165"/>
      <c r="S431" s="165"/>
    </row>
    <row r="432" spans="3:19">
      <c r="C432" s="164"/>
      <c r="D432" s="164"/>
      <c r="E432" s="165"/>
      <c r="I432" s="164"/>
      <c r="J432" s="164"/>
      <c r="K432" s="165"/>
      <c r="Q432" s="165"/>
      <c r="R432" s="165"/>
      <c r="S432" s="165"/>
    </row>
    <row r="433" spans="3:19">
      <c r="C433" s="164"/>
      <c r="D433" s="164"/>
      <c r="E433" s="165"/>
      <c r="I433" s="164"/>
      <c r="J433" s="164"/>
      <c r="K433" s="165"/>
      <c r="Q433" s="165"/>
      <c r="R433" s="165"/>
      <c r="S433" s="165"/>
    </row>
    <row r="434" spans="3:19">
      <c r="C434" s="164"/>
      <c r="D434" s="164"/>
      <c r="E434" s="165"/>
      <c r="I434" s="164"/>
      <c r="J434" s="164"/>
      <c r="K434" s="165"/>
      <c r="Q434" s="165"/>
      <c r="R434" s="165"/>
      <c r="S434" s="165"/>
    </row>
    <row r="435" spans="3:19">
      <c r="C435" s="164"/>
      <c r="D435" s="164"/>
      <c r="E435" s="165"/>
      <c r="I435" s="164"/>
      <c r="J435" s="164"/>
      <c r="K435" s="165"/>
      <c r="Q435" s="165"/>
      <c r="R435" s="165"/>
      <c r="S435" s="165"/>
    </row>
    <row r="436" spans="3:19">
      <c r="C436" s="164"/>
      <c r="D436" s="164"/>
      <c r="E436" s="165"/>
      <c r="I436" s="164"/>
      <c r="J436" s="164"/>
      <c r="K436" s="165"/>
      <c r="Q436" s="165"/>
      <c r="R436" s="165"/>
      <c r="S436" s="165"/>
    </row>
    <row r="437" spans="3:19">
      <c r="C437" s="164"/>
      <c r="D437" s="164"/>
      <c r="E437" s="165"/>
      <c r="I437" s="164"/>
      <c r="J437" s="164"/>
      <c r="K437" s="165"/>
      <c r="Q437" s="165"/>
      <c r="R437" s="165"/>
      <c r="S437" s="165"/>
    </row>
    <row r="438" spans="3:19">
      <c r="C438" s="164"/>
      <c r="D438" s="164"/>
      <c r="E438" s="165"/>
      <c r="I438" s="164"/>
      <c r="J438" s="164"/>
      <c r="K438" s="165"/>
      <c r="Q438" s="165"/>
      <c r="R438" s="165"/>
      <c r="S438" s="165"/>
    </row>
    <row r="439" spans="3:19">
      <c r="C439" s="164"/>
      <c r="D439" s="164"/>
      <c r="E439" s="165"/>
      <c r="I439" s="164"/>
      <c r="J439" s="164"/>
      <c r="K439" s="165"/>
      <c r="Q439" s="165"/>
      <c r="R439" s="165"/>
      <c r="S439" s="165"/>
    </row>
    <row r="440" spans="3:19">
      <c r="C440" s="164"/>
      <c r="D440" s="164"/>
      <c r="E440" s="165"/>
      <c r="I440" s="164"/>
      <c r="J440" s="164"/>
      <c r="K440" s="165"/>
      <c r="Q440" s="165"/>
      <c r="R440" s="165"/>
      <c r="S440" s="165"/>
    </row>
    <row r="441" spans="3:19">
      <c r="C441" s="164"/>
      <c r="D441" s="164"/>
      <c r="E441" s="165"/>
      <c r="I441" s="164"/>
      <c r="J441" s="164"/>
      <c r="K441" s="165"/>
      <c r="Q441" s="165"/>
      <c r="R441" s="165"/>
      <c r="S441" s="165"/>
    </row>
    <row r="442" spans="3:19">
      <c r="C442" s="164"/>
      <c r="D442" s="164"/>
      <c r="E442" s="165"/>
      <c r="I442" s="164"/>
      <c r="J442" s="164"/>
      <c r="K442" s="165"/>
      <c r="Q442" s="165"/>
      <c r="R442" s="165"/>
      <c r="S442" s="165"/>
    </row>
    <row r="443" spans="3:19">
      <c r="C443" s="164"/>
      <c r="D443" s="164"/>
      <c r="E443" s="165"/>
      <c r="I443" s="164"/>
      <c r="J443" s="164"/>
      <c r="K443" s="165"/>
      <c r="Q443" s="165"/>
      <c r="R443" s="165"/>
      <c r="S443" s="165"/>
    </row>
    <row r="444" spans="3:19">
      <c r="C444" s="164"/>
      <c r="D444" s="164"/>
      <c r="E444" s="165"/>
      <c r="I444" s="164"/>
      <c r="J444" s="164"/>
      <c r="K444" s="165"/>
      <c r="Q444" s="165"/>
      <c r="R444" s="165"/>
      <c r="S444" s="165"/>
    </row>
    <row r="445" spans="3:19">
      <c r="C445" s="164"/>
      <c r="D445" s="164"/>
      <c r="E445" s="165"/>
      <c r="I445" s="164"/>
      <c r="J445" s="164"/>
      <c r="K445" s="165"/>
      <c r="Q445" s="165"/>
      <c r="R445" s="165"/>
      <c r="S445" s="165"/>
    </row>
    <row r="446" spans="3:19">
      <c r="C446" s="164"/>
      <c r="D446" s="164"/>
      <c r="E446" s="165"/>
      <c r="I446" s="164"/>
      <c r="J446" s="164"/>
      <c r="K446" s="165"/>
      <c r="Q446" s="165"/>
      <c r="R446" s="165"/>
      <c r="S446" s="165"/>
    </row>
    <row r="447" spans="3:19">
      <c r="C447" s="164"/>
      <c r="D447" s="164"/>
      <c r="E447" s="165"/>
      <c r="I447" s="164"/>
      <c r="J447" s="164"/>
      <c r="K447" s="165"/>
      <c r="Q447" s="165"/>
      <c r="R447" s="165"/>
      <c r="S447" s="165"/>
    </row>
    <row r="448" spans="3:19">
      <c r="C448" s="164"/>
      <c r="D448" s="164"/>
      <c r="E448" s="165"/>
      <c r="I448" s="164"/>
      <c r="J448" s="164"/>
      <c r="K448" s="165"/>
      <c r="Q448" s="165"/>
      <c r="R448" s="165"/>
      <c r="S448" s="165"/>
    </row>
    <row r="449" spans="3:19">
      <c r="C449" s="164"/>
      <c r="D449" s="164"/>
      <c r="E449" s="165"/>
      <c r="I449" s="164"/>
      <c r="J449" s="164"/>
      <c r="K449" s="165"/>
      <c r="Q449" s="165"/>
      <c r="R449" s="165"/>
      <c r="S449" s="165"/>
    </row>
    <row r="450" spans="3:19">
      <c r="C450" s="164"/>
      <c r="D450" s="164"/>
      <c r="E450" s="165"/>
      <c r="I450" s="164"/>
      <c r="J450" s="164"/>
      <c r="K450" s="165"/>
      <c r="Q450" s="165"/>
      <c r="R450" s="165"/>
      <c r="S450" s="165"/>
    </row>
    <row r="451" spans="3:19">
      <c r="C451" s="164"/>
      <c r="D451" s="164"/>
      <c r="E451" s="165"/>
      <c r="I451" s="164"/>
      <c r="J451" s="164"/>
      <c r="K451" s="165"/>
      <c r="Q451" s="165"/>
      <c r="R451" s="165"/>
      <c r="S451" s="165"/>
    </row>
    <row r="452" spans="3:19">
      <c r="C452" s="164"/>
      <c r="D452" s="164"/>
      <c r="E452" s="165"/>
      <c r="I452" s="164"/>
      <c r="J452" s="164"/>
      <c r="K452" s="165"/>
      <c r="Q452" s="165"/>
      <c r="R452" s="165"/>
      <c r="S452" s="165"/>
    </row>
    <row r="453" spans="3:19">
      <c r="C453" s="164"/>
      <c r="D453" s="164"/>
      <c r="E453" s="165"/>
      <c r="I453" s="164"/>
      <c r="J453" s="164"/>
      <c r="K453" s="165"/>
      <c r="Q453" s="165"/>
      <c r="R453" s="165"/>
      <c r="S453" s="165"/>
    </row>
    <row r="454" spans="3:19">
      <c r="C454" s="164"/>
      <c r="D454" s="164"/>
      <c r="E454" s="165"/>
      <c r="I454" s="164"/>
      <c r="J454" s="164"/>
      <c r="K454" s="165"/>
      <c r="Q454" s="165"/>
      <c r="R454" s="165"/>
      <c r="S454" s="165"/>
    </row>
    <row r="455" spans="3:19">
      <c r="C455" s="164"/>
      <c r="D455" s="164"/>
      <c r="E455" s="165"/>
      <c r="I455" s="164"/>
      <c r="J455" s="164"/>
      <c r="K455" s="165"/>
      <c r="Q455" s="165"/>
      <c r="R455" s="165"/>
      <c r="S455" s="165"/>
    </row>
    <row r="456" spans="3:19">
      <c r="C456" s="164"/>
      <c r="D456" s="164"/>
      <c r="E456" s="165"/>
      <c r="I456" s="164"/>
      <c r="J456" s="164"/>
      <c r="K456" s="165"/>
      <c r="Q456" s="165"/>
      <c r="R456" s="165"/>
      <c r="S456" s="165"/>
    </row>
    <row r="457" spans="3:19">
      <c r="C457" s="164"/>
      <c r="D457" s="164"/>
      <c r="E457" s="165"/>
      <c r="I457" s="164"/>
      <c r="J457" s="164"/>
      <c r="K457" s="165"/>
      <c r="Q457" s="165"/>
      <c r="R457" s="165"/>
      <c r="S457" s="165"/>
    </row>
    <row r="458" spans="3:19">
      <c r="C458" s="164"/>
      <c r="D458" s="164"/>
      <c r="E458" s="165"/>
      <c r="I458" s="164"/>
      <c r="J458" s="164"/>
      <c r="K458" s="165"/>
      <c r="Q458" s="165"/>
      <c r="R458" s="165"/>
      <c r="S458" s="165"/>
    </row>
    <row r="459" spans="3:19">
      <c r="C459" s="164"/>
      <c r="D459" s="164"/>
      <c r="E459" s="165"/>
      <c r="I459" s="164"/>
      <c r="J459" s="164"/>
      <c r="K459" s="165"/>
      <c r="Q459" s="165"/>
      <c r="R459" s="165"/>
      <c r="S459" s="165"/>
    </row>
    <row r="460" spans="3:19">
      <c r="C460" s="164"/>
      <c r="D460" s="164"/>
      <c r="E460" s="165"/>
      <c r="I460" s="164"/>
      <c r="J460" s="164"/>
      <c r="K460" s="165"/>
      <c r="Q460" s="165"/>
      <c r="R460" s="165"/>
      <c r="S460" s="165"/>
    </row>
    <row r="461" spans="3:19">
      <c r="C461" s="164"/>
      <c r="D461" s="164"/>
      <c r="E461" s="165"/>
      <c r="I461" s="164"/>
      <c r="J461" s="164"/>
      <c r="K461" s="165"/>
      <c r="Q461" s="165"/>
      <c r="R461" s="165"/>
      <c r="S461" s="165"/>
    </row>
    <row r="462" spans="3:19">
      <c r="C462" s="164"/>
      <c r="D462" s="164"/>
      <c r="E462" s="165"/>
      <c r="I462" s="164"/>
      <c r="J462" s="164"/>
      <c r="K462" s="165"/>
      <c r="Q462" s="165"/>
      <c r="R462" s="165"/>
      <c r="S462" s="165"/>
    </row>
    <row r="463" spans="3:19">
      <c r="C463" s="164"/>
      <c r="D463" s="164"/>
      <c r="E463" s="165"/>
      <c r="I463" s="164"/>
      <c r="J463" s="164"/>
      <c r="K463" s="165"/>
      <c r="Q463" s="165"/>
      <c r="R463" s="165"/>
      <c r="S463" s="165"/>
    </row>
    <row r="464" spans="3:19">
      <c r="C464" s="164"/>
      <c r="D464" s="164"/>
      <c r="E464" s="165"/>
      <c r="I464" s="164"/>
      <c r="J464" s="164"/>
      <c r="K464" s="165"/>
      <c r="Q464" s="165"/>
      <c r="R464" s="165"/>
      <c r="S464" s="165"/>
    </row>
    <row r="465" spans="3:19">
      <c r="C465" s="164"/>
      <c r="D465" s="164"/>
      <c r="E465" s="165"/>
      <c r="I465" s="164"/>
      <c r="J465" s="164"/>
      <c r="K465" s="165"/>
      <c r="N465" s="166"/>
      <c r="Q465" s="165"/>
      <c r="R465" s="165"/>
      <c r="S465" s="165"/>
    </row>
    <row r="466" spans="3:19">
      <c r="C466" s="164"/>
      <c r="D466" s="164"/>
      <c r="E466" s="165"/>
      <c r="I466" s="164"/>
      <c r="J466" s="164"/>
      <c r="K466" s="165"/>
      <c r="N466" s="166"/>
      <c r="Q466" s="165"/>
      <c r="R466" s="165"/>
      <c r="S466" s="165"/>
    </row>
    <row r="467" spans="3:19">
      <c r="C467" s="164"/>
      <c r="D467" s="164"/>
      <c r="E467" s="165"/>
      <c r="I467" s="164"/>
      <c r="J467" s="164"/>
      <c r="K467" s="165"/>
      <c r="Q467" s="165"/>
      <c r="R467" s="165"/>
      <c r="S467" s="165"/>
    </row>
    <row r="468" spans="3:19">
      <c r="C468" s="164"/>
      <c r="D468" s="164"/>
      <c r="E468" s="165"/>
      <c r="I468" s="164"/>
      <c r="J468" s="164"/>
      <c r="K468" s="165"/>
      <c r="Q468" s="165"/>
      <c r="R468" s="165"/>
      <c r="S468" s="165"/>
    </row>
    <row r="469" spans="3:19">
      <c r="C469" s="164"/>
      <c r="D469" s="164"/>
      <c r="E469" s="165"/>
      <c r="I469" s="164"/>
      <c r="J469" s="164"/>
      <c r="K469" s="165"/>
      <c r="Q469" s="165"/>
      <c r="R469" s="165"/>
      <c r="S469" s="165"/>
    </row>
    <row r="470" spans="3:19">
      <c r="C470" s="164"/>
      <c r="D470" s="164"/>
      <c r="E470" s="165"/>
      <c r="I470" s="164"/>
      <c r="J470" s="164"/>
      <c r="K470" s="165"/>
      <c r="Q470" s="165"/>
      <c r="R470" s="165"/>
      <c r="S470" s="165"/>
    </row>
    <row r="471" spans="3:19">
      <c r="C471" s="164"/>
      <c r="D471" s="164"/>
      <c r="E471" s="165"/>
      <c r="J471" s="164"/>
      <c r="K471" s="165"/>
      <c r="Q471" s="165"/>
      <c r="R471" s="165"/>
      <c r="S471" s="165"/>
    </row>
    <row r="472" spans="3:19">
      <c r="C472" s="164"/>
      <c r="D472" s="164"/>
      <c r="E472" s="165"/>
      <c r="I472" s="164"/>
      <c r="K472" s="165"/>
      <c r="L472" s="166"/>
      <c r="Q472" s="165"/>
      <c r="R472" s="165"/>
      <c r="S472" s="165"/>
    </row>
    <row r="473" spans="3:19">
      <c r="C473" s="164"/>
      <c r="D473" s="164"/>
      <c r="E473" s="165"/>
      <c r="J473" s="164"/>
      <c r="K473" s="165"/>
      <c r="L473" s="166"/>
      <c r="Q473" s="165"/>
      <c r="R473" s="165"/>
      <c r="S473" s="165"/>
    </row>
    <row r="474" spans="3:19">
      <c r="C474" s="164"/>
      <c r="D474" s="164"/>
      <c r="E474" s="165"/>
      <c r="I474" s="164"/>
      <c r="J474" s="164"/>
      <c r="K474" s="165"/>
      <c r="Q474" s="165"/>
      <c r="R474" s="165"/>
      <c r="S474" s="165"/>
    </row>
    <row r="475" spans="3:19">
      <c r="C475" s="164"/>
      <c r="D475" s="164"/>
      <c r="E475" s="165"/>
      <c r="I475" s="164"/>
      <c r="J475" s="164"/>
      <c r="K475" s="165"/>
      <c r="Q475" s="165"/>
      <c r="R475" s="165"/>
      <c r="S475" s="165"/>
    </row>
    <row r="476" spans="3:19">
      <c r="C476" s="164"/>
      <c r="D476" s="164"/>
      <c r="E476" s="165"/>
      <c r="I476" s="164"/>
      <c r="J476" s="164"/>
      <c r="K476" s="165"/>
      <c r="Q476" s="165"/>
      <c r="R476" s="165"/>
      <c r="S476" s="165"/>
    </row>
    <row r="477" spans="3:19">
      <c r="C477" s="164"/>
      <c r="D477" s="164"/>
      <c r="E477" s="165"/>
      <c r="I477" s="164"/>
      <c r="J477" s="164"/>
      <c r="K477" s="165"/>
      <c r="Q477" s="165"/>
      <c r="R477" s="165"/>
      <c r="S477" s="165"/>
    </row>
    <row r="478" spans="3:19">
      <c r="C478" s="164"/>
      <c r="D478" s="164"/>
      <c r="E478" s="165"/>
      <c r="I478" s="164"/>
      <c r="J478" s="164"/>
      <c r="K478" s="165"/>
      <c r="Q478" s="165"/>
      <c r="R478" s="165"/>
      <c r="S478" s="165"/>
    </row>
    <row r="479" spans="3:19">
      <c r="C479" s="164"/>
      <c r="D479" s="164"/>
      <c r="E479" s="165"/>
      <c r="I479" s="164"/>
      <c r="J479" s="164"/>
      <c r="K479" s="165"/>
      <c r="Q479" s="165"/>
      <c r="R479" s="165"/>
      <c r="S479" s="165"/>
    </row>
    <row r="480" spans="3:19">
      <c r="C480" s="164"/>
      <c r="D480" s="164"/>
      <c r="E480" s="165"/>
      <c r="I480" s="164"/>
      <c r="J480" s="164"/>
      <c r="K480" s="165"/>
      <c r="Q480" s="165"/>
      <c r="R480" s="165"/>
      <c r="S480" s="165"/>
    </row>
    <row r="481" spans="3:19">
      <c r="C481" s="164"/>
      <c r="D481" s="164"/>
      <c r="E481" s="165"/>
      <c r="I481" s="164"/>
      <c r="J481" s="164"/>
      <c r="K481" s="165"/>
      <c r="Q481" s="165"/>
      <c r="R481" s="165"/>
      <c r="S481" s="165"/>
    </row>
    <row r="482" spans="3:19">
      <c r="C482" s="164"/>
      <c r="D482" s="164"/>
      <c r="E482" s="165"/>
      <c r="I482" s="164"/>
      <c r="J482" s="164"/>
      <c r="K482" s="165"/>
      <c r="Q482" s="165"/>
      <c r="R482" s="165"/>
      <c r="S482" s="165"/>
    </row>
    <row r="483" spans="3:19">
      <c r="C483" s="164"/>
      <c r="D483" s="164"/>
      <c r="E483" s="165"/>
      <c r="I483" s="164"/>
      <c r="J483" s="164"/>
      <c r="K483" s="165"/>
      <c r="Q483" s="165"/>
      <c r="R483" s="165"/>
      <c r="S483" s="165"/>
    </row>
    <row r="484" spans="3:19">
      <c r="C484" s="164"/>
      <c r="D484" s="164"/>
      <c r="E484" s="165"/>
      <c r="I484" s="164"/>
      <c r="J484" s="164"/>
      <c r="K484" s="165"/>
      <c r="Q484" s="165"/>
      <c r="R484" s="165"/>
      <c r="S484" s="165"/>
    </row>
    <row r="485" spans="3:19">
      <c r="C485" s="164"/>
      <c r="D485" s="164"/>
      <c r="E485" s="165"/>
      <c r="I485" s="164"/>
      <c r="J485" s="164"/>
      <c r="K485" s="165"/>
      <c r="Q485" s="165"/>
      <c r="R485" s="165"/>
      <c r="S485" s="165"/>
    </row>
    <row r="486" spans="3:19">
      <c r="C486" s="164"/>
      <c r="D486" s="164"/>
      <c r="E486" s="165"/>
      <c r="I486" s="164"/>
      <c r="J486" s="164"/>
      <c r="K486" s="165"/>
      <c r="Q486" s="165"/>
      <c r="R486" s="165"/>
      <c r="S486" s="165"/>
    </row>
    <row r="487" spans="3:19">
      <c r="C487" s="164"/>
      <c r="D487" s="164"/>
      <c r="E487" s="165"/>
      <c r="I487" s="164"/>
      <c r="J487" s="164"/>
      <c r="K487" s="165"/>
      <c r="Q487" s="165"/>
      <c r="R487" s="165"/>
      <c r="S487" s="165"/>
    </row>
    <row r="488" spans="3:19">
      <c r="C488" s="164"/>
      <c r="D488" s="164"/>
      <c r="E488" s="165"/>
      <c r="I488" s="164"/>
      <c r="J488" s="164"/>
      <c r="K488" s="165"/>
      <c r="Q488" s="165"/>
      <c r="R488" s="165"/>
      <c r="S488" s="165"/>
    </row>
    <row r="489" spans="3:19">
      <c r="C489" s="164"/>
      <c r="D489" s="164"/>
      <c r="E489" s="165"/>
      <c r="I489" s="164"/>
      <c r="J489" s="164"/>
      <c r="K489" s="165"/>
      <c r="Q489" s="165"/>
      <c r="R489" s="165"/>
      <c r="S489" s="165"/>
    </row>
    <row r="490" spans="3:19">
      <c r="C490" s="164"/>
      <c r="D490" s="164"/>
      <c r="E490" s="165"/>
      <c r="I490" s="164"/>
      <c r="J490" s="164"/>
      <c r="K490" s="165"/>
      <c r="Q490" s="165"/>
      <c r="R490" s="165"/>
      <c r="S490" s="165"/>
    </row>
    <row r="491" spans="3:19">
      <c r="C491" s="164"/>
      <c r="D491" s="164"/>
      <c r="E491" s="165"/>
      <c r="I491" s="164"/>
      <c r="J491" s="164"/>
      <c r="K491" s="165"/>
      <c r="Q491" s="165"/>
      <c r="R491" s="165"/>
      <c r="S491" s="165"/>
    </row>
    <row r="492" spans="3:19">
      <c r="C492" s="164"/>
      <c r="D492" s="164"/>
      <c r="E492" s="165"/>
      <c r="I492" s="164"/>
      <c r="J492" s="164"/>
      <c r="K492" s="165"/>
      <c r="Q492" s="165"/>
      <c r="R492" s="165"/>
      <c r="S492" s="165"/>
    </row>
    <row r="493" spans="3:19">
      <c r="C493" s="164"/>
      <c r="D493" s="164"/>
      <c r="E493" s="165"/>
      <c r="I493" s="164"/>
      <c r="J493" s="164"/>
      <c r="K493" s="165"/>
      <c r="Q493" s="165"/>
      <c r="R493" s="165"/>
      <c r="S493" s="165"/>
    </row>
    <row r="494" spans="3:19">
      <c r="C494" s="164"/>
      <c r="D494" s="164"/>
      <c r="E494" s="165"/>
      <c r="I494" s="164"/>
      <c r="J494" s="164"/>
      <c r="K494" s="165"/>
      <c r="Q494" s="165"/>
      <c r="R494" s="165"/>
      <c r="S494" s="165"/>
    </row>
    <row r="495" spans="3:19">
      <c r="C495" s="164"/>
      <c r="D495" s="164"/>
      <c r="E495" s="165"/>
      <c r="I495" s="164"/>
      <c r="J495" s="164"/>
      <c r="K495" s="165"/>
      <c r="Q495" s="165"/>
      <c r="R495" s="165"/>
      <c r="S495" s="165"/>
    </row>
    <row r="496" spans="3:19">
      <c r="C496" s="164"/>
      <c r="D496" s="164"/>
      <c r="E496" s="165"/>
      <c r="I496" s="164"/>
      <c r="J496" s="164"/>
      <c r="K496" s="165"/>
      <c r="Q496" s="165"/>
      <c r="R496" s="165"/>
      <c r="S496" s="165"/>
    </row>
    <row r="497" spans="3:19">
      <c r="C497" s="164"/>
      <c r="D497" s="164"/>
      <c r="E497" s="165"/>
      <c r="I497" s="164"/>
      <c r="J497" s="164"/>
      <c r="K497" s="165"/>
      <c r="Q497" s="165"/>
      <c r="R497" s="165"/>
      <c r="S497" s="165"/>
    </row>
    <row r="498" spans="3:19">
      <c r="C498" s="164"/>
      <c r="D498" s="164"/>
      <c r="E498" s="165"/>
      <c r="I498" s="164"/>
      <c r="J498" s="164"/>
      <c r="K498" s="165"/>
      <c r="Q498" s="165"/>
      <c r="R498" s="165"/>
      <c r="S498" s="165"/>
    </row>
    <row r="499" spans="3:19">
      <c r="C499" s="164"/>
      <c r="D499" s="164"/>
      <c r="E499" s="165"/>
      <c r="I499" s="164"/>
      <c r="J499" s="164"/>
      <c r="K499" s="165"/>
      <c r="Q499" s="165"/>
      <c r="R499" s="165"/>
      <c r="S499" s="165"/>
    </row>
    <row r="500" spans="3:19">
      <c r="C500" s="164"/>
      <c r="D500" s="164"/>
      <c r="E500" s="165"/>
      <c r="I500" s="164"/>
      <c r="J500" s="164"/>
      <c r="K500" s="165"/>
      <c r="Q500" s="165"/>
      <c r="R500" s="165"/>
      <c r="S500" s="165"/>
    </row>
    <row r="501" spans="3:19">
      <c r="C501" s="164"/>
      <c r="D501" s="164"/>
      <c r="E501" s="165"/>
      <c r="I501" s="164"/>
      <c r="J501" s="164"/>
      <c r="K501" s="165"/>
      <c r="Q501" s="165"/>
      <c r="R501" s="165"/>
      <c r="S501" s="165"/>
    </row>
    <row r="502" spans="3:19">
      <c r="E502" s="163"/>
      <c r="K502" s="163"/>
      <c r="Q502" s="163"/>
      <c r="R502" s="163"/>
      <c r="S502" s="163"/>
    </row>
    <row r="503" spans="3:19">
      <c r="E503" s="163"/>
      <c r="K503" s="163"/>
      <c r="Q503" s="163"/>
      <c r="R503" s="163"/>
      <c r="S503" s="163"/>
    </row>
    <row r="504" spans="3:19">
      <c r="E504" s="163"/>
      <c r="K504" s="163"/>
      <c r="Q504" s="163"/>
      <c r="R504" s="163"/>
      <c r="S504" s="163"/>
    </row>
    <row r="505" spans="3:19">
      <c r="E505" s="163"/>
      <c r="K505" s="163"/>
      <c r="Q505" s="163"/>
      <c r="R505" s="163"/>
      <c r="S505" s="163"/>
    </row>
    <row r="506" spans="3:19">
      <c r="E506" s="163"/>
      <c r="K506" s="163"/>
      <c r="Q506" s="163"/>
      <c r="R506" s="163"/>
      <c r="S506" s="163"/>
    </row>
    <row r="507" spans="3:19">
      <c r="E507" s="163"/>
      <c r="K507" s="163"/>
      <c r="Q507" s="163"/>
      <c r="R507" s="163"/>
      <c r="S507" s="163"/>
    </row>
    <row r="508" spans="3:19">
      <c r="E508" s="163"/>
      <c r="K508" s="163"/>
      <c r="Q508" s="163"/>
      <c r="R508" s="163"/>
      <c r="S508" s="163"/>
    </row>
    <row r="509" spans="3:19">
      <c r="E509" s="163"/>
      <c r="K509" s="163"/>
      <c r="Q509" s="163"/>
      <c r="R509" s="163"/>
      <c r="S509" s="163"/>
    </row>
    <row r="510" spans="3:19">
      <c r="E510" s="163"/>
      <c r="K510" s="163"/>
      <c r="Q510" s="163"/>
      <c r="R510" s="163"/>
      <c r="S510" s="163"/>
    </row>
    <row r="511" spans="3:19">
      <c r="E511" s="163"/>
      <c r="K511" s="163"/>
      <c r="Q511" s="163"/>
      <c r="R511" s="163"/>
      <c r="S511" s="163"/>
    </row>
    <row r="512" spans="3:19">
      <c r="E512" s="163"/>
      <c r="K512" s="163"/>
      <c r="Q512" s="163"/>
      <c r="R512" s="163"/>
      <c r="S512" s="163"/>
    </row>
    <row r="513" spans="5:19">
      <c r="E513" s="163"/>
      <c r="K513" s="163"/>
      <c r="Q513" s="163"/>
      <c r="R513" s="163"/>
      <c r="S513" s="163"/>
    </row>
    <row r="514" spans="5:19">
      <c r="E514" s="163"/>
      <c r="K514" s="163"/>
      <c r="Q514" s="163"/>
      <c r="R514" s="163"/>
      <c r="S514" s="163"/>
    </row>
    <row r="515" spans="5:19">
      <c r="E515" s="163"/>
      <c r="K515" s="163"/>
      <c r="Q515" s="163"/>
      <c r="R515" s="163"/>
      <c r="S515" s="163"/>
    </row>
    <row r="516" spans="5:19">
      <c r="E516" s="163"/>
      <c r="K516" s="163"/>
      <c r="Q516" s="163"/>
      <c r="R516" s="163"/>
      <c r="S516" s="163"/>
    </row>
    <row r="517" spans="5:19">
      <c r="E517" s="163"/>
      <c r="K517" s="163"/>
      <c r="Q517" s="163"/>
      <c r="R517" s="163"/>
      <c r="S517" s="163"/>
    </row>
    <row r="518" spans="5:19">
      <c r="E518" s="163"/>
      <c r="K518" s="163"/>
      <c r="Q518" s="163"/>
      <c r="R518" s="163"/>
      <c r="S518" s="163"/>
    </row>
    <row r="519" spans="5:19">
      <c r="E519" s="163"/>
      <c r="K519" s="163"/>
      <c r="Q519" s="163"/>
      <c r="R519" s="163"/>
      <c r="S519" s="163"/>
    </row>
    <row r="520" spans="5:19">
      <c r="E520" s="163"/>
      <c r="K520" s="163"/>
      <c r="Q520" s="163"/>
      <c r="R520" s="163"/>
      <c r="S520" s="163"/>
    </row>
    <row r="521" spans="5:19">
      <c r="E521" s="163"/>
      <c r="K521" s="163"/>
      <c r="Q521" s="163"/>
      <c r="R521" s="163"/>
      <c r="S521" s="163"/>
    </row>
    <row r="522" spans="5:19">
      <c r="E522" s="163"/>
      <c r="K522" s="163"/>
      <c r="Q522" s="163"/>
      <c r="R522" s="163"/>
      <c r="S522" s="163"/>
    </row>
    <row r="523" spans="5:19">
      <c r="E523" s="163"/>
      <c r="K523" s="163"/>
      <c r="Q523" s="163"/>
      <c r="R523" s="163"/>
      <c r="S523" s="163"/>
    </row>
    <row r="524" spans="5:19">
      <c r="E524" s="163"/>
      <c r="K524" s="163"/>
      <c r="Q524" s="163"/>
      <c r="R524" s="163"/>
      <c r="S524" s="163"/>
    </row>
    <row r="525" spans="5:19">
      <c r="E525" s="163"/>
      <c r="K525" s="163"/>
      <c r="Q525" s="163"/>
      <c r="R525" s="163"/>
      <c r="S525" s="163"/>
    </row>
    <row r="526" spans="5:19">
      <c r="E526" s="163"/>
      <c r="K526" s="163"/>
      <c r="Q526" s="163"/>
      <c r="R526" s="163"/>
      <c r="S526" s="163"/>
    </row>
    <row r="527" spans="5:19">
      <c r="E527" s="163"/>
      <c r="K527" s="163"/>
      <c r="Q527" s="163"/>
      <c r="R527" s="163"/>
      <c r="S527" s="163"/>
    </row>
    <row r="528" spans="5:19">
      <c r="E528" s="163"/>
      <c r="K528" s="163"/>
      <c r="Q528" s="163"/>
      <c r="R528" s="163"/>
      <c r="S528" s="163"/>
    </row>
    <row r="529" spans="5:19">
      <c r="E529" s="163"/>
      <c r="K529" s="163"/>
      <c r="Q529" s="163"/>
      <c r="R529" s="163"/>
      <c r="S529" s="163"/>
    </row>
    <row r="530" spans="5:19">
      <c r="E530" s="163"/>
      <c r="K530" s="163"/>
      <c r="Q530" s="163"/>
      <c r="R530" s="163"/>
      <c r="S530" s="163"/>
    </row>
    <row r="531" spans="5:19">
      <c r="E531" s="163"/>
      <c r="K531" s="163"/>
      <c r="Q531" s="163"/>
      <c r="R531" s="163"/>
      <c r="S531" s="163"/>
    </row>
    <row r="532" spans="5:19">
      <c r="E532" s="163"/>
      <c r="K532" s="163"/>
      <c r="Q532" s="163"/>
      <c r="R532" s="163"/>
      <c r="S532" s="163"/>
    </row>
    <row r="533" spans="5:19">
      <c r="E533" s="163"/>
      <c r="K533" s="163"/>
      <c r="Q533" s="163"/>
      <c r="R533" s="163"/>
      <c r="S533" s="163"/>
    </row>
    <row r="534" spans="5:19">
      <c r="E534" s="163"/>
      <c r="K534" s="163"/>
      <c r="Q534" s="163"/>
      <c r="R534" s="163"/>
      <c r="S534" s="163"/>
    </row>
    <row r="535" spans="5:19">
      <c r="E535" s="163"/>
      <c r="K535" s="163"/>
      <c r="Q535" s="163"/>
      <c r="R535" s="163"/>
      <c r="S535" s="163"/>
    </row>
    <row r="536" spans="5:19">
      <c r="E536" s="163"/>
      <c r="K536" s="163"/>
      <c r="Q536" s="163"/>
      <c r="R536" s="163"/>
      <c r="S536" s="163"/>
    </row>
    <row r="537" spans="5:19">
      <c r="E537" s="163"/>
      <c r="K537" s="163"/>
      <c r="Q537" s="163"/>
      <c r="R537" s="163"/>
      <c r="S537" s="163"/>
    </row>
    <row r="538" spans="5:19">
      <c r="E538" s="163"/>
      <c r="K538" s="163"/>
      <c r="Q538" s="163"/>
      <c r="R538" s="163"/>
      <c r="S538" s="163"/>
    </row>
    <row r="539" spans="5:19">
      <c r="E539" s="163"/>
      <c r="K539" s="163"/>
      <c r="Q539" s="163"/>
      <c r="R539" s="163"/>
      <c r="S539" s="163"/>
    </row>
    <row r="540" spans="5:19">
      <c r="E540" s="163"/>
      <c r="K540" s="163"/>
      <c r="Q540" s="163"/>
      <c r="R540" s="163"/>
      <c r="S540" s="163"/>
    </row>
    <row r="541" spans="5:19">
      <c r="E541" s="163"/>
      <c r="K541" s="163"/>
      <c r="Q541" s="163"/>
      <c r="R541" s="163"/>
      <c r="S541" s="163"/>
    </row>
    <row r="542" spans="5:19">
      <c r="E542" s="163"/>
      <c r="K542" s="163"/>
      <c r="Q542" s="163"/>
      <c r="R542" s="163"/>
      <c r="S542" s="163"/>
    </row>
    <row r="543" spans="5:19">
      <c r="E543" s="163"/>
      <c r="K543" s="163"/>
      <c r="Q543" s="163"/>
      <c r="R543" s="163"/>
      <c r="S543" s="163"/>
    </row>
    <row r="544" spans="5:19">
      <c r="E544" s="163"/>
      <c r="K544" s="163"/>
      <c r="Q544" s="163"/>
      <c r="R544" s="163"/>
      <c r="S544" s="163"/>
    </row>
    <row r="545" spans="5:19">
      <c r="E545" s="163"/>
      <c r="K545" s="163"/>
      <c r="Q545" s="163"/>
      <c r="R545" s="163"/>
      <c r="S545" s="163"/>
    </row>
    <row r="546" spans="5:19">
      <c r="E546" s="163"/>
      <c r="K546" s="163"/>
      <c r="Q546" s="163"/>
      <c r="R546" s="163"/>
      <c r="S546" s="163"/>
    </row>
    <row r="547" spans="5:19">
      <c r="E547" s="163"/>
      <c r="K547" s="163"/>
      <c r="Q547" s="163"/>
      <c r="R547" s="163"/>
      <c r="S547" s="163"/>
    </row>
    <row r="548" spans="5:19">
      <c r="E548" s="163"/>
      <c r="K548" s="163"/>
      <c r="Q548" s="163"/>
      <c r="R548" s="163"/>
      <c r="S548" s="163"/>
    </row>
    <row r="549" spans="5:19">
      <c r="E549" s="163"/>
      <c r="K549" s="163"/>
      <c r="Q549" s="163"/>
      <c r="R549" s="163"/>
      <c r="S549" s="163"/>
    </row>
    <row r="550" spans="5:19">
      <c r="E550" s="163"/>
      <c r="K550" s="163"/>
      <c r="Q550" s="163"/>
      <c r="R550" s="163"/>
      <c r="S550" s="163"/>
    </row>
    <row r="551" spans="5:19">
      <c r="E551" s="163"/>
      <c r="K551" s="163"/>
      <c r="Q551" s="163"/>
      <c r="R551" s="163"/>
      <c r="S551" s="163"/>
    </row>
    <row r="552" spans="5:19">
      <c r="E552" s="163"/>
      <c r="K552" s="163"/>
      <c r="Q552" s="163"/>
      <c r="R552" s="163"/>
      <c r="S552" s="163"/>
    </row>
    <row r="553" spans="5:19">
      <c r="E553" s="163"/>
      <c r="K553" s="163"/>
      <c r="Q553" s="163"/>
      <c r="R553" s="163"/>
      <c r="S553" s="163"/>
    </row>
    <row r="554" spans="5:19">
      <c r="E554" s="163"/>
      <c r="K554" s="163"/>
      <c r="Q554" s="163"/>
      <c r="R554" s="163"/>
      <c r="S554" s="163"/>
    </row>
    <row r="555" spans="5:19">
      <c r="E555" s="163"/>
      <c r="K555" s="163"/>
      <c r="Q555" s="163"/>
      <c r="R555" s="163"/>
      <c r="S555" s="163"/>
    </row>
    <row r="556" spans="5:19">
      <c r="E556" s="163"/>
      <c r="K556" s="163"/>
      <c r="Q556" s="163"/>
      <c r="R556" s="163"/>
      <c r="S556" s="163"/>
    </row>
    <row r="557" spans="5:19">
      <c r="E557" s="163"/>
      <c r="K557" s="163"/>
      <c r="Q557" s="163"/>
      <c r="R557" s="163"/>
      <c r="S557" s="163"/>
    </row>
    <row r="558" spans="5:19">
      <c r="E558" s="163"/>
      <c r="K558" s="163"/>
      <c r="Q558" s="163"/>
      <c r="R558" s="163"/>
      <c r="S558" s="163"/>
    </row>
    <row r="559" spans="5:19">
      <c r="E559" s="163"/>
      <c r="K559" s="163"/>
      <c r="Q559" s="163"/>
      <c r="R559" s="163"/>
      <c r="S559" s="163"/>
    </row>
    <row r="560" spans="5:19">
      <c r="E560" s="163"/>
      <c r="K560" s="163"/>
      <c r="Q560" s="163"/>
      <c r="R560" s="163"/>
      <c r="S560" s="163"/>
    </row>
    <row r="561" spans="5:19">
      <c r="E561" s="163"/>
      <c r="K561" s="163"/>
      <c r="Q561" s="163"/>
      <c r="R561" s="163"/>
      <c r="S561" s="163"/>
    </row>
    <row r="562" spans="5:19">
      <c r="E562" s="163"/>
      <c r="K562" s="163"/>
      <c r="Q562" s="163"/>
      <c r="R562" s="163"/>
      <c r="S562" s="163"/>
    </row>
    <row r="563" spans="5:19">
      <c r="E563" s="163"/>
      <c r="K563" s="163"/>
      <c r="Q563" s="163"/>
      <c r="R563" s="163"/>
      <c r="S563" s="163"/>
    </row>
    <row r="564" spans="5:19">
      <c r="E564" s="163"/>
      <c r="K564" s="163"/>
      <c r="Q564" s="163"/>
      <c r="R564" s="163"/>
      <c r="S564" s="163"/>
    </row>
    <row r="565" spans="5:19">
      <c r="E565" s="163"/>
      <c r="K565" s="163"/>
      <c r="Q565" s="163"/>
      <c r="R565" s="163"/>
      <c r="S565" s="163"/>
    </row>
    <row r="566" spans="5:19">
      <c r="E566" s="163"/>
      <c r="K566" s="163"/>
      <c r="Q566" s="163"/>
      <c r="R566" s="163"/>
      <c r="S566" s="163"/>
    </row>
    <row r="567" spans="5:19">
      <c r="E567" s="163"/>
      <c r="K567" s="163"/>
      <c r="Q567" s="163"/>
      <c r="R567" s="163"/>
      <c r="S567" s="163"/>
    </row>
    <row r="568" spans="5:19">
      <c r="E568" s="163"/>
      <c r="K568" s="163"/>
      <c r="Q568" s="163"/>
      <c r="R568" s="163"/>
      <c r="S568" s="163"/>
    </row>
    <row r="569" spans="5:19">
      <c r="E569" s="163"/>
      <c r="K569" s="163"/>
      <c r="Q569" s="163"/>
      <c r="R569" s="163"/>
      <c r="S569" s="163"/>
    </row>
    <row r="570" spans="5:19">
      <c r="E570" s="163"/>
      <c r="K570" s="163"/>
      <c r="Q570" s="163"/>
      <c r="R570" s="163"/>
      <c r="S570" s="163"/>
    </row>
    <row r="571" spans="5:19">
      <c r="E571" s="163"/>
      <c r="K571" s="163"/>
      <c r="Q571" s="163"/>
      <c r="R571" s="163"/>
      <c r="S571" s="163"/>
    </row>
    <row r="572" spans="5:19">
      <c r="E572" s="163"/>
      <c r="K572" s="163"/>
      <c r="Q572" s="163"/>
      <c r="R572" s="163"/>
      <c r="S572" s="163"/>
    </row>
    <row r="573" spans="5:19">
      <c r="E573" s="163"/>
      <c r="K573" s="163"/>
      <c r="Q573" s="163"/>
      <c r="R573" s="163"/>
      <c r="S573" s="163"/>
    </row>
    <row r="574" spans="5:19">
      <c r="E574" s="163"/>
      <c r="K574" s="163"/>
      <c r="Q574" s="163"/>
      <c r="R574" s="163"/>
      <c r="S574" s="163"/>
    </row>
    <row r="575" spans="5:19">
      <c r="E575" s="163"/>
      <c r="K575" s="163"/>
      <c r="Q575" s="163"/>
      <c r="R575" s="163"/>
      <c r="S575" s="163"/>
    </row>
    <row r="576" spans="5:19">
      <c r="E576" s="163"/>
      <c r="K576" s="163"/>
      <c r="Q576" s="163"/>
      <c r="R576" s="163"/>
      <c r="S576" s="163"/>
    </row>
    <row r="577" spans="5:19">
      <c r="E577" s="163"/>
      <c r="K577" s="163"/>
      <c r="Q577" s="163"/>
      <c r="R577" s="163"/>
      <c r="S577" s="163"/>
    </row>
    <row r="578" spans="5:19">
      <c r="E578" s="163"/>
      <c r="K578" s="163"/>
      <c r="Q578" s="163"/>
      <c r="R578" s="163"/>
      <c r="S578" s="163"/>
    </row>
    <row r="579" spans="5:19">
      <c r="E579" s="163"/>
      <c r="K579" s="163"/>
      <c r="Q579" s="163"/>
      <c r="R579" s="163"/>
      <c r="S579" s="163"/>
    </row>
    <row r="580" spans="5:19">
      <c r="E580" s="163"/>
      <c r="K580" s="163"/>
      <c r="Q580" s="163"/>
      <c r="R580" s="163"/>
      <c r="S580" s="163"/>
    </row>
    <row r="581" spans="5:19">
      <c r="E581" s="163"/>
      <c r="K581" s="163"/>
      <c r="Q581" s="163"/>
      <c r="R581" s="163"/>
      <c r="S581" s="163"/>
    </row>
    <row r="582" spans="5:19">
      <c r="E582" s="163"/>
      <c r="K582" s="163"/>
      <c r="Q582" s="163"/>
      <c r="R582" s="163"/>
      <c r="S582" s="163"/>
    </row>
    <row r="583" spans="5:19">
      <c r="E583" s="163"/>
      <c r="K583" s="163"/>
      <c r="Q583" s="163"/>
      <c r="R583" s="163"/>
      <c r="S583" s="163"/>
    </row>
    <row r="584" spans="5:19">
      <c r="E584" s="163"/>
      <c r="K584" s="163"/>
      <c r="Q584" s="163"/>
      <c r="R584" s="163"/>
      <c r="S584" s="163"/>
    </row>
    <row r="585" spans="5:19">
      <c r="E585" s="163"/>
      <c r="K585" s="163"/>
      <c r="Q585" s="163"/>
      <c r="R585" s="163"/>
      <c r="S585" s="163"/>
    </row>
    <row r="586" spans="5:19">
      <c r="E586" s="163"/>
      <c r="K586" s="163"/>
      <c r="Q586" s="163"/>
      <c r="R586" s="163"/>
      <c r="S586" s="163"/>
    </row>
    <row r="587" spans="5:19">
      <c r="E587" s="163"/>
      <c r="K587" s="163"/>
      <c r="Q587" s="163"/>
      <c r="R587" s="163"/>
      <c r="S587" s="163"/>
    </row>
    <row r="588" spans="5:19">
      <c r="E588" s="163"/>
      <c r="K588" s="163"/>
      <c r="Q588" s="163"/>
      <c r="R588" s="163"/>
      <c r="S588" s="163"/>
    </row>
    <row r="589" spans="5:19">
      <c r="E589" s="163"/>
      <c r="K589" s="163"/>
      <c r="Q589" s="163"/>
      <c r="R589" s="163"/>
      <c r="S589" s="163"/>
    </row>
    <row r="590" spans="5:19">
      <c r="E590" s="163"/>
      <c r="K590" s="163"/>
      <c r="Q590" s="163"/>
      <c r="R590" s="163"/>
      <c r="S590" s="163"/>
    </row>
    <row r="591" spans="5:19">
      <c r="E591" s="163"/>
      <c r="K591" s="163"/>
      <c r="Q591" s="163"/>
      <c r="R591" s="163"/>
      <c r="S591" s="163"/>
    </row>
    <row r="592" spans="5:19">
      <c r="E592" s="163"/>
      <c r="K592" s="163"/>
      <c r="Q592" s="163"/>
      <c r="R592" s="163"/>
      <c r="S592" s="163"/>
    </row>
    <row r="593" spans="5:19">
      <c r="E593" s="163"/>
      <c r="K593" s="163"/>
      <c r="Q593" s="163"/>
      <c r="R593" s="163"/>
      <c r="S593" s="163"/>
    </row>
    <row r="594" spans="5:19">
      <c r="E594" s="163"/>
      <c r="K594" s="163"/>
      <c r="Q594" s="163"/>
      <c r="R594" s="163"/>
      <c r="S594" s="163"/>
    </row>
    <row r="595" spans="5:19">
      <c r="E595" s="163"/>
      <c r="K595" s="163"/>
      <c r="Q595" s="163"/>
      <c r="R595" s="163"/>
      <c r="S595" s="163"/>
    </row>
    <row r="596" spans="5:19">
      <c r="E596" s="163"/>
      <c r="K596" s="163"/>
      <c r="Q596" s="163"/>
      <c r="R596" s="163"/>
      <c r="S596" s="163"/>
    </row>
    <row r="597" spans="5:19">
      <c r="E597" s="163"/>
      <c r="K597" s="163"/>
      <c r="Q597" s="163"/>
      <c r="R597" s="163"/>
      <c r="S597" s="163"/>
    </row>
    <row r="598" spans="5:19">
      <c r="E598" s="163"/>
      <c r="K598" s="163"/>
      <c r="Q598" s="163"/>
      <c r="R598" s="163"/>
      <c r="S598" s="163"/>
    </row>
    <row r="599" spans="5:19">
      <c r="E599" s="163"/>
      <c r="K599" s="163"/>
      <c r="Q599" s="163"/>
      <c r="R599" s="163"/>
      <c r="S599" s="163"/>
    </row>
    <row r="600" spans="5:19">
      <c r="E600" s="163"/>
      <c r="K600" s="163"/>
      <c r="Q600" s="163"/>
      <c r="R600" s="163"/>
      <c r="S600" s="163"/>
    </row>
    <row r="601" spans="5:19">
      <c r="E601" s="163"/>
      <c r="K601" s="163"/>
      <c r="Q601" s="163"/>
      <c r="R601" s="163"/>
      <c r="S601" s="163"/>
    </row>
    <row r="602" spans="5:19">
      <c r="E602" s="163"/>
      <c r="K602" s="163"/>
      <c r="Q602" s="163"/>
      <c r="R602" s="163"/>
      <c r="S602" s="163"/>
    </row>
    <row r="603" spans="5:19">
      <c r="E603" s="163"/>
      <c r="K603" s="163"/>
      <c r="Q603" s="163"/>
      <c r="R603" s="163"/>
      <c r="S603" s="163"/>
    </row>
    <row r="604" spans="5:19">
      <c r="E604" s="163"/>
      <c r="K604" s="163"/>
      <c r="Q604" s="163"/>
      <c r="R604" s="163"/>
      <c r="S604" s="163"/>
    </row>
    <row r="605" spans="5:19">
      <c r="E605" s="163"/>
      <c r="K605" s="163"/>
      <c r="Q605" s="163"/>
      <c r="R605" s="163"/>
      <c r="S605" s="163"/>
    </row>
    <row r="606" spans="5:19">
      <c r="E606" s="163"/>
      <c r="K606" s="163"/>
      <c r="Q606" s="163"/>
      <c r="R606" s="163"/>
      <c r="S606" s="163"/>
    </row>
    <row r="607" spans="5:19">
      <c r="E607" s="163"/>
      <c r="K607" s="163"/>
      <c r="Q607" s="163"/>
      <c r="R607" s="163"/>
      <c r="S607" s="163"/>
    </row>
    <row r="608" spans="5:19">
      <c r="E608" s="163"/>
      <c r="K608" s="163"/>
      <c r="Q608" s="163"/>
      <c r="R608" s="163"/>
      <c r="S608" s="163"/>
    </row>
    <row r="609" spans="5:19">
      <c r="E609" s="163"/>
      <c r="K609" s="163"/>
      <c r="Q609" s="163"/>
      <c r="R609" s="163"/>
      <c r="S609" s="163"/>
    </row>
    <row r="610" spans="5:19">
      <c r="E610" s="163"/>
      <c r="K610" s="163"/>
      <c r="Q610" s="163"/>
      <c r="R610" s="163"/>
      <c r="S610" s="163"/>
    </row>
    <row r="611" spans="5:19">
      <c r="E611" s="163"/>
      <c r="K611" s="163"/>
      <c r="Q611" s="163"/>
      <c r="R611" s="163"/>
      <c r="S611" s="163"/>
    </row>
    <row r="612" spans="5:19">
      <c r="E612" s="163"/>
      <c r="K612" s="163"/>
      <c r="Q612" s="163"/>
      <c r="R612" s="163"/>
      <c r="S612" s="163"/>
    </row>
    <row r="613" spans="5:19">
      <c r="E613" s="163"/>
      <c r="K613" s="163"/>
      <c r="Q613" s="163"/>
      <c r="R613" s="163"/>
      <c r="S613" s="163"/>
    </row>
    <row r="614" spans="5:19">
      <c r="E614" s="163"/>
      <c r="K614" s="163"/>
      <c r="Q614" s="163"/>
      <c r="R614" s="163"/>
      <c r="S614" s="163"/>
    </row>
    <row r="615" spans="5:19">
      <c r="E615" s="163"/>
      <c r="K615" s="163"/>
      <c r="Q615" s="163"/>
      <c r="R615" s="163"/>
      <c r="S615" s="163"/>
    </row>
    <row r="616" spans="5:19">
      <c r="E616" s="163"/>
      <c r="K616" s="163"/>
      <c r="Q616" s="163"/>
      <c r="R616" s="163"/>
      <c r="S616" s="163"/>
    </row>
    <row r="617" spans="5:19">
      <c r="E617" s="163"/>
      <c r="K617" s="163"/>
      <c r="Q617" s="163"/>
      <c r="R617" s="163"/>
      <c r="S617" s="163"/>
    </row>
    <row r="618" spans="5:19">
      <c r="E618" s="163"/>
      <c r="K618" s="163"/>
      <c r="Q618" s="163"/>
      <c r="R618" s="163"/>
      <c r="S618" s="163"/>
    </row>
    <row r="619" spans="5:19">
      <c r="E619" s="163"/>
      <c r="K619" s="163"/>
      <c r="Q619" s="163"/>
      <c r="R619" s="163"/>
      <c r="S619" s="163"/>
    </row>
    <row r="620" spans="5:19">
      <c r="E620" s="163"/>
      <c r="K620" s="163"/>
      <c r="Q620" s="163"/>
      <c r="R620" s="163"/>
      <c r="S620" s="163"/>
    </row>
    <row r="621" spans="5:19">
      <c r="E621" s="163"/>
      <c r="K621" s="163"/>
      <c r="Q621" s="163"/>
      <c r="R621" s="163"/>
      <c r="S621" s="163"/>
    </row>
    <row r="622" spans="5:19">
      <c r="E622" s="163"/>
      <c r="K622" s="163"/>
      <c r="Q622" s="163"/>
      <c r="R622" s="163"/>
      <c r="S622" s="163"/>
    </row>
    <row r="623" spans="5:19">
      <c r="E623" s="163"/>
      <c r="K623" s="163"/>
      <c r="Q623" s="163"/>
      <c r="R623" s="163"/>
      <c r="S623" s="163"/>
    </row>
    <row r="624" spans="5:19">
      <c r="E624" s="163"/>
      <c r="K624" s="163"/>
      <c r="Q624" s="163"/>
      <c r="R624" s="163"/>
      <c r="S624" s="163"/>
    </row>
    <row r="625" spans="5:19">
      <c r="E625" s="163"/>
      <c r="K625" s="163"/>
      <c r="Q625" s="163"/>
      <c r="R625" s="163"/>
      <c r="S625" s="163"/>
    </row>
    <row r="626" spans="5:19">
      <c r="E626" s="163"/>
      <c r="K626" s="163"/>
      <c r="Q626" s="163"/>
      <c r="R626" s="163"/>
      <c r="S626" s="163"/>
    </row>
    <row r="627" spans="5:19">
      <c r="E627" s="163"/>
      <c r="K627" s="163"/>
      <c r="Q627" s="163"/>
      <c r="R627" s="163"/>
      <c r="S627" s="163"/>
    </row>
    <row r="628" spans="5:19">
      <c r="E628" s="163"/>
      <c r="K628" s="163"/>
      <c r="Q628" s="163"/>
      <c r="R628" s="163"/>
      <c r="S628" s="163"/>
    </row>
    <row r="629" spans="5:19">
      <c r="E629" s="163"/>
      <c r="K629" s="163"/>
      <c r="Q629" s="163"/>
      <c r="R629" s="163"/>
      <c r="S629" s="163"/>
    </row>
    <row r="630" spans="5:19">
      <c r="E630" s="163"/>
      <c r="K630" s="163"/>
      <c r="Q630" s="163"/>
      <c r="R630" s="163"/>
      <c r="S630" s="163"/>
    </row>
    <row r="631" spans="5:19">
      <c r="E631" s="163"/>
      <c r="K631" s="163"/>
      <c r="Q631" s="163"/>
      <c r="R631" s="163"/>
      <c r="S631" s="163"/>
    </row>
    <row r="632" spans="5:19">
      <c r="E632" s="163"/>
      <c r="K632" s="163"/>
      <c r="Q632" s="163"/>
      <c r="R632" s="163"/>
      <c r="S632" s="163"/>
    </row>
    <row r="633" spans="5:19">
      <c r="E633" s="163"/>
      <c r="K633" s="163"/>
      <c r="Q633" s="163"/>
      <c r="R633" s="163"/>
      <c r="S633" s="163"/>
    </row>
    <row r="634" spans="5:19">
      <c r="E634" s="163"/>
      <c r="K634" s="163"/>
      <c r="Q634" s="163"/>
      <c r="R634" s="163"/>
      <c r="S634" s="163"/>
    </row>
    <row r="635" spans="5:19">
      <c r="E635" s="163"/>
      <c r="K635" s="163"/>
      <c r="Q635" s="163"/>
      <c r="R635" s="163"/>
      <c r="S635" s="163"/>
    </row>
    <row r="636" spans="5:19">
      <c r="E636" s="163"/>
      <c r="K636" s="163"/>
      <c r="Q636" s="163"/>
      <c r="R636" s="163"/>
      <c r="S636" s="163"/>
    </row>
    <row r="637" spans="5:19">
      <c r="E637" s="163"/>
      <c r="K637" s="163"/>
      <c r="Q637" s="163"/>
      <c r="R637" s="163"/>
      <c r="S637" s="163"/>
    </row>
    <row r="638" spans="5:19">
      <c r="E638" s="163"/>
      <c r="K638" s="163"/>
      <c r="Q638" s="163"/>
      <c r="R638" s="163"/>
      <c r="S638" s="163"/>
    </row>
    <row r="639" spans="5:19">
      <c r="E639" s="163"/>
      <c r="K639" s="163"/>
      <c r="Q639" s="163"/>
      <c r="R639" s="163"/>
      <c r="S639" s="163"/>
    </row>
    <row r="640" spans="5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6">
    <sortCondition ref="A1:A8166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Normal="100" workbookViewId="0">
      <selection activeCell="Q20" sqref="Q20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5" t="s">
        <v>1129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6"/>
      <c r="N1" s="177" t="s">
        <v>1130</v>
      </c>
      <c r="O1" s="177"/>
      <c r="P1" s="177"/>
      <c r="Q1" s="177"/>
      <c r="R1" s="177"/>
    </row>
    <row r="2" spans="1:18" ht="4.5" customHeight="1">
      <c r="M2" s="176"/>
    </row>
    <row r="3" spans="1:18" ht="25.5" customHeight="1">
      <c r="A3" s="4" t="s">
        <v>19</v>
      </c>
      <c r="C3" s="4" t="s">
        <v>31</v>
      </c>
      <c r="E3" s="4" t="s">
        <v>64</v>
      </c>
      <c r="G3" s="4" t="s">
        <v>66</v>
      </c>
      <c r="J3" s="4" t="s">
        <v>35</v>
      </c>
      <c r="L3" s="4" t="s">
        <v>36</v>
      </c>
      <c r="M3" s="176"/>
      <c r="N3" s="36" t="s">
        <v>70</v>
      </c>
      <c r="O3" s="36" t="s">
        <v>49</v>
      </c>
      <c r="P3" s="36" t="s">
        <v>45</v>
      </c>
      <c r="Q3" s="36" t="s">
        <v>75</v>
      </c>
      <c r="R3" s="36" t="s">
        <v>61</v>
      </c>
    </row>
    <row r="4" spans="1:18" ht="15.75" customHeight="1">
      <c r="A4" s="37" t="s">
        <v>54</v>
      </c>
      <c r="C4" s="37" t="s">
        <v>43</v>
      </c>
      <c r="E4" s="38">
        <v>0.7</v>
      </c>
      <c r="G4" s="39">
        <v>0.6</v>
      </c>
      <c r="J4" s="37" t="s">
        <v>70</v>
      </c>
      <c r="L4" s="37" t="s">
        <v>46</v>
      </c>
      <c r="M4" s="176"/>
      <c r="N4" s="37" t="s">
        <v>1131</v>
      </c>
      <c r="O4" s="37" t="s">
        <v>50</v>
      </c>
      <c r="P4" s="37" t="s">
        <v>1132</v>
      </c>
      <c r="Q4" s="37" t="s">
        <v>77</v>
      </c>
      <c r="R4" s="37" t="s">
        <v>1133</v>
      </c>
    </row>
    <row r="5" spans="1:18" ht="15.75" customHeight="1">
      <c r="A5" s="40" t="s">
        <v>42</v>
      </c>
      <c r="C5" s="40" t="s">
        <v>558</v>
      </c>
      <c r="E5" s="41">
        <v>0.24</v>
      </c>
      <c r="G5" s="42">
        <v>0.6</v>
      </c>
      <c r="J5" s="40" t="s">
        <v>49</v>
      </c>
      <c r="L5" s="40" t="s">
        <v>80</v>
      </c>
      <c r="M5" s="176"/>
      <c r="N5" s="40" t="s">
        <v>1134</v>
      </c>
      <c r="O5" s="40" t="s">
        <v>1135</v>
      </c>
      <c r="P5" s="40" t="s">
        <v>58</v>
      </c>
      <c r="Q5" s="40" t="s">
        <v>99</v>
      </c>
      <c r="R5" s="40" t="s">
        <v>1136</v>
      </c>
    </row>
    <row r="6" spans="1:18" ht="15.75" customHeight="1">
      <c r="A6" s="37" t="s">
        <v>1137</v>
      </c>
      <c r="C6" s="37" t="s">
        <v>229</v>
      </c>
      <c r="E6" s="38">
        <v>0.21</v>
      </c>
      <c r="G6" s="39">
        <v>0.55000000000000004</v>
      </c>
      <c r="J6" s="37" t="s">
        <v>45</v>
      </c>
      <c r="L6" s="37" t="s">
        <v>76</v>
      </c>
      <c r="M6" s="176"/>
      <c r="N6" s="37" t="s">
        <v>1138</v>
      </c>
      <c r="O6" s="37" t="s">
        <v>1139</v>
      </c>
      <c r="P6" s="37" t="s">
        <v>1140</v>
      </c>
      <c r="Q6" s="37" t="s">
        <v>1141</v>
      </c>
      <c r="R6" s="37" t="s">
        <v>1142</v>
      </c>
    </row>
    <row r="7" spans="1:18" ht="15.75" customHeight="1">
      <c r="A7" s="40" t="s">
        <v>86</v>
      </c>
      <c r="C7" s="40" t="s">
        <v>1143</v>
      </c>
      <c r="E7" s="41">
        <v>0.13</v>
      </c>
      <c r="G7" s="42">
        <v>0.55000000000000004</v>
      </c>
      <c r="J7" s="37" t="s">
        <v>75</v>
      </c>
      <c r="L7" s="40" t="s">
        <v>90</v>
      </c>
      <c r="M7" s="176"/>
      <c r="N7" s="40" t="s">
        <v>1144</v>
      </c>
      <c r="O7" s="40" t="s">
        <v>83</v>
      </c>
      <c r="P7" s="40" t="s">
        <v>58</v>
      </c>
      <c r="Q7" s="40" t="s">
        <v>1145</v>
      </c>
      <c r="R7" s="40" t="s">
        <v>78</v>
      </c>
    </row>
    <row r="8" spans="1:18" ht="15.75" customHeight="1">
      <c r="A8" s="37"/>
      <c r="C8" s="40" t="s">
        <v>68</v>
      </c>
      <c r="D8" s="43"/>
      <c r="E8" s="41">
        <v>0.35</v>
      </c>
      <c r="F8" s="43"/>
      <c r="G8" s="42">
        <v>0.6</v>
      </c>
      <c r="H8" s="43"/>
      <c r="J8" s="40" t="s">
        <v>61</v>
      </c>
      <c r="L8" s="37" t="s">
        <v>97</v>
      </c>
      <c r="M8" s="176"/>
      <c r="N8" s="37" t="s">
        <v>1146</v>
      </c>
      <c r="O8" s="37" t="s">
        <v>1147</v>
      </c>
      <c r="P8" s="37" t="s">
        <v>1140</v>
      </c>
      <c r="Q8" s="37" t="s">
        <v>1148</v>
      </c>
      <c r="R8" s="37" t="s">
        <v>1149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1150</v>
      </c>
      <c r="M9" s="176"/>
      <c r="N9" s="40" t="s">
        <v>1151</v>
      </c>
      <c r="O9" s="40" t="s">
        <v>1152</v>
      </c>
      <c r="P9" s="40" t="s">
        <v>1153</v>
      </c>
      <c r="Q9" s="40" t="s">
        <v>73</v>
      </c>
      <c r="R9" s="40" t="s">
        <v>1154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1155</v>
      </c>
      <c r="M10" s="176"/>
      <c r="N10" s="37" t="s">
        <v>1156</v>
      </c>
      <c r="O10" s="37" t="s">
        <v>95</v>
      </c>
      <c r="P10" s="37" t="s">
        <v>1157</v>
      </c>
      <c r="Q10" s="37" t="s">
        <v>1158</v>
      </c>
      <c r="R10" s="37" t="s">
        <v>1159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1160</v>
      </c>
      <c r="M11" s="176"/>
      <c r="N11" s="40" t="s">
        <v>1161</v>
      </c>
      <c r="O11" s="40" t="s">
        <v>1162</v>
      </c>
      <c r="P11" s="40" t="s">
        <v>1163</v>
      </c>
      <c r="Q11" s="40" t="s">
        <v>1164</v>
      </c>
      <c r="R11" s="40" t="s">
        <v>92</v>
      </c>
    </row>
    <row r="12" spans="1:18" ht="15.75" customHeight="1">
      <c r="A12" s="37"/>
      <c r="C12" s="37"/>
      <c r="J12" s="37"/>
      <c r="L12" s="37" t="s">
        <v>1165</v>
      </c>
      <c r="M12" s="176"/>
      <c r="N12" s="37" t="s">
        <v>1166</v>
      </c>
      <c r="O12" s="37" t="s">
        <v>1167</v>
      </c>
      <c r="P12" s="37" t="s">
        <v>73</v>
      </c>
      <c r="Q12" s="37" t="s">
        <v>104</v>
      </c>
      <c r="R12" s="37" t="s">
        <v>1168</v>
      </c>
    </row>
    <row r="13" spans="1:18" ht="15.75" customHeight="1">
      <c r="A13" s="40"/>
      <c r="C13" s="40"/>
      <c r="J13" s="40"/>
      <c r="L13" s="40" t="s">
        <v>1169</v>
      </c>
      <c r="M13" s="176"/>
      <c r="N13" s="40"/>
      <c r="O13" s="40" t="s">
        <v>1170</v>
      </c>
      <c r="P13" s="40" t="s">
        <v>1171</v>
      </c>
      <c r="Q13" s="40" t="s">
        <v>1172</v>
      </c>
      <c r="R13" s="40" t="s">
        <v>108</v>
      </c>
    </row>
    <row r="14" spans="1:18" ht="15.75" customHeight="1">
      <c r="A14" s="37"/>
      <c r="C14" s="37"/>
      <c r="J14" s="37"/>
      <c r="L14" s="37" t="s">
        <v>1173</v>
      </c>
      <c r="M14" s="176"/>
      <c r="N14" s="37" t="s">
        <v>71</v>
      </c>
      <c r="O14" s="37" t="s">
        <v>1174</v>
      </c>
      <c r="P14" s="37" t="s">
        <v>1175</v>
      </c>
      <c r="Q14" s="37" t="s">
        <v>1176</v>
      </c>
      <c r="R14" s="37" t="s">
        <v>1177</v>
      </c>
    </row>
    <row r="15" spans="1:18" ht="15.75" customHeight="1">
      <c r="A15" s="40"/>
      <c r="C15" s="40"/>
      <c r="J15" s="40"/>
      <c r="L15" s="40" t="s">
        <v>1178</v>
      </c>
      <c r="M15" s="176"/>
      <c r="N15" s="40" t="s">
        <v>1179</v>
      </c>
      <c r="O15" s="40" t="s">
        <v>1180</v>
      </c>
      <c r="P15" s="40" t="s">
        <v>1181</v>
      </c>
      <c r="Q15" s="40" t="s">
        <v>1182</v>
      </c>
      <c r="R15" s="40" t="s">
        <v>1183</v>
      </c>
    </row>
    <row r="16" spans="1:18" ht="15.75" customHeight="1">
      <c r="A16" s="37"/>
      <c r="C16" s="37"/>
      <c r="J16" s="37"/>
      <c r="L16" s="37" t="s">
        <v>1184</v>
      </c>
      <c r="M16" s="176"/>
      <c r="N16" s="37" t="s">
        <v>1185</v>
      </c>
      <c r="O16" s="37" t="s">
        <v>1186</v>
      </c>
      <c r="P16" s="37" t="s">
        <v>1187</v>
      </c>
      <c r="Q16" s="37" t="s">
        <v>1188</v>
      </c>
      <c r="R16" s="37" t="s">
        <v>1189</v>
      </c>
    </row>
    <row r="17" spans="1:18" ht="15.75" customHeight="1">
      <c r="A17" s="40"/>
      <c r="C17" s="40"/>
      <c r="J17" s="40"/>
      <c r="L17" s="40" t="s">
        <v>1190</v>
      </c>
      <c r="M17" s="176"/>
      <c r="N17" s="40" t="s">
        <v>1191</v>
      </c>
      <c r="O17" s="40" t="s">
        <v>1192</v>
      </c>
      <c r="P17" s="40" t="s">
        <v>1193</v>
      </c>
      <c r="Q17" s="40" t="s">
        <v>1194</v>
      </c>
      <c r="R17" s="40" t="s">
        <v>1195</v>
      </c>
    </row>
    <row r="18" spans="1:18" ht="15.75" customHeight="1">
      <c r="A18" s="37"/>
      <c r="C18" s="37"/>
      <c r="J18" s="37"/>
      <c r="L18" s="37" t="s">
        <v>1196</v>
      </c>
      <c r="M18" s="176"/>
      <c r="N18" s="37" t="s">
        <v>1197</v>
      </c>
      <c r="O18" s="37" t="s">
        <v>1198</v>
      </c>
      <c r="P18" s="37" t="s">
        <v>1199</v>
      </c>
      <c r="Q18" s="37" t="s">
        <v>1200</v>
      </c>
      <c r="R18" s="37" t="s">
        <v>1201</v>
      </c>
    </row>
    <row r="19" spans="1:18" ht="15.75" customHeight="1">
      <c r="A19" s="40"/>
      <c r="C19" s="40"/>
      <c r="J19" s="40"/>
      <c r="L19" s="40" t="s">
        <v>1202</v>
      </c>
      <c r="M19" s="176"/>
      <c r="N19" s="40" t="s">
        <v>1203</v>
      </c>
      <c r="O19" s="40" t="s">
        <v>1204</v>
      </c>
      <c r="P19" s="40" t="s">
        <v>1205</v>
      </c>
      <c r="Q19" s="40" t="s">
        <v>87</v>
      </c>
      <c r="R19" s="40" t="s">
        <v>1206</v>
      </c>
    </row>
    <row r="20" spans="1:18" ht="15.75" customHeight="1">
      <c r="A20" s="37"/>
      <c r="C20" s="37"/>
      <c r="J20" s="37"/>
      <c r="L20" s="37" t="s">
        <v>1207</v>
      </c>
      <c r="M20" s="176"/>
      <c r="N20" s="37"/>
      <c r="O20" s="37" t="s">
        <v>55</v>
      </c>
      <c r="P20" s="37" t="s">
        <v>1208</v>
      </c>
      <c r="Q20" s="37"/>
      <c r="R20" s="37" t="s">
        <v>1209</v>
      </c>
    </row>
    <row r="21" spans="1:18" ht="15.75" customHeight="1">
      <c r="A21" s="40"/>
      <c r="C21" s="40"/>
      <c r="J21" s="40"/>
      <c r="L21" s="40" t="s">
        <v>1210</v>
      </c>
      <c r="M21" s="176"/>
      <c r="N21" s="40"/>
      <c r="O21" s="40" t="s">
        <v>1211</v>
      </c>
      <c r="P21" s="40" t="s">
        <v>1212</v>
      </c>
      <c r="Q21" s="40"/>
      <c r="R21" s="40" t="s">
        <v>1213</v>
      </c>
    </row>
    <row r="22" spans="1:18" ht="15.75" customHeight="1">
      <c r="A22" s="37"/>
      <c r="C22" s="37"/>
      <c r="J22" s="37"/>
      <c r="L22" s="37" t="s">
        <v>1214</v>
      </c>
      <c r="M22" s="176"/>
      <c r="N22" s="37"/>
      <c r="O22" s="37"/>
      <c r="P22" s="37" t="s">
        <v>1215</v>
      </c>
      <c r="Q22" s="37"/>
      <c r="R22" s="37" t="s">
        <v>1216</v>
      </c>
    </row>
    <row r="23" spans="1:18" ht="15.75" customHeight="1">
      <c r="A23" s="40"/>
      <c r="C23" s="40"/>
      <c r="J23" s="40"/>
      <c r="L23" s="40" t="s">
        <v>100</v>
      </c>
      <c r="M23" s="176"/>
      <c r="N23" s="40"/>
      <c r="O23" s="40"/>
      <c r="P23" s="40" t="s">
        <v>101</v>
      </c>
      <c r="Q23" s="40"/>
      <c r="R23" s="40" t="s">
        <v>1217</v>
      </c>
    </row>
    <row r="24" spans="1:18" ht="15.75" customHeight="1">
      <c r="A24" s="37"/>
      <c r="C24" s="37"/>
      <c r="J24" s="37"/>
      <c r="L24" s="37" t="s">
        <v>106</v>
      </c>
      <c r="M24" s="176"/>
      <c r="N24" s="37"/>
      <c r="O24" s="37"/>
      <c r="P24" s="37" t="s">
        <v>1218</v>
      </c>
      <c r="Q24" s="37"/>
      <c r="R24" s="37" t="s">
        <v>1219</v>
      </c>
    </row>
    <row r="25" spans="1:18" ht="15.75" customHeight="1">
      <c r="A25" s="40"/>
      <c r="C25" s="40"/>
      <c r="J25" s="40"/>
      <c r="L25" s="40" t="s">
        <v>82</v>
      </c>
      <c r="M25" s="176"/>
      <c r="N25" s="40"/>
      <c r="O25" s="40"/>
      <c r="P25" s="40" t="s">
        <v>1220</v>
      </c>
      <c r="Q25" s="40"/>
      <c r="R25" s="40" t="s">
        <v>1221</v>
      </c>
    </row>
    <row r="26" spans="1:18" ht="15.75" customHeight="1">
      <c r="A26" s="37"/>
      <c r="C26" s="37"/>
      <c r="J26" s="37"/>
      <c r="L26" s="37" t="s">
        <v>72</v>
      </c>
      <c r="M26" s="176"/>
      <c r="N26" s="37"/>
      <c r="O26" s="37"/>
      <c r="P26" s="37" t="s">
        <v>1222</v>
      </c>
      <c r="Q26" s="37"/>
      <c r="R26" s="37"/>
    </row>
    <row r="27" spans="1:18" ht="15.75" customHeight="1">
      <c r="A27" s="40"/>
      <c r="C27" s="40"/>
      <c r="J27" s="40"/>
      <c r="L27" s="40" t="s">
        <v>1223</v>
      </c>
      <c r="M27" s="176"/>
      <c r="N27" s="40"/>
      <c r="O27" s="40"/>
      <c r="P27" s="40" t="s">
        <v>1217</v>
      </c>
      <c r="Q27" s="40"/>
      <c r="R27" s="40" t="s">
        <v>1154</v>
      </c>
    </row>
    <row r="28" spans="1:18" ht="15.75" customHeight="1">
      <c r="A28" s="37"/>
      <c r="C28" s="37"/>
      <c r="J28" s="37"/>
      <c r="L28" s="37" t="s">
        <v>1224</v>
      </c>
      <c r="M28" s="176"/>
      <c r="N28" s="37"/>
      <c r="O28" s="37"/>
      <c r="P28" s="37" t="s">
        <v>1199</v>
      </c>
      <c r="Q28" s="37"/>
      <c r="R28" s="37" t="s">
        <v>1225</v>
      </c>
    </row>
    <row r="29" spans="1:18" ht="15.75" customHeight="1">
      <c r="A29" s="40"/>
      <c r="C29" s="40"/>
      <c r="J29" s="40"/>
      <c r="L29" s="40" t="s">
        <v>1226</v>
      </c>
      <c r="M29" s="176"/>
      <c r="N29" s="40"/>
      <c r="O29" s="40"/>
      <c r="P29" s="40" t="s">
        <v>1227</v>
      </c>
      <c r="Q29" s="40"/>
      <c r="R29" s="40" t="s">
        <v>1228</v>
      </c>
    </row>
    <row r="30" spans="1:18" ht="15.75" customHeight="1">
      <c r="A30" s="37"/>
      <c r="C30" s="37"/>
      <c r="J30" s="37"/>
      <c r="L30" s="37" t="s">
        <v>1229</v>
      </c>
      <c r="M30" s="176"/>
      <c r="N30" s="37"/>
      <c r="O30" s="37"/>
      <c r="P30" s="37" t="s">
        <v>1230</v>
      </c>
      <c r="Q30" s="37"/>
      <c r="R30" s="37" t="s">
        <v>1231</v>
      </c>
    </row>
    <row r="31" spans="1:18" ht="15.75" customHeight="1">
      <c r="A31" s="40"/>
      <c r="C31" s="40"/>
      <c r="J31" s="40"/>
      <c r="L31" s="40" t="s">
        <v>1232</v>
      </c>
      <c r="M31" s="176"/>
      <c r="N31" s="40"/>
      <c r="O31" s="40"/>
      <c r="P31" s="40" t="s">
        <v>1233</v>
      </c>
      <c r="Q31" s="40"/>
      <c r="R31" s="40" t="s">
        <v>1234</v>
      </c>
    </row>
    <row r="32" spans="1:18" ht="15.75" customHeight="1">
      <c r="A32" s="37"/>
      <c r="C32" s="37"/>
      <c r="J32" s="37"/>
      <c r="L32" s="37" t="s">
        <v>1235</v>
      </c>
      <c r="M32" s="176"/>
      <c r="N32" s="37"/>
      <c r="O32" s="37"/>
      <c r="P32" s="37" t="s">
        <v>1236</v>
      </c>
      <c r="Q32" s="37"/>
      <c r="R32" t="s">
        <v>1237</v>
      </c>
    </row>
    <row r="33" spans="1:18" ht="15.75" customHeight="1">
      <c r="A33" s="40"/>
      <c r="C33" s="50" t="s">
        <v>1238</v>
      </c>
      <c r="E33" s="51">
        <v>1000</v>
      </c>
      <c r="J33" s="40"/>
      <c r="L33" s="40" t="s">
        <v>1239</v>
      </c>
      <c r="M33" s="176"/>
      <c r="N33" s="40"/>
      <c r="O33" s="40"/>
      <c r="P33" s="40" t="s">
        <v>1240</v>
      </c>
      <c r="Q33" s="40"/>
      <c r="R33" s="40" t="s">
        <v>61</v>
      </c>
    </row>
    <row r="34" spans="1:18" ht="15.75" customHeight="1">
      <c r="A34" s="37"/>
      <c r="C34" s="37"/>
      <c r="J34" s="37"/>
      <c r="L34" s="37" t="s">
        <v>91</v>
      </c>
      <c r="M34" s="176"/>
      <c r="N34" s="37"/>
      <c r="O34" s="37"/>
      <c r="P34" s="37" t="s">
        <v>1168</v>
      </c>
      <c r="Q34" s="37"/>
      <c r="R34" s="37" t="s">
        <v>1241</v>
      </c>
    </row>
    <row r="35" spans="1:18" ht="15.75" customHeight="1">
      <c r="A35" s="40"/>
      <c r="C35" s="40"/>
      <c r="J35" s="40"/>
      <c r="L35" s="40" t="s">
        <v>84</v>
      </c>
      <c r="M35" s="176"/>
      <c r="N35" s="40"/>
      <c r="O35" s="40"/>
      <c r="P35" s="40" t="s">
        <v>1242</v>
      </c>
      <c r="Q35" s="40"/>
      <c r="R35" s="40" t="s">
        <v>1243</v>
      </c>
    </row>
    <row r="36" spans="1:18" ht="15.75" customHeight="1">
      <c r="A36" s="37"/>
      <c r="C36" s="37"/>
      <c r="J36" s="37"/>
      <c r="L36" s="37" t="s">
        <v>105</v>
      </c>
      <c r="M36" s="176"/>
      <c r="N36" s="37"/>
      <c r="O36" s="37"/>
      <c r="P36" s="37" t="s">
        <v>1244</v>
      </c>
      <c r="Q36" s="37"/>
      <c r="R36" s="37" t="s">
        <v>1245</v>
      </c>
    </row>
    <row r="37" spans="1:18" ht="15.75" customHeight="1">
      <c r="A37" s="40"/>
      <c r="C37" s="40"/>
      <c r="J37" s="40"/>
      <c r="L37" s="40" t="s">
        <v>1246</v>
      </c>
      <c r="M37" s="176"/>
      <c r="N37" s="40"/>
      <c r="O37" s="40"/>
      <c r="P37" s="40" t="s">
        <v>47</v>
      </c>
      <c r="Q37" s="40"/>
      <c r="R37" s="40" t="s">
        <v>81</v>
      </c>
    </row>
    <row r="38" spans="1:18" ht="15.75" customHeight="1">
      <c r="A38" s="37"/>
      <c r="C38" s="37"/>
      <c r="J38" s="37"/>
      <c r="L38" s="37" t="s">
        <v>1247</v>
      </c>
      <c r="M38" s="176"/>
      <c r="N38" s="37"/>
      <c r="O38" s="37"/>
      <c r="P38" s="37" t="s">
        <v>1248</v>
      </c>
      <c r="Q38" s="37"/>
      <c r="R38" s="37" t="s">
        <v>1249</v>
      </c>
    </row>
    <row r="39" spans="1:18" ht="15.75" customHeight="1">
      <c r="A39" s="40"/>
      <c r="C39" s="40"/>
      <c r="J39" s="40"/>
      <c r="L39" s="40" t="s">
        <v>1250</v>
      </c>
      <c r="M39" s="176"/>
      <c r="N39" s="40"/>
      <c r="O39" s="40"/>
      <c r="P39" s="40" t="s">
        <v>1251</v>
      </c>
      <c r="Q39" s="40"/>
      <c r="R39" s="40" t="s">
        <v>1252</v>
      </c>
    </row>
    <row r="40" spans="1:18" ht="15.75" customHeight="1">
      <c r="A40" s="37"/>
      <c r="C40" s="37"/>
      <c r="J40" s="37"/>
      <c r="L40" s="37"/>
      <c r="M40" s="176"/>
      <c r="N40" s="37"/>
      <c r="O40" s="37"/>
      <c r="P40" s="37" t="s">
        <v>1253</v>
      </c>
      <c r="Q40" s="37"/>
      <c r="R40" s="37" t="s">
        <v>1254</v>
      </c>
    </row>
    <row r="41" spans="1:18" ht="15.75" customHeight="1">
      <c r="A41" s="40"/>
      <c r="C41" s="40"/>
      <c r="J41" s="40"/>
      <c r="L41" s="40"/>
      <c r="M41" s="176"/>
      <c r="N41" s="40"/>
      <c r="O41" s="40"/>
      <c r="P41" s="40" t="s">
        <v>1255</v>
      </c>
      <c r="Q41" s="40"/>
      <c r="R41" s="40" t="s">
        <v>1256</v>
      </c>
    </row>
    <row r="42" spans="1:18" ht="15.75" customHeight="1">
      <c r="A42" s="37"/>
      <c r="C42" s="37"/>
      <c r="J42" s="37"/>
      <c r="L42" s="37"/>
      <c r="M42" s="176"/>
      <c r="N42" s="37"/>
      <c r="O42" s="37"/>
      <c r="P42" s="37" t="s">
        <v>1257</v>
      </c>
      <c r="Q42" s="37"/>
      <c r="R42" s="37" t="s">
        <v>1258</v>
      </c>
    </row>
    <row r="43" spans="1:18" ht="15.75" customHeight="1">
      <c r="A43" s="40"/>
      <c r="C43" s="40"/>
      <c r="J43" s="40"/>
      <c r="L43" s="40"/>
      <c r="M43" s="176"/>
      <c r="N43" s="40"/>
      <c r="O43" s="40"/>
      <c r="P43" s="40" t="s">
        <v>1259</v>
      </c>
      <c r="Q43" s="40"/>
      <c r="R43" s="40" t="s">
        <v>1260</v>
      </c>
    </row>
    <row r="44" spans="1:18" ht="15.75" customHeight="1">
      <c r="A44" s="37"/>
      <c r="C44" s="37"/>
      <c r="J44" s="37"/>
      <c r="L44" s="37"/>
      <c r="M44" s="176"/>
      <c r="N44" s="37"/>
      <c r="O44" s="37"/>
      <c r="P44" s="37" t="s">
        <v>1261</v>
      </c>
      <c r="Q44" s="37"/>
      <c r="R44" s="37" t="s">
        <v>1262</v>
      </c>
    </row>
    <row r="45" spans="1:18" ht="15.75" customHeight="1">
      <c r="A45" s="40"/>
      <c r="C45" s="40"/>
      <c r="J45" s="40"/>
      <c r="L45" s="40"/>
      <c r="M45" s="176"/>
      <c r="N45" s="40"/>
      <c r="O45" s="40"/>
      <c r="P45" s="40" t="s">
        <v>1263</v>
      </c>
      <c r="Q45" s="40"/>
      <c r="R45" s="40" t="s">
        <v>1264</v>
      </c>
    </row>
    <row r="46" spans="1:18" ht="15.75" customHeight="1">
      <c r="A46" s="37"/>
      <c r="C46" s="37"/>
      <c r="J46" s="37"/>
      <c r="L46" s="37"/>
      <c r="M46" s="176"/>
      <c r="N46" s="37"/>
      <c r="O46" s="37"/>
      <c r="P46" s="37" t="s">
        <v>1265</v>
      </c>
      <c r="Q46" s="37"/>
      <c r="R46" s="37" t="s">
        <v>1266</v>
      </c>
    </row>
    <row r="47" spans="1:18" ht="15.75" customHeight="1">
      <c r="A47" s="40"/>
      <c r="C47" s="40"/>
      <c r="J47" s="40"/>
      <c r="L47" s="40"/>
      <c r="M47" s="176"/>
      <c r="N47" s="40"/>
      <c r="O47" s="40"/>
      <c r="P47" s="40" t="s">
        <v>1267</v>
      </c>
      <c r="Q47" s="40"/>
      <c r="R47" s="40" t="s">
        <v>1268</v>
      </c>
    </row>
    <row r="48" spans="1:18" ht="15.75" customHeight="1">
      <c r="A48" s="37"/>
      <c r="C48" s="37"/>
      <c r="J48" s="37"/>
      <c r="L48" s="37"/>
      <c r="M48" s="176"/>
      <c r="N48" s="37"/>
      <c r="O48" s="37"/>
      <c r="P48" s="37" t="s">
        <v>1269</v>
      </c>
      <c r="Q48" s="37"/>
      <c r="R48" s="37" t="s">
        <v>1270</v>
      </c>
    </row>
    <row r="49" spans="1:18" ht="18" customHeight="1">
      <c r="M49" s="176"/>
      <c r="N49" s="40"/>
      <c r="O49" s="40"/>
      <c r="P49" s="40" t="s">
        <v>1271</v>
      </c>
      <c r="Q49" s="40"/>
      <c r="R49" s="40" t="s">
        <v>1272</v>
      </c>
    </row>
    <row r="50" spans="1:18" ht="21" customHeight="1">
      <c r="A50" s="52" t="s">
        <v>1273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6"/>
      <c r="N50" s="37"/>
      <c r="O50" s="37"/>
      <c r="P50" s="37" t="s">
        <v>1274</v>
      </c>
      <c r="Q50" s="37"/>
      <c r="R50" s="37" t="s">
        <v>1275</v>
      </c>
    </row>
    <row r="51" spans="1:18" ht="24" customHeight="1">
      <c r="M51" s="176"/>
      <c r="N51" s="40"/>
      <c r="O51" s="40"/>
      <c r="P51" s="40" t="s">
        <v>1276</v>
      </c>
      <c r="Q51" s="40"/>
      <c r="R51" s="40" t="s">
        <v>85</v>
      </c>
    </row>
    <row r="52" spans="1:18" ht="24" customHeight="1">
      <c r="M52" s="176"/>
      <c r="N52" s="37"/>
      <c r="O52" s="37"/>
      <c r="P52" s="37" t="s">
        <v>1277</v>
      </c>
      <c r="Q52" s="37"/>
      <c r="R52" s="37" t="s">
        <v>1278</v>
      </c>
    </row>
    <row r="53" spans="1:18" ht="36" customHeight="1">
      <c r="M53" s="176"/>
      <c r="N53" s="40"/>
      <c r="O53" s="40"/>
      <c r="P53" s="40" t="s">
        <v>1279</v>
      </c>
      <c r="Q53" s="40"/>
      <c r="R53" s="40" t="s">
        <v>1280</v>
      </c>
    </row>
    <row r="54" spans="1:18" ht="15" customHeight="1">
      <c r="M54" s="176"/>
      <c r="N54" s="37"/>
      <c r="O54" s="37"/>
      <c r="P54" s="37" t="s">
        <v>1281</v>
      </c>
      <c r="Q54" s="37"/>
      <c r="R54" s="37" t="s">
        <v>1282</v>
      </c>
    </row>
    <row r="55" spans="1:18" ht="15" customHeight="1">
      <c r="M55" s="176"/>
      <c r="N55" s="40"/>
      <c r="O55" s="40"/>
      <c r="P55" s="40" t="s">
        <v>1283</v>
      </c>
      <c r="Q55" s="40"/>
      <c r="R55" s="40" t="s">
        <v>1284</v>
      </c>
    </row>
    <row r="56" spans="1:18" ht="15" customHeight="1">
      <c r="M56" s="176"/>
      <c r="N56" s="37"/>
      <c r="O56" s="37"/>
      <c r="P56" s="37" t="s">
        <v>1285</v>
      </c>
      <c r="Q56" s="37"/>
      <c r="R56" s="37" t="s">
        <v>93</v>
      </c>
    </row>
    <row r="57" spans="1:18" ht="15" customHeight="1">
      <c r="M57" s="176"/>
      <c r="N57" s="40"/>
      <c r="O57" s="40"/>
      <c r="P57" s="40" t="s">
        <v>1145</v>
      </c>
      <c r="Q57" s="40"/>
      <c r="R57" s="40" t="s">
        <v>1286</v>
      </c>
    </row>
    <row r="58" spans="1:18" ht="15" customHeight="1">
      <c r="M58" s="176"/>
      <c r="N58" s="37"/>
      <c r="O58" s="37"/>
      <c r="P58" s="37" t="s">
        <v>1287</v>
      </c>
      <c r="Q58" s="37"/>
      <c r="R58" s="37" t="s">
        <v>1288</v>
      </c>
    </row>
    <row r="59" spans="1:18" ht="15" customHeight="1">
      <c r="M59" s="176"/>
      <c r="N59" s="40"/>
      <c r="O59" s="40"/>
      <c r="P59" s="40" t="s">
        <v>1289</v>
      </c>
      <c r="Q59" s="40"/>
      <c r="R59" s="40" t="s">
        <v>1290</v>
      </c>
    </row>
    <row r="60" spans="1:18" ht="15" customHeight="1">
      <c r="M60" s="176"/>
      <c r="N60" s="37"/>
      <c r="O60" s="37"/>
      <c r="P60" s="53" t="s">
        <v>1192</v>
      </c>
      <c r="Q60" s="37"/>
      <c r="R60" s="37" t="s">
        <v>62</v>
      </c>
    </row>
    <row r="61" spans="1:18" ht="15" customHeight="1">
      <c r="M61" s="176"/>
      <c r="N61" s="40"/>
      <c r="O61" s="40"/>
      <c r="P61" s="40" t="s">
        <v>1291</v>
      </c>
      <c r="Q61" s="40"/>
      <c r="R61" s="40"/>
    </row>
    <row r="62" spans="1:18" ht="15" customHeight="1">
      <c r="M62" s="176"/>
      <c r="N62" s="37"/>
      <c r="O62" s="37"/>
      <c r="P62" s="37" t="s">
        <v>1292</v>
      </c>
      <c r="Q62" s="37"/>
      <c r="R62" s="37"/>
    </row>
    <row r="63" spans="1:18" ht="15" customHeight="1">
      <c r="M63" s="176"/>
      <c r="N63" s="40"/>
      <c r="O63" s="40"/>
      <c r="P63" s="40" t="s">
        <v>1293</v>
      </c>
      <c r="Q63" s="40"/>
      <c r="R63" s="40"/>
    </row>
    <row r="64" spans="1:18" ht="15" customHeight="1">
      <c r="M64" s="176"/>
      <c r="N64" s="37"/>
      <c r="O64" s="37"/>
      <c r="P64" s="37" t="s">
        <v>1294</v>
      </c>
      <c r="Q64" s="37"/>
      <c r="R64" s="37"/>
    </row>
    <row r="65" spans="13:18" ht="15" customHeight="1">
      <c r="M65" s="176"/>
      <c r="N65" s="40"/>
      <c r="O65" s="40"/>
      <c r="P65" s="40" t="s">
        <v>1295</v>
      </c>
      <c r="Q65" s="40"/>
      <c r="R65" s="40"/>
    </row>
    <row r="66" spans="13:18" ht="15" customHeight="1">
      <c r="M66" s="176"/>
      <c r="N66" s="37"/>
      <c r="O66" s="37"/>
      <c r="P66" s="37" t="s">
        <v>1296</v>
      </c>
      <c r="Q66" s="37"/>
      <c r="R66" s="37"/>
    </row>
    <row r="67" spans="13:18" ht="15" customHeight="1">
      <c r="M67" s="176"/>
      <c r="N67" s="40"/>
      <c r="O67" s="40"/>
      <c r="P67" s="40" t="s">
        <v>1297</v>
      </c>
      <c r="Q67" s="40"/>
      <c r="R67" s="40"/>
    </row>
    <row r="68" spans="13:18" ht="15" customHeight="1">
      <c r="M68" s="176"/>
      <c r="N68" s="37"/>
      <c r="O68" s="37"/>
      <c r="P68" s="37" t="s">
        <v>1298</v>
      </c>
      <c r="Q68" s="37"/>
      <c r="R68" s="37"/>
    </row>
    <row r="69" spans="13:18" ht="15" customHeight="1">
      <c r="M69" s="176"/>
      <c r="N69" s="40"/>
      <c r="O69" s="40"/>
      <c r="P69" s="40" t="s">
        <v>1299</v>
      </c>
      <c r="Q69" s="40"/>
      <c r="R69" s="40"/>
    </row>
    <row r="70" spans="13:18" ht="15" customHeight="1">
      <c r="M70" s="176"/>
      <c r="N70" s="37"/>
      <c r="O70" s="37"/>
      <c r="P70" s="37" t="s">
        <v>1300</v>
      </c>
      <c r="Q70" s="37"/>
      <c r="R70" s="37"/>
    </row>
    <row r="71" spans="13:18" ht="15" customHeight="1">
      <c r="M71" s="176"/>
      <c r="N71" s="40"/>
      <c r="O71" s="40"/>
      <c r="P71" s="40" t="s">
        <v>1301</v>
      </c>
      <c r="Q71" s="40"/>
      <c r="R71" s="40"/>
    </row>
    <row r="72" spans="13:18" ht="15" customHeight="1">
      <c r="M72" s="176"/>
      <c r="N72" s="37"/>
      <c r="O72" s="37"/>
      <c r="P72" s="37" t="s">
        <v>1302</v>
      </c>
      <c r="Q72" s="37"/>
      <c r="R72" s="37"/>
    </row>
    <row r="73" spans="13:18" ht="15" customHeight="1">
      <c r="M73" s="176"/>
      <c r="N73" s="40"/>
      <c r="O73" s="40"/>
      <c r="P73" s="40" t="s">
        <v>1303</v>
      </c>
      <c r="Q73" s="40"/>
      <c r="R73" s="40"/>
    </row>
    <row r="74" spans="13:18" ht="15" customHeight="1">
      <c r="M74" s="176"/>
      <c r="N74" s="37"/>
      <c r="O74" s="37"/>
      <c r="P74" s="37" t="s">
        <v>57</v>
      </c>
      <c r="Q74" s="37"/>
      <c r="R74" s="37"/>
    </row>
    <row r="75" spans="13:18" ht="15" customHeight="1">
      <c r="M75" s="176"/>
      <c r="N75" s="40"/>
      <c r="O75" s="40"/>
      <c r="P75" s="40" t="s">
        <v>1304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2026-09-02T22:47:15Z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