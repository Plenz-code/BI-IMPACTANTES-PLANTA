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43" documentId="8_{AF585B22-221D-4780-BB9C-493D365A6A02}" xr6:coauthVersionLast="47" xr6:coauthVersionMax="47" xr10:uidLastSave="{7A17E4F2-4437-46CB-A351-F54A4631DBD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<sst xmlns="http://schemas.openxmlformats.org/spreadsheetml/2006/main" count="3294" uniqueCount="259">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</sst>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1" sqref="F1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202</v>
      </c>
      <c r="G176" s="36">
        <f>SUM(G164:G175)</f>
        <v>1010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202</v>
      </c>
      <c r="G190" s="40">
        <f>G176+G189</f>
        <v>1010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0.33247280092473375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0.33247280092473375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0.33247280092473375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4" activePane="bottomLeft" state="frozen"/>
      <selection pane="bottomLeft" activeCell="L170" sqref="L1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121</v>
      </c>
      <c r="K166" s="29">
        <v>0.45694444444444443</v>
      </c>
      <c r="L166" s="29">
        <v>0.47222222222222221</v>
      </c>
      <c r="M166" s="30" t="s">
        <v>241</v>
      </c>
      <c r="N166" s="27" t="s">
        <v>242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>
        <v>1</v>
      </c>
      <c r="G170" s="28">
        <f t="shared" si="36"/>
        <v>4.2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43</v>
      </c>
      <c r="G176" s="36">
        <f>SUM(G164:G175)</f>
        <v>183</v>
      </c>
      <c r="H176" s="37"/>
      <c r="I176" s="37"/>
      <c r="J176" s="37"/>
      <c r="K176" s="37"/>
      <c r="L176" s="37"/>
      <c r="M176" s="38">
        <f ca="1">IFERROR(SUM(M164:M175),"")</f>
        <v>2.7777777777777846E-2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43</v>
      </c>
      <c r="G190" s="40">
        <f>G176+G189</f>
        <v>183</v>
      </c>
      <c r="H190" s="41"/>
      <c r="I190" s="41"/>
      <c r="J190" s="41"/>
      <c r="K190" s="41"/>
      <c r="L190" s="41"/>
      <c r="M190" s="42">
        <f ca="1">IFERROR(M176+M189,"")</f>
        <v>2.7777777777777846E-2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71" sqref="F17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207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209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87" t="s">
        <v>210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207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209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87" t="s">
        <v>210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247</v>
      </c>
      <c r="L58" s="29">
        <v>0.54097222222222219</v>
      </c>
      <c r="M58" s="30" t="str">
        <f t="shared" ca="1" si="13"/>
        <v/>
      </c>
      <c r="N58" s="27" t="s">
        <v>248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207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209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87" t="s">
        <v>210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207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209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87" t="s">
        <v>210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207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0.37483391203568317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209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0.57413946759123879</v>
      </c>
      <c r="N135" s="36" t="s">
        <v>208</v>
      </c>
      <c r="O135" s="39">
        <v>729290</v>
      </c>
    </row>
    <row r="136" spans="1:18" ht="18" customHeight="1">
      <c r="A136" s="87" t="s">
        <v>210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0.94150057870234982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207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209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87" t="s">
        <v>210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26</v>
      </c>
      <c r="G168" s="28">
        <f t="shared" si="36"/>
        <v>109.2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207</v>
      </c>
      <c r="B176" s="91"/>
      <c r="C176" s="91"/>
      <c r="D176" s="91"/>
      <c r="E176" s="92">
        <f>SUM(E164:E175)</f>
        <v>0</v>
      </c>
      <c r="F176" s="36">
        <f>SUM(F164:F175)</f>
        <v>119</v>
      </c>
      <c r="G176" s="36">
        <f>SUM(G164:G175)</f>
        <v>510.2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209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87" t="s">
        <v>210</v>
      </c>
      <c r="B190" s="88"/>
      <c r="C190" s="88"/>
      <c r="D190" s="88"/>
      <c r="E190" s="89">
        <f>E176+E189</f>
        <v>0</v>
      </c>
      <c r="F190" s="40">
        <f>F176+F189</f>
        <v>119</v>
      </c>
      <c r="G190" s="40">
        <f>G176+G189</f>
        <v>510.2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207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209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87" t="s">
        <v>210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207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209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87" t="s">
        <v>210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207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209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87" t="s">
        <v>210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207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209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87" t="s">
        <v>210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207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209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87" t="s">
        <v>210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207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209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87" t="s">
        <v>210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207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209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87" t="s">
        <v>210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207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209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87" t="s">
        <v>210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207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209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87" t="s">
        <v>210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207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209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87" t="s">
        <v>210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207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209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87" t="s">
        <v>210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207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209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87" t="s">
        <v>210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207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209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87" t="s">
        <v>210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207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209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87" t="s">
        <v>210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207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209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87" t="s">
        <v>210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207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209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87" t="s">
        <v>210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207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209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87" t="s">
        <v>210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207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209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87" t="s">
        <v>210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207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209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87" t="s">
        <v>210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207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209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87" t="s">
        <v>210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207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209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87" t="s">
        <v>210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207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209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87" t="s">
        <v>210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207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209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87" t="s">
        <v>210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2026-07-07T18:58:55Z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