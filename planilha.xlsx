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5" documentId="13_ncr:1_{0A10D8D4-8450-4366-8075-B53B08E6B7EA}" xr6:coauthVersionLast="47" xr6:coauthVersionMax="47" xr10:uidLastSave="{9D37F90E-8155-48A8-845E-DBFD812F8276}"/>
  <bookViews>
    <workbookView xWindow="-120" yWindow="-120" windowWidth="29040" windowHeight="1572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70" i="6"/>
  <c r="J470" i="6" s="1"/>
  <c r="H471" i="6"/>
  <c r="J471" i="6" s="1"/>
  <c r="H472" i="6"/>
  <c r="J472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70" i="5"/>
  <c r="J470" i="5" s="1"/>
  <c r="H471" i="5"/>
  <c r="J471" i="5" s="1"/>
  <c r="H472" i="5"/>
  <c r="J472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70" i="4"/>
  <c r="J470" i="4" s="1"/>
  <c r="H471" i="4"/>
  <c r="J471" i="4" s="1"/>
  <c r="H472" i="4"/>
  <c r="J472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486" i="4"/>
  <c r="T486" i="4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486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H469" i="5" s="1"/>
  <c r="J469" i="5" s="1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H469" i="4" s="1"/>
  <c r="J469" i="4" s="1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68" i="6" l="1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<sst xmlns="http://schemas.openxmlformats.org/spreadsheetml/2006/main" count="7936" uniqueCount="376">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</sst>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9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/>
      <c r="J20" s="129">
        <f t="shared" si="1"/>
        <v>0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63835790</v>
      </c>
      <c r="D35" s="13">
        <f t="shared" si="2"/>
        <v>20725020</v>
      </c>
      <c r="E35" s="13">
        <f t="shared" si="2"/>
        <v>10923630</v>
      </c>
      <c r="F35" s="13">
        <f t="shared" si="2"/>
        <v>26760570</v>
      </c>
      <c r="G35" s="13">
        <f t="shared" si="2"/>
        <v>58409220</v>
      </c>
      <c r="H35" s="97">
        <f t="shared" si="2"/>
        <v>4454.125845060189</v>
      </c>
      <c r="I35" s="97">
        <f>IFERROR(SUM(I4:I34),"")</f>
        <v>3895.4599999999996</v>
      </c>
      <c r="J35" s="130">
        <f>IFERROR(AVERAGE(J4:J34),"-")</f>
        <v>0.78052303539371637</v>
      </c>
      <c r="K35" s="157">
        <f>SUM(K4:K34)</f>
        <v>450.78</v>
      </c>
    </row>
  </sheetData>
  <sheetProtection algorithmName="SHA-512" hashValue="gqTLzSuAHGYI8uOhqvLYOaoQbrZvCsSzD0aJE6/A0ufYguG/Kt8CCpL7wveFByPuEM7kH25C930tYTtMRaRnJQ==" saltValue="dcFiUfDE4dvgBpW29BEIkg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39" activePane="bottomLeft" state="frozen"/>
      <selection pane="bottomLeft" activeCell="F471" sqref="F471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/>
      <c r="M461" s="35">
        <f t="shared" ref="M461:M472" ca="1" si="99">IFERROR(IF(K461="","",IF(L461="",MOD(NOW()-K461,1),IF(L461&gt;=K461,L461-K461,L461+1-K461))),"")</f>
        <v>6.8795138868154027E-3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/>
      <c r="G471" s="34" t="str">
        <f t="shared" si="98"/>
        <v/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/>
      <c r="G472" s="28" t="str">
        <f t="shared" si="98"/>
        <v/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323</v>
      </c>
      <c r="G473" s="36">
        <f>SUM(G461:G472)</f>
        <v>1615</v>
      </c>
      <c r="H473" s="37"/>
      <c r="I473" s="37"/>
      <c r="J473" s="37"/>
      <c r="K473" s="37"/>
      <c r="L473" s="37"/>
      <c r="M473" s="38">
        <f ca="1">IFERROR(SUM(M461:M472),"")</f>
        <v>6.8795138868154027E-3</v>
      </c>
      <c r="N473" s="36" t="s">
        <v>247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1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/>
      <c r="D475" s="59"/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/>
      <c r="D476" s="59"/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/>
      <c r="D477" s="59"/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/>
      <c r="D478" s="59"/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/>
      <c r="D479" s="59"/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/>
      <c r="D480" s="59"/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/>
      <c r="D481" s="59"/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/>
      <c r="D482" s="59"/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/>
      <c r="D483" s="59"/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/>
      <c r="D484" s="59"/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/>
      <c r="D485" s="59"/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323</v>
      </c>
      <c r="G487" s="40">
        <f>G473+G486</f>
        <v>1615</v>
      </c>
      <c r="H487" s="41"/>
      <c r="I487" s="41"/>
      <c r="J487" s="41"/>
      <c r="K487" s="41"/>
      <c r="L487" s="41"/>
      <c r="M487" s="42">
        <f ca="1">IFERROR(M473+M486,"")</f>
        <v>6.8795138868154027E-3</v>
      </c>
      <c r="N487" s="40" t="s">
        <v>251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433" activePane="bottomLeft" state="frozen"/>
      <selection pane="bottomLeft" activeCell="G470" sqref="G470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0.57285173610580387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0.71174062499469271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0.79646284721691507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/>
      <c r="Q465" s="35">
        <f t="shared" ca="1" si="116"/>
        <v>1.7990624997764826E-2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646.79999999999995</v>
      </c>
      <c r="L473" s="37"/>
      <c r="M473" s="37"/>
      <c r="N473" s="37"/>
      <c r="O473" s="37"/>
      <c r="P473" s="37"/>
      <c r="Q473" s="38">
        <f ca="1">IFERROR(SUM(Q461:Q472),"")</f>
        <v>0.11590729166443148</v>
      </c>
      <c r="R473" s="36" t="s">
        <v>247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154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646.79999999999995</v>
      </c>
      <c r="L487" s="41"/>
      <c r="M487" s="41"/>
      <c r="N487" s="41"/>
      <c r="O487" s="41"/>
      <c r="P487" s="41"/>
      <c r="Q487" s="42">
        <f ca="1">IFERROR(Q473+Q486,"")</f>
        <v>0.11590729166443148</v>
      </c>
      <c r="R487" s="40" t="s">
        <v>251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33" activePane="bottomLeft" state="frozen"/>
      <selection pane="bottomLeft" activeCell="G470" sqref="G47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0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2"/>
        <v>0</v>
      </c>
      <c r="K462" s="28">
        <f t="shared" si="113"/>
        <v>88.2</v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2"/>
        <v>0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2"/>
        <v>0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46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193.2</v>
      </c>
      <c r="L473" s="37"/>
      <c r="M473" s="37"/>
      <c r="N473" s="37"/>
      <c r="O473" s="37"/>
      <c r="P473" s="37"/>
      <c r="Q473" s="38">
        <f ca="1">IFERROR(SUM(Q461:Q472),"")</f>
        <v>0.22499999999999998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46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193.2</v>
      </c>
      <c r="L487" s="41"/>
      <c r="M487" s="41"/>
      <c r="N487" s="41"/>
      <c r="O487" s="41"/>
      <c r="P487" s="41"/>
      <c r="Q487" s="42">
        <f ca="1">IFERROR(Q473+Q486,"")</f>
        <v>0.22499999999999998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40" activePane="bottomLeft" state="frozen"/>
      <selection pane="bottomLeft" activeCell="P465" sqref="P46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0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0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0</v>
      </c>
      <c r="I462" s="135">
        <f>IFERROR(IF($D462="","",VLOOKUP($D462,Cadastro!$C$4:$G$7,5,FALSE)),"")</f>
        <v>0.6</v>
      </c>
      <c r="J462" s="136">
        <f t="shared" si="114"/>
        <v>0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0</v>
      </c>
      <c r="I463" s="135">
        <f>IFERROR(IF($D463="","",VLOOKUP($D463,Cadastro!$C$4:$G$7,5,FALSE)),"")</f>
        <v>0.6</v>
      </c>
      <c r="J463" s="136">
        <f t="shared" si="114"/>
        <v>0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0</v>
      </c>
      <c r="I464" s="135">
        <f>IFERROR(IF($D464="","",VLOOKUP($D464,Cadastro!$C$4:$G$7,5,FALSE)),"")</f>
        <v>0.6</v>
      </c>
      <c r="J464" s="136">
        <f t="shared" si="114"/>
        <v>0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4"/>
        <v>0</v>
      </c>
      <c r="K465" s="34">
        <f t="shared" si="115"/>
        <v>33.6</v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4"/>
        <v>0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4"/>
        <v>0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4"/>
        <v>0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4"/>
        <v>0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/>
      <c r="H470" s="134" t="str">
        <f>IFERROR(IF($G470="","",$G470*$S$473/$G$473/Cadastro!$E$33),"")</f>
        <v/>
      </c>
      <c r="I470" s="135">
        <f>IFERROR(IF($D470="","",VLOOKUP($D470,Cadastro!$C$4:$G$7,5,FALSE)),"")</f>
        <v>0.6</v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/>
      <c r="H471" s="134" t="str">
        <f>IFERROR(IF($G471="","",$G471*$S$473/$G$473/Cadastro!$E$33),"")</f>
        <v/>
      </c>
      <c r="I471" s="135">
        <f>IFERROR(IF($D471="","",VLOOKUP($D471,Cadastro!$C$4:$G$7,5,FALSE)),"")</f>
        <v>0.6</v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/>
      <c r="H472" s="137" t="str">
        <f>IFERROR(IF($G472="","",$G472*$S$473/$G$473/Cadastro!$E$33),"")</f>
        <v/>
      </c>
      <c r="I472" s="138">
        <f>IFERROR(IF($D472="","",VLOOKUP($D472,Cadastro!$C$4:$G$7,5,FALSE)),"")</f>
        <v>0.6</v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120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504.00000000000006</v>
      </c>
      <c r="L473" s="37"/>
      <c r="M473" s="37"/>
      <c r="N473" s="37"/>
      <c r="O473" s="61"/>
      <c r="P473" s="61"/>
      <c r="Q473" s="38">
        <f ca="1">IFERROR(SUM(Q461:Q472),"")</f>
        <v>0.27708333333333318</v>
      </c>
      <c r="R473" s="36" t="s">
        <v>247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120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504.00000000000006</v>
      </c>
      <c r="L487" s="41"/>
      <c r="M487" s="41"/>
      <c r="N487" s="41"/>
      <c r="O487" s="63"/>
      <c r="P487" s="63"/>
      <c r="Q487" s="42">
        <f ca="1">IFERROR(Q473+Q486,"")</f>
        <v>0.27708333333333318</v>
      </c>
      <c r="R487" s="40" t="s">
        <v>251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2026-08-18T20:40:24Z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