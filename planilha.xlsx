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39" documentId="8_{C51EB6CB-002B-4D6B-B68F-DDEBDB4460C0}" xr6:coauthVersionLast="47" xr6:coauthVersionMax="47" xr10:uidLastSave="{9C9585FC-626E-4311-9AA4-E2EB5E652EC8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<sst xmlns="http://schemas.openxmlformats.org/spreadsheetml/2006/main" count="2283" uniqueCount="266">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</sst>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4" activePane="bottomLeft" state="frozen"/>
      <selection pane="bottomLeft" activeCell="N71" sqref="N7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/>
      <c r="M70" s="30">
        <f t="shared" ca="1" si="16"/>
        <v>3.0722453702765051E-2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228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228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55</v>
      </c>
      <c r="G81" s="36">
        <f>SUM(G69:G80)</f>
        <v>275</v>
      </c>
      <c r="H81" s="37"/>
      <c r="I81" s="37"/>
      <c r="J81" s="37"/>
      <c r="K81" s="37"/>
      <c r="L81" s="37"/>
      <c r="M81" s="38">
        <f ca="1">IFERROR(SUM(M69:M80),"")</f>
        <v>4.738912036943177E-2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430</v>
      </c>
      <c r="G82" s="40">
        <f>G68+G81</f>
        <v>2150</v>
      </c>
      <c r="H82" s="41"/>
      <c r="I82" s="41"/>
      <c r="J82" s="41"/>
      <c r="K82" s="41"/>
      <c r="L82" s="41"/>
      <c r="M82" s="42">
        <f ca="1">IFERROR(M68+M81,"")</f>
        <v>8.0028009258320765E-2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0" t="s">
        <v>233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F73" sqref="F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0.84600023147504544</v>
      </c>
      <c r="N53" s="46" t="s">
        <v>253</v>
      </c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0.98488912036393428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1.0696113425861566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/>
      <c r="G73" s="34" t="str">
        <f t="shared" si="15"/>
        <v/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/>
      <c r="G74" s="28" t="str">
        <f t="shared" si="15"/>
        <v/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 t="s">
        <v>244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41</v>
      </c>
      <c r="G81" s="36">
        <f>SUM(G69:G80)</f>
        <v>172.2</v>
      </c>
      <c r="H81" s="37"/>
      <c r="I81" s="37"/>
      <c r="J81" s="37"/>
      <c r="K81" s="37"/>
      <c r="L81" s="37"/>
      <c r="M81" s="38">
        <f ca="1">IFERROR(SUM(M69:M80),"")</f>
        <v>2.9166666666666896E-2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177</v>
      </c>
      <c r="G82" s="40">
        <f>G68+G81</f>
        <v>743.40000000000009</v>
      </c>
      <c r="H82" s="41"/>
      <c r="I82" s="41"/>
      <c r="J82" s="41"/>
      <c r="K82" s="41"/>
      <c r="L82" s="41"/>
      <c r="M82" s="42">
        <f ca="1">IFERROR(M68+M81,"")</f>
        <v>0.14513888888888909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61" zoomScale="50" zoomScaleNormal="50" workbookViewId="0">
      <selection activeCell="F73" sqref="F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/>
      <c r="G73" s="34" t="str">
        <f t="shared" si="15"/>
        <v/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24</v>
      </c>
      <c r="G81" s="36">
        <f>SUM(G69:G80)</f>
        <v>100.80000000000001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74</v>
      </c>
      <c r="G82" s="40">
        <f>G68+G81</f>
        <v>310.8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45" activePane="bottomLeft" state="frozen"/>
      <selection pane="bottomLeft" activeCell="F73" sqref="F7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229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36</v>
      </c>
      <c r="G81" s="36">
        <f>SUM(G69:G80)</f>
        <v>151.19999999999999</v>
      </c>
      <c r="H81" s="37"/>
      <c r="I81" s="37"/>
      <c r="J81" s="37"/>
      <c r="K81" s="61"/>
      <c r="L81" s="61"/>
      <c r="M81" s="38">
        <f ca="1">IFERROR(SUM(M69:M80),"")</f>
        <v>5.1388888888888928E-2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151</v>
      </c>
      <c r="G82" s="40">
        <f>G68+G81</f>
        <v>634.19999999999993</v>
      </c>
      <c r="H82" s="41"/>
      <c r="I82" s="41"/>
      <c r="J82" s="41"/>
      <c r="K82" s="63"/>
      <c r="L82" s="63"/>
      <c r="M82" s="42">
        <f ca="1">IFERROR(M68+M81,"")</f>
        <v>0.19652777777777791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229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2026-08-04T03:13:33Z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